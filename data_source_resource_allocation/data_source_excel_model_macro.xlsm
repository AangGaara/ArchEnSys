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297915e9a08dcf/Master of Energy Research/Github/ArchEnSys/data_source_resource_allocation/"/>
    </mc:Choice>
  </mc:AlternateContent>
  <xr:revisionPtr revIDLastSave="472" documentId="8_{C634C04F-FCC2-4346-9912-9B7D2744CEC3}" xr6:coauthVersionLast="47" xr6:coauthVersionMax="47" xr10:uidLastSave="{7FB0149B-CC67-4B7A-97F5-45F88A59C3EE}"/>
  <bookViews>
    <workbookView xWindow="-120" yWindow="-120" windowWidth="29040" windowHeight="15840" firstSheet="11" activeTab="18" xr2:uid="{9642CE0A-DA7E-4771-AA86-6A0DE8120FE7}"/>
  </bookViews>
  <sheets>
    <sheet name="sets_indices" sheetId="9" r:id="rId1"/>
    <sheet name="variables" sheetId="21" r:id="rId2"/>
    <sheet name="tech_data" sheetId="27" r:id="rId3"/>
    <sheet name="potential" sheetId="28" r:id="rId4"/>
    <sheet name="existing_capacity" sheetId="26" r:id="rId5"/>
    <sheet name="proj_rukn" sheetId="31" r:id="rId6"/>
    <sheet name="indonesia" sheetId="43" r:id="rId7"/>
    <sheet name="sumatera" sheetId="44" r:id="rId8"/>
    <sheet name="Jawa" sheetId="46" r:id="rId9"/>
    <sheet name="bali_nt" sheetId="47" r:id="rId10"/>
    <sheet name="kalimantan" sheetId="48" r:id="rId11"/>
    <sheet name="sulawesi" sheetId="49" r:id="rId12"/>
    <sheet name="maluku_papua" sheetId="50" r:id="rId13"/>
    <sheet name="cap_mw" sheetId="51" r:id="rId14"/>
    <sheet name="add_cap_mw" sheetId="59" r:id="rId15"/>
    <sheet name="remain_pot" sheetId="52" r:id="rId16"/>
    <sheet name="sup_gwh" sheetId="53" r:id="rId17"/>
    <sheet name="co2_ton" sheetId="54" r:id="rId18"/>
    <sheet name="cost_musd" sheetId="55" r:id="rId19"/>
    <sheet name="prim_pj" sheetId="56" r:id="rId20"/>
    <sheet name="sup_pj" sheetId="57" r:id="rId21"/>
    <sheet name="los_pj" sheetId="58" r:id="rId22"/>
    <sheet name="constraints" sheetId="60" r:id="rId23"/>
  </sheets>
  <externalReferences>
    <externalReference r:id="rId24"/>
  </externalReferences>
  <definedNames>
    <definedName name="solver_adj" localSheetId="9" hidden="1">bali_nt!$W$23:$AH$23</definedName>
    <definedName name="solver_adj" localSheetId="6" hidden="1">indonesia!$W$23:$AH$23</definedName>
    <definedName name="solver_adj" localSheetId="8" hidden="1">Jawa!$W$23:$AH$23</definedName>
    <definedName name="solver_adj" localSheetId="10" hidden="1">kalimantan!$W$23:$AH$23</definedName>
    <definedName name="solver_adj" localSheetId="12" hidden="1">maluku_papua!$W$23:$AH$23</definedName>
    <definedName name="solver_adj" localSheetId="11" hidden="1">sulawesi!$W$23:$AH$23</definedName>
    <definedName name="solver_adj" localSheetId="7" hidden="1">sumatera!$W$23:$AH$23</definedName>
    <definedName name="solver_cvg" localSheetId="9" hidden="1">0.000001</definedName>
    <definedName name="solver_cvg" localSheetId="6" hidden="1">0.000001</definedName>
    <definedName name="solver_cvg" localSheetId="8" hidden="1">0.000001</definedName>
    <definedName name="solver_cvg" localSheetId="10" hidden="1">0.000001</definedName>
    <definedName name="solver_cvg" localSheetId="12" hidden="1">0.000001</definedName>
    <definedName name="solver_cvg" localSheetId="11" hidden="1">0.000001</definedName>
    <definedName name="solver_cvg" localSheetId="7" hidden="1">0.000001</definedName>
    <definedName name="solver_drv" localSheetId="9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1" hidden="1">1</definedName>
    <definedName name="solver_drv" localSheetId="7" hidden="1">1</definedName>
    <definedName name="solver_eng" localSheetId="9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1" hidden="1">1</definedName>
    <definedName name="solver_eng" localSheetId="7" hidden="1">1</definedName>
    <definedName name="solver_est" localSheetId="9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1" hidden="1">1</definedName>
    <definedName name="solver_est" localSheetId="7" hidden="1">1</definedName>
    <definedName name="solver_itr" localSheetId="9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1" hidden="1">2147483647</definedName>
    <definedName name="solver_itr" localSheetId="7" hidden="1">2147483647</definedName>
    <definedName name="solver_lhs1" localSheetId="9" hidden="1">bali_nt!$Q$47</definedName>
    <definedName name="solver_lhs1" localSheetId="6" hidden="1">indonesia!$Q$47</definedName>
    <definedName name="solver_lhs1" localSheetId="8" hidden="1">Jawa!$Q$47</definedName>
    <definedName name="solver_lhs1" localSheetId="10" hidden="1">kalimantan!$Q$47</definedName>
    <definedName name="solver_lhs1" localSheetId="12" hidden="1">maluku_papua!$Q$47</definedName>
    <definedName name="solver_lhs1" localSheetId="11" hidden="1">sulawesi!$Q$47</definedName>
    <definedName name="solver_lhs1" localSheetId="7" hidden="1">sumatera!$Q$47</definedName>
    <definedName name="solver_lhs10" localSheetId="9" hidden="1">bali_nt!$BR$47</definedName>
    <definedName name="solver_lhs10" localSheetId="6" hidden="1">indonesia!$BR$47</definedName>
    <definedName name="solver_lhs10" localSheetId="8" hidden="1">Jawa!$BR$47</definedName>
    <definedName name="solver_lhs10" localSheetId="10" hidden="1">kalimantan!$BR$47</definedName>
    <definedName name="solver_lhs10" localSheetId="12" hidden="1">maluku_papua!$BR$47</definedName>
    <definedName name="solver_lhs10" localSheetId="11" hidden="1">sulawesi!$BR$47</definedName>
    <definedName name="solver_lhs10" localSheetId="7" hidden="1">sumatera!$BR$47</definedName>
    <definedName name="solver_lhs11" localSheetId="9" hidden="1">bali_nt!$BU$47</definedName>
    <definedName name="solver_lhs11" localSheetId="6" hidden="1">indonesia!$BU$47</definedName>
    <definedName name="solver_lhs11" localSheetId="8" hidden="1">Jawa!$BU$47</definedName>
    <definedName name="solver_lhs11" localSheetId="10" hidden="1">kalimantan!$BU$47</definedName>
    <definedName name="solver_lhs11" localSheetId="12" hidden="1">maluku_papua!$BU$47</definedName>
    <definedName name="solver_lhs11" localSheetId="11" hidden="1">sulawesi!$BU$47</definedName>
    <definedName name="solver_lhs11" localSheetId="7" hidden="1">sumatera!$BU$47</definedName>
    <definedName name="solver_lhs12" localSheetId="9" hidden="1">bali_nt!$BX$47</definedName>
    <definedName name="solver_lhs12" localSheetId="6" hidden="1">indonesia!$BX$47</definedName>
    <definedName name="solver_lhs12" localSheetId="8" hidden="1">Jawa!$BX$47</definedName>
    <definedName name="solver_lhs12" localSheetId="10" hidden="1">kalimantan!$BX$47</definedName>
    <definedName name="solver_lhs12" localSheetId="12" hidden="1">maluku_papua!$BX$47</definedName>
    <definedName name="solver_lhs12" localSheetId="11" hidden="1">sulawesi!$BX$47</definedName>
    <definedName name="solver_lhs12" localSheetId="7" hidden="1">sumatera!$BX$47</definedName>
    <definedName name="solver_lhs13" localSheetId="9" hidden="1">bali_nt!$AK$71</definedName>
    <definedName name="solver_lhs13" localSheetId="6" hidden="1">indonesia!$AK$71</definedName>
    <definedName name="solver_lhs13" localSheetId="8" hidden="1">Jawa!$AK$71</definedName>
    <definedName name="solver_lhs13" localSheetId="10" hidden="1">kalimantan!$AK$71</definedName>
    <definedName name="solver_lhs13" localSheetId="12" hidden="1">maluku_papua!$AK$71</definedName>
    <definedName name="solver_lhs13" localSheetId="11" hidden="1">sulawesi!$AK$71</definedName>
    <definedName name="solver_lhs13" localSheetId="7" hidden="1">sumatera!$AK$71</definedName>
    <definedName name="solver_lhs14" localSheetId="9" hidden="1">bali_nt!$CA$47</definedName>
    <definedName name="solver_lhs14" localSheetId="6" hidden="1">indonesia!$CA$47</definedName>
    <definedName name="solver_lhs14" localSheetId="8" hidden="1">Jawa!$CA$47</definedName>
    <definedName name="solver_lhs14" localSheetId="10" hidden="1">kalimantan!$CA$47</definedName>
    <definedName name="solver_lhs14" localSheetId="12" hidden="1">maluku_papua!$CA$47</definedName>
    <definedName name="solver_lhs14" localSheetId="11" hidden="1">sulawesi!$CA$47</definedName>
    <definedName name="solver_lhs14" localSheetId="7" hidden="1">sumatera!$CA$47</definedName>
    <definedName name="solver_lhs15" localSheetId="9" hidden="1">bali_nt!#REF!</definedName>
    <definedName name="solver_lhs15" localSheetId="6" hidden="1">indonesia!#REF!</definedName>
    <definedName name="solver_lhs15" localSheetId="8" hidden="1">Jawa!#REF!</definedName>
    <definedName name="solver_lhs15" localSheetId="10" hidden="1">kalimantan!#REF!</definedName>
    <definedName name="solver_lhs15" localSheetId="12" hidden="1">maluku_papua!#REF!</definedName>
    <definedName name="solver_lhs15" localSheetId="11" hidden="1">sulawesi!#REF!</definedName>
    <definedName name="solver_lhs15" localSheetId="7" hidden="1">sumatera!#REF!</definedName>
    <definedName name="solver_lhs16" localSheetId="9" hidden="1">bali_nt!#REF!</definedName>
    <definedName name="solver_lhs16" localSheetId="6" hidden="1">indonesia!#REF!</definedName>
    <definedName name="solver_lhs16" localSheetId="8" hidden="1">Jawa!#REF!</definedName>
    <definedName name="solver_lhs16" localSheetId="10" hidden="1">kalimantan!#REF!</definedName>
    <definedName name="solver_lhs16" localSheetId="12" hidden="1">maluku_papua!#REF!</definedName>
    <definedName name="solver_lhs16" localSheetId="11" hidden="1">sulawesi!#REF!</definedName>
    <definedName name="solver_lhs16" localSheetId="7" hidden="1">sumatera!#REF!</definedName>
    <definedName name="solver_lhs17" localSheetId="9" hidden="1">bali_nt!#REF!</definedName>
    <definedName name="solver_lhs17" localSheetId="6" hidden="1">indonesia!#REF!</definedName>
    <definedName name="solver_lhs17" localSheetId="8" hidden="1">Jawa!#REF!</definedName>
    <definedName name="solver_lhs17" localSheetId="10" hidden="1">kalimantan!#REF!</definedName>
    <definedName name="solver_lhs17" localSheetId="12" hidden="1">maluku_papua!#REF!</definedName>
    <definedName name="solver_lhs17" localSheetId="11" hidden="1">sulawesi!#REF!</definedName>
    <definedName name="solver_lhs17" localSheetId="7" hidden="1">sumatera!#REF!</definedName>
    <definedName name="solver_lhs18" localSheetId="9" hidden="1">bali_nt!#REF!</definedName>
    <definedName name="solver_lhs18" localSheetId="6" hidden="1">indonesia!#REF!</definedName>
    <definedName name="solver_lhs18" localSheetId="8" hidden="1">Jawa!#REF!</definedName>
    <definedName name="solver_lhs18" localSheetId="10" hidden="1">kalimantan!#REF!</definedName>
    <definedName name="solver_lhs18" localSheetId="12" hidden="1">maluku_papua!#REF!</definedName>
    <definedName name="solver_lhs18" localSheetId="11" hidden="1">sulawesi!#REF!</definedName>
    <definedName name="solver_lhs18" localSheetId="7" hidden="1">sumatera!#REF!</definedName>
    <definedName name="solver_lhs19" localSheetId="9" hidden="1">bali_nt!#REF!</definedName>
    <definedName name="solver_lhs19" localSheetId="6" hidden="1">indonesia!#REF!</definedName>
    <definedName name="solver_lhs19" localSheetId="8" hidden="1">Jawa!#REF!</definedName>
    <definedName name="solver_lhs19" localSheetId="10" hidden="1">kalimantan!#REF!</definedName>
    <definedName name="solver_lhs19" localSheetId="12" hidden="1">maluku_papua!#REF!</definedName>
    <definedName name="solver_lhs19" localSheetId="11" hidden="1">sulawesi!#REF!</definedName>
    <definedName name="solver_lhs19" localSheetId="7" hidden="1">sumatera!#REF!</definedName>
    <definedName name="solver_lhs2" localSheetId="9" hidden="1">bali_nt!$D$47:$O$47</definedName>
    <definedName name="solver_lhs2" localSheetId="6" hidden="1">indonesia!$D$47:$O$47</definedName>
    <definedName name="solver_lhs2" localSheetId="8" hidden="1">Jawa!$D$47:$O$47</definedName>
    <definedName name="solver_lhs2" localSheetId="10" hidden="1">kalimantan!$D$47:$O$47</definedName>
    <definedName name="solver_lhs2" localSheetId="12" hidden="1">maluku_papua!$D$47:$O$47</definedName>
    <definedName name="solver_lhs2" localSheetId="11" hidden="1">sulawesi!$D$47:$O$47</definedName>
    <definedName name="solver_lhs2" localSheetId="7" hidden="1">sumatera!$D$47:$O$47</definedName>
    <definedName name="solver_lhs3" localSheetId="9" hidden="1">bali_nt!$BD$71</definedName>
    <definedName name="solver_lhs3" localSheetId="6" hidden="1">indonesia!$BD$71</definedName>
    <definedName name="solver_lhs3" localSheetId="8" hidden="1">Jawa!$BD$71</definedName>
    <definedName name="solver_lhs3" localSheetId="10" hidden="1">kalimantan!$BD$71</definedName>
    <definedName name="solver_lhs3" localSheetId="12" hidden="1">maluku_papua!$BD$71</definedName>
    <definedName name="solver_lhs3" localSheetId="11" hidden="1">sulawesi!$BD$71</definedName>
    <definedName name="solver_lhs3" localSheetId="7" hidden="1">sumatera!$BD$71</definedName>
    <definedName name="solver_lhs4" localSheetId="9" hidden="1">bali_nt!$AA$23:$AG$23</definedName>
    <definedName name="solver_lhs4" localSheetId="6" hidden="1">indonesia!$AA$23:$AG$23</definedName>
    <definedName name="solver_lhs4" localSheetId="8" hidden="1">Jawa!$AA$23:$AG$23</definedName>
    <definedName name="solver_lhs4" localSheetId="10" hidden="1">kalimantan!$AA$23:$AG$23</definedName>
    <definedName name="solver_lhs4" localSheetId="12" hidden="1">maluku_papua!$AA$23:$AG$23</definedName>
    <definedName name="solver_lhs4" localSheetId="11" hidden="1">sulawesi!$AA$23:$AG$23</definedName>
    <definedName name="solver_lhs4" localSheetId="7" hidden="1">sumatera!$AA$23:$AG$23</definedName>
    <definedName name="solver_lhs5" localSheetId="9" hidden="1">bali_nt!$BO$47</definedName>
    <definedName name="solver_lhs5" localSheetId="6" hidden="1">indonesia!$BO$47</definedName>
    <definedName name="solver_lhs5" localSheetId="8" hidden="1">Jawa!$BO$47</definedName>
    <definedName name="solver_lhs5" localSheetId="10" hidden="1">kalimantan!$BO$47</definedName>
    <definedName name="solver_lhs5" localSheetId="12" hidden="1">maluku_papua!$BO$47</definedName>
    <definedName name="solver_lhs5" localSheetId="11" hidden="1">sulawesi!$BO$47</definedName>
    <definedName name="solver_lhs5" localSheetId="7" hidden="1">sumatera!$BO$47</definedName>
    <definedName name="solver_lhs6" localSheetId="9" hidden="1">bali_nt!$AQ$47</definedName>
    <definedName name="solver_lhs6" localSheetId="6" hidden="1">indonesia!$AQ$47</definedName>
    <definedName name="solver_lhs6" localSheetId="8" hidden="1">Jawa!$AQ$47</definedName>
    <definedName name="solver_lhs6" localSheetId="10" hidden="1">kalimantan!$AQ$47</definedName>
    <definedName name="solver_lhs6" localSheetId="12" hidden="1">maluku_papua!$AQ$47</definedName>
    <definedName name="solver_lhs6" localSheetId="11" hidden="1">sulawesi!$AQ$47</definedName>
    <definedName name="solver_lhs6" localSheetId="7" hidden="1">sumatera!$AQ$47</definedName>
    <definedName name="solver_lhs7" localSheetId="9" hidden="1">bali_nt!$AR$47</definedName>
    <definedName name="solver_lhs7" localSheetId="6" hidden="1">indonesia!$AR$47</definedName>
    <definedName name="solver_lhs7" localSheetId="8" hidden="1">Jawa!$AR$47</definedName>
    <definedName name="solver_lhs7" localSheetId="10" hidden="1">kalimantan!$AR$47</definedName>
    <definedName name="solver_lhs7" localSheetId="12" hidden="1">maluku_papua!$AR$47</definedName>
    <definedName name="solver_lhs7" localSheetId="11" hidden="1">sulawesi!$AR$47</definedName>
    <definedName name="solver_lhs7" localSheetId="7" hidden="1">sumatera!$AR$47</definedName>
    <definedName name="solver_lhs8" localSheetId="9" hidden="1">bali_nt!$AS$47</definedName>
    <definedName name="solver_lhs8" localSheetId="6" hidden="1">indonesia!$AS$47</definedName>
    <definedName name="solver_lhs8" localSheetId="8" hidden="1">Jawa!$AS$47</definedName>
    <definedName name="solver_lhs8" localSheetId="10" hidden="1">kalimantan!$AS$47</definedName>
    <definedName name="solver_lhs8" localSheetId="12" hidden="1">maluku_papua!$AS$47</definedName>
    <definedName name="solver_lhs8" localSheetId="11" hidden="1">sulawesi!$AS$47</definedName>
    <definedName name="solver_lhs8" localSheetId="7" hidden="1">sumatera!$AS$47</definedName>
    <definedName name="solver_lhs9" localSheetId="9" hidden="1">bali_nt!$AT$47</definedName>
    <definedName name="solver_lhs9" localSheetId="6" hidden="1">indonesia!$AT$47</definedName>
    <definedName name="solver_lhs9" localSheetId="8" hidden="1">Jawa!$AT$47</definedName>
    <definedName name="solver_lhs9" localSheetId="10" hidden="1">kalimantan!$AT$47</definedName>
    <definedName name="solver_lhs9" localSheetId="12" hidden="1">maluku_papua!$AT$47</definedName>
    <definedName name="solver_lhs9" localSheetId="11" hidden="1">sulawesi!$AT$47</definedName>
    <definedName name="solver_lhs9" localSheetId="7" hidden="1">sumatera!$AT$47</definedName>
    <definedName name="solver_lin" localSheetId="9" hidden="1">2</definedName>
    <definedName name="solver_lin" localSheetId="6" hidden="1">2</definedName>
    <definedName name="solver_lin" localSheetId="8" hidden="1">2</definedName>
    <definedName name="solver_lin" localSheetId="10" hidden="1">2</definedName>
    <definedName name="solver_lin" localSheetId="12" hidden="1">2</definedName>
    <definedName name="solver_lin" localSheetId="11" hidden="1">2</definedName>
    <definedName name="solver_lin" localSheetId="7" hidden="1">2</definedName>
    <definedName name="solver_mip" localSheetId="9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1" hidden="1">2147483647</definedName>
    <definedName name="solver_mip" localSheetId="7" hidden="1">2147483647</definedName>
    <definedName name="solver_mni" localSheetId="9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1" hidden="1">30</definedName>
    <definedName name="solver_mni" localSheetId="7" hidden="1">30</definedName>
    <definedName name="solver_mrt" localSheetId="9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1" hidden="1">0.075</definedName>
    <definedName name="solver_mrt" localSheetId="7" hidden="1">0.075</definedName>
    <definedName name="solver_msl" localSheetId="9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1" hidden="1">2</definedName>
    <definedName name="solver_msl" localSheetId="7" hidden="1">2</definedName>
    <definedName name="solver_neg" localSheetId="9" hidden="1">1</definedName>
    <definedName name="solver_neg" localSheetId="6" hidden="1">1</definedName>
    <definedName name="solver_neg" localSheetId="8" hidden="1">1</definedName>
    <definedName name="solver_neg" localSheetId="10" hidden="1">1</definedName>
    <definedName name="solver_neg" localSheetId="12" hidden="1">1</definedName>
    <definedName name="solver_neg" localSheetId="11" hidden="1">1</definedName>
    <definedName name="solver_neg" localSheetId="7" hidden="1">1</definedName>
    <definedName name="solver_nod" localSheetId="9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1" hidden="1">2147483647</definedName>
    <definedName name="solver_nod" localSheetId="7" hidden="1">2147483647</definedName>
    <definedName name="solver_num" localSheetId="9" hidden="1">14</definedName>
    <definedName name="solver_num" localSheetId="6" hidden="1">14</definedName>
    <definedName name="solver_num" localSheetId="8" hidden="1">14</definedName>
    <definedName name="solver_num" localSheetId="10" hidden="1">14</definedName>
    <definedName name="solver_num" localSheetId="12" hidden="1">14</definedName>
    <definedName name="solver_num" localSheetId="11" hidden="1">14</definedName>
    <definedName name="solver_num" localSheetId="7" hidden="1">14</definedName>
    <definedName name="solver_nwt" localSheetId="9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1" hidden="1">1</definedName>
    <definedName name="solver_nwt" localSheetId="7" hidden="1">1</definedName>
    <definedName name="solver_opt" localSheetId="9" hidden="1">bali_nt!$BD$71</definedName>
    <definedName name="solver_opt" localSheetId="6" hidden="1">indonesia!$BD$71</definedName>
    <definedName name="solver_opt" localSheetId="8" hidden="1">Jawa!$BD$71</definedName>
    <definedName name="solver_opt" localSheetId="10" hidden="1">kalimantan!$BD$71</definedName>
    <definedName name="solver_opt" localSheetId="12" hidden="1">maluku_papua!$BD$71</definedName>
    <definedName name="solver_opt" localSheetId="11" hidden="1">sulawesi!$BD$71</definedName>
    <definedName name="solver_opt" localSheetId="7" hidden="1">sumatera!$BD$71</definedName>
    <definedName name="solver_pre" localSheetId="9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1" hidden="1">0.000001</definedName>
    <definedName name="solver_pre" localSheetId="7" hidden="1">0.000001</definedName>
    <definedName name="solver_rbv" localSheetId="9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1" hidden="1">1</definedName>
    <definedName name="solver_rbv" localSheetId="7" hidden="1">1</definedName>
    <definedName name="solver_rel1" localSheetId="9" hidden="1">2</definedName>
    <definedName name="solver_rel1" localSheetId="6" hidden="1">2</definedName>
    <definedName name="solver_rel1" localSheetId="8" hidden="1">2</definedName>
    <definedName name="solver_rel1" localSheetId="10" hidden="1">2</definedName>
    <definedName name="solver_rel1" localSheetId="12" hidden="1">2</definedName>
    <definedName name="solver_rel1" localSheetId="11" hidden="1">2</definedName>
    <definedName name="solver_rel1" localSheetId="7" hidden="1">2</definedName>
    <definedName name="solver_rel10" localSheetId="9" hidden="1">3</definedName>
    <definedName name="solver_rel10" localSheetId="6" hidden="1">3</definedName>
    <definedName name="solver_rel10" localSheetId="8" hidden="1">3</definedName>
    <definedName name="solver_rel10" localSheetId="10" hidden="1">3</definedName>
    <definedName name="solver_rel10" localSheetId="12" hidden="1">3</definedName>
    <definedName name="solver_rel10" localSheetId="11" hidden="1">3</definedName>
    <definedName name="solver_rel10" localSheetId="7" hidden="1">3</definedName>
    <definedName name="solver_rel11" localSheetId="9" hidden="1">3</definedName>
    <definedName name="solver_rel11" localSheetId="6" hidden="1">3</definedName>
    <definedName name="solver_rel11" localSheetId="8" hidden="1">3</definedName>
    <definedName name="solver_rel11" localSheetId="10" hidden="1">3</definedName>
    <definedName name="solver_rel11" localSheetId="12" hidden="1">3</definedName>
    <definedName name="solver_rel11" localSheetId="11" hidden="1">3</definedName>
    <definedName name="solver_rel11" localSheetId="7" hidden="1">3</definedName>
    <definedName name="solver_rel12" localSheetId="9" hidden="1">1</definedName>
    <definedName name="solver_rel12" localSheetId="6" hidden="1">1</definedName>
    <definedName name="solver_rel12" localSheetId="8" hidden="1">1</definedName>
    <definedName name="solver_rel12" localSheetId="10" hidden="1">1</definedName>
    <definedName name="solver_rel12" localSheetId="12" hidden="1">1</definedName>
    <definedName name="solver_rel12" localSheetId="11" hidden="1">1</definedName>
    <definedName name="solver_rel12" localSheetId="7" hidden="1">1</definedName>
    <definedName name="solver_rel13" localSheetId="9" hidden="1">1</definedName>
    <definedName name="solver_rel13" localSheetId="6" hidden="1">1</definedName>
    <definedName name="solver_rel13" localSheetId="8" hidden="1">1</definedName>
    <definedName name="solver_rel13" localSheetId="10" hidden="1">1</definedName>
    <definedName name="solver_rel13" localSheetId="12" hidden="1">1</definedName>
    <definedName name="solver_rel13" localSheetId="11" hidden="1">1</definedName>
    <definedName name="solver_rel13" localSheetId="7" hidden="1">1</definedName>
    <definedName name="solver_rel14" localSheetId="9" hidden="1">3</definedName>
    <definedName name="solver_rel14" localSheetId="6" hidden="1">3</definedName>
    <definedName name="solver_rel14" localSheetId="8" hidden="1">3</definedName>
    <definedName name="solver_rel14" localSheetId="10" hidden="1">3</definedName>
    <definedName name="solver_rel14" localSheetId="12" hidden="1">3</definedName>
    <definedName name="solver_rel14" localSheetId="11" hidden="1">3</definedName>
    <definedName name="solver_rel14" localSheetId="7" hidden="1">3</definedName>
    <definedName name="solver_rel15" localSheetId="9" hidden="1">2</definedName>
    <definedName name="solver_rel15" localSheetId="6" hidden="1">2</definedName>
    <definedName name="solver_rel15" localSheetId="8" hidden="1">2</definedName>
    <definedName name="solver_rel15" localSheetId="10" hidden="1">2</definedName>
    <definedName name="solver_rel15" localSheetId="12" hidden="1">2</definedName>
    <definedName name="solver_rel15" localSheetId="11" hidden="1">2</definedName>
    <definedName name="solver_rel15" localSheetId="7" hidden="1">2</definedName>
    <definedName name="solver_rel16" localSheetId="9" hidden="1">2</definedName>
    <definedName name="solver_rel16" localSheetId="6" hidden="1">2</definedName>
    <definedName name="solver_rel16" localSheetId="8" hidden="1">2</definedName>
    <definedName name="solver_rel16" localSheetId="10" hidden="1">2</definedName>
    <definedName name="solver_rel16" localSheetId="12" hidden="1">2</definedName>
    <definedName name="solver_rel16" localSheetId="11" hidden="1">2</definedName>
    <definedName name="solver_rel16" localSheetId="7" hidden="1">2</definedName>
    <definedName name="solver_rel17" localSheetId="9" hidden="1">2</definedName>
    <definedName name="solver_rel17" localSheetId="6" hidden="1">2</definedName>
    <definedName name="solver_rel17" localSheetId="8" hidden="1">2</definedName>
    <definedName name="solver_rel17" localSheetId="10" hidden="1">2</definedName>
    <definedName name="solver_rel17" localSheetId="12" hidden="1">2</definedName>
    <definedName name="solver_rel17" localSheetId="11" hidden="1">2</definedName>
    <definedName name="solver_rel17" localSheetId="7" hidden="1">2</definedName>
    <definedName name="solver_rel18" localSheetId="9" hidden="1">2</definedName>
    <definedName name="solver_rel18" localSheetId="6" hidden="1">2</definedName>
    <definedName name="solver_rel18" localSheetId="8" hidden="1">2</definedName>
    <definedName name="solver_rel18" localSheetId="10" hidden="1">2</definedName>
    <definedName name="solver_rel18" localSheetId="12" hidden="1">2</definedName>
    <definedName name="solver_rel18" localSheetId="11" hidden="1">2</definedName>
    <definedName name="solver_rel18" localSheetId="7" hidden="1">2</definedName>
    <definedName name="solver_rel19" localSheetId="9" hidden="1">2</definedName>
    <definedName name="solver_rel19" localSheetId="6" hidden="1">2</definedName>
    <definedName name="solver_rel19" localSheetId="8" hidden="1">2</definedName>
    <definedName name="solver_rel19" localSheetId="10" hidden="1">2</definedName>
    <definedName name="solver_rel19" localSheetId="12" hidden="1">2</definedName>
    <definedName name="solver_rel19" localSheetId="11" hidden="1">2</definedName>
    <definedName name="solver_rel19" localSheetId="7" hidden="1">2</definedName>
    <definedName name="solver_rel2" localSheetId="9" hidden="1">3</definedName>
    <definedName name="solver_rel2" localSheetId="6" hidden="1">3</definedName>
    <definedName name="solver_rel2" localSheetId="8" hidden="1">3</definedName>
    <definedName name="solver_rel2" localSheetId="10" hidden="1">3</definedName>
    <definedName name="solver_rel2" localSheetId="12" hidden="1">3</definedName>
    <definedName name="solver_rel2" localSheetId="11" hidden="1">3</definedName>
    <definedName name="solver_rel2" localSheetId="7" hidden="1">3</definedName>
    <definedName name="solver_rel3" localSheetId="9" hidden="1">3</definedName>
    <definedName name="solver_rel3" localSheetId="6" hidden="1">3</definedName>
    <definedName name="solver_rel3" localSheetId="8" hidden="1">3</definedName>
    <definedName name="solver_rel3" localSheetId="10" hidden="1">3</definedName>
    <definedName name="solver_rel3" localSheetId="12" hidden="1">3</definedName>
    <definedName name="solver_rel3" localSheetId="11" hidden="1">3</definedName>
    <definedName name="solver_rel3" localSheetId="7" hidden="1">3</definedName>
    <definedName name="solver_rel4" localSheetId="9" hidden="1">1</definedName>
    <definedName name="solver_rel4" localSheetId="6" hidden="1">1</definedName>
    <definedName name="solver_rel4" localSheetId="8" hidden="1">1</definedName>
    <definedName name="solver_rel4" localSheetId="10" hidden="1">1</definedName>
    <definedName name="solver_rel4" localSheetId="12" hidden="1">1</definedName>
    <definedName name="solver_rel4" localSheetId="11" hidden="1">1</definedName>
    <definedName name="solver_rel4" localSheetId="7" hidden="1">1</definedName>
    <definedName name="solver_rel5" localSheetId="9" hidden="1">3</definedName>
    <definedName name="solver_rel5" localSheetId="6" hidden="1">3</definedName>
    <definedName name="solver_rel5" localSheetId="8" hidden="1">3</definedName>
    <definedName name="solver_rel5" localSheetId="10" hidden="1">3</definedName>
    <definedName name="solver_rel5" localSheetId="12" hidden="1">3</definedName>
    <definedName name="solver_rel5" localSheetId="11" hidden="1">3</definedName>
    <definedName name="solver_rel5" localSheetId="7" hidden="1">3</definedName>
    <definedName name="solver_rel6" localSheetId="9" hidden="1">3</definedName>
    <definedName name="solver_rel6" localSheetId="6" hidden="1">3</definedName>
    <definedName name="solver_rel6" localSheetId="8" hidden="1">3</definedName>
    <definedName name="solver_rel6" localSheetId="10" hidden="1">3</definedName>
    <definedName name="solver_rel6" localSheetId="12" hidden="1">3</definedName>
    <definedName name="solver_rel6" localSheetId="11" hidden="1">3</definedName>
    <definedName name="solver_rel6" localSheetId="7" hidden="1">3</definedName>
    <definedName name="solver_rel7" localSheetId="9" hidden="1">3</definedName>
    <definedName name="solver_rel7" localSheetId="6" hidden="1">3</definedName>
    <definedName name="solver_rel7" localSheetId="8" hidden="1">3</definedName>
    <definedName name="solver_rel7" localSheetId="10" hidden="1">3</definedName>
    <definedName name="solver_rel7" localSheetId="12" hidden="1">3</definedName>
    <definedName name="solver_rel7" localSheetId="11" hidden="1">3</definedName>
    <definedName name="solver_rel7" localSheetId="7" hidden="1">3</definedName>
    <definedName name="solver_rel8" localSheetId="9" hidden="1">1</definedName>
    <definedName name="solver_rel8" localSheetId="6" hidden="1">1</definedName>
    <definedName name="solver_rel8" localSheetId="8" hidden="1">1</definedName>
    <definedName name="solver_rel8" localSheetId="10" hidden="1">1</definedName>
    <definedName name="solver_rel8" localSheetId="12" hidden="1">1</definedName>
    <definedName name="solver_rel8" localSheetId="11" hidden="1">1</definedName>
    <definedName name="solver_rel8" localSheetId="7" hidden="1">1</definedName>
    <definedName name="solver_rel9" localSheetId="9" hidden="1">3</definedName>
    <definedName name="solver_rel9" localSheetId="6" hidden="1">3</definedName>
    <definedName name="solver_rel9" localSheetId="8" hidden="1">3</definedName>
    <definedName name="solver_rel9" localSheetId="10" hidden="1">3</definedName>
    <definedName name="solver_rel9" localSheetId="12" hidden="1">3</definedName>
    <definedName name="solver_rel9" localSheetId="11" hidden="1">3</definedName>
    <definedName name="solver_rel9" localSheetId="7" hidden="1">3</definedName>
    <definedName name="solver_rhs1" localSheetId="9" hidden="1">bali_nt!$R$47</definedName>
    <definedName name="solver_rhs1" localSheetId="6" hidden="1">indonesia!$R$47</definedName>
    <definedName name="solver_rhs1" localSheetId="8" hidden="1">Jawa!$R$47</definedName>
    <definedName name="solver_rhs1" localSheetId="10" hidden="1">kalimantan!$R$47</definedName>
    <definedName name="solver_rhs1" localSheetId="12" hidden="1">maluku_papua!$R$47</definedName>
    <definedName name="solver_rhs1" localSheetId="11" hidden="1">sulawesi!$R$47</definedName>
    <definedName name="solver_rhs1" localSheetId="7" hidden="1">sumatera!$R$47</definedName>
    <definedName name="solver_rhs10" localSheetId="9" hidden="1">bali_nt!$BQ$47</definedName>
    <definedName name="solver_rhs10" localSheetId="6" hidden="1">indonesia!$BQ$47</definedName>
    <definedName name="solver_rhs10" localSheetId="8" hidden="1">Jawa!$BQ$47</definedName>
    <definedName name="solver_rhs10" localSheetId="10" hidden="1">kalimantan!$BQ$47</definedName>
    <definedName name="solver_rhs10" localSheetId="12" hidden="1">maluku_papua!$BQ$47</definedName>
    <definedName name="solver_rhs10" localSheetId="11" hidden="1">sulawesi!$BQ$47</definedName>
    <definedName name="solver_rhs10" localSheetId="7" hidden="1">sumatera!$BQ$47</definedName>
    <definedName name="solver_rhs11" localSheetId="9" hidden="1">bali_nt!$BT$47</definedName>
    <definedName name="solver_rhs11" localSheetId="6" hidden="1">indonesia!$BT$47</definedName>
    <definedName name="solver_rhs11" localSheetId="8" hidden="1">Jawa!$BT$47</definedName>
    <definedName name="solver_rhs11" localSheetId="10" hidden="1">kalimantan!$BT$47</definedName>
    <definedName name="solver_rhs11" localSheetId="12" hidden="1">maluku_papua!$BT$47</definedName>
    <definedName name="solver_rhs11" localSheetId="11" hidden="1">sulawesi!$BT$47</definedName>
    <definedName name="solver_rhs11" localSheetId="7" hidden="1">sumatera!$BT$47</definedName>
    <definedName name="solver_rhs12" localSheetId="9" hidden="1">bali_nt!$BW$47</definedName>
    <definedName name="solver_rhs12" localSheetId="6" hidden="1">indonesia!$BW$47</definedName>
    <definedName name="solver_rhs12" localSheetId="8" hidden="1">Jawa!$BW$47</definedName>
    <definedName name="solver_rhs12" localSheetId="10" hidden="1">kalimantan!$BW$47</definedName>
    <definedName name="solver_rhs12" localSheetId="12" hidden="1">maluku_papua!$BW$47</definedName>
    <definedName name="solver_rhs12" localSheetId="11" hidden="1">sulawesi!$BW$47</definedName>
    <definedName name="solver_rhs12" localSheetId="7" hidden="1">sumatera!$BW$47</definedName>
    <definedName name="solver_rhs13" localSheetId="9" hidden="1">bali_nt!$AL$71</definedName>
    <definedName name="solver_rhs13" localSheetId="6" hidden="1">indonesia!$AL$71</definedName>
    <definedName name="solver_rhs13" localSheetId="8" hidden="1">Jawa!$AL$71</definedName>
    <definedName name="solver_rhs13" localSheetId="10" hidden="1">kalimantan!$AL$71</definedName>
    <definedName name="solver_rhs13" localSheetId="12" hidden="1">maluku_papua!$AL$71</definedName>
    <definedName name="solver_rhs13" localSheetId="11" hidden="1">sulawesi!$AL$71</definedName>
    <definedName name="solver_rhs13" localSheetId="7" hidden="1">sumatera!$AL$71</definedName>
    <definedName name="solver_rhs14" localSheetId="9" hidden="1">bali_nt!$BZ$47</definedName>
    <definedName name="solver_rhs14" localSheetId="6" hidden="1">indonesia!$BZ$47</definedName>
    <definedName name="solver_rhs14" localSheetId="8" hidden="1">Jawa!$BZ$47</definedName>
    <definedName name="solver_rhs14" localSheetId="10" hidden="1">kalimantan!$BZ$47</definedName>
    <definedName name="solver_rhs14" localSheetId="12" hidden="1">maluku_papua!$BZ$47</definedName>
    <definedName name="solver_rhs14" localSheetId="11" hidden="1">sulawesi!$BZ$47</definedName>
    <definedName name="solver_rhs14" localSheetId="7" hidden="1">sumatera!$BZ$47</definedName>
    <definedName name="solver_rhs15" localSheetId="9" hidden="1">bali_nt!#REF!</definedName>
    <definedName name="solver_rhs15" localSheetId="6" hidden="1">indonesia!#REF!</definedName>
    <definedName name="solver_rhs15" localSheetId="8" hidden="1">Jawa!#REF!</definedName>
    <definedName name="solver_rhs15" localSheetId="10" hidden="1">kalimantan!#REF!</definedName>
    <definedName name="solver_rhs15" localSheetId="12" hidden="1">maluku_papua!#REF!</definedName>
    <definedName name="solver_rhs15" localSheetId="11" hidden="1">sulawesi!#REF!</definedName>
    <definedName name="solver_rhs15" localSheetId="7" hidden="1">sumatera!#REF!</definedName>
    <definedName name="solver_rhs16" localSheetId="9" hidden="1">bali_nt!#REF!</definedName>
    <definedName name="solver_rhs16" localSheetId="6" hidden="1">indonesia!#REF!</definedName>
    <definedName name="solver_rhs16" localSheetId="8" hidden="1">Jawa!#REF!</definedName>
    <definedName name="solver_rhs16" localSheetId="10" hidden="1">kalimantan!#REF!</definedName>
    <definedName name="solver_rhs16" localSheetId="12" hidden="1">maluku_papua!#REF!</definedName>
    <definedName name="solver_rhs16" localSheetId="11" hidden="1">sulawesi!#REF!</definedName>
    <definedName name="solver_rhs16" localSheetId="7" hidden="1">sumatera!#REF!</definedName>
    <definedName name="solver_rhs17" localSheetId="9" hidden="1">bali_nt!#REF!</definedName>
    <definedName name="solver_rhs17" localSheetId="6" hidden="1">indonesia!#REF!</definedName>
    <definedName name="solver_rhs17" localSheetId="8" hidden="1">Jawa!#REF!</definedName>
    <definedName name="solver_rhs17" localSheetId="10" hidden="1">kalimantan!#REF!</definedName>
    <definedName name="solver_rhs17" localSheetId="12" hidden="1">maluku_papua!#REF!</definedName>
    <definedName name="solver_rhs17" localSheetId="11" hidden="1">sulawesi!#REF!</definedName>
    <definedName name="solver_rhs17" localSheetId="7" hidden="1">sumatera!#REF!</definedName>
    <definedName name="solver_rhs18" localSheetId="9" hidden="1">bali_nt!#REF!</definedName>
    <definedName name="solver_rhs18" localSheetId="6" hidden="1">indonesia!#REF!</definedName>
    <definedName name="solver_rhs18" localSheetId="8" hidden="1">Jawa!#REF!</definedName>
    <definedName name="solver_rhs18" localSheetId="10" hidden="1">kalimantan!#REF!</definedName>
    <definedName name="solver_rhs18" localSheetId="12" hidden="1">maluku_papua!#REF!</definedName>
    <definedName name="solver_rhs18" localSheetId="11" hidden="1">sulawesi!#REF!</definedName>
    <definedName name="solver_rhs18" localSheetId="7" hidden="1">sumatera!#REF!</definedName>
    <definedName name="solver_rhs19" localSheetId="9" hidden="1">bali_nt!#REF!</definedName>
    <definedName name="solver_rhs19" localSheetId="6" hidden="1">indonesia!#REF!</definedName>
    <definedName name="solver_rhs19" localSheetId="8" hidden="1">Jawa!#REF!</definedName>
    <definedName name="solver_rhs19" localSheetId="10" hidden="1">kalimantan!#REF!</definedName>
    <definedName name="solver_rhs19" localSheetId="12" hidden="1">maluku_papua!#REF!</definedName>
    <definedName name="solver_rhs19" localSheetId="11" hidden="1">sulawesi!#REF!</definedName>
    <definedName name="solver_rhs19" localSheetId="7" hidden="1">sumatera!#REF!</definedName>
    <definedName name="solver_rhs2" localSheetId="9" hidden="1">0</definedName>
    <definedName name="solver_rhs2" localSheetId="6" hidden="1">0</definedName>
    <definedName name="solver_rhs2" localSheetId="8" hidden="1">0</definedName>
    <definedName name="solver_rhs2" localSheetId="10" hidden="1">0</definedName>
    <definedName name="solver_rhs2" localSheetId="12" hidden="1">0</definedName>
    <definedName name="solver_rhs2" localSheetId="11" hidden="1">0</definedName>
    <definedName name="solver_rhs2" localSheetId="7" hidden="1">0</definedName>
    <definedName name="solver_rhs3" localSheetId="9" hidden="1">0</definedName>
    <definedName name="solver_rhs3" localSheetId="6" hidden="1">0</definedName>
    <definedName name="solver_rhs3" localSheetId="8" hidden="1">0</definedName>
    <definedName name="solver_rhs3" localSheetId="10" hidden="1">0</definedName>
    <definedName name="solver_rhs3" localSheetId="12" hidden="1">0</definedName>
    <definedName name="solver_rhs3" localSheetId="11" hidden="1">0</definedName>
    <definedName name="solver_rhs3" localSheetId="7" hidden="1">0</definedName>
    <definedName name="solver_rhs4" localSheetId="9" hidden="1">bali_nt!$AU$23:$BA$23</definedName>
    <definedName name="solver_rhs4" localSheetId="6" hidden="1">indonesia!$AU$23:$BA$23</definedName>
    <definedName name="solver_rhs4" localSheetId="8" hidden="1">Jawa!$AU$23:$BA$23</definedName>
    <definedName name="solver_rhs4" localSheetId="10" hidden="1">kalimantan!$AU$23:$BA$23</definedName>
    <definedName name="solver_rhs4" localSheetId="12" hidden="1">maluku_papua!$AU$23:$BA$23</definedName>
    <definedName name="solver_rhs4" localSheetId="11" hidden="1">sulawesi!$AU$23:$BA$23</definedName>
    <definedName name="solver_rhs4" localSheetId="7" hidden="1">sumatera!$AU$23:$BA$23</definedName>
    <definedName name="solver_rhs5" localSheetId="9" hidden="1">bali_nt!$BN$47</definedName>
    <definedName name="solver_rhs5" localSheetId="6" hidden="1">indonesia!$BN$47</definedName>
    <definedName name="solver_rhs5" localSheetId="8" hidden="1">Jawa!$BN$47</definedName>
    <definedName name="solver_rhs5" localSheetId="10" hidden="1">kalimantan!$BN$47</definedName>
    <definedName name="solver_rhs5" localSheetId="12" hidden="1">maluku_papua!$BN$47</definedName>
    <definedName name="solver_rhs5" localSheetId="11" hidden="1">sulawesi!$BN$47</definedName>
    <definedName name="solver_rhs5" localSheetId="7" hidden="1">sumatera!$BN$47</definedName>
    <definedName name="solver_rhs6" localSheetId="9" hidden="1">bali_nt!$AW$47</definedName>
    <definedName name="solver_rhs6" localSheetId="6" hidden="1">indonesia!$AW$47</definedName>
    <definedName name="solver_rhs6" localSheetId="8" hidden="1">Jawa!$AW$47</definedName>
    <definedName name="solver_rhs6" localSheetId="10" hidden="1">kalimantan!$AW$47</definedName>
    <definedName name="solver_rhs6" localSheetId="12" hidden="1">maluku_papua!$AW$47</definedName>
    <definedName name="solver_rhs6" localSheetId="11" hidden="1">sulawesi!$AW$47</definedName>
    <definedName name="solver_rhs6" localSheetId="7" hidden="1">sumatera!$AW$47</definedName>
    <definedName name="solver_rhs7" localSheetId="9" hidden="1">bali_nt!$AX$47</definedName>
    <definedName name="solver_rhs7" localSheetId="6" hidden="1">indonesia!$AX$47</definedName>
    <definedName name="solver_rhs7" localSheetId="8" hidden="1">Jawa!$AX$47</definedName>
    <definedName name="solver_rhs7" localSheetId="10" hidden="1">kalimantan!$AX$47</definedName>
    <definedName name="solver_rhs7" localSheetId="12" hidden="1">maluku_papua!$AX$47</definedName>
    <definedName name="solver_rhs7" localSheetId="11" hidden="1">sulawesi!$AX$47</definedName>
    <definedName name="solver_rhs7" localSheetId="7" hidden="1">sumatera!$AX$47</definedName>
    <definedName name="solver_rhs8" localSheetId="9" hidden="1">bali_nt!$AY$47</definedName>
    <definedName name="solver_rhs8" localSheetId="6" hidden="1">indonesia!$AY$47</definedName>
    <definedName name="solver_rhs8" localSheetId="8" hidden="1">Jawa!$AY$47</definedName>
    <definedName name="solver_rhs8" localSheetId="10" hidden="1">kalimantan!$AY$47</definedName>
    <definedName name="solver_rhs8" localSheetId="12" hidden="1">maluku_papua!$AY$47</definedName>
    <definedName name="solver_rhs8" localSheetId="11" hidden="1">sulawesi!$AY$47</definedName>
    <definedName name="solver_rhs8" localSheetId="7" hidden="1">sumatera!$AY$47</definedName>
    <definedName name="solver_rhs9" localSheetId="9" hidden="1">bali_nt!$AZ$47</definedName>
    <definedName name="solver_rhs9" localSheetId="6" hidden="1">indonesia!$AZ$47</definedName>
    <definedName name="solver_rhs9" localSheetId="8" hidden="1">Jawa!$AZ$47</definedName>
    <definedName name="solver_rhs9" localSheetId="10" hidden="1">kalimantan!$AZ$47</definedName>
    <definedName name="solver_rhs9" localSheetId="12" hidden="1">maluku_papua!$AZ$47</definedName>
    <definedName name="solver_rhs9" localSheetId="11" hidden="1">sulawesi!$AZ$47</definedName>
    <definedName name="solver_rhs9" localSheetId="7" hidden="1">sumatera!$AZ$47</definedName>
    <definedName name="solver_rlx" localSheetId="9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1" hidden="1">2</definedName>
    <definedName name="solver_rlx" localSheetId="7" hidden="1">2</definedName>
    <definedName name="solver_rsd" localSheetId="9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1" hidden="1">0</definedName>
    <definedName name="solver_rsd" localSheetId="7" hidden="1">0</definedName>
    <definedName name="solver_scl" localSheetId="9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1" hidden="1">1</definedName>
    <definedName name="solver_scl" localSheetId="7" hidden="1">1</definedName>
    <definedName name="solver_sho" localSheetId="9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1" hidden="1">2</definedName>
    <definedName name="solver_sho" localSheetId="7" hidden="1">2</definedName>
    <definedName name="solver_ssz" localSheetId="9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1" hidden="1">100</definedName>
    <definedName name="solver_ssz" localSheetId="7" hidden="1">100</definedName>
    <definedName name="solver_tim" localSheetId="9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1" hidden="1">2147483647</definedName>
    <definedName name="solver_tim" localSheetId="7" hidden="1">2147483647</definedName>
    <definedName name="solver_tol" localSheetId="9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1" hidden="1">0.01</definedName>
    <definedName name="solver_tol" localSheetId="7" hidden="1">0.01</definedName>
    <definedName name="solver_typ" localSheetId="9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1" hidden="1">2</definedName>
    <definedName name="solver_typ" localSheetId="7" hidden="1">2</definedName>
    <definedName name="solver_val" localSheetId="9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1" hidden="1">0</definedName>
    <definedName name="solver_val" localSheetId="7" hidden="1">0</definedName>
    <definedName name="solver_ver" localSheetId="9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1" hidden="1">3</definedName>
    <definedName name="solver_ver" localSheetId="7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4" i="44" l="1"/>
  <c r="AU5" i="44" s="1"/>
  <c r="AU6" i="44" s="1"/>
  <c r="AU7" i="44" s="1"/>
  <c r="AU8" i="44" s="1"/>
  <c r="AU9" i="44" s="1"/>
  <c r="AU10" i="44" s="1"/>
  <c r="AU11" i="44" s="1"/>
  <c r="AU12" i="44" s="1"/>
  <c r="AU13" i="44" s="1"/>
  <c r="AU14" i="44" s="1"/>
  <c r="AU15" i="44" s="1"/>
  <c r="AU16" i="44" s="1"/>
  <c r="AU17" i="44" s="1"/>
  <c r="AU18" i="44" s="1"/>
  <c r="AU19" i="44" s="1"/>
  <c r="AU20" i="44" s="1"/>
  <c r="AU21" i="44" s="1"/>
  <c r="AU22" i="44" s="1"/>
  <c r="AU23" i="44" s="1"/>
  <c r="P122" i="59"/>
  <c r="P102" i="59"/>
  <c r="P82" i="59"/>
  <c r="P62" i="59"/>
  <c r="P42" i="59"/>
  <c r="I3" i="60"/>
  <c r="I4" i="60"/>
  <c r="I5" i="60"/>
  <c r="I6" i="60"/>
  <c r="I7" i="60"/>
  <c r="I8" i="60"/>
  <c r="I9" i="60"/>
  <c r="I10" i="60"/>
  <c r="I11" i="60"/>
  <c r="I12" i="60"/>
  <c r="I13" i="60"/>
  <c r="I14" i="60"/>
  <c r="I15" i="60"/>
  <c r="I16" i="60"/>
  <c r="I17" i="60"/>
  <c r="I18" i="60"/>
  <c r="I19" i="60"/>
  <c r="I20" i="60"/>
  <c r="I21" i="60"/>
  <c r="I2" i="60"/>
  <c r="G9" i="60"/>
  <c r="G10" i="60"/>
  <c r="G11" i="60"/>
  <c r="G12" i="60"/>
  <c r="G13" i="60"/>
  <c r="G14" i="60"/>
  <c r="G15" i="60"/>
  <c r="G16" i="60"/>
  <c r="G17" i="60"/>
  <c r="G18" i="60"/>
  <c r="G19" i="60"/>
  <c r="G20" i="60"/>
  <c r="G21" i="60"/>
  <c r="K3" i="60"/>
  <c r="K4" i="60"/>
  <c r="K5" i="60"/>
  <c r="K6" i="60"/>
  <c r="K7" i="60"/>
  <c r="K8" i="60"/>
  <c r="K9" i="60"/>
  <c r="K10" i="60"/>
  <c r="K11" i="60"/>
  <c r="K12" i="60"/>
  <c r="K13" i="60"/>
  <c r="K14" i="60"/>
  <c r="K15" i="60"/>
  <c r="K16" i="60"/>
  <c r="K17" i="60"/>
  <c r="K18" i="60"/>
  <c r="K19" i="60"/>
  <c r="K20" i="60"/>
  <c r="K21" i="60"/>
  <c r="K2" i="60"/>
  <c r="C3" i="60"/>
  <c r="C4" i="60"/>
  <c r="C5" i="60"/>
  <c r="C6" i="60"/>
  <c r="C7" i="60"/>
  <c r="C8" i="60"/>
  <c r="C9" i="60"/>
  <c r="C10" i="60"/>
  <c r="C11" i="60"/>
  <c r="C12" i="60"/>
  <c r="C13" i="60"/>
  <c r="C14" i="60"/>
  <c r="C15" i="60"/>
  <c r="C16" i="60"/>
  <c r="C17" i="60"/>
  <c r="C18" i="60"/>
  <c r="C19" i="60"/>
  <c r="C20" i="60"/>
  <c r="C21" i="60"/>
  <c r="C2" i="60"/>
  <c r="E3" i="60"/>
  <c r="F2" i="60"/>
  <c r="A5" i="60"/>
  <c r="B5" i="60"/>
  <c r="A6" i="60"/>
  <c r="B6" i="60"/>
  <c r="A7" i="60"/>
  <c r="B7" i="60"/>
  <c r="A8" i="60"/>
  <c r="B8" i="60"/>
  <c r="A9" i="60"/>
  <c r="B9" i="60"/>
  <c r="A10" i="60"/>
  <c r="B10" i="60"/>
  <c r="A11" i="60"/>
  <c r="B11" i="60"/>
  <c r="A12" i="60"/>
  <c r="B12" i="60"/>
  <c r="A13" i="60"/>
  <c r="B13" i="60"/>
  <c r="A14" i="60"/>
  <c r="B14" i="60"/>
  <c r="A15" i="60"/>
  <c r="B15" i="60"/>
  <c r="A16" i="60"/>
  <c r="B16" i="60"/>
  <c r="A17" i="60"/>
  <c r="B17" i="60"/>
  <c r="A18" i="60"/>
  <c r="B18" i="60"/>
  <c r="A19" i="60"/>
  <c r="B19" i="60"/>
  <c r="A20" i="60"/>
  <c r="B20" i="60"/>
  <c r="A21" i="60"/>
  <c r="B21" i="60"/>
  <c r="A2" i="60"/>
  <c r="B2" i="60"/>
  <c r="A3" i="60"/>
  <c r="B3" i="60"/>
  <c r="A4" i="60"/>
  <c r="B4" i="60"/>
  <c r="B1" i="60"/>
  <c r="A1" i="60"/>
  <c r="C123" i="59"/>
  <c r="D123" i="59"/>
  <c r="E123" i="59"/>
  <c r="F123" i="59"/>
  <c r="G123" i="59"/>
  <c r="H123" i="59"/>
  <c r="I123" i="59"/>
  <c r="J123" i="59"/>
  <c r="K123" i="59"/>
  <c r="L123" i="59"/>
  <c r="M123" i="59"/>
  <c r="N123" i="59"/>
  <c r="C124" i="59"/>
  <c r="D124" i="59"/>
  <c r="E124" i="59"/>
  <c r="F124" i="59"/>
  <c r="G124" i="59"/>
  <c r="H124" i="59"/>
  <c r="I124" i="59"/>
  <c r="J124" i="59"/>
  <c r="K124" i="59"/>
  <c r="L124" i="59"/>
  <c r="M124" i="59"/>
  <c r="N124" i="59"/>
  <c r="C125" i="59"/>
  <c r="D125" i="59"/>
  <c r="E125" i="59"/>
  <c r="F125" i="59"/>
  <c r="G125" i="59"/>
  <c r="H125" i="59"/>
  <c r="I125" i="59"/>
  <c r="J125" i="59"/>
  <c r="K125" i="59"/>
  <c r="L125" i="59"/>
  <c r="M125" i="59"/>
  <c r="N125" i="59"/>
  <c r="C126" i="59"/>
  <c r="D126" i="59"/>
  <c r="E126" i="59"/>
  <c r="F126" i="59"/>
  <c r="G126" i="59"/>
  <c r="H126" i="59"/>
  <c r="I126" i="59"/>
  <c r="J126" i="59"/>
  <c r="K126" i="59"/>
  <c r="L126" i="59"/>
  <c r="M126" i="59"/>
  <c r="N126" i="59"/>
  <c r="C127" i="59"/>
  <c r="D127" i="59"/>
  <c r="E127" i="59"/>
  <c r="F127" i="59"/>
  <c r="G127" i="59"/>
  <c r="H127" i="59"/>
  <c r="I127" i="59"/>
  <c r="J127" i="59"/>
  <c r="K127" i="59"/>
  <c r="L127" i="59"/>
  <c r="M127" i="59"/>
  <c r="N127" i="59"/>
  <c r="C128" i="59"/>
  <c r="D128" i="59"/>
  <c r="E128" i="59"/>
  <c r="F128" i="59"/>
  <c r="G128" i="59"/>
  <c r="H128" i="59"/>
  <c r="I128" i="59"/>
  <c r="J128" i="59"/>
  <c r="K128" i="59"/>
  <c r="L128" i="59"/>
  <c r="M128" i="59"/>
  <c r="N128" i="59"/>
  <c r="C129" i="59"/>
  <c r="D129" i="59"/>
  <c r="E129" i="59"/>
  <c r="F129" i="59"/>
  <c r="G129" i="59"/>
  <c r="H129" i="59"/>
  <c r="I129" i="59"/>
  <c r="J129" i="59"/>
  <c r="K129" i="59"/>
  <c r="L129" i="59"/>
  <c r="M129" i="59"/>
  <c r="N129" i="59"/>
  <c r="C130" i="59"/>
  <c r="D130" i="59"/>
  <c r="E130" i="59"/>
  <c r="F130" i="59"/>
  <c r="G130" i="59"/>
  <c r="H130" i="59"/>
  <c r="I130" i="59"/>
  <c r="J130" i="59"/>
  <c r="K130" i="59"/>
  <c r="L130" i="59"/>
  <c r="M130" i="59"/>
  <c r="N130" i="59"/>
  <c r="C131" i="59"/>
  <c r="D131" i="59"/>
  <c r="E131" i="59"/>
  <c r="F131" i="59"/>
  <c r="G131" i="59"/>
  <c r="H131" i="59"/>
  <c r="I131" i="59"/>
  <c r="J131" i="59"/>
  <c r="K131" i="59"/>
  <c r="L131" i="59"/>
  <c r="M131" i="59"/>
  <c r="N131" i="59"/>
  <c r="C132" i="59"/>
  <c r="D132" i="59"/>
  <c r="E132" i="59"/>
  <c r="F132" i="59"/>
  <c r="G132" i="59"/>
  <c r="H132" i="59"/>
  <c r="I132" i="59"/>
  <c r="J132" i="59"/>
  <c r="K132" i="59"/>
  <c r="L132" i="59"/>
  <c r="M132" i="59"/>
  <c r="N132" i="59"/>
  <c r="C133" i="59"/>
  <c r="D133" i="59"/>
  <c r="E133" i="59"/>
  <c r="F133" i="59"/>
  <c r="G133" i="59"/>
  <c r="H133" i="59"/>
  <c r="I133" i="59"/>
  <c r="J133" i="59"/>
  <c r="K133" i="59"/>
  <c r="L133" i="59"/>
  <c r="M133" i="59"/>
  <c r="N133" i="59"/>
  <c r="C134" i="59"/>
  <c r="D134" i="59"/>
  <c r="E134" i="59"/>
  <c r="F134" i="59"/>
  <c r="G134" i="59"/>
  <c r="H134" i="59"/>
  <c r="I134" i="59"/>
  <c r="J134" i="59"/>
  <c r="K134" i="59"/>
  <c r="L134" i="59"/>
  <c r="M134" i="59"/>
  <c r="N134" i="59"/>
  <c r="C135" i="59"/>
  <c r="D135" i="59"/>
  <c r="E135" i="59"/>
  <c r="F135" i="59"/>
  <c r="G135" i="59"/>
  <c r="H135" i="59"/>
  <c r="I135" i="59"/>
  <c r="J135" i="59"/>
  <c r="K135" i="59"/>
  <c r="L135" i="59"/>
  <c r="M135" i="59"/>
  <c r="N135" i="59"/>
  <c r="C136" i="59"/>
  <c r="D136" i="59"/>
  <c r="E136" i="59"/>
  <c r="F136" i="59"/>
  <c r="G136" i="59"/>
  <c r="H136" i="59"/>
  <c r="I136" i="59"/>
  <c r="J136" i="59"/>
  <c r="K136" i="59"/>
  <c r="L136" i="59"/>
  <c r="M136" i="59"/>
  <c r="N136" i="59"/>
  <c r="C137" i="59"/>
  <c r="D137" i="59"/>
  <c r="E137" i="59"/>
  <c r="F137" i="59"/>
  <c r="G137" i="59"/>
  <c r="H137" i="59"/>
  <c r="I137" i="59"/>
  <c r="J137" i="59"/>
  <c r="K137" i="59"/>
  <c r="L137" i="59"/>
  <c r="M137" i="59"/>
  <c r="N137" i="59"/>
  <c r="C138" i="59"/>
  <c r="D138" i="59"/>
  <c r="E138" i="59"/>
  <c r="F138" i="59"/>
  <c r="G138" i="59"/>
  <c r="H138" i="59"/>
  <c r="I138" i="59"/>
  <c r="J138" i="59"/>
  <c r="K138" i="59"/>
  <c r="L138" i="59"/>
  <c r="M138" i="59"/>
  <c r="N138" i="59"/>
  <c r="C139" i="59"/>
  <c r="D139" i="59"/>
  <c r="E139" i="59"/>
  <c r="F139" i="59"/>
  <c r="G139" i="59"/>
  <c r="H139" i="59"/>
  <c r="I139" i="59"/>
  <c r="J139" i="59"/>
  <c r="K139" i="59"/>
  <c r="L139" i="59"/>
  <c r="M139" i="59"/>
  <c r="N139" i="59"/>
  <c r="C140" i="59"/>
  <c r="D140" i="59"/>
  <c r="E140" i="59"/>
  <c r="F140" i="59"/>
  <c r="G140" i="59"/>
  <c r="H140" i="59"/>
  <c r="I140" i="59"/>
  <c r="J140" i="59"/>
  <c r="K140" i="59"/>
  <c r="L140" i="59"/>
  <c r="M140" i="59"/>
  <c r="N140" i="59"/>
  <c r="C141" i="59"/>
  <c r="D141" i="59"/>
  <c r="E141" i="59"/>
  <c r="F141" i="59"/>
  <c r="G141" i="59"/>
  <c r="H141" i="59"/>
  <c r="I141" i="59"/>
  <c r="J141" i="59"/>
  <c r="K141" i="59"/>
  <c r="L141" i="59"/>
  <c r="M141" i="59"/>
  <c r="N141" i="59"/>
  <c r="D122" i="59"/>
  <c r="E122" i="59"/>
  <c r="F122" i="59"/>
  <c r="G122" i="59"/>
  <c r="H122" i="59"/>
  <c r="I122" i="59"/>
  <c r="J122" i="59"/>
  <c r="K122" i="59"/>
  <c r="L122" i="59"/>
  <c r="L2" i="59" s="1"/>
  <c r="M122" i="59"/>
  <c r="N122" i="59"/>
  <c r="O122" i="59"/>
  <c r="C122" i="59"/>
  <c r="C2" i="59" s="1"/>
  <c r="C103" i="59"/>
  <c r="D103" i="59"/>
  <c r="E103" i="59"/>
  <c r="F103" i="59"/>
  <c r="G103" i="59"/>
  <c r="H103" i="59"/>
  <c r="I103" i="59"/>
  <c r="J103" i="59"/>
  <c r="K103" i="59"/>
  <c r="L103" i="59"/>
  <c r="M103" i="59"/>
  <c r="N103" i="59"/>
  <c r="C104" i="59"/>
  <c r="D104" i="59"/>
  <c r="E104" i="59"/>
  <c r="F104" i="59"/>
  <c r="G104" i="59"/>
  <c r="H104" i="59"/>
  <c r="I104" i="59"/>
  <c r="J104" i="59"/>
  <c r="K104" i="59"/>
  <c r="L104" i="59"/>
  <c r="M104" i="59"/>
  <c r="N104" i="59"/>
  <c r="C105" i="59"/>
  <c r="D105" i="59"/>
  <c r="E105" i="59"/>
  <c r="F105" i="59"/>
  <c r="G105" i="59"/>
  <c r="H105" i="59"/>
  <c r="I105" i="59"/>
  <c r="J105" i="59"/>
  <c r="K105" i="59"/>
  <c r="L105" i="59"/>
  <c r="M105" i="59"/>
  <c r="N105" i="59"/>
  <c r="C106" i="59"/>
  <c r="D106" i="59"/>
  <c r="E106" i="59"/>
  <c r="F106" i="59"/>
  <c r="G106" i="59"/>
  <c r="H106" i="59"/>
  <c r="I106" i="59"/>
  <c r="J106" i="59"/>
  <c r="K106" i="59"/>
  <c r="L106" i="59"/>
  <c r="M106" i="59"/>
  <c r="N106" i="59"/>
  <c r="C107" i="59"/>
  <c r="D107" i="59"/>
  <c r="E107" i="59"/>
  <c r="F107" i="59"/>
  <c r="G107" i="59"/>
  <c r="H107" i="59"/>
  <c r="I107" i="59"/>
  <c r="J107" i="59"/>
  <c r="K107" i="59"/>
  <c r="L107" i="59"/>
  <c r="M107" i="59"/>
  <c r="N107" i="59"/>
  <c r="C108" i="59"/>
  <c r="D108" i="59"/>
  <c r="E108" i="59"/>
  <c r="F108" i="59"/>
  <c r="G108" i="59"/>
  <c r="H108" i="59"/>
  <c r="I108" i="59"/>
  <c r="J108" i="59"/>
  <c r="K108" i="59"/>
  <c r="L108" i="59"/>
  <c r="M108" i="59"/>
  <c r="N108" i="59"/>
  <c r="C109" i="59"/>
  <c r="D109" i="59"/>
  <c r="E109" i="59"/>
  <c r="F109" i="59"/>
  <c r="G109" i="59"/>
  <c r="H109" i="59"/>
  <c r="I109" i="59"/>
  <c r="J109" i="59"/>
  <c r="K109" i="59"/>
  <c r="L109" i="59"/>
  <c r="M109" i="59"/>
  <c r="N109" i="59"/>
  <c r="C110" i="59"/>
  <c r="D110" i="59"/>
  <c r="E110" i="59"/>
  <c r="F110" i="59"/>
  <c r="G110" i="59"/>
  <c r="H110" i="59"/>
  <c r="I110" i="59"/>
  <c r="J110" i="59"/>
  <c r="K110" i="59"/>
  <c r="L110" i="59"/>
  <c r="M110" i="59"/>
  <c r="N110" i="59"/>
  <c r="C111" i="59"/>
  <c r="D111" i="59"/>
  <c r="E111" i="59"/>
  <c r="F111" i="59"/>
  <c r="G111" i="59"/>
  <c r="H111" i="59"/>
  <c r="I111" i="59"/>
  <c r="J111" i="59"/>
  <c r="K111" i="59"/>
  <c r="L111" i="59"/>
  <c r="M111" i="59"/>
  <c r="N111" i="59"/>
  <c r="C112" i="59"/>
  <c r="D112" i="59"/>
  <c r="E112" i="59"/>
  <c r="F112" i="59"/>
  <c r="G112" i="59"/>
  <c r="H112" i="59"/>
  <c r="I112" i="59"/>
  <c r="J112" i="59"/>
  <c r="K112" i="59"/>
  <c r="L112" i="59"/>
  <c r="M112" i="59"/>
  <c r="N112" i="59"/>
  <c r="C113" i="59"/>
  <c r="D113" i="59"/>
  <c r="E113" i="59"/>
  <c r="F113" i="59"/>
  <c r="G113" i="59"/>
  <c r="H113" i="59"/>
  <c r="I113" i="59"/>
  <c r="J113" i="59"/>
  <c r="K113" i="59"/>
  <c r="L113" i="59"/>
  <c r="M113" i="59"/>
  <c r="N113" i="59"/>
  <c r="C114" i="59"/>
  <c r="D114" i="59"/>
  <c r="E114" i="59"/>
  <c r="F114" i="59"/>
  <c r="G114" i="59"/>
  <c r="H114" i="59"/>
  <c r="I114" i="59"/>
  <c r="J114" i="59"/>
  <c r="K114" i="59"/>
  <c r="L114" i="59"/>
  <c r="M114" i="59"/>
  <c r="N114" i="59"/>
  <c r="C115" i="59"/>
  <c r="D115" i="59"/>
  <c r="E115" i="59"/>
  <c r="F115" i="59"/>
  <c r="G115" i="59"/>
  <c r="H115" i="59"/>
  <c r="I115" i="59"/>
  <c r="J115" i="59"/>
  <c r="K115" i="59"/>
  <c r="L115" i="59"/>
  <c r="M115" i="59"/>
  <c r="N115" i="59"/>
  <c r="C116" i="59"/>
  <c r="D116" i="59"/>
  <c r="E116" i="59"/>
  <c r="F116" i="59"/>
  <c r="G116" i="59"/>
  <c r="H116" i="59"/>
  <c r="I116" i="59"/>
  <c r="J116" i="59"/>
  <c r="K116" i="59"/>
  <c r="L116" i="59"/>
  <c r="M116" i="59"/>
  <c r="N116" i="59"/>
  <c r="C117" i="59"/>
  <c r="D117" i="59"/>
  <c r="E117" i="59"/>
  <c r="F117" i="59"/>
  <c r="G117" i="59"/>
  <c r="H117" i="59"/>
  <c r="I117" i="59"/>
  <c r="J117" i="59"/>
  <c r="K117" i="59"/>
  <c r="L117" i="59"/>
  <c r="M117" i="59"/>
  <c r="N117" i="59"/>
  <c r="C118" i="59"/>
  <c r="D118" i="59"/>
  <c r="E118" i="59"/>
  <c r="F118" i="59"/>
  <c r="G118" i="59"/>
  <c r="H118" i="59"/>
  <c r="I118" i="59"/>
  <c r="J118" i="59"/>
  <c r="K118" i="59"/>
  <c r="L118" i="59"/>
  <c r="M118" i="59"/>
  <c r="N118" i="59"/>
  <c r="C119" i="59"/>
  <c r="D119" i="59"/>
  <c r="E119" i="59"/>
  <c r="F119" i="59"/>
  <c r="G119" i="59"/>
  <c r="H119" i="59"/>
  <c r="I119" i="59"/>
  <c r="J119" i="59"/>
  <c r="K119" i="59"/>
  <c r="L119" i="59"/>
  <c r="M119" i="59"/>
  <c r="N119" i="59"/>
  <c r="C120" i="59"/>
  <c r="D120" i="59"/>
  <c r="E120" i="59"/>
  <c r="F120" i="59"/>
  <c r="G120" i="59"/>
  <c r="H120" i="59"/>
  <c r="I120" i="59"/>
  <c r="J120" i="59"/>
  <c r="K120" i="59"/>
  <c r="L120" i="59"/>
  <c r="M120" i="59"/>
  <c r="N120" i="59"/>
  <c r="C121" i="59"/>
  <c r="D121" i="59"/>
  <c r="E121" i="59"/>
  <c r="F121" i="59"/>
  <c r="G121" i="59"/>
  <c r="H121" i="59"/>
  <c r="I121" i="59"/>
  <c r="J121" i="59"/>
  <c r="K121" i="59"/>
  <c r="L121" i="59"/>
  <c r="M121" i="59"/>
  <c r="N121" i="59"/>
  <c r="D102" i="59"/>
  <c r="D2" i="59" s="1"/>
  <c r="E102" i="59"/>
  <c r="F102" i="59"/>
  <c r="G102" i="59"/>
  <c r="H102" i="59"/>
  <c r="H2" i="59" s="1"/>
  <c r="I102" i="59"/>
  <c r="J102" i="59"/>
  <c r="K102" i="59"/>
  <c r="L102" i="59"/>
  <c r="M102" i="59"/>
  <c r="N102" i="59"/>
  <c r="O102" i="59"/>
  <c r="C102" i="59"/>
  <c r="C83" i="59"/>
  <c r="D83" i="59"/>
  <c r="E83" i="59"/>
  <c r="F83" i="59"/>
  <c r="G83" i="59"/>
  <c r="H83" i="59"/>
  <c r="I83" i="59"/>
  <c r="J83" i="59"/>
  <c r="K83" i="59"/>
  <c r="L83" i="59"/>
  <c r="M83" i="59"/>
  <c r="N83" i="59"/>
  <c r="C84" i="59"/>
  <c r="D84" i="59"/>
  <c r="E84" i="59"/>
  <c r="F84" i="59"/>
  <c r="G84" i="59"/>
  <c r="H84" i="59"/>
  <c r="I84" i="59"/>
  <c r="J84" i="59"/>
  <c r="K84" i="59"/>
  <c r="L84" i="59"/>
  <c r="M84" i="59"/>
  <c r="N84" i="59"/>
  <c r="C85" i="59"/>
  <c r="D85" i="59"/>
  <c r="E85" i="59"/>
  <c r="F85" i="59"/>
  <c r="G85" i="59"/>
  <c r="H85" i="59"/>
  <c r="I85" i="59"/>
  <c r="I5" i="59" s="1"/>
  <c r="J85" i="59"/>
  <c r="K85" i="59"/>
  <c r="L85" i="59"/>
  <c r="M85" i="59"/>
  <c r="N85" i="59"/>
  <c r="C86" i="59"/>
  <c r="D86" i="59"/>
  <c r="E86" i="59"/>
  <c r="F86" i="59"/>
  <c r="G86" i="59"/>
  <c r="H86" i="59"/>
  <c r="I86" i="59"/>
  <c r="I6" i="59" s="1"/>
  <c r="J86" i="59"/>
  <c r="K86" i="59"/>
  <c r="L86" i="59"/>
  <c r="M86" i="59"/>
  <c r="N86" i="59"/>
  <c r="C87" i="59"/>
  <c r="D87" i="59"/>
  <c r="E87" i="59"/>
  <c r="F87" i="59"/>
  <c r="G87" i="59"/>
  <c r="H87" i="59"/>
  <c r="I87" i="59"/>
  <c r="J87" i="59"/>
  <c r="K87" i="59"/>
  <c r="L87" i="59"/>
  <c r="M87" i="59"/>
  <c r="N87" i="59"/>
  <c r="C88" i="59"/>
  <c r="D88" i="59"/>
  <c r="D8" i="59" s="1"/>
  <c r="E88" i="59"/>
  <c r="F88" i="59"/>
  <c r="G88" i="59"/>
  <c r="H88" i="59"/>
  <c r="I88" i="59"/>
  <c r="J88" i="59"/>
  <c r="K88" i="59"/>
  <c r="L88" i="59"/>
  <c r="M88" i="59"/>
  <c r="N88" i="59"/>
  <c r="N8" i="59" s="1"/>
  <c r="C89" i="59"/>
  <c r="D89" i="59"/>
  <c r="E89" i="59"/>
  <c r="E9" i="59" s="1"/>
  <c r="F89" i="59"/>
  <c r="G89" i="59"/>
  <c r="H89" i="59"/>
  <c r="I89" i="59"/>
  <c r="J89" i="59"/>
  <c r="K89" i="59"/>
  <c r="L89" i="59"/>
  <c r="M89" i="59"/>
  <c r="M9" i="59" s="1"/>
  <c r="N89" i="59"/>
  <c r="C90" i="59"/>
  <c r="D90" i="59"/>
  <c r="E90" i="59"/>
  <c r="F90" i="59"/>
  <c r="G90" i="59"/>
  <c r="H90" i="59"/>
  <c r="I90" i="59"/>
  <c r="J90" i="59"/>
  <c r="K90" i="59"/>
  <c r="L90" i="59"/>
  <c r="M90" i="59"/>
  <c r="N90" i="59"/>
  <c r="C91" i="59"/>
  <c r="D91" i="59"/>
  <c r="E91" i="59"/>
  <c r="F91" i="59"/>
  <c r="G91" i="59"/>
  <c r="H91" i="59"/>
  <c r="I91" i="59"/>
  <c r="J91" i="59"/>
  <c r="K91" i="59"/>
  <c r="L91" i="59"/>
  <c r="M91" i="59"/>
  <c r="N91" i="59"/>
  <c r="C92" i="59"/>
  <c r="D92" i="59"/>
  <c r="E92" i="59"/>
  <c r="F92" i="59"/>
  <c r="G92" i="59"/>
  <c r="H92" i="59"/>
  <c r="I92" i="59"/>
  <c r="J92" i="59"/>
  <c r="K92" i="59"/>
  <c r="L92" i="59"/>
  <c r="M92" i="59"/>
  <c r="N92" i="59"/>
  <c r="C93" i="59"/>
  <c r="D93" i="59"/>
  <c r="E93" i="59"/>
  <c r="F93" i="59"/>
  <c r="G93" i="59"/>
  <c r="H93" i="59"/>
  <c r="I93" i="59"/>
  <c r="J93" i="59"/>
  <c r="K93" i="59"/>
  <c r="L93" i="59"/>
  <c r="M93" i="59"/>
  <c r="N93" i="59"/>
  <c r="N13" i="59" s="1"/>
  <c r="C94" i="59"/>
  <c r="D94" i="59"/>
  <c r="E94" i="59"/>
  <c r="F94" i="59"/>
  <c r="G94" i="59"/>
  <c r="H94" i="59"/>
  <c r="I94" i="59"/>
  <c r="J94" i="59"/>
  <c r="K94" i="59"/>
  <c r="L94" i="59"/>
  <c r="M94" i="59"/>
  <c r="N94" i="59"/>
  <c r="C95" i="59"/>
  <c r="D95" i="59"/>
  <c r="E95" i="59"/>
  <c r="F95" i="59"/>
  <c r="G95" i="59"/>
  <c r="H95" i="59"/>
  <c r="I95" i="59"/>
  <c r="J95" i="59"/>
  <c r="K95" i="59"/>
  <c r="L95" i="59"/>
  <c r="M95" i="59"/>
  <c r="N95" i="59"/>
  <c r="C96" i="59"/>
  <c r="D96" i="59"/>
  <c r="E96" i="59"/>
  <c r="F96" i="59"/>
  <c r="G96" i="59"/>
  <c r="H96" i="59"/>
  <c r="I96" i="59"/>
  <c r="J96" i="59"/>
  <c r="K96" i="59"/>
  <c r="L96" i="59"/>
  <c r="M96" i="59"/>
  <c r="N96" i="59"/>
  <c r="C97" i="59"/>
  <c r="D97" i="59"/>
  <c r="E97" i="59"/>
  <c r="F97" i="59"/>
  <c r="G97" i="59"/>
  <c r="H97" i="59"/>
  <c r="I97" i="59"/>
  <c r="J97" i="59"/>
  <c r="K97" i="59"/>
  <c r="L97" i="59"/>
  <c r="M97" i="59"/>
  <c r="M17" i="59" s="1"/>
  <c r="N97" i="59"/>
  <c r="C98" i="59"/>
  <c r="D98" i="59"/>
  <c r="E98" i="59"/>
  <c r="F98" i="59"/>
  <c r="G98" i="59"/>
  <c r="H98" i="59"/>
  <c r="I98" i="59"/>
  <c r="J98" i="59"/>
  <c r="K98" i="59"/>
  <c r="L98" i="59"/>
  <c r="M98" i="59"/>
  <c r="N98" i="59"/>
  <c r="C99" i="59"/>
  <c r="D99" i="59"/>
  <c r="E99" i="59"/>
  <c r="F99" i="59"/>
  <c r="G99" i="59"/>
  <c r="H99" i="59"/>
  <c r="I99" i="59"/>
  <c r="J99" i="59"/>
  <c r="K99" i="59"/>
  <c r="L99" i="59"/>
  <c r="M99" i="59"/>
  <c r="N99" i="59"/>
  <c r="C100" i="59"/>
  <c r="D100" i="59"/>
  <c r="E100" i="59"/>
  <c r="F100" i="59"/>
  <c r="G100" i="59"/>
  <c r="H100" i="59"/>
  <c r="I100" i="59"/>
  <c r="J100" i="59"/>
  <c r="K100" i="59"/>
  <c r="L100" i="59"/>
  <c r="M100" i="59"/>
  <c r="N100" i="59"/>
  <c r="C101" i="59"/>
  <c r="D101" i="59"/>
  <c r="E101" i="59"/>
  <c r="F101" i="59"/>
  <c r="G101" i="59"/>
  <c r="H101" i="59"/>
  <c r="I101" i="59"/>
  <c r="J101" i="59"/>
  <c r="K101" i="59"/>
  <c r="L101" i="59"/>
  <c r="M101" i="59"/>
  <c r="N101" i="59"/>
  <c r="D82" i="59"/>
  <c r="E82" i="59"/>
  <c r="F82" i="59"/>
  <c r="G82" i="59"/>
  <c r="G2" i="59" s="1"/>
  <c r="H82" i="59"/>
  <c r="I82" i="59"/>
  <c r="J82" i="59"/>
  <c r="K82" i="59"/>
  <c r="L82" i="59"/>
  <c r="M82" i="59"/>
  <c r="N82" i="59"/>
  <c r="O82" i="59"/>
  <c r="O2" i="59" s="1"/>
  <c r="C82" i="59"/>
  <c r="C63" i="59"/>
  <c r="D63" i="59"/>
  <c r="E63" i="59"/>
  <c r="F63" i="59"/>
  <c r="G63" i="59"/>
  <c r="H63" i="59"/>
  <c r="I63" i="59"/>
  <c r="J63" i="59"/>
  <c r="K63" i="59"/>
  <c r="L63" i="59"/>
  <c r="M63" i="59"/>
  <c r="N63" i="59"/>
  <c r="C64" i="59"/>
  <c r="D64" i="59"/>
  <c r="E64" i="59"/>
  <c r="F64" i="59"/>
  <c r="G64" i="59"/>
  <c r="H64" i="59"/>
  <c r="I64" i="59"/>
  <c r="J64" i="59"/>
  <c r="K64" i="59"/>
  <c r="L64" i="59"/>
  <c r="M64" i="59"/>
  <c r="N64" i="59"/>
  <c r="C65" i="59"/>
  <c r="D65" i="59"/>
  <c r="E65" i="59"/>
  <c r="F65" i="59"/>
  <c r="G65" i="59"/>
  <c r="H65" i="59"/>
  <c r="I65" i="59"/>
  <c r="J65" i="59"/>
  <c r="K65" i="59"/>
  <c r="L65" i="59"/>
  <c r="M65" i="59"/>
  <c r="N65" i="59"/>
  <c r="C66" i="59"/>
  <c r="D66" i="59"/>
  <c r="E66" i="59"/>
  <c r="F66" i="59"/>
  <c r="G66" i="59"/>
  <c r="H66" i="59"/>
  <c r="I66" i="59"/>
  <c r="J66" i="59"/>
  <c r="K66" i="59"/>
  <c r="L66" i="59"/>
  <c r="M66" i="59"/>
  <c r="N66" i="59"/>
  <c r="C67" i="59"/>
  <c r="D67" i="59"/>
  <c r="E67" i="59"/>
  <c r="F67" i="59"/>
  <c r="G67" i="59"/>
  <c r="H67" i="59"/>
  <c r="I67" i="59"/>
  <c r="J67" i="59"/>
  <c r="K67" i="59"/>
  <c r="L67" i="59"/>
  <c r="M67" i="59"/>
  <c r="N67" i="59"/>
  <c r="C68" i="59"/>
  <c r="D68" i="59"/>
  <c r="E68" i="59"/>
  <c r="F68" i="59"/>
  <c r="G68" i="59"/>
  <c r="H68" i="59"/>
  <c r="I68" i="59"/>
  <c r="J68" i="59"/>
  <c r="K68" i="59"/>
  <c r="L68" i="59"/>
  <c r="M68" i="59"/>
  <c r="N68" i="59"/>
  <c r="C69" i="59"/>
  <c r="D69" i="59"/>
  <c r="E69" i="59"/>
  <c r="F69" i="59"/>
  <c r="G69" i="59"/>
  <c r="H69" i="59"/>
  <c r="I69" i="59"/>
  <c r="J69" i="59"/>
  <c r="K69" i="59"/>
  <c r="L69" i="59"/>
  <c r="M69" i="59"/>
  <c r="N69" i="59"/>
  <c r="C70" i="59"/>
  <c r="D70" i="59"/>
  <c r="E70" i="59"/>
  <c r="F70" i="59"/>
  <c r="G70" i="59"/>
  <c r="H70" i="59"/>
  <c r="I70" i="59"/>
  <c r="J70" i="59"/>
  <c r="K70" i="59"/>
  <c r="L70" i="59"/>
  <c r="M70" i="59"/>
  <c r="N70" i="59"/>
  <c r="C71" i="59"/>
  <c r="D71" i="59"/>
  <c r="E71" i="59"/>
  <c r="F71" i="59"/>
  <c r="G71" i="59"/>
  <c r="H71" i="59"/>
  <c r="I71" i="59"/>
  <c r="J71" i="59"/>
  <c r="K71" i="59"/>
  <c r="L71" i="59"/>
  <c r="M71" i="59"/>
  <c r="N71" i="59"/>
  <c r="C72" i="59"/>
  <c r="D72" i="59"/>
  <c r="E72" i="59"/>
  <c r="F72" i="59"/>
  <c r="G72" i="59"/>
  <c r="H72" i="59"/>
  <c r="I72" i="59"/>
  <c r="J72" i="59"/>
  <c r="K72" i="59"/>
  <c r="L72" i="59"/>
  <c r="M72" i="59"/>
  <c r="N72" i="59"/>
  <c r="C73" i="59"/>
  <c r="D73" i="59"/>
  <c r="E73" i="59"/>
  <c r="F73" i="59"/>
  <c r="G73" i="59"/>
  <c r="H73" i="59"/>
  <c r="I73" i="59"/>
  <c r="J73" i="59"/>
  <c r="K73" i="59"/>
  <c r="L73" i="59"/>
  <c r="M73" i="59"/>
  <c r="N73" i="59"/>
  <c r="C74" i="59"/>
  <c r="D74" i="59"/>
  <c r="E74" i="59"/>
  <c r="F74" i="59"/>
  <c r="G74" i="59"/>
  <c r="H74" i="59"/>
  <c r="I74" i="59"/>
  <c r="J74" i="59"/>
  <c r="K74" i="59"/>
  <c r="L74" i="59"/>
  <c r="M74" i="59"/>
  <c r="N74" i="59"/>
  <c r="C75" i="59"/>
  <c r="D75" i="59"/>
  <c r="E75" i="59"/>
  <c r="F75" i="59"/>
  <c r="G75" i="59"/>
  <c r="H75" i="59"/>
  <c r="I75" i="59"/>
  <c r="J75" i="59"/>
  <c r="K75" i="59"/>
  <c r="L75" i="59"/>
  <c r="M75" i="59"/>
  <c r="N75" i="59"/>
  <c r="C76" i="59"/>
  <c r="D76" i="59"/>
  <c r="E76" i="59"/>
  <c r="F76" i="59"/>
  <c r="G76" i="59"/>
  <c r="H76" i="59"/>
  <c r="I76" i="59"/>
  <c r="J76" i="59"/>
  <c r="K76" i="59"/>
  <c r="L76" i="59"/>
  <c r="M76" i="59"/>
  <c r="N76" i="59"/>
  <c r="C77" i="59"/>
  <c r="D77" i="59"/>
  <c r="E77" i="59"/>
  <c r="F77" i="59"/>
  <c r="G77" i="59"/>
  <c r="H77" i="59"/>
  <c r="I77" i="59"/>
  <c r="J77" i="59"/>
  <c r="K77" i="59"/>
  <c r="L77" i="59"/>
  <c r="M77" i="59"/>
  <c r="N77" i="59"/>
  <c r="C78" i="59"/>
  <c r="D78" i="59"/>
  <c r="E78" i="59"/>
  <c r="F78" i="59"/>
  <c r="G78" i="59"/>
  <c r="H78" i="59"/>
  <c r="I78" i="59"/>
  <c r="J78" i="59"/>
  <c r="K78" i="59"/>
  <c r="L78" i="59"/>
  <c r="M78" i="59"/>
  <c r="N78" i="59"/>
  <c r="C79" i="59"/>
  <c r="D79" i="59"/>
  <c r="E79" i="59"/>
  <c r="F79" i="59"/>
  <c r="G79" i="59"/>
  <c r="H79" i="59"/>
  <c r="I79" i="59"/>
  <c r="J79" i="59"/>
  <c r="K79" i="59"/>
  <c r="L79" i="59"/>
  <c r="M79" i="59"/>
  <c r="N79" i="59"/>
  <c r="C80" i="59"/>
  <c r="D80" i="59"/>
  <c r="E80" i="59"/>
  <c r="F80" i="59"/>
  <c r="G80" i="59"/>
  <c r="H80" i="59"/>
  <c r="I80" i="59"/>
  <c r="J80" i="59"/>
  <c r="K80" i="59"/>
  <c r="L80" i="59"/>
  <c r="M80" i="59"/>
  <c r="N80" i="59"/>
  <c r="C81" i="59"/>
  <c r="D81" i="59"/>
  <c r="E81" i="59"/>
  <c r="F81" i="59"/>
  <c r="G81" i="59"/>
  <c r="H81" i="59"/>
  <c r="I81" i="59"/>
  <c r="J81" i="59"/>
  <c r="K81" i="59"/>
  <c r="L81" i="59"/>
  <c r="M81" i="59"/>
  <c r="N81" i="59"/>
  <c r="D62" i="59"/>
  <c r="E62" i="59"/>
  <c r="F62" i="59"/>
  <c r="G62" i="59"/>
  <c r="H62" i="59"/>
  <c r="I62" i="59"/>
  <c r="J62" i="59"/>
  <c r="K62" i="59"/>
  <c r="L62" i="59"/>
  <c r="M62" i="59"/>
  <c r="N62" i="59"/>
  <c r="O62" i="59"/>
  <c r="C62" i="59"/>
  <c r="C43" i="59"/>
  <c r="D43" i="59"/>
  <c r="E43" i="59"/>
  <c r="F43" i="59"/>
  <c r="G43" i="59"/>
  <c r="H43" i="59"/>
  <c r="I43" i="59"/>
  <c r="J43" i="59"/>
  <c r="K43" i="59"/>
  <c r="L43" i="59"/>
  <c r="M43" i="59"/>
  <c r="N43" i="59"/>
  <c r="C44" i="59"/>
  <c r="D44" i="59"/>
  <c r="E44" i="59"/>
  <c r="F44" i="59"/>
  <c r="G44" i="59"/>
  <c r="H44" i="59"/>
  <c r="I44" i="59"/>
  <c r="J44" i="59"/>
  <c r="K44" i="59"/>
  <c r="L44" i="59"/>
  <c r="M44" i="59"/>
  <c r="N44" i="59"/>
  <c r="C45" i="59"/>
  <c r="D45" i="59"/>
  <c r="E45" i="59"/>
  <c r="F45" i="59"/>
  <c r="G45" i="59"/>
  <c r="H45" i="59"/>
  <c r="I45" i="59"/>
  <c r="J45" i="59"/>
  <c r="K45" i="59"/>
  <c r="L45" i="59"/>
  <c r="M45" i="59"/>
  <c r="N45" i="59"/>
  <c r="C46" i="59"/>
  <c r="D46" i="59"/>
  <c r="E46" i="59"/>
  <c r="F46" i="59"/>
  <c r="G46" i="59"/>
  <c r="H46" i="59"/>
  <c r="I46" i="59"/>
  <c r="J46" i="59"/>
  <c r="K46" i="59"/>
  <c r="L46" i="59"/>
  <c r="M46" i="59"/>
  <c r="N46" i="59"/>
  <c r="C47" i="59"/>
  <c r="D47" i="59"/>
  <c r="E47" i="59"/>
  <c r="F47" i="59"/>
  <c r="G47" i="59"/>
  <c r="H47" i="59"/>
  <c r="I47" i="59"/>
  <c r="J47" i="59"/>
  <c r="K47" i="59"/>
  <c r="L47" i="59"/>
  <c r="M47" i="59"/>
  <c r="N47" i="59"/>
  <c r="C48" i="59"/>
  <c r="D48" i="59"/>
  <c r="E48" i="59"/>
  <c r="F48" i="59"/>
  <c r="G48" i="59"/>
  <c r="H48" i="59"/>
  <c r="I48" i="59"/>
  <c r="J48" i="59"/>
  <c r="K48" i="59"/>
  <c r="L48" i="59"/>
  <c r="M48" i="59"/>
  <c r="N48" i="59"/>
  <c r="C49" i="59"/>
  <c r="D49" i="59"/>
  <c r="E49" i="59"/>
  <c r="F49" i="59"/>
  <c r="G49" i="59"/>
  <c r="H49" i="59"/>
  <c r="I49" i="59"/>
  <c r="J49" i="59"/>
  <c r="K49" i="59"/>
  <c r="L49" i="59"/>
  <c r="M49" i="59"/>
  <c r="N49" i="59"/>
  <c r="C50" i="59"/>
  <c r="D50" i="59"/>
  <c r="E50" i="59"/>
  <c r="F50" i="59"/>
  <c r="G50" i="59"/>
  <c r="H50" i="59"/>
  <c r="I50" i="59"/>
  <c r="J50" i="59"/>
  <c r="K50" i="59"/>
  <c r="L50" i="59"/>
  <c r="M50" i="59"/>
  <c r="N50" i="59"/>
  <c r="C51" i="59"/>
  <c r="D51" i="59"/>
  <c r="E51" i="59"/>
  <c r="F51" i="59"/>
  <c r="G51" i="59"/>
  <c r="H51" i="59"/>
  <c r="I51" i="59"/>
  <c r="J51" i="59"/>
  <c r="K51" i="59"/>
  <c r="L51" i="59"/>
  <c r="M51" i="59"/>
  <c r="N51" i="59"/>
  <c r="C52" i="59"/>
  <c r="D52" i="59"/>
  <c r="E52" i="59"/>
  <c r="F52" i="59"/>
  <c r="G52" i="59"/>
  <c r="H52" i="59"/>
  <c r="I52" i="59"/>
  <c r="J52" i="59"/>
  <c r="K52" i="59"/>
  <c r="L52" i="59"/>
  <c r="M52" i="59"/>
  <c r="N52" i="59"/>
  <c r="C53" i="59"/>
  <c r="D53" i="59"/>
  <c r="E53" i="59"/>
  <c r="F53" i="59"/>
  <c r="G53" i="59"/>
  <c r="H53" i="59"/>
  <c r="I53" i="59"/>
  <c r="J53" i="59"/>
  <c r="K53" i="59"/>
  <c r="L53" i="59"/>
  <c r="M53" i="59"/>
  <c r="N53" i="59"/>
  <c r="C54" i="59"/>
  <c r="D54" i="59"/>
  <c r="E54" i="59"/>
  <c r="F54" i="59"/>
  <c r="G54" i="59"/>
  <c r="H54" i="59"/>
  <c r="I54" i="59"/>
  <c r="J54" i="59"/>
  <c r="K54" i="59"/>
  <c r="L54" i="59"/>
  <c r="M54" i="59"/>
  <c r="N54" i="59"/>
  <c r="C55" i="59"/>
  <c r="D55" i="59"/>
  <c r="E55" i="59"/>
  <c r="F55" i="59"/>
  <c r="G55" i="59"/>
  <c r="H55" i="59"/>
  <c r="I55" i="59"/>
  <c r="J55" i="59"/>
  <c r="K55" i="59"/>
  <c r="L55" i="59"/>
  <c r="M55" i="59"/>
  <c r="N55" i="59"/>
  <c r="C56" i="59"/>
  <c r="D56" i="59"/>
  <c r="E56" i="59"/>
  <c r="F56" i="59"/>
  <c r="G56" i="59"/>
  <c r="H56" i="59"/>
  <c r="I56" i="59"/>
  <c r="J56" i="59"/>
  <c r="K56" i="59"/>
  <c r="L56" i="59"/>
  <c r="M56" i="59"/>
  <c r="N56" i="59"/>
  <c r="C57" i="59"/>
  <c r="D57" i="59"/>
  <c r="E57" i="59"/>
  <c r="F57" i="59"/>
  <c r="G57" i="59"/>
  <c r="H57" i="59"/>
  <c r="I57" i="59"/>
  <c r="J57" i="59"/>
  <c r="K57" i="59"/>
  <c r="L57" i="59"/>
  <c r="M57" i="59"/>
  <c r="N57" i="59"/>
  <c r="C58" i="59"/>
  <c r="D58" i="59"/>
  <c r="E58" i="59"/>
  <c r="F58" i="59"/>
  <c r="G58" i="59"/>
  <c r="H58" i="59"/>
  <c r="I58" i="59"/>
  <c r="J58" i="59"/>
  <c r="K58" i="59"/>
  <c r="L58" i="59"/>
  <c r="M58" i="59"/>
  <c r="N58" i="59"/>
  <c r="C59" i="59"/>
  <c r="D59" i="59"/>
  <c r="E59" i="59"/>
  <c r="F59" i="59"/>
  <c r="G59" i="59"/>
  <c r="H59" i="59"/>
  <c r="I59" i="59"/>
  <c r="J59" i="59"/>
  <c r="K59" i="59"/>
  <c r="L59" i="59"/>
  <c r="M59" i="59"/>
  <c r="N59" i="59"/>
  <c r="C60" i="59"/>
  <c r="D60" i="59"/>
  <c r="E60" i="59"/>
  <c r="F60" i="59"/>
  <c r="G60" i="59"/>
  <c r="H60" i="59"/>
  <c r="I60" i="59"/>
  <c r="J60" i="59"/>
  <c r="K60" i="59"/>
  <c r="L60" i="59"/>
  <c r="M60" i="59"/>
  <c r="N60" i="59"/>
  <c r="C61" i="59"/>
  <c r="D61" i="59"/>
  <c r="E61" i="59"/>
  <c r="F61" i="59"/>
  <c r="G61" i="59"/>
  <c r="H61" i="59"/>
  <c r="I61" i="59"/>
  <c r="J61" i="59"/>
  <c r="K61" i="59"/>
  <c r="L61" i="59"/>
  <c r="M61" i="59"/>
  <c r="N61" i="59"/>
  <c r="D42" i="59"/>
  <c r="E42" i="59"/>
  <c r="F42" i="59"/>
  <c r="F2" i="59" s="1"/>
  <c r="G42" i="59"/>
  <c r="H42" i="59"/>
  <c r="I42" i="59"/>
  <c r="I2" i="59" s="1"/>
  <c r="J42" i="59"/>
  <c r="K42" i="59"/>
  <c r="L42" i="59"/>
  <c r="M42" i="59"/>
  <c r="N42" i="59"/>
  <c r="O42" i="59"/>
  <c r="C42" i="59"/>
  <c r="C23" i="59"/>
  <c r="D23" i="59"/>
  <c r="E23" i="59"/>
  <c r="F23" i="59"/>
  <c r="G23" i="59"/>
  <c r="H23" i="59"/>
  <c r="I23" i="59"/>
  <c r="J23" i="59"/>
  <c r="K23" i="59"/>
  <c r="L23" i="59"/>
  <c r="M23" i="59"/>
  <c r="N23" i="59"/>
  <c r="C24" i="59"/>
  <c r="D24" i="59"/>
  <c r="E24" i="59"/>
  <c r="F24" i="59"/>
  <c r="G24" i="59"/>
  <c r="H24" i="59"/>
  <c r="I24" i="59"/>
  <c r="J24" i="59"/>
  <c r="K24" i="59"/>
  <c r="L24" i="59"/>
  <c r="M24" i="59"/>
  <c r="N24" i="59"/>
  <c r="C25" i="59"/>
  <c r="D25" i="59"/>
  <c r="E25" i="59"/>
  <c r="F25" i="59"/>
  <c r="G25" i="59"/>
  <c r="H25" i="59"/>
  <c r="I25" i="59"/>
  <c r="J25" i="59"/>
  <c r="K25" i="59"/>
  <c r="L25" i="59"/>
  <c r="M25" i="59"/>
  <c r="N25" i="59"/>
  <c r="C26" i="59"/>
  <c r="D26" i="59"/>
  <c r="E26" i="59"/>
  <c r="F26" i="59"/>
  <c r="G26" i="59"/>
  <c r="H26" i="59"/>
  <c r="I26" i="59"/>
  <c r="J26" i="59"/>
  <c r="K26" i="59"/>
  <c r="L26" i="59"/>
  <c r="M26" i="59"/>
  <c r="N26" i="59"/>
  <c r="C27" i="59"/>
  <c r="D27" i="59"/>
  <c r="E27" i="59"/>
  <c r="F27" i="59"/>
  <c r="G27" i="59"/>
  <c r="H27" i="59"/>
  <c r="I27" i="59"/>
  <c r="J27" i="59"/>
  <c r="K27" i="59"/>
  <c r="L27" i="59"/>
  <c r="M27" i="59"/>
  <c r="N27" i="59"/>
  <c r="C28" i="59"/>
  <c r="D28" i="59"/>
  <c r="E28" i="59"/>
  <c r="F28" i="59"/>
  <c r="G28" i="59"/>
  <c r="H28" i="59"/>
  <c r="I28" i="59"/>
  <c r="J28" i="59"/>
  <c r="K28" i="59"/>
  <c r="L28" i="59"/>
  <c r="M28" i="59"/>
  <c r="N28" i="59"/>
  <c r="C29" i="59"/>
  <c r="D29" i="59"/>
  <c r="E29" i="59"/>
  <c r="F29" i="59"/>
  <c r="G29" i="59"/>
  <c r="H29" i="59"/>
  <c r="I29" i="59"/>
  <c r="J29" i="59"/>
  <c r="K29" i="59"/>
  <c r="L29" i="59"/>
  <c r="M29" i="59"/>
  <c r="N29" i="59"/>
  <c r="C30" i="59"/>
  <c r="C10" i="59" s="1"/>
  <c r="D30" i="59"/>
  <c r="E30" i="59"/>
  <c r="F30" i="59"/>
  <c r="G30" i="59"/>
  <c r="H30" i="59"/>
  <c r="I30" i="59"/>
  <c r="J30" i="59"/>
  <c r="J10" i="59" s="1"/>
  <c r="K30" i="59"/>
  <c r="K10" i="59" s="1"/>
  <c r="L30" i="59"/>
  <c r="M30" i="59"/>
  <c r="N30" i="59"/>
  <c r="C31" i="59"/>
  <c r="D31" i="59"/>
  <c r="E31" i="59"/>
  <c r="F31" i="59"/>
  <c r="G31" i="59"/>
  <c r="H31" i="59"/>
  <c r="I31" i="59"/>
  <c r="J31" i="59"/>
  <c r="K31" i="59"/>
  <c r="K11" i="59" s="1"/>
  <c r="L31" i="59"/>
  <c r="M31" i="59"/>
  <c r="N31" i="59"/>
  <c r="C32" i="59"/>
  <c r="D32" i="59"/>
  <c r="E32" i="59"/>
  <c r="F32" i="59"/>
  <c r="G32" i="59"/>
  <c r="H32" i="59"/>
  <c r="H12" i="59" s="1"/>
  <c r="I32" i="59"/>
  <c r="J32" i="59"/>
  <c r="J12" i="59" s="1"/>
  <c r="K32" i="59"/>
  <c r="L32" i="59"/>
  <c r="M32" i="59"/>
  <c r="N32" i="59"/>
  <c r="C33" i="59"/>
  <c r="D33" i="59"/>
  <c r="E33" i="59"/>
  <c r="F33" i="59"/>
  <c r="F13" i="59" s="1"/>
  <c r="G33" i="59"/>
  <c r="H33" i="59"/>
  <c r="I33" i="59"/>
  <c r="J33" i="59"/>
  <c r="K33" i="59"/>
  <c r="L33" i="59"/>
  <c r="M33" i="59"/>
  <c r="N33" i="59"/>
  <c r="C34" i="59"/>
  <c r="D34" i="59"/>
  <c r="E34" i="59"/>
  <c r="F34" i="59"/>
  <c r="G34" i="59"/>
  <c r="H34" i="59"/>
  <c r="I34" i="59"/>
  <c r="J34" i="59"/>
  <c r="K34" i="59"/>
  <c r="L34" i="59"/>
  <c r="M34" i="59"/>
  <c r="N34" i="59"/>
  <c r="C35" i="59"/>
  <c r="D35" i="59"/>
  <c r="E35" i="59"/>
  <c r="F35" i="59"/>
  <c r="G35" i="59"/>
  <c r="H35" i="59"/>
  <c r="I35" i="59"/>
  <c r="J35" i="59"/>
  <c r="K35" i="59"/>
  <c r="L35" i="59"/>
  <c r="M35" i="59"/>
  <c r="N35" i="59"/>
  <c r="C36" i="59"/>
  <c r="D36" i="59"/>
  <c r="E36" i="59"/>
  <c r="F36" i="59"/>
  <c r="G36" i="59"/>
  <c r="H36" i="59"/>
  <c r="I36" i="59"/>
  <c r="J36" i="59"/>
  <c r="J16" i="59" s="1"/>
  <c r="K36" i="59"/>
  <c r="L36" i="59"/>
  <c r="M36" i="59"/>
  <c r="N36" i="59"/>
  <c r="N16" i="59" s="1"/>
  <c r="C37" i="59"/>
  <c r="D37" i="59"/>
  <c r="E37" i="59"/>
  <c r="F37" i="59"/>
  <c r="F17" i="59" s="1"/>
  <c r="G37" i="59"/>
  <c r="H37" i="59"/>
  <c r="I37" i="59"/>
  <c r="J37" i="59"/>
  <c r="K37" i="59"/>
  <c r="L37" i="59"/>
  <c r="M37" i="59"/>
  <c r="N37" i="59"/>
  <c r="C38" i="59"/>
  <c r="D38" i="59"/>
  <c r="E38" i="59"/>
  <c r="F38" i="59"/>
  <c r="G38" i="59"/>
  <c r="H38" i="59"/>
  <c r="I38" i="59"/>
  <c r="J38" i="59"/>
  <c r="K38" i="59"/>
  <c r="L38" i="59"/>
  <c r="L18" i="59" s="1"/>
  <c r="M38" i="59"/>
  <c r="N38" i="59"/>
  <c r="C39" i="59"/>
  <c r="D39" i="59"/>
  <c r="E39" i="59"/>
  <c r="F39" i="59"/>
  <c r="G39" i="59"/>
  <c r="H39" i="59"/>
  <c r="I39" i="59"/>
  <c r="J39" i="59"/>
  <c r="K39" i="59"/>
  <c r="L39" i="59"/>
  <c r="M39" i="59"/>
  <c r="N39" i="59"/>
  <c r="C40" i="59"/>
  <c r="D40" i="59"/>
  <c r="E40" i="59"/>
  <c r="F40" i="59"/>
  <c r="G40" i="59"/>
  <c r="H40" i="59"/>
  <c r="I40" i="59"/>
  <c r="J40" i="59"/>
  <c r="K40" i="59"/>
  <c r="L40" i="59"/>
  <c r="M40" i="59"/>
  <c r="N40" i="59"/>
  <c r="C41" i="59"/>
  <c r="D41" i="59"/>
  <c r="E41" i="59"/>
  <c r="E21" i="59" s="1"/>
  <c r="F41" i="59"/>
  <c r="G41" i="59"/>
  <c r="H41" i="59"/>
  <c r="I41" i="59"/>
  <c r="I21" i="59" s="1"/>
  <c r="J41" i="59"/>
  <c r="K41" i="59"/>
  <c r="L41" i="59"/>
  <c r="M41" i="59"/>
  <c r="M21" i="59" s="1"/>
  <c r="N41" i="59"/>
  <c r="N21" i="59" s="1"/>
  <c r="D22" i="59"/>
  <c r="E22" i="59"/>
  <c r="F22" i="59"/>
  <c r="G22" i="59"/>
  <c r="H22" i="59"/>
  <c r="I22" i="59"/>
  <c r="J22" i="59"/>
  <c r="K22" i="59"/>
  <c r="K2" i="59" s="1"/>
  <c r="L22" i="59"/>
  <c r="M22" i="59"/>
  <c r="N22" i="59"/>
  <c r="O22" i="59"/>
  <c r="C22" i="59"/>
  <c r="B141" i="59"/>
  <c r="A141" i="59"/>
  <c r="B140" i="59"/>
  <c r="A140" i="59"/>
  <c r="B139" i="59"/>
  <c r="A139" i="59"/>
  <c r="B138" i="59"/>
  <c r="A138" i="59"/>
  <c r="B137" i="59"/>
  <c r="A137" i="59"/>
  <c r="B136" i="59"/>
  <c r="A136" i="59"/>
  <c r="B135" i="59"/>
  <c r="A135" i="59"/>
  <c r="B134" i="59"/>
  <c r="A134" i="59"/>
  <c r="B133" i="59"/>
  <c r="A133" i="59"/>
  <c r="B132" i="59"/>
  <c r="A132" i="59"/>
  <c r="B131" i="59"/>
  <c r="A131" i="59"/>
  <c r="B130" i="59"/>
  <c r="A130" i="59"/>
  <c r="B129" i="59"/>
  <c r="A129" i="59"/>
  <c r="B128" i="59"/>
  <c r="A128" i="59"/>
  <c r="B127" i="59"/>
  <c r="A127" i="59"/>
  <c r="B126" i="59"/>
  <c r="A126" i="59"/>
  <c r="B125" i="59"/>
  <c r="A125" i="59"/>
  <c r="B124" i="59"/>
  <c r="A124" i="59"/>
  <c r="B123" i="59"/>
  <c r="A123" i="59"/>
  <c r="B122" i="59"/>
  <c r="A122" i="59"/>
  <c r="B121" i="59"/>
  <c r="A121" i="59"/>
  <c r="B120" i="59"/>
  <c r="A120" i="59"/>
  <c r="B119" i="59"/>
  <c r="A119" i="59"/>
  <c r="B118" i="59"/>
  <c r="A118" i="59"/>
  <c r="B117" i="59"/>
  <c r="A117" i="59"/>
  <c r="B116" i="59"/>
  <c r="A116" i="59"/>
  <c r="B115" i="59"/>
  <c r="A115" i="59"/>
  <c r="B114" i="59"/>
  <c r="A114" i="59"/>
  <c r="B113" i="59"/>
  <c r="A113" i="59"/>
  <c r="B112" i="59"/>
  <c r="A112" i="59"/>
  <c r="B111" i="59"/>
  <c r="A111" i="59"/>
  <c r="B110" i="59"/>
  <c r="A110" i="59"/>
  <c r="B109" i="59"/>
  <c r="A109" i="59"/>
  <c r="B108" i="59"/>
  <c r="A108" i="59"/>
  <c r="B107" i="59"/>
  <c r="A107" i="59"/>
  <c r="B106" i="59"/>
  <c r="A106" i="59"/>
  <c r="B105" i="59"/>
  <c r="A105" i="59"/>
  <c r="B104" i="59"/>
  <c r="A104" i="59"/>
  <c r="B103" i="59"/>
  <c r="A103" i="59"/>
  <c r="B102" i="59"/>
  <c r="A102" i="59"/>
  <c r="B101" i="59"/>
  <c r="A101" i="59"/>
  <c r="B100" i="59"/>
  <c r="A100" i="59"/>
  <c r="B99" i="59"/>
  <c r="A99" i="59"/>
  <c r="B98" i="59"/>
  <c r="A98" i="59"/>
  <c r="B97" i="59"/>
  <c r="A97" i="59"/>
  <c r="B96" i="59"/>
  <c r="A96" i="59"/>
  <c r="B95" i="59"/>
  <c r="A95" i="59"/>
  <c r="B94" i="59"/>
  <c r="A94" i="59"/>
  <c r="B93" i="59"/>
  <c r="A93" i="59"/>
  <c r="B92" i="59"/>
  <c r="A92" i="59"/>
  <c r="B91" i="59"/>
  <c r="A91" i="59"/>
  <c r="B90" i="59"/>
  <c r="A90" i="59"/>
  <c r="B89" i="59"/>
  <c r="A89" i="59"/>
  <c r="B88" i="59"/>
  <c r="A88" i="59"/>
  <c r="B87" i="59"/>
  <c r="A87" i="59"/>
  <c r="B86" i="59"/>
  <c r="A86" i="59"/>
  <c r="B85" i="59"/>
  <c r="A85" i="59"/>
  <c r="B84" i="59"/>
  <c r="A84" i="59"/>
  <c r="B83" i="59"/>
  <c r="A83" i="59"/>
  <c r="B82" i="59"/>
  <c r="A82" i="59"/>
  <c r="B81" i="59"/>
  <c r="A81" i="59"/>
  <c r="B80" i="59"/>
  <c r="A80" i="59"/>
  <c r="B79" i="59"/>
  <c r="A79" i="59"/>
  <c r="B78" i="59"/>
  <c r="A78" i="59"/>
  <c r="B77" i="59"/>
  <c r="A77" i="59"/>
  <c r="B76" i="59"/>
  <c r="A76" i="59"/>
  <c r="B75" i="59"/>
  <c r="A75" i="59"/>
  <c r="B74" i="59"/>
  <c r="A74" i="59"/>
  <c r="B73" i="59"/>
  <c r="A73" i="59"/>
  <c r="B72" i="59"/>
  <c r="A72" i="59"/>
  <c r="B71" i="59"/>
  <c r="A71" i="59"/>
  <c r="B70" i="59"/>
  <c r="A70" i="59"/>
  <c r="B69" i="59"/>
  <c r="A69" i="59"/>
  <c r="B68" i="59"/>
  <c r="A68" i="59"/>
  <c r="B67" i="59"/>
  <c r="A67" i="59"/>
  <c r="B66" i="59"/>
  <c r="A66" i="59"/>
  <c r="B65" i="59"/>
  <c r="A65" i="59"/>
  <c r="B64" i="59"/>
  <c r="A64" i="59"/>
  <c r="B63" i="59"/>
  <c r="A63" i="59"/>
  <c r="B62" i="59"/>
  <c r="A62" i="59"/>
  <c r="B61" i="59"/>
  <c r="A61" i="59"/>
  <c r="B60" i="59"/>
  <c r="A60" i="59"/>
  <c r="B59" i="59"/>
  <c r="A59" i="59"/>
  <c r="B58" i="59"/>
  <c r="A58" i="59"/>
  <c r="B57" i="59"/>
  <c r="A57" i="59"/>
  <c r="B56" i="59"/>
  <c r="A56" i="59"/>
  <c r="B55" i="59"/>
  <c r="A55" i="59"/>
  <c r="B54" i="59"/>
  <c r="A54" i="59"/>
  <c r="B53" i="59"/>
  <c r="A53" i="59"/>
  <c r="B52" i="59"/>
  <c r="A52" i="59"/>
  <c r="B51" i="59"/>
  <c r="A51" i="59"/>
  <c r="B50" i="59"/>
  <c r="A50" i="59"/>
  <c r="B49" i="59"/>
  <c r="A49" i="59"/>
  <c r="B48" i="59"/>
  <c r="A48" i="59"/>
  <c r="B47" i="59"/>
  <c r="A47" i="59"/>
  <c r="B46" i="59"/>
  <c r="A46" i="59"/>
  <c r="B45" i="59"/>
  <c r="A45" i="59"/>
  <c r="B44" i="59"/>
  <c r="A44" i="59"/>
  <c r="B43" i="59"/>
  <c r="A43" i="59"/>
  <c r="B42" i="59"/>
  <c r="A42" i="59"/>
  <c r="B41" i="59"/>
  <c r="A41" i="59"/>
  <c r="B40" i="59"/>
  <c r="A40" i="59"/>
  <c r="B39" i="59"/>
  <c r="A39" i="59"/>
  <c r="B38" i="59"/>
  <c r="A38" i="59"/>
  <c r="B37" i="59"/>
  <c r="A37" i="59"/>
  <c r="B36" i="59"/>
  <c r="A36" i="59"/>
  <c r="B35" i="59"/>
  <c r="A35" i="59"/>
  <c r="B34" i="59"/>
  <c r="A34" i="59"/>
  <c r="B33" i="59"/>
  <c r="A33" i="59"/>
  <c r="B32" i="59"/>
  <c r="A32" i="59"/>
  <c r="B31" i="59"/>
  <c r="A31" i="59"/>
  <c r="B30" i="59"/>
  <c r="A30" i="59"/>
  <c r="B29" i="59"/>
  <c r="A29" i="59"/>
  <c r="B28" i="59"/>
  <c r="A28" i="59"/>
  <c r="B27" i="59"/>
  <c r="A27" i="59"/>
  <c r="B26" i="59"/>
  <c r="A26" i="59"/>
  <c r="B25" i="59"/>
  <c r="A25" i="59"/>
  <c r="B24" i="59"/>
  <c r="A24" i="59"/>
  <c r="B23" i="59"/>
  <c r="A23" i="59"/>
  <c r="B22" i="59"/>
  <c r="A22" i="59"/>
  <c r="B21" i="59"/>
  <c r="A21" i="59"/>
  <c r="B20" i="59"/>
  <c r="A20" i="59"/>
  <c r="B19" i="59"/>
  <c r="A19" i="59"/>
  <c r="B18" i="59"/>
  <c r="A18" i="59"/>
  <c r="B17" i="59"/>
  <c r="A17" i="59"/>
  <c r="B16" i="59"/>
  <c r="A16" i="59"/>
  <c r="B15" i="59"/>
  <c r="A15" i="59"/>
  <c r="B14" i="59"/>
  <c r="A14" i="59"/>
  <c r="B13" i="59"/>
  <c r="A13" i="59"/>
  <c r="B12" i="59"/>
  <c r="A12" i="59"/>
  <c r="B11" i="59"/>
  <c r="A11" i="59"/>
  <c r="B10" i="59"/>
  <c r="A10" i="59"/>
  <c r="B9" i="59"/>
  <c r="A9" i="59"/>
  <c r="B8" i="59"/>
  <c r="A8" i="59"/>
  <c r="B7" i="59"/>
  <c r="A7" i="59"/>
  <c r="B6" i="59"/>
  <c r="A6" i="59"/>
  <c r="N5" i="59"/>
  <c r="B5" i="59"/>
  <c r="A5" i="59"/>
  <c r="B4" i="59"/>
  <c r="A4" i="59"/>
  <c r="B3" i="59"/>
  <c r="A3" i="59"/>
  <c r="N2" i="59"/>
  <c r="B2" i="59"/>
  <c r="A2" i="59"/>
  <c r="P1" i="59"/>
  <c r="O1" i="59"/>
  <c r="N1" i="59"/>
  <c r="M1" i="59"/>
  <c r="L1" i="59"/>
  <c r="K1" i="59"/>
  <c r="J1" i="59"/>
  <c r="I1" i="59"/>
  <c r="H1" i="59"/>
  <c r="G1" i="59"/>
  <c r="F1" i="59"/>
  <c r="E1" i="59"/>
  <c r="D1" i="59"/>
  <c r="C1" i="59"/>
  <c r="B1" i="59"/>
  <c r="A1" i="59"/>
  <c r="K43" i="54"/>
  <c r="M43" i="54"/>
  <c r="N43" i="54"/>
  <c r="O43" i="54"/>
  <c r="K44" i="54"/>
  <c r="M44" i="54"/>
  <c r="N44" i="54"/>
  <c r="O44" i="54"/>
  <c r="K45" i="54"/>
  <c r="M45" i="54"/>
  <c r="N45" i="54"/>
  <c r="O45" i="54"/>
  <c r="K46" i="54"/>
  <c r="M46" i="54"/>
  <c r="N46" i="54"/>
  <c r="O46" i="54"/>
  <c r="K47" i="54"/>
  <c r="M47" i="54"/>
  <c r="N47" i="54"/>
  <c r="O47" i="54"/>
  <c r="K48" i="54"/>
  <c r="M48" i="54"/>
  <c r="N48" i="54"/>
  <c r="O48" i="54"/>
  <c r="K49" i="54"/>
  <c r="M49" i="54"/>
  <c r="N49" i="54"/>
  <c r="O49" i="54"/>
  <c r="K50" i="54"/>
  <c r="M50" i="54"/>
  <c r="N50" i="54"/>
  <c r="O50" i="54"/>
  <c r="K51" i="54"/>
  <c r="M51" i="54"/>
  <c r="N51" i="54"/>
  <c r="O51" i="54"/>
  <c r="K52" i="54"/>
  <c r="M52" i="54"/>
  <c r="N52" i="54"/>
  <c r="O52" i="54"/>
  <c r="K53" i="54"/>
  <c r="M53" i="54"/>
  <c r="N53" i="54"/>
  <c r="O53" i="54"/>
  <c r="K54" i="54"/>
  <c r="M54" i="54"/>
  <c r="N54" i="54"/>
  <c r="O54" i="54"/>
  <c r="K55" i="54"/>
  <c r="M55" i="54"/>
  <c r="N55" i="54"/>
  <c r="O55" i="54"/>
  <c r="K56" i="54"/>
  <c r="M56" i="54"/>
  <c r="N56" i="54"/>
  <c r="O56" i="54"/>
  <c r="K57" i="54"/>
  <c r="M57" i="54"/>
  <c r="N57" i="54"/>
  <c r="O57" i="54"/>
  <c r="K58" i="54"/>
  <c r="M58" i="54"/>
  <c r="N58" i="54"/>
  <c r="O58" i="54"/>
  <c r="K59" i="54"/>
  <c r="M59" i="54"/>
  <c r="N59" i="54"/>
  <c r="O59" i="54"/>
  <c r="K60" i="54"/>
  <c r="M60" i="54"/>
  <c r="N60" i="54"/>
  <c r="O60" i="54"/>
  <c r="K61" i="54"/>
  <c r="M61" i="54"/>
  <c r="N61" i="54"/>
  <c r="O61" i="54"/>
  <c r="K62" i="54"/>
  <c r="M62" i="54"/>
  <c r="N62" i="54"/>
  <c r="O62" i="54"/>
  <c r="K63" i="54"/>
  <c r="M63" i="54"/>
  <c r="N63" i="54"/>
  <c r="O63" i="54"/>
  <c r="K64" i="54"/>
  <c r="M64" i="54"/>
  <c r="N64" i="54"/>
  <c r="O64" i="54"/>
  <c r="K65" i="54"/>
  <c r="M65" i="54"/>
  <c r="N65" i="54"/>
  <c r="O65" i="54"/>
  <c r="K66" i="54"/>
  <c r="M66" i="54"/>
  <c r="N66" i="54"/>
  <c r="O66" i="54"/>
  <c r="K67" i="54"/>
  <c r="M67" i="54"/>
  <c r="N67" i="54"/>
  <c r="O67" i="54"/>
  <c r="K68" i="54"/>
  <c r="M68" i="54"/>
  <c r="N68" i="54"/>
  <c r="O68" i="54"/>
  <c r="K69" i="54"/>
  <c r="M69" i="54"/>
  <c r="N69" i="54"/>
  <c r="O69" i="54"/>
  <c r="K70" i="54"/>
  <c r="M70" i="54"/>
  <c r="N70" i="54"/>
  <c r="O70" i="54"/>
  <c r="K71" i="54"/>
  <c r="M71" i="54"/>
  <c r="N71" i="54"/>
  <c r="O71" i="54"/>
  <c r="K72" i="54"/>
  <c r="M72" i="54"/>
  <c r="N72" i="54"/>
  <c r="O72" i="54"/>
  <c r="K73" i="54"/>
  <c r="M73" i="54"/>
  <c r="N73" i="54"/>
  <c r="O73" i="54"/>
  <c r="K74" i="54"/>
  <c r="M74" i="54"/>
  <c r="N74" i="54"/>
  <c r="O74" i="54"/>
  <c r="K75" i="54"/>
  <c r="M75" i="54"/>
  <c r="N75" i="54"/>
  <c r="O75" i="54"/>
  <c r="K76" i="54"/>
  <c r="M76" i="54"/>
  <c r="N76" i="54"/>
  <c r="O76" i="54"/>
  <c r="K77" i="54"/>
  <c r="M77" i="54"/>
  <c r="N77" i="54"/>
  <c r="O77" i="54"/>
  <c r="K78" i="54"/>
  <c r="M78" i="54"/>
  <c r="N78" i="54"/>
  <c r="O78" i="54"/>
  <c r="K79" i="54"/>
  <c r="M79" i="54"/>
  <c r="N79" i="54"/>
  <c r="O79" i="54"/>
  <c r="K80" i="54"/>
  <c r="M80" i="54"/>
  <c r="N80" i="54"/>
  <c r="O80" i="54"/>
  <c r="K81" i="54"/>
  <c r="M81" i="54"/>
  <c r="N81" i="54"/>
  <c r="O81" i="54"/>
  <c r="K82" i="54"/>
  <c r="M82" i="54"/>
  <c r="N82" i="54"/>
  <c r="O82" i="54"/>
  <c r="O83" i="54"/>
  <c r="O84" i="54"/>
  <c r="O85" i="54"/>
  <c r="O86" i="54"/>
  <c r="O87" i="54"/>
  <c r="O88" i="54"/>
  <c r="O89" i="54"/>
  <c r="O90" i="54"/>
  <c r="O91" i="54"/>
  <c r="O92" i="54"/>
  <c r="O93" i="54"/>
  <c r="O94" i="54"/>
  <c r="O95" i="54"/>
  <c r="O96" i="54"/>
  <c r="O97" i="54"/>
  <c r="O98" i="54"/>
  <c r="O99" i="54"/>
  <c r="O100" i="54"/>
  <c r="O101" i="54"/>
  <c r="K102" i="54"/>
  <c r="M102" i="54"/>
  <c r="N102" i="54"/>
  <c r="O102" i="54"/>
  <c r="K103" i="54"/>
  <c r="M103" i="54"/>
  <c r="N103" i="54"/>
  <c r="O103" i="54"/>
  <c r="K104" i="54"/>
  <c r="M104" i="54"/>
  <c r="N104" i="54"/>
  <c r="O104" i="54"/>
  <c r="K105" i="54"/>
  <c r="M105" i="54"/>
  <c r="N105" i="54"/>
  <c r="O105" i="54"/>
  <c r="K106" i="54"/>
  <c r="M106" i="54"/>
  <c r="N106" i="54"/>
  <c r="O106" i="54"/>
  <c r="K107" i="54"/>
  <c r="M107" i="54"/>
  <c r="N107" i="54"/>
  <c r="O107" i="54"/>
  <c r="K108" i="54"/>
  <c r="M108" i="54"/>
  <c r="N108" i="54"/>
  <c r="O108" i="54"/>
  <c r="K109" i="54"/>
  <c r="M109" i="54"/>
  <c r="N109" i="54"/>
  <c r="O109" i="54"/>
  <c r="K110" i="54"/>
  <c r="M110" i="54"/>
  <c r="N110" i="54"/>
  <c r="O110" i="54"/>
  <c r="K111" i="54"/>
  <c r="M111" i="54"/>
  <c r="N111" i="54"/>
  <c r="O111" i="54"/>
  <c r="K112" i="54"/>
  <c r="M112" i="54"/>
  <c r="N112" i="54"/>
  <c r="O112" i="54"/>
  <c r="K113" i="54"/>
  <c r="M113" i="54"/>
  <c r="N113" i="54"/>
  <c r="O113" i="54"/>
  <c r="K114" i="54"/>
  <c r="M114" i="54"/>
  <c r="N114" i="54"/>
  <c r="O114" i="54"/>
  <c r="K115" i="54"/>
  <c r="M115" i="54"/>
  <c r="N115" i="54"/>
  <c r="O115" i="54"/>
  <c r="K116" i="54"/>
  <c r="M116" i="54"/>
  <c r="N116" i="54"/>
  <c r="O116" i="54"/>
  <c r="K117" i="54"/>
  <c r="M117" i="54"/>
  <c r="N117" i="54"/>
  <c r="O117" i="54"/>
  <c r="K118" i="54"/>
  <c r="M118" i="54"/>
  <c r="N118" i="54"/>
  <c r="O118" i="54"/>
  <c r="K119" i="54"/>
  <c r="M119" i="54"/>
  <c r="N119" i="54"/>
  <c r="O119" i="54"/>
  <c r="K120" i="54"/>
  <c r="M120" i="54"/>
  <c r="N120" i="54"/>
  <c r="O120" i="54"/>
  <c r="K121" i="54"/>
  <c r="M121" i="54"/>
  <c r="N121" i="54"/>
  <c r="O121" i="54"/>
  <c r="K122" i="54"/>
  <c r="M122" i="54"/>
  <c r="N122" i="54"/>
  <c r="O122" i="54"/>
  <c r="K123" i="54"/>
  <c r="M123" i="54"/>
  <c r="N123" i="54"/>
  <c r="O123" i="54"/>
  <c r="K124" i="54"/>
  <c r="M124" i="54"/>
  <c r="N124" i="54"/>
  <c r="O124" i="54"/>
  <c r="K125" i="54"/>
  <c r="M125" i="54"/>
  <c r="N125" i="54"/>
  <c r="O125" i="54"/>
  <c r="K126" i="54"/>
  <c r="M126" i="54"/>
  <c r="N126" i="54"/>
  <c r="O126" i="54"/>
  <c r="K127" i="54"/>
  <c r="M127" i="54"/>
  <c r="N127" i="54"/>
  <c r="O127" i="54"/>
  <c r="K128" i="54"/>
  <c r="M128" i="54"/>
  <c r="N128" i="54"/>
  <c r="O128" i="54"/>
  <c r="K129" i="54"/>
  <c r="M129" i="54"/>
  <c r="N129" i="54"/>
  <c r="O129" i="54"/>
  <c r="K130" i="54"/>
  <c r="M130" i="54"/>
  <c r="N130" i="54"/>
  <c r="O130" i="54"/>
  <c r="K131" i="54"/>
  <c r="M131" i="54"/>
  <c r="N131" i="54"/>
  <c r="O131" i="54"/>
  <c r="K132" i="54"/>
  <c r="M132" i="54"/>
  <c r="N132" i="54"/>
  <c r="O132" i="54"/>
  <c r="K133" i="54"/>
  <c r="M133" i="54"/>
  <c r="N133" i="54"/>
  <c r="O133" i="54"/>
  <c r="K134" i="54"/>
  <c r="M134" i="54"/>
  <c r="N134" i="54"/>
  <c r="O134" i="54"/>
  <c r="K135" i="54"/>
  <c r="M135" i="54"/>
  <c r="N135" i="54"/>
  <c r="O135" i="54"/>
  <c r="K136" i="54"/>
  <c r="M136" i="54"/>
  <c r="N136" i="54"/>
  <c r="O136" i="54"/>
  <c r="K137" i="54"/>
  <c r="M137" i="54"/>
  <c r="N137" i="54"/>
  <c r="O137" i="54"/>
  <c r="K138" i="54"/>
  <c r="M138" i="54"/>
  <c r="N138" i="54"/>
  <c r="O138" i="54"/>
  <c r="K139" i="54"/>
  <c r="M139" i="54"/>
  <c r="N139" i="54"/>
  <c r="O139" i="54"/>
  <c r="K140" i="54"/>
  <c r="M140" i="54"/>
  <c r="N140" i="54"/>
  <c r="O140" i="54"/>
  <c r="K141" i="54"/>
  <c r="M141" i="54"/>
  <c r="N141" i="54"/>
  <c r="O141" i="54"/>
  <c r="K42" i="54"/>
  <c r="M42" i="54"/>
  <c r="N42" i="54"/>
  <c r="O42" i="54"/>
  <c r="CD34" i="48"/>
  <c r="CD34" i="46"/>
  <c r="CD29" i="50"/>
  <c r="CD30" i="50"/>
  <c r="CD31" i="50"/>
  <c r="CD32" i="50"/>
  <c r="CD33" i="50"/>
  <c r="CD34" i="50"/>
  <c r="CD28" i="50"/>
  <c r="CD29" i="49"/>
  <c r="CD30" i="49"/>
  <c r="CD31" i="49"/>
  <c r="CD32" i="49"/>
  <c r="CD33" i="49"/>
  <c r="CD34" i="49"/>
  <c r="CD28" i="49"/>
  <c r="CD29" i="48"/>
  <c r="CD30" i="48"/>
  <c r="CD31" i="48"/>
  <c r="CD32" i="48"/>
  <c r="CD33" i="48"/>
  <c r="CD28" i="48"/>
  <c r="CD29" i="47"/>
  <c r="CD30" i="47"/>
  <c r="CD31" i="47"/>
  <c r="CD32" i="47"/>
  <c r="CD33" i="47"/>
  <c r="CD34" i="47"/>
  <c r="CD28" i="47"/>
  <c r="CD33" i="46"/>
  <c r="CD32" i="46"/>
  <c r="CD31" i="46"/>
  <c r="CD30" i="46"/>
  <c r="CD29" i="46"/>
  <c r="CD28" i="46"/>
  <c r="CD29" i="44"/>
  <c r="CD30" i="44"/>
  <c r="CD31" i="44"/>
  <c r="CD32" i="44"/>
  <c r="CD33" i="44"/>
  <c r="CD34" i="44"/>
  <c r="CD28" i="44"/>
  <c r="AL53" i="44"/>
  <c r="AL53" i="46" s="1"/>
  <c r="AL53" i="47" s="1"/>
  <c r="AL53" i="48" s="1"/>
  <c r="AL53" i="49" s="1"/>
  <c r="AL53" i="50" s="1"/>
  <c r="AL54" i="50" s="1"/>
  <c r="AL55" i="50" s="1"/>
  <c r="AL56" i="50" s="1"/>
  <c r="AL57" i="50" s="1"/>
  <c r="AL58" i="50" s="1"/>
  <c r="AL59" i="50" s="1"/>
  <c r="AL60" i="50" s="1"/>
  <c r="AL61" i="50" s="1"/>
  <c r="AL62" i="50" s="1"/>
  <c r="AL63" i="50" s="1"/>
  <c r="AL64" i="50" s="1"/>
  <c r="AL65" i="50" s="1"/>
  <c r="AL66" i="50" s="1"/>
  <c r="AL67" i="50" s="1"/>
  <c r="AL68" i="50" s="1"/>
  <c r="AL69" i="50" s="1"/>
  <c r="AL70" i="50" s="1"/>
  <c r="AL71" i="50" s="1"/>
  <c r="D21" i="59" l="1"/>
  <c r="L21" i="59"/>
  <c r="C21" i="59"/>
  <c r="F20" i="59"/>
  <c r="K20" i="59"/>
  <c r="C20" i="59"/>
  <c r="I20" i="59"/>
  <c r="K19" i="59"/>
  <c r="C19" i="59"/>
  <c r="H19" i="59"/>
  <c r="H18" i="59"/>
  <c r="D18" i="59"/>
  <c r="K18" i="59"/>
  <c r="C18" i="59"/>
  <c r="J17" i="59"/>
  <c r="I17" i="59"/>
  <c r="H17" i="59"/>
  <c r="E17" i="59"/>
  <c r="F16" i="59"/>
  <c r="G16" i="59"/>
  <c r="M16" i="59"/>
  <c r="D16" i="59"/>
  <c r="C16" i="59"/>
  <c r="E16" i="59"/>
  <c r="K15" i="59"/>
  <c r="J15" i="59"/>
  <c r="C15" i="59"/>
  <c r="I15" i="59"/>
  <c r="G15" i="59"/>
  <c r="G14" i="59"/>
  <c r="F14" i="59"/>
  <c r="H14" i="59"/>
  <c r="L14" i="59"/>
  <c r="D14" i="59"/>
  <c r="M14" i="59"/>
  <c r="K13" i="59"/>
  <c r="J13" i="59"/>
  <c r="L13" i="59"/>
  <c r="D13" i="59"/>
  <c r="I13" i="59"/>
  <c r="M13" i="59"/>
  <c r="E13" i="59"/>
  <c r="N12" i="59"/>
  <c r="F12" i="59"/>
  <c r="I12" i="59"/>
  <c r="C11" i="59"/>
  <c r="L11" i="59"/>
  <c r="G11" i="59"/>
  <c r="N11" i="59"/>
  <c r="F11" i="59"/>
  <c r="M11" i="59"/>
  <c r="E11" i="59"/>
  <c r="M10" i="59"/>
  <c r="L10" i="59"/>
  <c r="D10" i="59"/>
  <c r="E10" i="59"/>
  <c r="H10" i="59"/>
  <c r="I9" i="59"/>
  <c r="H9" i="59"/>
  <c r="F8" i="59"/>
  <c r="M8" i="59"/>
  <c r="J8" i="59"/>
  <c r="E8" i="59"/>
  <c r="L7" i="59"/>
  <c r="D7" i="59"/>
  <c r="K7" i="59"/>
  <c r="J7" i="59"/>
  <c r="C7" i="59"/>
  <c r="H7" i="59"/>
  <c r="G7" i="59"/>
  <c r="I7" i="59"/>
  <c r="N6" i="59"/>
  <c r="G6" i="59"/>
  <c r="H6" i="59"/>
  <c r="M6" i="59"/>
  <c r="L6" i="59"/>
  <c r="D6" i="59"/>
  <c r="E6" i="59"/>
  <c r="L5" i="59"/>
  <c r="D5" i="59"/>
  <c r="K5" i="59"/>
  <c r="J5" i="59"/>
  <c r="C5" i="59"/>
  <c r="M5" i="59"/>
  <c r="E5" i="59"/>
  <c r="F4" i="59"/>
  <c r="J4" i="59"/>
  <c r="G4" i="59"/>
  <c r="C4" i="59"/>
  <c r="N4" i="59"/>
  <c r="K4" i="59"/>
  <c r="I4" i="59"/>
  <c r="H4" i="59"/>
  <c r="G3" i="59"/>
  <c r="M3" i="59"/>
  <c r="E3" i="59"/>
  <c r="K3" i="59"/>
  <c r="C3" i="59"/>
  <c r="H3" i="59"/>
  <c r="N3" i="59"/>
  <c r="F3" i="59"/>
  <c r="L3" i="59"/>
  <c r="D3" i="59"/>
  <c r="K21" i="59"/>
  <c r="F21" i="59"/>
  <c r="J20" i="59"/>
  <c r="H20" i="59"/>
  <c r="G20" i="59"/>
  <c r="G19" i="59"/>
  <c r="N19" i="59"/>
  <c r="F19" i="59"/>
  <c r="M19" i="59"/>
  <c r="E19" i="59"/>
  <c r="D19" i="59"/>
  <c r="M18" i="59"/>
  <c r="E18" i="59"/>
  <c r="J18" i="59"/>
  <c r="G17" i="59"/>
  <c r="N17" i="59"/>
  <c r="L16" i="59"/>
  <c r="L15" i="59"/>
  <c r="D15" i="59"/>
  <c r="I14" i="59"/>
  <c r="N14" i="59"/>
  <c r="C13" i="59"/>
  <c r="K12" i="59"/>
  <c r="C12" i="59"/>
  <c r="H11" i="59"/>
  <c r="I10" i="59"/>
  <c r="J9" i="59"/>
  <c r="G9" i="59"/>
  <c r="L8" i="59"/>
  <c r="K8" i="59"/>
  <c r="G8" i="59"/>
  <c r="J6" i="59"/>
  <c r="F6" i="59"/>
  <c r="F5" i="59"/>
  <c r="N20" i="59"/>
  <c r="I8" i="59"/>
  <c r="G21" i="59"/>
  <c r="L20" i="59"/>
  <c r="D20" i="59"/>
  <c r="N18" i="59"/>
  <c r="F18" i="59"/>
  <c r="K17" i="59"/>
  <c r="C17" i="59"/>
  <c r="H16" i="59"/>
  <c r="M15" i="59"/>
  <c r="E15" i="59"/>
  <c r="G13" i="59"/>
  <c r="L12" i="59"/>
  <c r="D12" i="59"/>
  <c r="N10" i="59"/>
  <c r="F10" i="59"/>
  <c r="K9" i="59"/>
  <c r="C9" i="59"/>
  <c r="H8" i="59"/>
  <c r="M7" i="59"/>
  <c r="E7" i="59"/>
  <c r="G5" i="59"/>
  <c r="L4" i="59"/>
  <c r="D4" i="59"/>
  <c r="I19" i="59"/>
  <c r="J14" i="59"/>
  <c r="I11" i="59"/>
  <c r="I3" i="59"/>
  <c r="J21" i="59"/>
  <c r="L19" i="59"/>
  <c r="I18" i="59"/>
  <c r="K16" i="59"/>
  <c r="H15" i="59"/>
  <c r="E14" i="59"/>
  <c r="G12" i="59"/>
  <c r="D11" i="59"/>
  <c r="N9" i="59"/>
  <c r="F9" i="59"/>
  <c r="C8" i="59"/>
  <c r="I16" i="59"/>
  <c r="J2" i="59"/>
  <c r="H21" i="59"/>
  <c r="M20" i="59"/>
  <c r="E20" i="59"/>
  <c r="J19" i="59"/>
  <c r="G18" i="59"/>
  <c r="L17" i="59"/>
  <c r="D17" i="59"/>
  <c r="N15" i="59"/>
  <c r="F15" i="59"/>
  <c r="K14" i="59"/>
  <c r="C14" i="59"/>
  <c r="H13" i="59"/>
  <c r="M12" i="59"/>
  <c r="E12" i="59"/>
  <c r="J11" i="59"/>
  <c r="G10" i="59"/>
  <c r="L9" i="59"/>
  <c r="D9" i="59"/>
  <c r="N7" i="59"/>
  <c r="F7" i="59"/>
  <c r="K6" i="59"/>
  <c r="C6" i="59"/>
  <c r="H5" i="59"/>
  <c r="M4" i="59"/>
  <c r="E4" i="59"/>
  <c r="J3" i="59"/>
  <c r="M2" i="59"/>
  <c r="E2" i="59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D73" i="31"/>
  <c r="D74" i="31"/>
  <c r="D75" i="31"/>
  <c r="D76" i="31"/>
  <c r="D77" i="31"/>
  <c r="D78" i="31"/>
  <c r="D79" i="31"/>
  <c r="D80" i="31"/>
  <c r="D81" i="31"/>
  <c r="D82" i="31"/>
  <c r="D83" i="31"/>
  <c r="D84" i="31"/>
  <c r="D85" i="31"/>
  <c r="D86" i="31"/>
  <c r="D87" i="31"/>
  <c r="D88" i="31"/>
  <c r="D89" i="31"/>
  <c r="D90" i="31"/>
  <c r="D91" i="31"/>
  <c r="D92" i="31"/>
  <c r="D93" i="31"/>
  <c r="D94" i="31"/>
  <c r="D95" i="31"/>
  <c r="D96" i="31"/>
  <c r="D97" i="31"/>
  <c r="D98" i="31"/>
  <c r="D99" i="31"/>
  <c r="D100" i="31"/>
  <c r="D101" i="31"/>
  <c r="D102" i="31"/>
  <c r="D103" i="31"/>
  <c r="D104" i="31"/>
  <c r="R30" i="49" s="1"/>
  <c r="Q104" i="53" s="1"/>
  <c r="D105" i="31"/>
  <c r="R31" i="49" s="1"/>
  <c r="Q105" i="53" s="1"/>
  <c r="D106" i="31"/>
  <c r="R32" i="49" s="1"/>
  <c r="Q106" i="53" s="1"/>
  <c r="D107" i="31"/>
  <c r="D108" i="31"/>
  <c r="D109" i="31"/>
  <c r="R35" i="49" s="1"/>
  <c r="Q109" i="53" s="1"/>
  <c r="D110" i="31"/>
  <c r="D111" i="31"/>
  <c r="D112" i="31"/>
  <c r="R38" i="49" s="1"/>
  <c r="Q112" i="53" s="1"/>
  <c r="D113" i="31"/>
  <c r="R39" i="49" s="1"/>
  <c r="Q113" i="53" s="1"/>
  <c r="D114" i="31"/>
  <c r="D115" i="31"/>
  <c r="D116" i="31"/>
  <c r="D117" i="31"/>
  <c r="D118" i="31"/>
  <c r="D119" i="31"/>
  <c r="D120" i="31"/>
  <c r="R46" i="49" s="1"/>
  <c r="Q120" i="53" s="1"/>
  <c r="D121" i="31"/>
  <c r="R47" i="49" s="1"/>
  <c r="Q121" i="53" s="1"/>
  <c r="D122" i="31"/>
  <c r="R28" i="50" s="1"/>
  <c r="Q122" i="53" s="1"/>
  <c r="D123" i="31"/>
  <c r="D124" i="31"/>
  <c r="D125" i="31"/>
  <c r="R31" i="50" s="1"/>
  <c r="Q125" i="53" s="1"/>
  <c r="D126" i="31"/>
  <c r="D127" i="31"/>
  <c r="R33" i="50" s="1"/>
  <c r="Q127" i="53" s="1"/>
  <c r="D128" i="31"/>
  <c r="R34" i="50" s="1"/>
  <c r="Q128" i="53" s="1"/>
  <c r="D129" i="31"/>
  <c r="R35" i="50" s="1"/>
  <c r="Q129" i="53" s="1"/>
  <c r="D130" i="31"/>
  <c r="R36" i="50" s="1"/>
  <c r="Q130" i="53" s="1"/>
  <c r="D131" i="31"/>
  <c r="D132" i="31"/>
  <c r="D133" i="31"/>
  <c r="R39" i="50" s="1"/>
  <c r="Q133" i="53" s="1"/>
  <c r="D134" i="31"/>
  <c r="D135" i="31"/>
  <c r="R41" i="50" s="1"/>
  <c r="Q135" i="53" s="1"/>
  <c r="D136" i="31"/>
  <c r="R42" i="50" s="1"/>
  <c r="Q136" i="53" s="1"/>
  <c r="D137" i="31"/>
  <c r="R43" i="50" s="1"/>
  <c r="Q137" i="53" s="1"/>
  <c r="D138" i="31"/>
  <c r="R44" i="50" s="1"/>
  <c r="Q138" i="53" s="1"/>
  <c r="D139" i="31"/>
  <c r="D140" i="31"/>
  <c r="D141" i="31"/>
  <c r="R47" i="50" s="1"/>
  <c r="Q141" i="53" s="1"/>
  <c r="D2" i="31"/>
  <c r="R40" i="49"/>
  <c r="Q114" i="53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2" i="27"/>
  <c r="B19" i="21"/>
  <c r="B20" i="21"/>
  <c r="B21" i="21"/>
  <c r="B22" i="21"/>
  <c r="B23" i="21"/>
  <c r="B24" i="21"/>
  <c r="D27" i="50" s="1" a="1"/>
  <c r="B25" i="21"/>
  <c r="B26" i="21"/>
  <c r="B27" i="21"/>
  <c r="B28" i="21"/>
  <c r="B29" i="21"/>
  <c r="B30" i="21"/>
  <c r="B31" i="21"/>
  <c r="B32" i="21"/>
  <c r="W27" i="50" s="1" a="1"/>
  <c r="B33" i="21"/>
  <c r="W27" i="49" s="1" a="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D3" i="50" s="1" a="1"/>
  <c r="B49" i="21"/>
  <c r="D3" i="49" s="1" a="1"/>
  <c r="Q3" i="49" s="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W3" i="49" s="1" a="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AQ3" i="50" s="1" a="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D75" i="50" s="1" a="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W75" i="50" s="1" a="1"/>
  <c r="AB75" i="50" s="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AQ51" i="49" s="1" a="1"/>
  <c r="B137" i="21"/>
  <c r="B138" i="21"/>
  <c r="B139" i="21"/>
  <c r="B140" i="21"/>
  <c r="B141" i="21"/>
  <c r="B142" i="21"/>
  <c r="B143" i="21"/>
  <c r="B144" i="21"/>
  <c r="W51" i="50" s="1" a="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8" i="21"/>
  <c r="R3" i="53"/>
  <c r="R4" i="53"/>
  <c r="R5" i="53"/>
  <c r="R6" i="53"/>
  <c r="R7" i="53"/>
  <c r="R8" i="53"/>
  <c r="R9" i="53"/>
  <c r="R10" i="53"/>
  <c r="R11" i="53"/>
  <c r="R12" i="53"/>
  <c r="R13" i="53"/>
  <c r="R14" i="53"/>
  <c r="R15" i="53"/>
  <c r="R16" i="53"/>
  <c r="R17" i="53"/>
  <c r="R18" i="53"/>
  <c r="R19" i="53"/>
  <c r="R20" i="53"/>
  <c r="R21" i="53"/>
  <c r="R22" i="53"/>
  <c r="R23" i="53"/>
  <c r="R24" i="53"/>
  <c r="R25" i="53"/>
  <c r="R26" i="53"/>
  <c r="R27" i="53"/>
  <c r="R28" i="53"/>
  <c r="R29" i="53"/>
  <c r="R30" i="53"/>
  <c r="R31" i="53"/>
  <c r="R32" i="53"/>
  <c r="R33" i="53"/>
  <c r="R34" i="53"/>
  <c r="R35" i="53"/>
  <c r="R36" i="53"/>
  <c r="R37" i="53"/>
  <c r="R38" i="53"/>
  <c r="R39" i="53"/>
  <c r="R40" i="53"/>
  <c r="R41" i="53"/>
  <c r="R42" i="53"/>
  <c r="R43" i="53"/>
  <c r="R44" i="53"/>
  <c r="R45" i="53"/>
  <c r="R46" i="53"/>
  <c r="R47" i="53"/>
  <c r="R48" i="53"/>
  <c r="R49" i="53"/>
  <c r="R50" i="53"/>
  <c r="R51" i="53"/>
  <c r="R52" i="53"/>
  <c r="R53" i="53"/>
  <c r="R54" i="53"/>
  <c r="R55" i="53"/>
  <c r="R56" i="53"/>
  <c r="R57" i="53"/>
  <c r="R58" i="53"/>
  <c r="R59" i="53"/>
  <c r="R60" i="53"/>
  <c r="R61" i="53"/>
  <c r="R62" i="53"/>
  <c r="R63" i="53"/>
  <c r="R64" i="53"/>
  <c r="R65" i="53"/>
  <c r="R66" i="53"/>
  <c r="R67" i="53"/>
  <c r="R68" i="53"/>
  <c r="R69" i="53"/>
  <c r="R70" i="53"/>
  <c r="R71" i="53"/>
  <c r="R72" i="53"/>
  <c r="R73" i="53"/>
  <c r="R74" i="53"/>
  <c r="R75" i="53"/>
  <c r="R76" i="53"/>
  <c r="R77" i="53"/>
  <c r="R78" i="53"/>
  <c r="R79" i="53"/>
  <c r="R80" i="53"/>
  <c r="R81" i="53"/>
  <c r="R82" i="53"/>
  <c r="R83" i="53"/>
  <c r="R84" i="53"/>
  <c r="R85" i="53"/>
  <c r="R86" i="53"/>
  <c r="R87" i="53"/>
  <c r="R88" i="53"/>
  <c r="R89" i="53"/>
  <c r="R90" i="53"/>
  <c r="R91" i="53"/>
  <c r="R92" i="53"/>
  <c r="R93" i="53"/>
  <c r="R94" i="53"/>
  <c r="R95" i="53"/>
  <c r="R96" i="53"/>
  <c r="R97" i="53"/>
  <c r="R98" i="53"/>
  <c r="R99" i="53"/>
  <c r="R100" i="53"/>
  <c r="R101" i="53"/>
  <c r="R102" i="53"/>
  <c r="R103" i="53"/>
  <c r="R104" i="53"/>
  <c r="R105" i="53"/>
  <c r="R106" i="53"/>
  <c r="R107" i="53"/>
  <c r="R108" i="53"/>
  <c r="R109" i="53"/>
  <c r="R110" i="53"/>
  <c r="R111" i="53"/>
  <c r="R112" i="53"/>
  <c r="R113" i="53"/>
  <c r="R114" i="53"/>
  <c r="R115" i="53"/>
  <c r="R116" i="53"/>
  <c r="R117" i="53"/>
  <c r="R118" i="53"/>
  <c r="R119" i="53"/>
  <c r="R120" i="53"/>
  <c r="R121" i="53"/>
  <c r="R122" i="53"/>
  <c r="R123" i="53"/>
  <c r="R124" i="53"/>
  <c r="R125" i="53"/>
  <c r="R126" i="53"/>
  <c r="R127" i="53"/>
  <c r="R128" i="53"/>
  <c r="R129" i="53"/>
  <c r="R130" i="53"/>
  <c r="R131" i="53"/>
  <c r="R132" i="53"/>
  <c r="R133" i="53"/>
  <c r="R134" i="53"/>
  <c r="R135" i="53"/>
  <c r="R136" i="53"/>
  <c r="R137" i="53"/>
  <c r="R138" i="53"/>
  <c r="R139" i="53"/>
  <c r="R140" i="53"/>
  <c r="R141" i="53"/>
  <c r="R2" i="53"/>
  <c r="B1" i="58"/>
  <c r="A1" i="58"/>
  <c r="B1" i="57"/>
  <c r="A1" i="57"/>
  <c r="O141" i="56"/>
  <c r="O140" i="56"/>
  <c r="O139" i="56"/>
  <c r="O138" i="56"/>
  <c r="O137" i="56"/>
  <c r="O136" i="56"/>
  <c r="O135" i="56"/>
  <c r="O134" i="56"/>
  <c r="O133" i="56"/>
  <c r="O132" i="56"/>
  <c r="O131" i="56"/>
  <c r="O130" i="56"/>
  <c r="O129" i="56"/>
  <c r="O128" i="56"/>
  <c r="O127" i="56"/>
  <c r="O126" i="56"/>
  <c r="O125" i="56"/>
  <c r="O124" i="56"/>
  <c r="O123" i="56"/>
  <c r="O122" i="56"/>
  <c r="O121" i="56"/>
  <c r="O120" i="56"/>
  <c r="O119" i="56"/>
  <c r="O118" i="56"/>
  <c r="O117" i="56"/>
  <c r="O116" i="56"/>
  <c r="O115" i="56"/>
  <c r="O114" i="56"/>
  <c r="O113" i="56"/>
  <c r="O112" i="56"/>
  <c r="O111" i="56"/>
  <c r="O110" i="56"/>
  <c r="O109" i="56"/>
  <c r="O108" i="56"/>
  <c r="O107" i="56"/>
  <c r="O106" i="56"/>
  <c r="O105" i="56"/>
  <c r="O104" i="56"/>
  <c r="O103" i="56"/>
  <c r="O102" i="56"/>
  <c r="O101" i="56"/>
  <c r="O100" i="56"/>
  <c r="O99" i="56"/>
  <c r="O98" i="56"/>
  <c r="O97" i="56"/>
  <c r="O96" i="56"/>
  <c r="O95" i="56"/>
  <c r="O94" i="56"/>
  <c r="O93" i="56"/>
  <c r="O92" i="56"/>
  <c r="O91" i="56"/>
  <c r="O90" i="56"/>
  <c r="O89" i="56"/>
  <c r="O88" i="56"/>
  <c r="O87" i="56"/>
  <c r="O86" i="56"/>
  <c r="O85" i="56"/>
  <c r="O84" i="56"/>
  <c r="O83" i="56"/>
  <c r="O82" i="56"/>
  <c r="O61" i="56"/>
  <c r="O60" i="56"/>
  <c r="O59" i="56"/>
  <c r="O58" i="56"/>
  <c r="O57" i="56"/>
  <c r="O56" i="56"/>
  <c r="O55" i="56"/>
  <c r="O54" i="56"/>
  <c r="O53" i="56"/>
  <c r="O52" i="56"/>
  <c r="O51" i="56"/>
  <c r="O50" i="56"/>
  <c r="O49" i="56"/>
  <c r="O48" i="56"/>
  <c r="O47" i="56"/>
  <c r="O46" i="56"/>
  <c r="O45" i="56"/>
  <c r="O44" i="56"/>
  <c r="O43" i="56"/>
  <c r="O42" i="56"/>
  <c r="O41" i="56"/>
  <c r="O40" i="56"/>
  <c r="O39" i="56"/>
  <c r="O38" i="56"/>
  <c r="O37" i="56"/>
  <c r="O36" i="56"/>
  <c r="O35" i="56"/>
  <c r="O34" i="56"/>
  <c r="O33" i="56"/>
  <c r="O32" i="56"/>
  <c r="O31" i="56"/>
  <c r="O30" i="56"/>
  <c r="O29" i="56"/>
  <c r="O28" i="56"/>
  <c r="O27" i="56"/>
  <c r="O26" i="56"/>
  <c r="O25" i="56"/>
  <c r="O24" i="56"/>
  <c r="O23" i="56"/>
  <c r="O22" i="56"/>
  <c r="B1" i="56"/>
  <c r="A1" i="56"/>
  <c r="B1" i="55"/>
  <c r="A1" i="55"/>
  <c r="O41" i="54"/>
  <c r="O40" i="54"/>
  <c r="O39" i="54"/>
  <c r="O38" i="54"/>
  <c r="O37" i="54"/>
  <c r="O36" i="54"/>
  <c r="O35" i="54"/>
  <c r="O34" i="54"/>
  <c r="O33" i="54"/>
  <c r="O32" i="54"/>
  <c r="O31" i="54"/>
  <c r="O30" i="54"/>
  <c r="O29" i="54"/>
  <c r="O28" i="54"/>
  <c r="O27" i="54"/>
  <c r="O26" i="54"/>
  <c r="O25" i="54"/>
  <c r="O24" i="54"/>
  <c r="O23" i="54"/>
  <c r="O22" i="54"/>
  <c r="B1" i="54"/>
  <c r="A1" i="54"/>
  <c r="B1" i="53"/>
  <c r="A1" i="53"/>
  <c r="J122" i="52"/>
  <c r="I122" i="52"/>
  <c r="H122" i="52"/>
  <c r="G122" i="52"/>
  <c r="F122" i="52"/>
  <c r="E122" i="52"/>
  <c r="D122" i="52"/>
  <c r="C122" i="52"/>
  <c r="J102" i="52"/>
  <c r="I102" i="52"/>
  <c r="H102" i="52"/>
  <c r="G102" i="52"/>
  <c r="F102" i="52"/>
  <c r="E102" i="52"/>
  <c r="D102" i="52"/>
  <c r="C102" i="52"/>
  <c r="J82" i="52"/>
  <c r="I82" i="52"/>
  <c r="H82" i="52"/>
  <c r="G82" i="52"/>
  <c r="F82" i="52"/>
  <c r="E82" i="52"/>
  <c r="D82" i="52"/>
  <c r="C82" i="52"/>
  <c r="J62" i="52"/>
  <c r="I62" i="52"/>
  <c r="H62" i="52"/>
  <c r="G62" i="52"/>
  <c r="F62" i="52"/>
  <c r="E62" i="52"/>
  <c r="D62" i="52"/>
  <c r="C62" i="52"/>
  <c r="J42" i="52"/>
  <c r="I42" i="52"/>
  <c r="H42" i="52"/>
  <c r="G42" i="52"/>
  <c r="F42" i="52"/>
  <c r="E42" i="52"/>
  <c r="D42" i="52"/>
  <c r="C42" i="52"/>
  <c r="I22" i="52"/>
  <c r="H22" i="52"/>
  <c r="G22" i="52"/>
  <c r="F22" i="52"/>
  <c r="E22" i="52"/>
  <c r="D22" i="52"/>
  <c r="C22" i="52"/>
  <c r="C2" i="52" s="1"/>
  <c r="I2" i="52"/>
  <c r="H2" i="52"/>
  <c r="G2" i="52"/>
  <c r="F2" i="52"/>
  <c r="E2" i="52"/>
  <c r="D2" i="52"/>
  <c r="B1" i="52"/>
  <c r="A1" i="52"/>
  <c r="O122" i="51"/>
  <c r="N122" i="51"/>
  <c r="M122" i="51"/>
  <c r="K122" i="51"/>
  <c r="O102" i="51"/>
  <c r="N102" i="51"/>
  <c r="M102" i="51"/>
  <c r="K102" i="51"/>
  <c r="O82" i="51"/>
  <c r="N82" i="51"/>
  <c r="M82" i="51"/>
  <c r="K82" i="51"/>
  <c r="O62" i="51"/>
  <c r="N62" i="51"/>
  <c r="M62" i="51"/>
  <c r="K62" i="51"/>
  <c r="O42" i="51"/>
  <c r="N42" i="51"/>
  <c r="M42" i="51"/>
  <c r="K42" i="51"/>
  <c r="O22" i="51"/>
  <c r="N22" i="51"/>
  <c r="M22" i="51"/>
  <c r="K22" i="51"/>
  <c r="O2" i="51"/>
  <c r="N2" i="51"/>
  <c r="M2" i="51"/>
  <c r="K2" i="51"/>
  <c r="B1" i="51"/>
  <c r="A1" i="51"/>
  <c r="BM29" i="50"/>
  <c r="BM30" i="50"/>
  <c r="BN30" i="50" s="1"/>
  <c r="BQ30" i="50" s="1"/>
  <c r="BM31" i="50"/>
  <c r="BN31" i="50" s="1"/>
  <c r="BM32" i="50"/>
  <c r="BN32" i="50" s="1"/>
  <c r="BM33" i="50"/>
  <c r="BN33" i="50" s="1"/>
  <c r="BM34" i="50"/>
  <c r="BM35" i="50"/>
  <c r="BN35" i="50" s="1"/>
  <c r="BT35" i="50" s="1"/>
  <c r="BM36" i="50"/>
  <c r="BN36" i="50" s="1"/>
  <c r="BM37" i="50"/>
  <c r="BM28" i="50"/>
  <c r="BN28" i="50" s="1"/>
  <c r="R29" i="50"/>
  <c r="Q123" i="53" s="1"/>
  <c r="R30" i="50"/>
  <c r="Q124" i="53" s="1"/>
  <c r="R32" i="50"/>
  <c r="Q126" i="53" s="1"/>
  <c r="R37" i="50"/>
  <c r="Q131" i="53" s="1"/>
  <c r="R38" i="50"/>
  <c r="Q132" i="53" s="1"/>
  <c r="R40" i="50"/>
  <c r="Q134" i="53" s="1"/>
  <c r="R45" i="50"/>
  <c r="Q139" i="53" s="1"/>
  <c r="R46" i="50"/>
  <c r="Q140" i="53" s="1"/>
  <c r="AV4" i="50"/>
  <c r="AW4" i="50"/>
  <c r="AW5" i="50" s="1"/>
  <c r="AW6" i="50" s="1"/>
  <c r="AW7" i="50" s="1"/>
  <c r="AW8" i="50" s="1"/>
  <c r="AW9" i="50" s="1"/>
  <c r="AW10" i="50" s="1"/>
  <c r="AW11" i="50" s="1"/>
  <c r="AW12" i="50" s="1"/>
  <c r="AW13" i="50" s="1"/>
  <c r="AW14" i="50" s="1"/>
  <c r="AW15" i="50" s="1"/>
  <c r="AW16" i="50" s="1"/>
  <c r="AW17" i="50" s="1"/>
  <c r="AW18" i="50" s="1"/>
  <c r="AW19" i="50" s="1"/>
  <c r="AW20" i="50" s="1"/>
  <c r="AW21" i="50" s="1"/>
  <c r="AW22" i="50" s="1"/>
  <c r="AW23" i="50" s="1"/>
  <c r="E141" i="52" s="1"/>
  <c r="AX4" i="50"/>
  <c r="AY4" i="50"/>
  <c r="AY5" i="50" s="1"/>
  <c r="AY6" i="50" s="1"/>
  <c r="AY7" i="50" s="1"/>
  <c r="AY8" i="50" s="1"/>
  <c r="AY9" i="50" s="1"/>
  <c r="AY10" i="50" s="1"/>
  <c r="AY11" i="50" s="1"/>
  <c r="AY12" i="50" s="1"/>
  <c r="AY13" i="50" s="1"/>
  <c r="AY14" i="50" s="1"/>
  <c r="AY15" i="50" s="1"/>
  <c r="AY16" i="50" s="1"/>
  <c r="AY17" i="50" s="1"/>
  <c r="AY18" i="50" s="1"/>
  <c r="AY19" i="50" s="1"/>
  <c r="AY20" i="50" s="1"/>
  <c r="AY21" i="50" s="1"/>
  <c r="AY22" i="50" s="1"/>
  <c r="AY23" i="50" s="1"/>
  <c r="G141" i="52" s="1"/>
  <c r="AZ4" i="50"/>
  <c r="BA4" i="50"/>
  <c r="AU4" i="50"/>
  <c r="L4" i="50"/>
  <c r="N4" i="50"/>
  <c r="O4" i="50"/>
  <c r="C4" i="50"/>
  <c r="B122" i="51" s="1"/>
  <c r="B4" i="50"/>
  <c r="V75" i="50"/>
  <c r="U75" i="50"/>
  <c r="U75" i="50" a="1"/>
  <c r="E75" i="50"/>
  <c r="C75" i="50"/>
  <c r="B75" i="50" a="1"/>
  <c r="B75" i="50" s="1"/>
  <c r="CA71" i="50"/>
  <c r="BZ71" i="50"/>
  <c r="BY71" i="50"/>
  <c r="BX71" i="50"/>
  <c r="BW71" i="50"/>
  <c r="BV71" i="50"/>
  <c r="BU71" i="50"/>
  <c r="BT71" i="50"/>
  <c r="BS71" i="50"/>
  <c r="BR71" i="50"/>
  <c r="BQ71" i="50"/>
  <c r="BP71" i="50"/>
  <c r="BO71" i="50"/>
  <c r="BN71" i="50"/>
  <c r="BM71" i="50"/>
  <c r="BL71" i="50"/>
  <c r="BK71" i="50"/>
  <c r="BJ71" i="50"/>
  <c r="BI71" i="50"/>
  <c r="CA70" i="50"/>
  <c r="BZ70" i="50"/>
  <c r="BY70" i="50"/>
  <c r="BX70" i="50"/>
  <c r="BW70" i="50"/>
  <c r="BV70" i="50"/>
  <c r="BU70" i="50"/>
  <c r="BT70" i="50"/>
  <c r="BS70" i="50"/>
  <c r="BR70" i="50"/>
  <c r="BQ70" i="50"/>
  <c r="BP70" i="50"/>
  <c r="BO70" i="50"/>
  <c r="BN70" i="50"/>
  <c r="BM70" i="50"/>
  <c r="BL70" i="50"/>
  <c r="BK70" i="50"/>
  <c r="BJ70" i="50"/>
  <c r="BI70" i="50"/>
  <c r="CA57" i="50"/>
  <c r="BZ57" i="50"/>
  <c r="BY57" i="50"/>
  <c r="BX57" i="50"/>
  <c r="BW57" i="50"/>
  <c r="BV57" i="50"/>
  <c r="BU57" i="50"/>
  <c r="BT57" i="50"/>
  <c r="BS57" i="50"/>
  <c r="BR57" i="50"/>
  <c r="BQ57" i="50"/>
  <c r="BP57" i="50"/>
  <c r="BO57" i="50"/>
  <c r="BN57" i="50"/>
  <c r="BM57" i="50"/>
  <c r="BL57" i="50"/>
  <c r="BK57" i="50"/>
  <c r="BJ57" i="50"/>
  <c r="CA56" i="50"/>
  <c r="BZ56" i="50"/>
  <c r="BY56" i="50"/>
  <c r="BX56" i="50"/>
  <c r="BW56" i="50"/>
  <c r="BV56" i="50"/>
  <c r="BU56" i="50"/>
  <c r="BT56" i="50"/>
  <c r="BS56" i="50"/>
  <c r="BR56" i="50"/>
  <c r="BQ56" i="50"/>
  <c r="BP56" i="50"/>
  <c r="BO56" i="50"/>
  <c r="BN56" i="50"/>
  <c r="BM56" i="50"/>
  <c r="BL56" i="50"/>
  <c r="BK56" i="50"/>
  <c r="BJ56" i="50"/>
  <c r="BI56" i="50"/>
  <c r="AP51" i="50"/>
  <c r="AO51" i="50" a="1"/>
  <c r="AO51" i="50" s="1"/>
  <c r="V51" i="50"/>
  <c r="U51" i="50" a="1"/>
  <c r="U51" i="50" s="1"/>
  <c r="C51" i="50"/>
  <c r="B51" i="50" a="1"/>
  <c r="B51" i="50" s="1"/>
  <c r="BN37" i="50"/>
  <c r="BQ37" i="50" s="1"/>
  <c r="BH36" i="50"/>
  <c r="BH35" i="50"/>
  <c r="BN34" i="50"/>
  <c r="BT34" i="50" s="1"/>
  <c r="BH34" i="50"/>
  <c r="BH31" i="50"/>
  <c r="BH30" i="50"/>
  <c r="BZ29" i="50"/>
  <c r="BZ30" i="50" s="1"/>
  <c r="BZ31" i="50" s="1"/>
  <c r="BZ32" i="50" s="1"/>
  <c r="BZ33" i="50" s="1"/>
  <c r="BZ34" i="50" s="1"/>
  <c r="BZ35" i="50" s="1"/>
  <c r="BZ36" i="50" s="1"/>
  <c r="BZ37" i="50" s="1"/>
  <c r="BZ38" i="50" s="1"/>
  <c r="BZ39" i="50" s="1"/>
  <c r="BZ40" i="50" s="1"/>
  <c r="BZ41" i="50" s="1"/>
  <c r="BZ42" i="50" s="1"/>
  <c r="BZ43" i="50" s="1"/>
  <c r="BZ44" i="50" s="1"/>
  <c r="BZ45" i="50" s="1"/>
  <c r="BZ46" i="50" s="1"/>
  <c r="BZ47" i="50" s="1"/>
  <c r="BN29" i="50"/>
  <c r="BT29" i="50" s="1"/>
  <c r="BM27" i="50"/>
  <c r="AT27" i="50"/>
  <c r="AS27" i="50"/>
  <c r="AR27" i="50"/>
  <c r="AQ27" i="50" a="1"/>
  <c r="AQ27" i="50" s="1"/>
  <c r="AI27" i="50"/>
  <c r="X27" i="50"/>
  <c r="C27" i="50"/>
  <c r="B27" i="50"/>
  <c r="B27" i="50" a="1"/>
  <c r="BA5" i="50"/>
  <c r="BA6" i="50" s="1"/>
  <c r="BA7" i="50" s="1"/>
  <c r="BA8" i="50" s="1"/>
  <c r="BA9" i="50" s="1"/>
  <c r="BA10" i="50" s="1"/>
  <c r="BA11" i="50" s="1"/>
  <c r="BA12" i="50" s="1"/>
  <c r="BA13" i="50" s="1"/>
  <c r="BA14" i="50" s="1"/>
  <c r="BA15" i="50" s="1"/>
  <c r="BA16" i="50" s="1"/>
  <c r="BA17" i="50" s="1"/>
  <c r="BA18" i="50" s="1"/>
  <c r="BA19" i="50" s="1"/>
  <c r="BA20" i="50" s="1"/>
  <c r="BA21" i="50" s="1"/>
  <c r="BA22" i="50" s="1"/>
  <c r="BA23" i="50" s="1"/>
  <c r="I141" i="52" s="1"/>
  <c r="AZ5" i="50"/>
  <c r="AZ6" i="50" s="1"/>
  <c r="AZ7" i="50" s="1"/>
  <c r="AZ8" i="50" s="1"/>
  <c r="AZ9" i="50" s="1"/>
  <c r="AZ10" i="50" s="1"/>
  <c r="AZ11" i="50" s="1"/>
  <c r="AZ12" i="50" s="1"/>
  <c r="AZ13" i="50" s="1"/>
  <c r="AZ14" i="50" s="1"/>
  <c r="AZ15" i="50" s="1"/>
  <c r="AZ16" i="50" s="1"/>
  <c r="AZ17" i="50" s="1"/>
  <c r="AZ18" i="50" s="1"/>
  <c r="AZ19" i="50" s="1"/>
  <c r="AZ20" i="50" s="1"/>
  <c r="AZ21" i="50" s="1"/>
  <c r="AZ22" i="50" s="1"/>
  <c r="AZ23" i="50" s="1"/>
  <c r="H141" i="52" s="1"/>
  <c r="N5" i="50"/>
  <c r="M123" i="51" s="1"/>
  <c r="L5" i="50"/>
  <c r="L6" i="50" s="1"/>
  <c r="K124" i="51" s="1"/>
  <c r="AX5" i="50"/>
  <c r="AX6" i="50" s="1"/>
  <c r="AX7" i="50" s="1"/>
  <c r="AX8" i="50" s="1"/>
  <c r="AX9" i="50" s="1"/>
  <c r="AX10" i="50" s="1"/>
  <c r="AX11" i="50" s="1"/>
  <c r="AX12" i="50" s="1"/>
  <c r="AX13" i="50" s="1"/>
  <c r="AX14" i="50" s="1"/>
  <c r="AX15" i="50" s="1"/>
  <c r="AX16" i="50" s="1"/>
  <c r="AX17" i="50" s="1"/>
  <c r="AX18" i="50" s="1"/>
  <c r="AX19" i="50" s="1"/>
  <c r="AX20" i="50" s="1"/>
  <c r="AX21" i="50" s="1"/>
  <c r="AX22" i="50" s="1"/>
  <c r="AX23" i="50" s="1"/>
  <c r="F141" i="52" s="1"/>
  <c r="BD4" i="50"/>
  <c r="AU5" i="50"/>
  <c r="C123" i="52" s="1"/>
  <c r="AJ4" i="50"/>
  <c r="O5" i="50"/>
  <c r="N123" i="51" s="1"/>
  <c r="AR3" i="50"/>
  <c r="AP3" i="50"/>
  <c r="AO3" i="50" a="1"/>
  <c r="AO3" i="50" s="1"/>
  <c r="BH3" i="50" s="1" a="1"/>
  <c r="V3" i="50"/>
  <c r="U3" i="50" a="1"/>
  <c r="U3" i="50" s="1"/>
  <c r="I3" i="50"/>
  <c r="B3" i="50"/>
  <c r="B3" i="50" a="1"/>
  <c r="C3" i="50" s="1"/>
  <c r="BM29" i="49"/>
  <c r="BN29" i="49" s="1"/>
  <c r="BM30" i="49"/>
  <c r="BM31" i="49"/>
  <c r="BN31" i="49" s="1"/>
  <c r="BM32" i="49"/>
  <c r="BN32" i="49" s="1"/>
  <c r="BT32" i="49" s="1"/>
  <c r="BM33" i="49"/>
  <c r="BN33" i="49" s="1"/>
  <c r="BT33" i="49" s="1"/>
  <c r="BM34" i="49"/>
  <c r="BN34" i="49" s="1"/>
  <c r="BQ34" i="49" s="1"/>
  <c r="BM35" i="49"/>
  <c r="BN35" i="49" s="1"/>
  <c r="BT35" i="49" s="1"/>
  <c r="BM36" i="49"/>
  <c r="BN36" i="49" s="1"/>
  <c r="BT36" i="49" s="1"/>
  <c r="BM37" i="49"/>
  <c r="BN37" i="49" s="1"/>
  <c r="BM28" i="49"/>
  <c r="BN28" i="49" s="1"/>
  <c r="R29" i="49"/>
  <c r="Q103" i="53" s="1"/>
  <c r="R33" i="49"/>
  <c r="Q107" i="53" s="1"/>
  <c r="R34" i="49"/>
  <c r="Q108" i="53" s="1"/>
  <c r="R36" i="49"/>
  <c r="Q110" i="53" s="1"/>
  <c r="R37" i="49"/>
  <c r="Q111" i="53" s="1"/>
  <c r="R41" i="49"/>
  <c r="Q115" i="53" s="1"/>
  <c r="R42" i="49"/>
  <c r="Q116" i="53" s="1"/>
  <c r="R43" i="49"/>
  <c r="Q117" i="53" s="1"/>
  <c r="R44" i="49"/>
  <c r="Q118" i="53" s="1"/>
  <c r="R45" i="49"/>
  <c r="Q119" i="53" s="1"/>
  <c r="R28" i="49"/>
  <c r="Q102" i="53" s="1"/>
  <c r="AU5" i="49"/>
  <c r="AU6" i="49" s="1"/>
  <c r="AU7" i="49" s="1"/>
  <c r="AU8" i="49" s="1"/>
  <c r="AU9" i="49" s="1"/>
  <c r="AU10" i="49" s="1"/>
  <c r="AU11" i="49" s="1"/>
  <c r="AU12" i="49" s="1"/>
  <c r="AU13" i="49" s="1"/>
  <c r="AU14" i="49" s="1"/>
  <c r="AU15" i="49" s="1"/>
  <c r="AU16" i="49" s="1"/>
  <c r="AU17" i="49" s="1"/>
  <c r="AU18" i="49" s="1"/>
  <c r="AU19" i="49" s="1"/>
  <c r="AU20" i="49" s="1"/>
  <c r="AU21" i="49" s="1"/>
  <c r="AU22" i="49" s="1"/>
  <c r="AU23" i="49" s="1"/>
  <c r="C121" i="52" s="1"/>
  <c r="AV5" i="49"/>
  <c r="AV6" i="49" s="1"/>
  <c r="AV7" i="49" s="1"/>
  <c r="AV8" i="49" s="1"/>
  <c r="AV9" i="49" s="1"/>
  <c r="AV10" i="49" s="1"/>
  <c r="AV11" i="49" s="1"/>
  <c r="AV12" i="49" s="1"/>
  <c r="AV13" i="49" s="1"/>
  <c r="AV14" i="49" s="1"/>
  <c r="AV15" i="49" s="1"/>
  <c r="AV16" i="49" s="1"/>
  <c r="AV17" i="49" s="1"/>
  <c r="AV18" i="49" s="1"/>
  <c r="AV19" i="49" s="1"/>
  <c r="AV20" i="49" s="1"/>
  <c r="AV21" i="49" s="1"/>
  <c r="AV22" i="49" s="1"/>
  <c r="AV23" i="49" s="1"/>
  <c r="D121" i="52" s="1"/>
  <c r="AW5" i="49"/>
  <c r="AW6" i="49" s="1"/>
  <c r="AW7" i="49" s="1"/>
  <c r="AW8" i="49" s="1"/>
  <c r="AW9" i="49" s="1"/>
  <c r="AW10" i="49" s="1"/>
  <c r="AW11" i="49" s="1"/>
  <c r="AW12" i="49" s="1"/>
  <c r="AW13" i="49" s="1"/>
  <c r="AW14" i="49" s="1"/>
  <c r="AW15" i="49" s="1"/>
  <c r="AW16" i="49" s="1"/>
  <c r="AW17" i="49" s="1"/>
  <c r="AW18" i="49" s="1"/>
  <c r="AW19" i="49" s="1"/>
  <c r="AW20" i="49" s="1"/>
  <c r="AW21" i="49" s="1"/>
  <c r="AW22" i="49" s="1"/>
  <c r="AW23" i="49" s="1"/>
  <c r="E121" i="52" s="1"/>
  <c r="AX5" i="49"/>
  <c r="AX6" i="49" s="1"/>
  <c r="AX7" i="49" s="1"/>
  <c r="AX8" i="49" s="1"/>
  <c r="AX9" i="49" s="1"/>
  <c r="AX10" i="49" s="1"/>
  <c r="AX11" i="49" s="1"/>
  <c r="AX12" i="49" s="1"/>
  <c r="AX13" i="49" s="1"/>
  <c r="AX14" i="49" s="1"/>
  <c r="AX15" i="49" s="1"/>
  <c r="AX16" i="49" s="1"/>
  <c r="AX17" i="49" s="1"/>
  <c r="AX18" i="49" s="1"/>
  <c r="AX19" i="49" s="1"/>
  <c r="AX20" i="49" s="1"/>
  <c r="AX21" i="49" s="1"/>
  <c r="AX22" i="49" s="1"/>
  <c r="AX23" i="49" s="1"/>
  <c r="F121" i="52" s="1"/>
  <c r="AY5" i="49"/>
  <c r="AY6" i="49" s="1"/>
  <c r="AY7" i="49" s="1"/>
  <c r="AY8" i="49" s="1"/>
  <c r="AY9" i="49" s="1"/>
  <c r="AY10" i="49" s="1"/>
  <c r="AY11" i="49" s="1"/>
  <c r="AY12" i="49" s="1"/>
  <c r="AY13" i="49" s="1"/>
  <c r="AY14" i="49" s="1"/>
  <c r="AY15" i="49" s="1"/>
  <c r="AY16" i="49" s="1"/>
  <c r="AY17" i="49" s="1"/>
  <c r="AY18" i="49" s="1"/>
  <c r="AY19" i="49" s="1"/>
  <c r="AY20" i="49" s="1"/>
  <c r="AY21" i="49" s="1"/>
  <c r="AY22" i="49" s="1"/>
  <c r="AY23" i="49" s="1"/>
  <c r="G121" i="52" s="1"/>
  <c r="AZ5" i="49"/>
  <c r="AZ6" i="49" s="1"/>
  <c r="AZ7" i="49" s="1"/>
  <c r="AZ8" i="49" s="1"/>
  <c r="AZ9" i="49" s="1"/>
  <c r="AZ10" i="49" s="1"/>
  <c r="AZ11" i="49" s="1"/>
  <c r="AZ12" i="49" s="1"/>
  <c r="AZ13" i="49" s="1"/>
  <c r="AZ14" i="49" s="1"/>
  <c r="AZ15" i="49" s="1"/>
  <c r="AZ16" i="49" s="1"/>
  <c r="AZ17" i="49" s="1"/>
  <c r="AZ18" i="49" s="1"/>
  <c r="AZ19" i="49" s="1"/>
  <c r="AZ20" i="49" s="1"/>
  <c r="AZ21" i="49" s="1"/>
  <c r="AZ22" i="49" s="1"/>
  <c r="AZ23" i="49" s="1"/>
  <c r="H121" i="52" s="1"/>
  <c r="BA5" i="49"/>
  <c r="BA6" i="49" s="1"/>
  <c r="BA7" i="49" s="1"/>
  <c r="BA8" i="49" s="1"/>
  <c r="BA9" i="49" s="1"/>
  <c r="BA10" i="49" s="1"/>
  <c r="BA11" i="49" s="1"/>
  <c r="BA12" i="49" s="1"/>
  <c r="BA13" i="49" s="1"/>
  <c r="BA14" i="49" s="1"/>
  <c r="BA15" i="49" s="1"/>
  <c r="BA16" i="49" s="1"/>
  <c r="BA17" i="49" s="1"/>
  <c r="BA18" i="49" s="1"/>
  <c r="BA19" i="49" s="1"/>
  <c r="BA20" i="49" s="1"/>
  <c r="BA21" i="49" s="1"/>
  <c r="BA22" i="49" s="1"/>
  <c r="BA23" i="49" s="1"/>
  <c r="I121" i="52" s="1"/>
  <c r="BA4" i="49"/>
  <c r="AV4" i="49"/>
  <c r="AW4" i="49"/>
  <c r="AX4" i="49"/>
  <c r="AY4" i="49"/>
  <c r="AZ4" i="49"/>
  <c r="AU4" i="49"/>
  <c r="L4" i="49"/>
  <c r="N4" i="49"/>
  <c r="O4" i="49"/>
  <c r="C4" i="49"/>
  <c r="B102" i="51" s="1"/>
  <c r="B4" i="49"/>
  <c r="B5" i="49" s="1"/>
  <c r="A103" i="51" s="1"/>
  <c r="U75" i="49"/>
  <c r="U75" i="49" a="1"/>
  <c r="V75" i="49" s="1"/>
  <c r="C75" i="49"/>
  <c r="B75" i="49"/>
  <c r="B75" i="49" a="1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K70" i="49"/>
  <c r="BJ70" i="49"/>
  <c r="BI70" i="49"/>
  <c r="CA57" i="49"/>
  <c r="BZ57" i="49"/>
  <c r="BY57" i="49"/>
  <c r="BX57" i="49"/>
  <c r="BW57" i="49"/>
  <c r="BV57" i="49"/>
  <c r="BU57" i="49"/>
  <c r="BT57" i="49"/>
  <c r="BS57" i="49"/>
  <c r="BR57" i="49"/>
  <c r="BQ57" i="49"/>
  <c r="BP57" i="49"/>
  <c r="BO57" i="49"/>
  <c r="BN57" i="49"/>
  <c r="BM57" i="49"/>
  <c r="BL57" i="49"/>
  <c r="BK57" i="49"/>
  <c r="BJ57" i="49"/>
  <c r="CA56" i="49"/>
  <c r="BZ56" i="49"/>
  <c r="BY56" i="49"/>
  <c r="BX56" i="49"/>
  <c r="BW56" i="49"/>
  <c r="BV56" i="49"/>
  <c r="BU56" i="49"/>
  <c r="BT56" i="49"/>
  <c r="BS56" i="49"/>
  <c r="BR56" i="49"/>
  <c r="BQ56" i="49"/>
  <c r="BP56" i="49"/>
  <c r="BO56" i="49"/>
  <c r="BN56" i="49"/>
  <c r="BM56" i="49"/>
  <c r="BL56" i="49"/>
  <c r="BK56" i="49"/>
  <c r="BJ56" i="49"/>
  <c r="BI56" i="49"/>
  <c r="AL54" i="49"/>
  <c r="AL55" i="49" s="1"/>
  <c r="AL56" i="49" s="1"/>
  <c r="AL57" i="49" s="1"/>
  <c r="AL58" i="49" s="1"/>
  <c r="AL59" i="49" s="1"/>
  <c r="AL60" i="49" s="1"/>
  <c r="AL61" i="49" s="1"/>
  <c r="AL62" i="49" s="1"/>
  <c r="AL63" i="49" s="1"/>
  <c r="AL64" i="49" s="1"/>
  <c r="AL65" i="49" s="1"/>
  <c r="AL66" i="49" s="1"/>
  <c r="AL67" i="49" s="1"/>
  <c r="AL68" i="49" s="1"/>
  <c r="AL69" i="49" s="1"/>
  <c r="AL70" i="49" s="1"/>
  <c r="AL71" i="49" s="1"/>
  <c r="AP51" i="49"/>
  <c r="AO51" i="49" a="1"/>
  <c r="AO51" i="49" s="1"/>
  <c r="W51" i="49" a="1"/>
  <c r="U51" i="49" a="1"/>
  <c r="V51" i="49" s="1"/>
  <c r="C51" i="49"/>
  <c r="B51" i="49"/>
  <c r="B51" i="49" a="1"/>
  <c r="BH36" i="49"/>
  <c r="BH35" i="49"/>
  <c r="BH34" i="49"/>
  <c r="BH31" i="49"/>
  <c r="BN30" i="49"/>
  <c r="BQ30" i="49" s="1"/>
  <c r="BH30" i="49"/>
  <c r="BZ29" i="49"/>
  <c r="BZ30" i="49" s="1"/>
  <c r="BZ31" i="49" s="1"/>
  <c r="BZ32" i="49" s="1"/>
  <c r="BZ33" i="49" s="1"/>
  <c r="BZ34" i="49" s="1"/>
  <c r="BZ35" i="49" s="1"/>
  <c r="BZ36" i="49" s="1"/>
  <c r="BZ37" i="49" s="1"/>
  <c r="BZ38" i="49" s="1"/>
  <c r="BZ39" i="49" s="1"/>
  <c r="BZ40" i="49" s="1"/>
  <c r="BZ41" i="49" s="1"/>
  <c r="BZ42" i="49" s="1"/>
  <c r="BZ43" i="49" s="1"/>
  <c r="BZ44" i="49" s="1"/>
  <c r="BZ45" i="49" s="1"/>
  <c r="BZ46" i="49" s="1"/>
  <c r="BZ47" i="49" s="1"/>
  <c r="BX28" i="49"/>
  <c r="BM27" i="49"/>
  <c r="AQ27" i="49" a="1"/>
  <c r="D27" i="49" a="1"/>
  <c r="B27" i="49" a="1"/>
  <c r="AJ4" i="49"/>
  <c r="BI3" i="49"/>
  <c r="BA3" i="49"/>
  <c r="AQ3" i="49" a="1"/>
  <c r="AP3" i="49"/>
  <c r="AO3" i="49"/>
  <c r="BH3" i="49" s="1" a="1"/>
  <c r="BH3" i="49" s="1"/>
  <c r="AO3" i="49" a="1"/>
  <c r="AB3" i="49"/>
  <c r="U3" i="49"/>
  <c r="U3" i="49" a="1"/>
  <c r="V3" i="49" s="1"/>
  <c r="B3" i="49" a="1"/>
  <c r="C3" i="49" s="1"/>
  <c r="H123" i="52" l="1"/>
  <c r="E126" i="52"/>
  <c r="E129" i="52"/>
  <c r="E133" i="52"/>
  <c r="E137" i="52"/>
  <c r="I123" i="52"/>
  <c r="H126" i="52"/>
  <c r="H129" i="52"/>
  <c r="H133" i="52"/>
  <c r="H137" i="52"/>
  <c r="E124" i="52"/>
  <c r="I126" i="52"/>
  <c r="E130" i="52"/>
  <c r="E134" i="52"/>
  <c r="E138" i="52"/>
  <c r="H124" i="52"/>
  <c r="E127" i="52"/>
  <c r="H130" i="52"/>
  <c r="H134" i="52"/>
  <c r="H138" i="52"/>
  <c r="K123" i="51"/>
  <c r="I124" i="52"/>
  <c r="H127" i="52"/>
  <c r="E131" i="52"/>
  <c r="E135" i="52"/>
  <c r="E139" i="52"/>
  <c r="E125" i="52"/>
  <c r="I127" i="52"/>
  <c r="H131" i="52"/>
  <c r="H135" i="52"/>
  <c r="H139" i="52"/>
  <c r="H125" i="52"/>
  <c r="E128" i="52"/>
  <c r="E132" i="52"/>
  <c r="E136" i="52"/>
  <c r="E140" i="52"/>
  <c r="E123" i="52"/>
  <c r="I125" i="52"/>
  <c r="H128" i="52"/>
  <c r="H132" i="52"/>
  <c r="H136" i="52"/>
  <c r="H140" i="52"/>
  <c r="I134" i="52"/>
  <c r="I136" i="52"/>
  <c r="F123" i="52"/>
  <c r="F124" i="52"/>
  <c r="F125" i="52"/>
  <c r="F126" i="52"/>
  <c r="F127" i="52"/>
  <c r="F128" i="52"/>
  <c r="F129" i="52"/>
  <c r="F130" i="52"/>
  <c r="F131" i="52"/>
  <c r="F132" i="52"/>
  <c r="F133" i="52"/>
  <c r="F134" i="52"/>
  <c r="F135" i="52"/>
  <c r="F136" i="52"/>
  <c r="F137" i="52"/>
  <c r="F138" i="52"/>
  <c r="F139" i="52"/>
  <c r="F140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I128" i="52"/>
  <c r="I129" i="52"/>
  <c r="I130" i="52"/>
  <c r="I131" i="52"/>
  <c r="I132" i="52"/>
  <c r="I133" i="52"/>
  <c r="I135" i="52"/>
  <c r="I137" i="52"/>
  <c r="I138" i="52"/>
  <c r="I139" i="52"/>
  <c r="I140" i="52"/>
  <c r="H105" i="52"/>
  <c r="H109" i="52"/>
  <c r="H113" i="52"/>
  <c r="H117" i="52"/>
  <c r="G106" i="52"/>
  <c r="G110" i="52"/>
  <c r="G114" i="52"/>
  <c r="G118" i="52"/>
  <c r="H106" i="52"/>
  <c r="H110" i="52"/>
  <c r="H114" i="52"/>
  <c r="H118" i="52"/>
  <c r="G103" i="52"/>
  <c r="G107" i="52"/>
  <c r="G111" i="52"/>
  <c r="G115" i="52"/>
  <c r="G119" i="52"/>
  <c r="H103" i="52"/>
  <c r="H107" i="52"/>
  <c r="H111" i="52"/>
  <c r="H115" i="52"/>
  <c r="H119" i="52"/>
  <c r="G104" i="52"/>
  <c r="G108" i="52"/>
  <c r="G112" i="52"/>
  <c r="G116" i="52"/>
  <c r="G120" i="52"/>
  <c r="H104" i="52"/>
  <c r="H108" i="52"/>
  <c r="H112" i="52"/>
  <c r="H116" i="52"/>
  <c r="H120" i="52"/>
  <c r="G105" i="52"/>
  <c r="G109" i="52"/>
  <c r="G113" i="52"/>
  <c r="G117" i="52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120" i="52"/>
  <c r="D103" i="52"/>
  <c r="D106" i="52"/>
  <c r="D108" i="52"/>
  <c r="D110" i="52"/>
  <c r="D112" i="52"/>
  <c r="D113" i="52"/>
  <c r="D115" i="52"/>
  <c r="D116" i="52"/>
  <c r="D117" i="52"/>
  <c r="D118" i="52"/>
  <c r="D120" i="52"/>
  <c r="D104" i="52"/>
  <c r="D105" i="52"/>
  <c r="D107" i="52"/>
  <c r="D109" i="52"/>
  <c r="D111" i="52"/>
  <c r="D114" i="52"/>
  <c r="D119" i="52"/>
  <c r="E103" i="52"/>
  <c r="E104" i="52"/>
  <c r="E105" i="52"/>
  <c r="E106" i="52"/>
  <c r="E107" i="52"/>
  <c r="E108" i="52"/>
  <c r="E109" i="52"/>
  <c r="E110" i="52"/>
  <c r="E111" i="52"/>
  <c r="E112" i="52"/>
  <c r="E113" i="52"/>
  <c r="E114" i="52"/>
  <c r="E115" i="52"/>
  <c r="E116" i="52"/>
  <c r="E117" i="52"/>
  <c r="E118" i="52"/>
  <c r="E119" i="52"/>
  <c r="E120" i="52"/>
  <c r="F103" i="52"/>
  <c r="F104" i="52"/>
  <c r="F105" i="52"/>
  <c r="F106" i="52"/>
  <c r="F107" i="52"/>
  <c r="F108" i="52"/>
  <c r="F109" i="52"/>
  <c r="F110" i="52"/>
  <c r="F111" i="52"/>
  <c r="F112" i="52"/>
  <c r="F113" i="52"/>
  <c r="F114" i="52"/>
  <c r="F115" i="52"/>
  <c r="F116" i="52"/>
  <c r="F117" i="52"/>
  <c r="F118" i="52"/>
  <c r="F119" i="52"/>
  <c r="F120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BQ34" i="50"/>
  <c r="C5" i="49"/>
  <c r="B103" i="51" s="1"/>
  <c r="A102" i="51"/>
  <c r="BQ31" i="50"/>
  <c r="BT31" i="50"/>
  <c r="B5" i="50"/>
  <c r="A123" i="51" s="1"/>
  <c r="A122" i="51"/>
  <c r="BQ28" i="50"/>
  <c r="BT28" i="50"/>
  <c r="BQ33" i="50"/>
  <c r="BT33" i="50"/>
  <c r="V4" i="50"/>
  <c r="AP4" i="50" s="1"/>
  <c r="U4" i="49"/>
  <c r="AO4" i="49" s="1"/>
  <c r="AF51" i="50"/>
  <c r="AD51" i="50"/>
  <c r="M75" i="50"/>
  <c r="J75" i="50"/>
  <c r="D75" i="50"/>
  <c r="BB3" i="50"/>
  <c r="BD3" i="50"/>
  <c r="AU3" i="50"/>
  <c r="BC3" i="50"/>
  <c r="AZ3" i="50"/>
  <c r="AW3" i="50"/>
  <c r="AV3" i="50"/>
  <c r="AF3" i="49"/>
  <c r="Z3" i="49"/>
  <c r="Y3" i="49"/>
  <c r="AJ3" i="49"/>
  <c r="AG3" i="49"/>
  <c r="AI3" i="49"/>
  <c r="AH3" i="49"/>
  <c r="AA3" i="49"/>
  <c r="K3" i="50"/>
  <c r="P3" i="50"/>
  <c r="G3" i="50"/>
  <c r="J3" i="50"/>
  <c r="O3" i="50"/>
  <c r="F3" i="50"/>
  <c r="N3" i="50"/>
  <c r="E3" i="50"/>
  <c r="M3" i="50"/>
  <c r="D3" i="50"/>
  <c r="L3" i="50"/>
  <c r="Q3" i="50"/>
  <c r="H3" i="50"/>
  <c r="AG27" i="50"/>
  <c r="AF27" i="50"/>
  <c r="AE27" i="50"/>
  <c r="Z27" i="50"/>
  <c r="AC27" i="50"/>
  <c r="AJ27" i="50"/>
  <c r="AB27" i="50"/>
  <c r="AA27" i="50"/>
  <c r="AH27" i="50"/>
  <c r="W27" i="50"/>
  <c r="AD51" i="49"/>
  <c r="AE51" i="49"/>
  <c r="AA51" i="49"/>
  <c r="AC51" i="49"/>
  <c r="W51" i="49"/>
  <c r="AI51" i="49"/>
  <c r="Z51" i="49"/>
  <c r="X51" i="49"/>
  <c r="AF51" i="49"/>
  <c r="AH51" i="49"/>
  <c r="AE51" i="50"/>
  <c r="AE27" i="49"/>
  <c r="AF27" i="49"/>
  <c r="AG27" i="49"/>
  <c r="Y27" i="49"/>
  <c r="X27" i="49"/>
  <c r="AX3" i="49"/>
  <c r="AY3" i="49"/>
  <c r="AT3" i="49"/>
  <c r="BB3" i="49"/>
  <c r="AV3" i="49"/>
  <c r="AS3" i="49"/>
  <c r="AQ3" i="49"/>
  <c r="BD3" i="49"/>
  <c r="AR3" i="49"/>
  <c r="AZ3" i="49"/>
  <c r="W3" i="50" a="1"/>
  <c r="AF3" i="50" s="1"/>
  <c r="D51" i="49" a="1"/>
  <c r="W75" i="49" a="1"/>
  <c r="D75" i="49" a="1"/>
  <c r="L75" i="49" s="1"/>
  <c r="AQ51" i="50" a="1"/>
  <c r="AU51" i="50" s="1"/>
  <c r="D51" i="50" a="1"/>
  <c r="L27" i="50"/>
  <c r="L30" i="50" s="1"/>
  <c r="N27" i="50"/>
  <c r="N27" i="49"/>
  <c r="N28" i="49" s="1"/>
  <c r="N76" i="49" s="1"/>
  <c r="M102" i="57" s="1"/>
  <c r="G27" i="49"/>
  <c r="E27" i="49"/>
  <c r="P27" i="49"/>
  <c r="P28" i="49" s="1"/>
  <c r="O102" i="53" s="1"/>
  <c r="M27" i="49"/>
  <c r="H27" i="49"/>
  <c r="J27" i="49"/>
  <c r="N29" i="50"/>
  <c r="N77" i="50" s="1"/>
  <c r="M123" i="57" s="1"/>
  <c r="O27" i="49"/>
  <c r="O28" i="49" s="1"/>
  <c r="N102" i="53" s="1"/>
  <c r="BQ35" i="50"/>
  <c r="BT30" i="50"/>
  <c r="BT37" i="50"/>
  <c r="BI57" i="50" a="1"/>
  <c r="BI57" i="50" s="1"/>
  <c r="AU6" i="50"/>
  <c r="C124" i="52" s="1"/>
  <c r="L7" i="50"/>
  <c r="K125" i="51" s="1"/>
  <c r="O6" i="50"/>
  <c r="N124" i="51" s="1"/>
  <c r="BI3" i="50"/>
  <c r="BH3" i="50"/>
  <c r="B29" i="50"/>
  <c r="A123" i="53" s="1"/>
  <c r="U5" i="50"/>
  <c r="AO5" i="50" s="1"/>
  <c r="B6" i="50"/>
  <c r="A124" i="51" s="1"/>
  <c r="BX28" i="50"/>
  <c r="N28" i="50"/>
  <c r="X3" i="50"/>
  <c r="AX3" i="50"/>
  <c r="U27" i="50" a="1"/>
  <c r="Y3" i="50"/>
  <c r="AQ3" i="50"/>
  <c r="AY3" i="50"/>
  <c r="U4" i="50"/>
  <c r="AO4" i="50" s="1"/>
  <c r="AH3" i="50"/>
  <c r="AV5" i="50"/>
  <c r="N6" i="50"/>
  <c r="M124" i="51" s="1"/>
  <c r="P27" i="50"/>
  <c r="P28" i="50" s="1"/>
  <c r="O122" i="53" s="1"/>
  <c r="H27" i="50"/>
  <c r="I27" i="50"/>
  <c r="Q27" i="50"/>
  <c r="G27" i="50"/>
  <c r="O27" i="50"/>
  <c r="O29" i="50" s="1"/>
  <c r="N123" i="53" s="1"/>
  <c r="F27" i="50"/>
  <c r="M27" i="50"/>
  <c r="D27" i="50"/>
  <c r="AA3" i="50"/>
  <c r="AS3" i="50"/>
  <c r="BA3" i="50"/>
  <c r="C52" i="50"/>
  <c r="C28" i="50"/>
  <c r="B122" i="53" s="1"/>
  <c r="BL28" i="50"/>
  <c r="BL29" i="50" s="1"/>
  <c r="BL30" i="50" s="1"/>
  <c r="BL31" i="50" s="1"/>
  <c r="BL32" i="50" s="1"/>
  <c r="BL33" i="50" s="1"/>
  <c r="BL34" i="50" s="1"/>
  <c r="BL35" i="50" s="1"/>
  <c r="BL36" i="50" s="1"/>
  <c r="BL37" i="50" s="1"/>
  <c r="BL38" i="50" s="1"/>
  <c r="BL39" i="50" s="1"/>
  <c r="BL40" i="50" s="1"/>
  <c r="BL41" i="50" s="1"/>
  <c r="BL42" i="50" s="1"/>
  <c r="BL43" i="50" s="1"/>
  <c r="BL44" i="50" s="1"/>
  <c r="BL45" i="50" s="1"/>
  <c r="BL46" i="50" s="1"/>
  <c r="BL47" i="50" s="1"/>
  <c r="E27" i="50"/>
  <c r="BX29" i="50"/>
  <c r="B52" i="50"/>
  <c r="B28" i="50"/>
  <c r="A122" i="53" s="1"/>
  <c r="BK28" i="50"/>
  <c r="BK29" i="50" s="1"/>
  <c r="BK30" i="50" s="1"/>
  <c r="BK31" i="50" s="1"/>
  <c r="BK32" i="50" s="1"/>
  <c r="BK33" i="50" s="1"/>
  <c r="BK34" i="50" s="1"/>
  <c r="BK35" i="50" s="1"/>
  <c r="BK36" i="50" s="1"/>
  <c r="BK37" i="50" s="1"/>
  <c r="BK38" i="50" s="1"/>
  <c r="BK39" i="50" s="1"/>
  <c r="BK40" i="50" s="1"/>
  <c r="BK41" i="50" s="1"/>
  <c r="BK42" i="50" s="1"/>
  <c r="BK43" i="50" s="1"/>
  <c r="BK44" i="50" s="1"/>
  <c r="BK45" i="50" s="1"/>
  <c r="BK46" i="50" s="1"/>
  <c r="BK47" i="50" s="1"/>
  <c r="AB3" i="50"/>
  <c r="AJ3" i="50"/>
  <c r="AT3" i="50"/>
  <c r="C5" i="50"/>
  <c r="B123" i="51" s="1"/>
  <c r="J27" i="50"/>
  <c r="BT32" i="50"/>
  <c r="BQ32" i="50"/>
  <c r="L29" i="50"/>
  <c r="K27" i="50"/>
  <c r="BQ29" i="50"/>
  <c r="BT36" i="50"/>
  <c r="BQ36" i="50"/>
  <c r="AD27" i="50"/>
  <c r="Y27" i="50"/>
  <c r="BB51" i="50"/>
  <c r="AW51" i="50"/>
  <c r="AV51" i="50"/>
  <c r="BD51" i="50"/>
  <c r="BA51" i="50"/>
  <c r="AJ51" i="50"/>
  <c r="AB51" i="50"/>
  <c r="AC51" i="50"/>
  <c r="AA51" i="50"/>
  <c r="AI51" i="50"/>
  <c r="Z51" i="50"/>
  <c r="AH51" i="50"/>
  <c r="Y51" i="50"/>
  <c r="AG51" i="50"/>
  <c r="X51" i="50"/>
  <c r="AQ51" i="50"/>
  <c r="W51" i="50"/>
  <c r="H75" i="50"/>
  <c r="AI75" i="50"/>
  <c r="AA75" i="50"/>
  <c r="AH75" i="50"/>
  <c r="Z75" i="50"/>
  <c r="AG75" i="50"/>
  <c r="Y75" i="50"/>
  <c r="AF75" i="50"/>
  <c r="X75" i="50"/>
  <c r="AE75" i="50"/>
  <c r="W75" i="50"/>
  <c r="K75" i="50"/>
  <c r="AC75" i="50"/>
  <c r="L75" i="50"/>
  <c r="AD75" i="50"/>
  <c r="AJ75" i="50"/>
  <c r="Q75" i="50"/>
  <c r="I75" i="50"/>
  <c r="P75" i="50"/>
  <c r="O75" i="50"/>
  <c r="G75" i="50"/>
  <c r="N75" i="50"/>
  <c r="F75" i="50"/>
  <c r="BT30" i="49"/>
  <c r="BT34" i="49"/>
  <c r="BQ32" i="49"/>
  <c r="C53" i="49"/>
  <c r="C6" i="49"/>
  <c r="B104" i="51" s="1"/>
  <c r="BT28" i="49"/>
  <c r="BQ28" i="49"/>
  <c r="BD7" i="49"/>
  <c r="J105" i="52" s="1"/>
  <c r="AT27" i="49"/>
  <c r="AS27" i="49"/>
  <c r="AR27" i="49"/>
  <c r="J3" i="49"/>
  <c r="L5" i="49"/>
  <c r="K103" i="51" s="1"/>
  <c r="BD4" i="49"/>
  <c r="AQ27" i="49"/>
  <c r="BQ31" i="49"/>
  <c r="BT31" i="49"/>
  <c r="I3" i="49"/>
  <c r="BD6" i="49"/>
  <c r="J104" i="52" s="1"/>
  <c r="C27" i="49"/>
  <c r="B27" i="49"/>
  <c r="U27" i="49" s="1" a="1"/>
  <c r="B53" i="49"/>
  <c r="B6" i="49"/>
  <c r="A104" i="51" s="1"/>
  <c r="B29" i="49"/>
  <c r="A103" i="53" s="1"/>
  <c r="P3" i="49"/>
  <c r="B28" i="49"/>
  <c r="A102" i="53" s="1"/>
  <c r="U5" i="49"/>
  <c r="AO5" i="49" s="1"/>
  <c r="C52" i="49"/>
  <c r="BL28" i="49"/>
  <c r="BL29" i="49" s="1"/>
  <c r="BL30" i="49" s="1"/>
  <c r="BL31" i="49" s="1"/>
  <c r="BL32" i="49" s="1"/>
  <c r="BL33" i="49" s="1"/>
  <c r="BL34" i="49" s="1"/>
  <c r="BL35" i="49" s="1"/>
  <c r="BL36" i="49" s="1"/>
  <c r="BL37" i="49" s="1"/>
  <c r="BL38" i="49" s="1"/>
  <c r="BL39" i="49" s="1"/>
  <c r="BL40" i="49" s="1"/>
  <c r="BL41" i="49" s="1"/>
  <c r="BL42" i="49" s="1"/>
  <c r="BL43" i="49" s="1"/>
  <c r="BL44" i="49" s="1"/>
  <c r="BL45" i="49" s="1"/>
  <c r="BL46" i="49" s="1"/>
  <c r="BL47" i="49" s="1"/>
  <c r="C28" i="49"/>
  <c r="B102" i="53" s="1"/>
  <c r="K3" i="49"/>
  <c r="B3" i="49"/>
  <c r="BT29" i="49"/>
  <c r="BQ29" i="49"/>
  <c r="O3" i="49"/>
  <c r="G3" i="49"/>
  <c r="M3" i="49"/>
  <c r="N3" i="49"/>
  <c r="F3" i="49"/>
  <c r="E3" i="49"/>
  <c r="L3" i="49"/>
  <c r="D3" i="49"/>
  <c r="V4" i="49"/>
  <c r="AP4" i="49" s="1"/>
  <c r="BI57" i="49" a="1"/>
  <c r="BI57" i="49" s="1"/>
  <c r="BD5" i="49"/>
  <c r="J103" i="52" s="1"/>
  <c r="H3" i="49"/>
  <c r="B52" i="49"/>
  <c r="BK28" i="49"/>
  <c r="BK29" i="49" s="1"/>
  <c r="BK30" i="49" s="1"/>
  <c r="BK31" i="49" s="1"/>
  <c r="BK32" i="49" s="1"/>
  <c r="BK33" i="49" s="1"/>
  <c r="BK34" i="49" s="1"/>
  <c r="BK35" i="49" s="1"/>
  <c r="BK36" i="49" s="1"/>
  <c r="BK37" i="49" s="1"/>
  <c r="BK38" i="49" s="1"/>
  <c r="BK39" i="49" s="1"/>
  <c r="BK40" i="49" s="1"/>
  <c r="BK41" i="49" s="1"/>
  <c r="BK42" i="49" s="1"/>
  <c r="BK43" i="49" s="1"/>
  <c r="BK44" i="49" s="1"/>
  <c r="BK45" i="49" s="1"/>
  <c r="BK46" i="49" s="1"/>
  <c r="BK47" i="49" s="1"/>
  <c r="AC3" i="49"/>
  <c r="AU3" i="49"/>
  <c r="BC3" i="49"/>
  <c r="I27" i="49"/>
  <c r="Q27" i="49"/>
  <c r="Z27" i="49"/>
  <c r="AH27" i="49"/>
  <c r="AD3" i="49"/>
  <c r="AA27" i="49"/>
  <c r="AI27" i="49"/>
  <c r="BQ33" i="49"/>
  <c r="BQ36" i="49"/>
  <c r="W3" i="49"/>
  <c r="AE3" i="49"/>
  <c r="AW3" i="49"/>
  <c r="N5" i="49"/>
  <c r="M103" i="51" s="1"/>
  <c r="K27" i="49"/>
  <c r="AB27" i="49"/>
  <c r="AJ27" i="49"/>
  <c r="X3" i="49"/>
  <c r="O5" i="49"/>
  <c r="N103" i="51" s="1"/>
  <c r="D27" i="49"/>
  <c r="L27" i="49"/>
  <c r="L28" i="49" s="1"/>
  <c r="AC27" i="49"/>
  <c r="AD27" i="49"/>
  <c r="BQ37" i="49"/>
  <c r="BT37" i="49"/>
  <c r="F27" i="49"/>
  <c r="W27" i="49"/>
  <c r="BQ35" i="49"/>
  <c r="AW51" i="49"/>
  <c r="BD51" i="49"/>
  <c r="AV51" i="49"/>
  <c r="BC51" i="49"/>
  <c r="AU51" i="49"/>
  <c r="BB51" i="49"/>
  <c r="AT51" i="49"/>
  <c r="BA51" i="49"/>
  <c r="AS51" i="49"/>
  <c r="AZ51" i="49"/>
  <c r="AR51" i="49"/>
  <c r="AY51" i="49"/>
  <c r="AQ51" i="49"/>
  <c r="AX51" i="49"/>
  <c r="H51" i="49"/>
  <c r="P51" i="49"/>
  <c r="P76" i="49" s="1"/>
  <c r="O102" i="57" s="1"/>
  <c r="Y51" i="49"/>
  <c r="AG51" i="49"/>
  <c r="I51" i="49"/>
  <c r="Q51" i="49"/>
  <c r="AI95" i="49"/>
  <c r="O121" i="58" s="1"/>
  <c r="AI94" i="49"/>
  <c r="O120" i="58" s="1"/>
  <c r="AI93" i="49"/>
  <c r="O119" i="58" s="1"/>
  <c r="AI92" i="49"/>
  <c r="O118" i="58" s="1"/>
  <c r="AI91" i="49"/>
  <c r="O117" i="58" s="1"/>
  <c r="AI90" i="49"/>
  <c r="O116" i="58" s="1"/>
  <c r="AI85" i="49"/>
  <c r="O111" i="58" s="1"/>
  <c r="AI83" i="49"/>
  <c r="O109" i="58" s="1"/>
  <c r="AI81" i="49"/>
  <c r="O107" i="58" s="1"/>
  <c r="AI79" i="49"/>
  <c r="O105" i="58" s="1"/>
  <c r="AI77" i="49"/>
  <c r="O103" i="58" s="1"/>
  <c r="AI84" i="49"/>
  <c r="O110" i="58" s="1"/>
  <c r="AI82" i="49"/>
  <c r="O108" i="58" s="1"/>
  <c r="AI80" i="49"/>
  <c r="O106" i="58" s="1"/>
  <c r="AI78" i="49"/>
  <c r="O104" i="58" s="1"/>
  <c r="AI76" i="49"/>
  <c r="O102" i="58" s="1"/>
  <c r="AI88" i="49"/>
  <c r="O114" i="58" s="1"/>
  <c r="AI87" i="49"/>
  <c r="O113" i="58" s="1"/>
  <c r="AI86" i="49"/>
  <c r="O112" i="58" s="1"/>
  <c r="AI89" i="49"/>
  <c r="O115" i="58" s="1"/>
  <c r="K51" i="49"/>
  <c r="U51" i="49"/>
  <c r="AB51" i="49"/>
  <c r="AJ51" i="49"/>
  <c r="D51" i="49"/>
  <c r="L51" i="49"/>
  <c r="E51" i="49"/>
  <c r="M51" i="49"/>
  <c r="F51" i="49"/>
  <c r="K75" i="49"/>
  <c r="Z75" i="49"/>
  <c r="AB75" i="49"/>
  <c r="P75" i="49"/>
  <c r="H75" i="49"/>
  <c r="O75" i="49"/>
  <c r="G75" i="49"/>
  <c r="D75" i="49"/>
  <c r="Q75" i="49"/>
  <c r="AD75" i="49"/>
  <c r="E75" i="49"/>
  <c r="AE75" i="49"/>
  <c r="AG75" i="49"/>
  <c r="Y75" i="49"/>
  <c r="X75" i="49"/>
  <c r="AC75" i="49"/>
  <c r="AI75" i="49"/>
  <c r="AJ75" i="49"/>
  <c r="AV6" i="50" l="1"/>
  <c r="D123" i="52"/>
  <c r="V5" i="49"/>
  <c r="AP5" i="49" s="1"/>
  <c r="BI5" i="49" s="1"/>
  <c r="C29" i="49"/>
  <c r="B103" i="53" s="1"/>
  <c r="B53" i="50"/>
  <c r="A123" i="56" s="1"/>
  <c r="V52" i="49"/>
  <c r="B102" i="56"/>
  <c r="BH5" i="49"/>
  <c r="A103" i="52"/>
  <c r="BI4" i="49"/>
  <c r="B102" i="52"/>
  <c r="V52" i="50"/>
  <c r="B122" i="56"/>
  <c r="BH4" i="50"/>
  <c r="A122" i="52"/>
  <c r="BH5" i="50"/>
  <c r="A123" i="52"/>
  <c r="U52" i="49"/>
  <c r="A102" i="56"/>
  <c r="U52" i="50"/>
  <c r="A122" i="56"/>
  <c r="BH4" i="49"/>
  <c r="A102" i="52"/>
  <c r="B103" i="52"/>
  <c r="U53" i="49"/>
  <c r="A103" i="56"/>
  <c r="V53" i="49"/>
  <c r="B103" i="56"/>
  <c r="BI4" i="50"/>
  <c r="B122" i="52"/>
  <c r="AH75" i="49"/>
  <c r="AA75" i="49"/>
  <c r="AF75" i="49"/>
  <c r="AR51" i="50"/>
  <c r="AT51" i="50"/>
  <c r="Z3" i="50"/>
  <c r="N51" i="49"/>
  <c r="O51" i="49"/>
  <c r="J51" i="49"/>
  <c r="G51" i="49"/>
  <c r="AC3" i="50"/>
  <c r="AE3" i="50"/>
  <c r="W3" i="50"/>
  <c r="AS51" i="50"/>
  <c r="AI3" i="50"/>
  <c r="AX51" i="50"/>
  <c r="BC51" i="50"/>
  <c r="W75" i="49"/>
  <c r="L28" i="50"/>
  <c r="L76" i="50" s="1"/>
  <c r="K122" i="57" s="1"/>
  <c r="AG3" i="50"/>
  <c r="AD3" i="50"/>
  <c r="K51" i="50"/>
  <c r="L51" i="50"/>
  <c r="J51" i="50"/>
  <c r="O51" i="50"/>
  <c r="I51" i="50"/>
  <c r="Q51" i="50"/>
  <c r="H51" i="50"/>
  <c r="P51" i="50"/>
  <c r="G51" i="50"/>
  <c r="F51" i="50"/>
  <c r="M51" i="50"/>
  <c r="D51" i="50"/>
  <c r="E51" i="50"/>
  <c r="N51" i="50"/>
  <c r="AZ51" i="50"/>
  <c r="AY51" i="50"/>
  <c r="N75" i="49"/>
  <c r="I75" i="49"/>
  <c r="F75" i="49"/>
  <c r="J75" i="49"/>
  <c r="M75" i="49"/>
  <c r="K124" i="53"/>
  <c r="L54" i="50"/>
  <c r="K124" i="56" s="1"/>
  <c r="K123" i="53"/>
  <c r="L53" i="50"/>
  <c r="K123" i="56" s="1"/>
  <c r="O52" i="49"/>
  <c r="N102" i="56" s="1"/>
  <c r="O76" i="49"/>
  <c r="N102" i="57" s="1"/>
  <c r="M122" i="53"/>
  <c r="N52" i="50"/>
  <c r="M122" i="56" s="1"/>
  <c r="M102" i="53"/>
  <c r="N52" i="49"/>
  <c r="M102" i="56" s="1"/>
  <c r="K102" i="53"/>
  <c r="L52" i="49"/>
  <c r="K102" i="56" s="1"/>
  <c r="M123" i="53"/>
  <c r="N53" i="50"/>
  <c r="M123" i="56" s="1"/>
  <c r="O77" i="50"/>
  <c r="N123" i="57" s="1"/>
  <c r="O53" i="50"/>
  <c r="C76" i="50"/>
  <c r="B122" i="57" s="1"/>
  <c r="AP28" i="50"/>
  <c r="V28" i="50"/>
  <c r="V76" i="50" s="1"/>
  <c r="B122" i="58" s="1"/>
  <c r="B76" i="50"/>
  <c r="A122" i="57" s="1"/>
  <c r="AO28" i="50"/>
  <c r="AO29" i="50" s="1"/>
  <c r="AO30" i="50" s="1"/>
  <c r="AO31" i="50" s="1"/>
  <c r="AO32" i="50" s="1"/>
  <c r="AO33" i="50" s="1"/>
  <c r="AO34" i="50" s="1"/>
  <c r="AO35" i="50" s="1"/>
  <c r="AO36" i="50" s="1"/>
  <c r="AO37" i="50" s="1"/>
  <c r="AO38" i="50" s="1"/>
  <c r="AO39" i="50" s="1"/>
  <c r="AO40" i="50" s="1"/>
  <c r="AO41" i="50" s="1"/>
  <c r="AO42" i="50" s="1"/>
  <c r="AO43" i="50" s="1"/>
  <c r="AO44" i="50" s="1"/>
  <c r="AO45" i="50" s="1"/>
  <c r="AO46" i="50" s="1"/>
  <c r="AO47" i="50" s="1"/>
  <c r="U28" i="50"/>
  <c r="U76" i="50" s="1"/>
  <c r="A122" i="58" s="1"/>
  <c r="N7" i="50"/>
  <c r="M125" i="51" s="1"/>
  <c r="BX30" i="50"/>
  <c r="N30" i="50"/>
  <c r="B77" i="50"/>
  <c r="A123" i="57" s="1"/>
  <c r="U29" i="50"/>
  <c r="U77" i="50" s="1"/>
  <c r="A123" i="58" s="1"/>
  <c r="C53" i="50"/>
  <c r="C29" i="50"/>
  <c r="B123" i="53" s="1"/>
  <c r="C6" i="50"/>
  <c r="B124" i="51" s="1"/>
  <c r="V5" i="50"/>
  <c r="AP5" i="50" s="1"/>
  <c r="L31" i="50"/>
  <c r="L8" i="50"/>
  <c r="K126" i="51" s="1"/>
  <c r="V27" i="50"/>
  <c r="U27" i="50"/>
  <c r="AO27" i="50" s="1" a="1"/>
  <c r="L78" i="50"/>
  <c r="K124" i="57" s="1"/>
  <c r="N76" i="50"/>
  <c r="M122" i="57" s="1"/>
  <c r="O30" i="50"/>
  <c r="N124" i="53" s="1"/>
  <c r="O7" i="50"/>
  <c r="N125" i="51" s="1"/>
  <c r="P76" i="50"/>
  <c r="O122" i="57" s="1"/>
  <c r="BC52" i="50"/>
  <c r="O122" i="55" s="1"/>
  <c r="O28" i="50"/>
  <c r="N122" i="53" s="1"/>
  <c r="BD5" i="50"/>
  <c r="J123" i="52" s="1"/>
  <c r="L77" i="50"/>
  <c r="K123" i="57" s="1"/>
  <c r="AU7" i="50"/>
  <c r="C125" i="52" s="1"/>
  <c r="AI95" i="50"/>
  <c r="O141" i="58" s="1"/>
  <c r="AI94" i="50"/>
  <c r="O140" i="58" s="1"/>
  <c r="AI93" i="50"/>
  <c r="O139" i="58" s="1"/>
  <c r="AI92" i="50"/>
  <c r="O138" i="58" s="1"/>
  <c r="AI91" i="50"/>
  <c r="O137" i="58" s="1"/>
  <c r="AI90" i="50"/>
  <c r="O136" i="58" s="1"/>
  <c r="AI89" i="50"/>
  <c r="O135" i="58" s="1"/>
  <c r="AI88" i="50"/>
  <c r="O134" i="58" s="1"/>
  <c r="AI87" i="50"/>
  <c r="O133" i="58" s="1"/>
  <c r="AI86" i="50"/>
  <c r="O132" i="58" s="1"/>
  <c r="AI85" i="50"/>
  <c r="O131" i="58" s="1"/>
  <c r="AI84" i="50"/>
  <c r="O130" i="58" s="1"/>
  <c r="AI83" i="50"/>
  <c r="O129" i="58" s="1"/>
  <c r="AI82" i="50"/>
  <c r="O128" i="58" s="1"/>
  <c r="AI81" i="50"/>
  <c r="O127" i="58" s="1"/>
  <c r="AI80" i="50"/>
  <c r="O126" i="58" s="1"/>
  <c r="AI79" i="50"/>
  <c r="O125" i="58" s="1"/>
  <c r="AI78" i="50"/>
  <c r="O124" i="58" s="1"/>
  <c r="AI77" i="50"/>
  <c r="O123" i="58" s="1"/>
  <c r="AI76" i="50"/>
  <c r="O122" i="58" s="1"/>
  <c r="B54" i="50"/>
  <c r="B30" i="50"/>
  <c r="A124" i="53" s="1"/>
  <c r="B7" i="50"/>
  <c r="A125" i="51" s="1"/>
  <c r="U6" i="50"/>
  <c r="AO6" i="50" s="1"/>
  <c r="L76" i="49"/>
  <c r="K102" i="57" s="1"/>
  <c r="C76" i="49"/>
  <c r="B102" i="57" s="1"/>
  <c r="AP28" i="49"/>
  <c r="V28" i="49"/>
  <c r="V76" i="49" s="1"/>
  <c r="B102" i="58" s="1"/>
  <c r="AG76" i="49"/>
  <c r="M102" i="58" s="1"/>
  <c r="AG52" i="49"/>
  <c r="O29" i="49"/>
  <c r="N103" i="53" s="1"/>
  <c r="O6" i="49"/>
  <c r="N104" i="51" s="1"/>
  <c r="BX29" i="49"/>
  <c r="N29" i="49"/>
  <c r="N6" i="49"/>
  <c r="M104" i="51" s="1"/>
  <c r="B77" i="49"/>
  <c r="A103" i="57" s="1"/>
  <c r="U29" i="49"/>
  <c r="U77" i="49" s="1"/>
  <c r="A103" i="58" s="1"/>
  <c r="BA52" i="49"/>
  <c r="M102" i="55" s="1"/>
  <c r="V27" i="49"/>
  <c r="U27" i="49"/>
  <c r="AO27" i="49" s="1" a="1"/>
  <c r="C54" i="49"/>
  <c r="C30" i="49"/>
  <c r="B104" i="53" s="1"/>
  <c r="V6" i="49"/>
  <c r="AP6" i="49" s="1"/>
  <c r="C7" i="49"/>
  <c r="B105" i="51" s="1"/>
  <c r="AH76" i="49"/>
  <c r="N102" i="58" s="1"/>
  <c r="B54" i="49"/>
  <c r="B7" i="49"/>
  <c r="A105" i="51" s="1"/>
  <c r="U6" i="49"/>
  <c r="AO6" i="49" s="1"/>
  <c r="B30" i="49"/>
  <c r="A104" i="53" s="1"/>
  <c r="L6" i="49"/>
  <c r="K104" i="51" s="1"/>
  <c r="L29" i="49"/>
  <c r="BD8" i="49"/>
  <c r="J106" i="52" s="1"/>
  <c r="AY52" i="49"/>
  <c r="K102" i="55" s="1"/>
  <c r="BC52" i="49"/>
  <c r="O102" i="55" s="1"/>
  <c r="B76" i="49"/>
  <c r="A102" i="57" s="1"/>
  <c r="AO28" i="49"/>
  <c r="AO29" i="49" s="1"/>
  <c r="AO30" i="49" s="1"/>
  <c r="AO31" i="49" s="1"/>
  <c r="AO32" i="49" s="1"/>
  <c r="AO33" i="49" s="1"/>
  <c r="AO34" i="49" s="1"/>
  <c r="AO35" i="49" s="1"/>
  <c r="AO36" i="49" s="1"/>
  <c r="AO37" i="49" s="1"/>
  <c r="AO38" i="49" s="1"/>
  <c r="AO39" i="49" s="1"/>
  <c r="AO40" i="49" s="1"/>
  <c r="AO41" i="49" s="1"/>
  <c r="AO42" i="49" s="1"/>
  <c r="AO43" i="49" s="1"/>
  <c r="AO44" i="49" s="1"/>
  <c r="AO45" i="49" s="1"/>
  <c r="AO46" i="49" s="1"/>
  <c r="AO47" i="49" s="1"/>
  <c r="U28" i="49"/>
  <c r="U76" i="49" s="1"/>
  <c r="A102" i="58" s="1"/>
  <c r="BM29" i="48"/>
  <c r="BN29" i="48" s="1"/>
  <c r="BQ29" i="48" s="1"/>
  <c r="BM30" i="48"/>
  <c r="BN30" i="48" s="1"/>
  <c r="BT30" i="48" s="1"/>
  <c r="BM31" i="48"/>
  <c r="BM32" i="48"/>
  <c r="BN32" i="48" s="1"/>
  <c r="BT32" i="48" s="1"/>
  <c r="BM33" i="48"/>
  <c r="BN33" i="48" s="1"/>
  <c r="BM34" i="48"/>
  <c r="BN34" i="48" s="1"/>
  <c r="BQ34" i="48" s="1"/>
  <c r="BM35" i="48"/>
  <c r="BN35" i="48" s="1"/>
  <c r="BT35" i="48" s="1"/>
  <c r="BM36" i="48"/>
  <c r="BN36" i="48" s="1"/>
  <c r="BT36" i="48" s="1"/>
  <c r="BM37" i="48"/>
  <c r="BN37" i="48" s="1"/>
  <c r="BM28" i="48"/>
  <c r="BN28" i="48" s="1"/>
  <c r="R29" i="48"/>
  <c r="Q83" i="53" s="1"/>
  <c r="R30" i="48"/>
  <c r="Q84" i="53" s="1"/>
  <c r="R31" i="48"/>
  <c r="Q85" i="53" s="1"/>
  <c r="R32" i="48"/>
  <c r="Q86" i="53" s="1"/>
  <c r="R33" i="48"/>
  <c r="Q87" i="53" s="1"/>
  <c r="R34" i="48"/>
  <c r="Q88" i="53" s="1"/>
  <c r="R35" i="48"/>
  <c r="Q89" i="53" s="1"/>
  <c r="R36" i="48"/>
  <c r="Q90" i="53" s="1"/>
  <c r="R37" i="48"/>
  <c r="Q91" i="53" s="1"/>
  <c r="R38" i="48"/>
  <c r="Q92" i="53" s="1"/>
  <c r="R39" i="48"/>
  <c r="Q93" i="53" s="1"/>
  <c r="R40" i="48"/>
  <c r="Q94" i="53" s="1"/>
  <c r="R41" i="48"/>
  <c r="Q95" i="53" s="1"/>
  <c r="R42" i="48"/>
  <c r="Q96" i="53" s="1"/>
  <c r="R43" i="48"/>
  <c r="Q97" i="53" s="1"/>
  <c r="R44" i="48"/>
  <c r="Q98" i="53" s="1"/>
  <c r="R45" i="48"/>
  <c r="Q99" i="53" s="1"/>
  <c r="R46" i="48"/>
  <c r="Q100" i="53" s="1"/>
  <c r="R47" i="48"/>
  <c r="Q101" i="53" s="1"/>
  <c r="R28" i="48"/>
  <c r="Q82" i="53" s="1"/>
  <c r="AV4" i="48"/>
  <c r="AV5" i="48" s="1"/>
  <c r="AW4" i="48"/>
  <c r="AW5" i="48" s="1"/>
  <c r="AX4" i="48"/>
  <c r="AY4" i="48"/>
  <c r="AZ4" i="48"/>
  <c r="BA4" i="48"/>
  <c r="AU4" i="48"/>
  <c r="L4" i="48"/>
  <c r="N4" i="48"/>
  <c r="O4" i="48"/>
  <c r="C4" i="48"/>
  <c r="B82" i="51" s="1"/>
  <c r="B4" i="48"/>
  <c r="A82" i="51" s="1"/>
  <c r="AJ75" i="48"/>
  <c r="AE75" i="48"/>
  <c r="AC75" i="48"/>
  <c r="AB75" i="48"/>
  <c r="AA75" i="48"/>
  <c r="Y75" i="48"/>
  <c r="W75" i="48" a="1"/>
  <c r="AH75" i="48" s="1"/>
  <c r="V75" i="48"/>
  <c r="U75" i="48" a="1"/>
  <c r="U75" i="48" s="1"/>
  <c r="O75" i="48"/>
  <c r="M75" i="48"/>
  <c r="D75" i="48" a="1"/>
  <c r="J75" i="48" s="1"/>
  <c r="C75" i="48"/>
  <c r="B75" i="48" a="1"/>
  <c r="B75" i="48" s="1"/>
  <c r="CA71" i="48"/>
  <c r="BZ71" i="48"/>
  <c r="BY71" i="48"/>
  <c r="BX71" i="48"/>
  <c r="BW71" i="48"/>
  <c r="BV71" i="48"/>
  <c r="BU71" i="48"/>
  <c r="BT71" i="48"/>
  <c r="BS71" i="48"/>
  <c r="BR71" i="48"/>
  <c r="BQ71" i="48"/>
  <c r="BP71" i="48"/>
  <c r="BO71" i="48"/>
  <c r="BN71" i="48"/>
  <c r="BM71" i="48"/>
  <c r="BL71" i="48"/>
  <c r="BK71" i="48"/>
  <c r="BJ71" i="48"/>
  <c r="BI71" i="48"/>
  <c r="CA70" i="48"/>
  <c r="BZ70" i="48"/>
  <c r="BY70" i="48"/>
  <c r="BX70" i="48"/>
  <c r="BW70" i="48"/>
  <c r="BV70" i="48"/>
  <c r="BU70" i="48"/>
  <c r="BT70" i="48"/>
  <c r="BS70" i="48"/>
  <c r="BR70" i="48"/>
  <c r="BQ70" i="48"/>
  <c r="BP70" i="48"/>
  <c r="BO70" i="48"/>
  <c r="BN70" i="48"/>
  <c r="BM70" i="48"/>
  <c r="BL70" i="48"/>
  <c r="BK70" i="48"/>
  <c r="BJ70" i="48"/>
  <c r="BI70" i="48"/>
  <c r="CA57" i="48"/>
  <c r="BZ57" i="48"/>
  <c r="BY57" i="48"/>
  <c r="BX57" i="48"/>
  <c r="BW57" i="48"/>
  <c r="BV57" i="48"/>
  <c r="BU57" i="48"/>
  <c r="BT57" i="48"/>
  <c r="BS57" i="48"/>
  <c r="BR57" i="48"/>
  <c r="BQ57" i="48"/>
  <c r="BP57" i="48"/>
  <c r="BO57" i="48"/>
  <c r="BN57" i="48"/>
  <c r="BM57" i="48"/>
  <c r="BL57" i="48"/>
  <c r="BK57" i="48"/>
  <c r="BJ57" i="48"/>
  <c r="CA56" i="48"/>
  <c r="BZ56" i="48"/>
  <c r="BY56" i="48"/>
  <c r="BX56" i="48"/>
  <c r="BW56" i="48"/>
  <c r="BV56" i="48"/>
  <c r="BU56" i="48"/>
  <c r="BT56" i="48"/>
  <c r="BS56" i="48"/>
  <c r="BR56" i="48"/>
  <c r="BQ56" i="48"/>
  <c r="BP56" i="48"/>
  <c r="BO56" i="48"/>
  <c r="BN56" i="48"/>
  <c r="BM56" i="48"/>
  <c r="BL56" i="48"/>
  <c r="BK56" i="48"/>
  <c r="BJ56" i="48"/>
  <c r="BI56" i="48"/>
  <c r="AL54" i="48"/>
  <c r="AL55" i="48" s="1"/>
  <c r="AL56" i="48" s="1"/>
  <c r="AL57" i="48" s="1"/>
  <c r="AL58" i="48" s="1"/>
  <c r="AL59" i="48" s="1"/>
  <c r="AL60" i="48" s="1"/>
  <c r="AL61" i="48" s="1"/>
  <c r="AL62" i="48" s="1"/>
  <c r="AL63" i="48" s="1"/>
  <c r="AL64" i="48" s="1"/>
  <c r="AL65" i="48" s="1"/>
  <c r="AL66" i="48" s="1"/>
  <c r="AL67" i="48" s="1"/>
  <c r="AL68" i="48" s="1"/>
  <c r="AL69" i="48" s="1"/>
  <c r="AL70" i="48" s="1"/>
  <c r="AL71" i="48" s="1"/>
  <c r="AQ51" i="48" a="1"/>
  <c r="AY51" i="48" s="1"/>
  <c r="AP51" i="48"/>
  <c r="AO51" i="48" a="1"/>
  <c r="AO51" i="48" s="1"/>
  <c r="AF51" i="48"/>
  <c r="AE51" i="48"/>
  <c r="AC51" i="48"/>
  <c r="AB51" i="48"/>
  <c r="AA51" i="48"/>
  <c r="X51" i="48"/>
  <c r="W51" i="48" a="1"/>
  <c r="AD51" i="48" s="1"/>
  <c r="U51" i="48" a="1"/>
  <c r="V51" i="48" s="1"/>
  <c r="D51" i="48" a="1"/>
  <c r="N51" i="48" s="1"/>
  <c r="C51" i="48"/>
  <c r="B51" i="48" a="1"/>
  <c r="B51" i="48" s="1"/>
  <c r="BH36" i="48"/>
  <c r="BH35" i="48"/>
  <c r="BH34" i="48"/>
  <c r="BN31" i="48"/>
  <c r="BH31" i="48"/>
  <c r="BH30" i="48"/>
  <c r="BZ29" i="48"/>
  <c r="BZ30" i="48" s="1"/>
  <c r="BZ31" i="48" s="1"/>
  <c r="BZ32" i="48" s="1"/>
  <c r="BZ33" i="48" s="1"/>
  <c r="BZ34" i="48" s="1"/>
  <c r="BZ35" i="48" s="1"/>
  <c r="BZ36" i="48" s="1"/>
  <c r="BZ37" i="48" s="1"/>
  <c r="BZ38" i="48" s="1"/>
  <c r="BZ39" i="48" s="1"/>
  <c r="BZ40" i="48" s="1"/>
  <c r="BZ41" i="48" s="1"/>
  <c r="BZ42" i="48" s="1"/>
  <c r="BZ43" i="48" s="1"/>
  <c r="BZ44" i="48" s="1"/>
  <c r="BZ45" i="48" s="1"/>
  <c r="BZ46" i="48" s="1"/>
  <c r="BZ47" i="48" s="1"/>
  <c r="BM27" i="48"/>
  <c r="AQ27" i="48" a="1"/>
  <c r="AT27" i="48" s="1"/>
  <c r="AI27" i="48"/>
  <c r="AF27" i="48"/>
  <c r="AE27" i="48"/>
  <c r="AC27" i="48"/>
  <c r="AA27" i="48"/>
  <c r="X27" i="48"/>
  <c r="W27" i="48" a="1"/>
  <c r="AD27" i="48" s="1"/>
  <c r="D27" i="48" a="1"/>
  <c r="M27" i="48" s="1"/>
  <c r="C27" i="48"/>
  <c r="B27" i="48" a="1"/>
  <c r="B27" i="48" s="1"/>
  <c r="U27" i="48" s="1" a="1"/>
  <c r="O5" i="48"/>
  <c r="N83" i="51" s="1"/>
  <c r="N5" i="48"/>
  <c r="M83" i="51" s="1"/>
  <c r="BA5" i="48"/>
  <c r="AZ5" i="48"/>
  <c r="AY5" i="48"/>
  <c r="AX5" i="48"/>
  <c r="AJ4" i="48"/>
  <c r="AQ3" i="48" a="1"/>
  <c r="AX3" i="48" s="1"/>
  <c r="AP3" i="48"/>
  <c r="AO3" i="48"/>
  <c r="BH3" i="48" s="1" a="1"/>
  <c r="AO3" i="48" a="1"/>
  <c r="W3" i="48" a="1"/>
  <c r="AJ3" i="48" s="1"/>
  <c r="U3" i="48" a="1"/>
  <c r="U3" i="48" s="1"/>
  <c r="D3" i="48" a="1"/>
  <c r="H3" i="48" s="1"/>
  <c r="B3" i="48" a="1"/>
  <c r="B3" i="48" s="1"/>
  <c r="C5" i="26"/>
  <c r="AV7" i="50" l="1"/>
  <c r="D124" i="52"/>
  <c r="BD6" i="50"/>
  <c r="J124" i="52" s="1"/>
  <c r="AW6" i="48"/>
  <c r="E83" i="52"/>
  <c r="AY6" i="48"/>
  <c r="G83" i="52"/>
  <c r="AZ6" i="48"/>
  <c r="H83" i="52"/>
  <c r="AV6" i="48"/>
  <c r="D83" i="52"/>
  <c r="BA6" i="48"/>
  <c r="I83" i="52"/>
  <c r="AX6" i="48"/>
  <c r="F83" i="52"/>
  <c r="V29" i="49"/>
  <c r="V77" i="49" s="1"/>
  <c r="B103" i="58" s="1"/>
  <c r="C77" i="49"/>
  <c r="B103" i="57" s="1"/>
  <c r="B5" i="48"/>
  <c r="A83" i="51" s="1"/>
  <c r="U53" i="50"/>
  <c r="V54" i="49"/>
  <c r="B104" i="56"/>
  <c r="AP53" i="49"/>
  <c r="B103" i="55" s="1"/>
  <c r="B103" i="54"/>
  <c r="AO52" i="50"/>
  <c r="A122" i="55" s="1"/>
  <c r="A122" i="54"/>
  <c r="AP52" i="50"/>
  <c r="B122" i="55" s="1"/>
  <c r="B122" i="54"/>
  <c r="BH6" i="49"/>
  <c r="A104" i="52"/>
  <c r="BI5" i="50"/>
  <c r="B123" i="52"/>
  <c r="AO53" i="49"/>
  <c r="A103" i="55" s="1"/>
  <c r="A103" i="54"/>
  <c r="AO52" i="49"/>
  <c r="A102" i="55" s="1"/>
  <c r="A102" i="54"/>
  <c r="U54" i="49"/>
  <c r="A104" i="56"/>
  <c r="BH6" i="50"/>
  <c r="A124" i="52"/>
  <c r="V53" i="50"/>
  <c r="B123" i="56"/>
  <c r="U4" i="48"/>
  <c r="AO4" i="48" s="1"/>
  <c r="BI6" i="49"/>
  <c r="B104" i="52"/>
  <c r="U54" i="50"/>
  <c r="A124" i="56"/>
  <c r="AO53" i="50"/>
  <c r="A123" i="55" s="1"/>
  <c r="A123" i="54"/>
  <c r="AP52" i="49"/>
  <c r="B102" i="55" s="1"/>
  <c r="B102" i="54"/>
  <c r="BA52" i="50"/>
  <c r="M122" i="55" s="1"/>
  <c r="BA53" i="50"/>
  <c r="M123" i="55" s="1"/>
  <c r="AG53" i="50"/>
  <c r="O51" i="48"/>
  <c r="D75" i="48"/>
  <c r="AI51" i="48"/>
  <c r="G75" i="48"/>
  <c r="W75" i="48"/>
  <c r="AG75" i="48"/>
  <c r="L52" i="50"/>
  <c r="K122" i="56" s="1"/>
  <c r="AW3" i="48"/>
  <c r="F75" i="48"/>
  <c r="AF75" i="48"/>
  <c r="W27" i="48"/>
  <c r="W51" i="48"/>
  <c r="AJ51" i="48"/>
  <c r="K75" i="48"/>
  <c r="X75" i="48"/>
  <c r="AI75" i="48"/>
  <c r="K122" i="53"/>
  <c r="J51" i="48"/>
  <c r="G51" i="48"/>
  <c r="P75" i="48"/>
  <c r="D27" i="48"/>
  <c r="M103" i="53"/>
  <c r="N53" i="49"/>
  <c r="M103" i="56" s="1"/>
  <c r="J27" i="48"/>
  <c r="F27" i="48"/>
  <c r="G27" i="48"/>
  <c r="AH52" i="49"/>
  <c r="O29" i="48"/>
  <c r="N83" i="53" s="1"/>
  <c r="L27" i="48"/>
  <c r="BB52" i="49"/>
  <c r="N102" i="55" s="1"/>
  <c r="K125" i="53"/>
  <c r="L55" i="50"/>
  <c r="K125" i="56" s="1"/>
  <c r="AG77" i="50"/>
  <c r="M123" i="58" s="1"/>
  <c r="K103" i="53"/>
  <c r="L53" i="49"/>
  <c r="K103" i="56" s="1"/>
  <c r="N27" i="48"/>
  <c r="M124" i="53"/>
  <c r="N54" i="50"/>
  <c r="M124" i="56" s="1"/>
  <c r="O27" i="48"/>
  <c r="O28" i="48" s="1"/>
  <c r="N82" i="53" s="1"/>
  <c r="BB53" i="50"/>
  <c r="N123" i="55" s="1"/>
  <c r="N123" i="56"/>
  <c r="AG76" i="50"/>
  <c r="M122" i="58" s="1"/>
  <c r="AG52" i="50"/>
  <c r="C54" i="50"/>
  <c r="C30" i="50"/>
  <c r="B124" i="53" s="1"/>
  <c r="V6" i="50"/>
  <c r="AP6" i="50" s="1"/>
  <c r="C7" i="50"/>
  <c r="B125" i="51" s="1"/>
  <c r="L32" i="50"/>
  <c r="L9" i="50"/>
  <c r="K127" i="51" s="1"/>
  <c r="C77" i="50"/>
  <c r="B123" i="57" s="1"/>
  <c r="V29" i="50"/>
  <c r="V77" i="50" s="1"/>
  <c r="B123" i="58" s="1"/>
  <c r="AZ28" i="50"/>
  <c r="AX28" i="50"/>
  <c r="AP29" i="50"/>
  <c r="B55" i="50"/>
  <c r="B31" i="50"/>
  <c r="A125" i="53" s="1"/>
  <c r="B8" i="50"/>
  <c r="A126" i="51" s="1"/>
  <c r="U7" i="50"/>
  <c r="AO7" i="50" s="1"/>
  <c r="L79" i="50"/>
  <c r="K125" i="57" s="1"/>
  <c r="N78" i="50"/>
  <c r="M124" i="57" s="1"/>
  <c r="AO27" i="50"/>
  <c r="AP27" i="50"/>
  <c r="B78" i="50"/>
  <c r="A124" i="57" s="1"/>
  <c r="U30" i="50"/>
  <c r="U78" i="50" s="1"/>
  <c r="A124" i="58" s="1"/>
  <c r="AE77" i="50"/>
  <c r="K123" i="58" s="1"/>
  <c r="AE53" i="50"/>
  <c r="AY53" i="50"/>
  <c r="K123" i="55" s="1"/>
  <c r="O8" i="50"/>
  <c r="N126" i="51" s="1"/>
  <c r="O31" i="50"/>
  <c r="N125" i="53" s="1"/>
  <c r="BX31" i="50"/>
  <c r="N31" i="50"/>
  <c r="N8" i="50"/>
  <c r="M126" i="51" s="1"/>
  <c r="AU8" i="50"/>
  <c r="C126" i="52" s="1"/>
  <c r="AE76" i="50"/>
  <c r="K122" i="58" s="1"/>
  <c r="AY52" i="50"/>
  <c r="K122" i="55" s="1"/>
  <c r="O78" i="50"/>
  <c r="N124" i="57" s="1"/>
  <c r="O54" i="50"/>
  <c r="N124" i="56" s="1"/>
  <c r="AE78" i="50"/>
  <c r="K124" i="58" s="1"/>
  <c r="AE54" i="50"/>
  <c r="AY54" i="50"/>
  <c r="K124" i="55" s="1"/>
  <c r="AH77" i="50"/>
  <c r="N123" i="58" s="1"/>
  <c r="AH53" i="50"/>
  <c r="O76" i="50"/>
  <c r="N122" i="57" s="1"/>
  <c r="O52" i="50"/>
  <c r="N122" i="56" s="1"/>
  <c r="L7" i="49"/>
  <c r="K105" i="51" s="1"/>
  <c r="L30" i="49"/>
  <c r="C78" i="49"/>
  <c r="B104" i="57" s="1"/>
  <c r="V30" i="49"/>
  <c r="V78" i="49" s="1"/>
  <c r="B104" i="58" s="1"/>
  <c r="AE76" i="49"/>
  <c r="K102" i="58" s="1"/>
  <c r="AE52" i="49"/>
  <c r="B78" i="49"/>
  <c r="A104" i="57" s="1"/>
  <c r="U30" i="49"/>
  <c r="U78" i="49" s="1"/>
  <c r="A104" i="58" s="1"/>
  <c r="BX30" i="49"/>
  <c r="N30" i="49"/>
  <c r="N7" i="49"/>
  <c r="M105" i="51" s="1"/>
  <c r="BD9" i="49"/>
  <c r="J107" i="52" s="1"/>
  <c r="N77" i="49"/>
  <c r="M103" i="57" s="1"/>
  <c r="AZ28" i="49"/>
  <c r="AP29" i="49"/>
  <c r="AX28" i="49"/>
  <c r="B55" i="49"/>
  <c r="U7" i="49"/>
  <c r="AO7" i="49" s="1"/>
  <c r="B31" i="49"/>
  <c r="A105" i="53" s="1"/>
  <c r="B8" i="49"/>
  <c r="A106" i="51" s="1"/>
  <c r="C55" i="49"/>
  <c r="C31" i="49"/>
  <c r="B105" i="53" s="1"/>
  <c r="C8" i="49"/>
  <c r="B106" i="51" s="1"/>
  <c r="V7" i="49"/>
  <c r="AP7" i="49" s="1"/>
  <c r="O30" i="49"/>
  <c r="N104" i="53" s="1"/>
  <c r="O7" i="49"/>
  <c r="N105" i="51" s="1"/>
  <c r="L77" i="49"/>
  <c r="K103" i="57" s="1"/>
  <c r="AP27" i="49"/>
  <c r="AO27" i="49"/>
  <c r="BK27" i="49" s="1" a="1"/>
  <c r="O77" i="49"/>
  <c r="N103" i="57" s="1"/>
  <c r="O53" i="49"/>
  <c r="N103" i="56" s="1"/>
  <c r="BQ37" i="48"/>
  <c r="BT37" i="48"/>
  <c r="BQ32" i="48"/>
  <c r="BT29" i="48"/>
  <c r="BQ35" i="48"/>
  <c r="O6" i="48"/>
  <c r="BH3" i="48"/>
  <c r="BI3" i="48"/>
  <c r="B53" i="48"/>
  <c r="B29" i="48"/>
  <c r="A83" i="53" s="1"/>
  <c r="C52" i="48"/>
  <c r="BL28" i="48"/>
  <c r="BL29" i="48" s="1"/>
  <c r="BL30" i="48" s="1"/>
  <c r="BL31" i="48" s="1"/>
  <c r="BL32" i="48" s="1"/>
  <c r="BL33" i="48" s="1"/>
  <c r="BL34" i="48" s="1"/>
  <c r="BL35" i="48" s="1"/>
  <c r="BL36" i="48" s="1"/>
  <c r="BL37" i="48" s="1"/>
  <c r="BL38" i="48" s="1"/>
  <c r="BL39" i="48" s="1"/>
  <c r="BL40" i="48" s="1"/>
  <c r="BL41" i="48" s="1"/>
  <c r="BL42" i="48" s="1"/>
  <c r="BL43" i="48" s="1"/>
  <c r="BL44" i="48" s="1"/>
  <c r="BL45" i="48" s="1"/>
  <c r="BL46" i="48" s="1"/>
  <c r="BL47" i="48" s="1"/>
  <c r="C28" i="48"/>
  <c r="B82" i="53" s="1"/>
  <c r="I3" i="48"/>
  <c r="Q3" i="48"/>
  <c r="Z3" i="48"/>
  <c r="AR3" i="48"/>
  <c r="BA3" i="48"/>
  <c r="C3" i="48"/>
  <c r="J3" i="48"/>
  <c r="AA3" i="48"/>
  <c r="AI3" i="48"/>
  <c r="AS3" i="48"/>
  <c r="BB3" i="48"/>
  <c r="K3" i="48"/>
  <c r="AB3" i="48"/>
  <c r="AT3" i="48"/>
  <c r="D3" i="48"/>
  <c r="L3" i="48"/>
  <c r="V3" i="48"/>
  <c r="AC3" i="48"/>
  <c r="AV3" i="48"/>
  <c r="BQ33" i="48"/>
  <c r="BT33" i="48"/>
  <c r="V27" i="48"/>
  <c r="U27" i="48"/>
  <c r="AO27" i="48" s="1" a="1"/>
  <c r="F3" i="48"/>
  <c r="N3" i="48"/>
  <c r="W3" i="48"/>
  <c r="AE3" i="48"/>
  <c r="C5" i="48"/>
  <c r="B83" i="51" s="1"/>
  <c r="BX29" i="48"/>
  <c r="N29" i="48"/>
  <c r="BQ31" i="48"/>
  <c r="BT31" i="48"/>
  <c r="E3" i="48"/>
  <c r="BC3" i="48"/>
  <c r="AU3" i="48"/>
  <c r="AY3" i="48"/>
  <c r="B52" i="48"/>
  <c r="BK28" i="48"/>
  <c r="BK29" i="48" s="1"/>
  <c r="BK30" i="48" s="1"/>
  <c r="BK31" i="48" s="1"/>
  <c r="BK32" i="48" s="1"/>
  <c r="BK33" i="48" s="1"/>
  <c r="BK34" i="48" s="1"/>
  <c r="BK35" i="48" s="1"/>
  <c r="BK36" i="48" s="1"/>
  <c r="BK37" i="48" s="1"/>
  <c r="BK38" i="48" s="1"/>
  <c r="BK39" i="48" s="1"/>
  <c r="BK40" i="48" s="1"/>
  <c r="BK41" i="48" s="1"/>
  <c r="BK42" i="48" s="1"/>
  <c r="BK43" i="48" s="1"/>
  <c r="BK44" i="48" s="1"/>
  <c r="BK45" i="48" s="1"/>
  <c r="BK46" i="48" s="1"/>
  <c r="BK47" i="48" s="1"/>
  <c r="B28" i="48"/>
  <c r="A82" i="53" s="1"/>
  <c r="V4" i="48"/>
  <c r="AP4" i="48" s="1"/>
  <c r="B6" i="48"/>
  <c r="A84" i="51" s="1"/>
  <c r="N6" i="48"/>
  <c r="M84" i="51" s="1"/>
  <c r="M3" i="48"/>
  <c r="G3" i="48"/>
  <c r="X3" i="48"/>
  <c r="P3" i="48"/>
  <c r="AG3" i="48"/>
  <c r="AQ3" i="48"/>
  <c r="AH3" i="48"/>
  <c r="L28" i="48"/>
  <c r="L5" i="48"/>
  <c r="K83" i="51" s="1"/>
  <c r="U5" i="48"/>
  <c r="AO5" i="48" s="1"/>
  <c r="AD3" i="48"/>
  <c r="O3" i="48"/>
  <c r="AF3" i="48"/>
  <c r="Y3" i="48"/>
  <c r="AZ3" i="48"/>
  <c r="AU5" i="48"/>
  <c r="C83" i="52" s="1"/>
  <c r="BD4" i="48"/>
  <c r="BT28" i="48"/>
  <c r="BQ28" i="48"/>
  <c r="BD3" i="48"/>
  <c r="BX28" i="48"/>
  <c r="N28" i="48"/>
  <c r="H27" i="48"/>
  <c r="P27" i="48"/>
  <c r="P28" i="48" s="1"/>
  <c r="O82" i="53" s="1"/>
  <c r="Y27" i="48"/>
  <c r="AG27" i="48"/>
  <c r="AQ27" i="48"/>
  <c r="BQ30" i="48"/>
  <c r="BQ36" i="48"/>
  <c r="I27" i="48"/>
  <c r="Q27" i="48"/>
  <c r="Z27" i="48"/>
  <c r="AH27" i="48"/>
  <c r="AR27" i="48"/>
  <c r="BT34" i="48"/>
  <c r="AS27" i="48"/>
  <c r="K27" i="48"/>
  <c r="AB27" i="48"/>
  <c r="AJ27" i="48"/>
  <c r="E27" i="48"/>
  <c r="H51" i="48"/>
  <c r="P51" i="48"/>
  <c r="Y51" i="48"/>
  <c r="AG51" i="48"/>
  <c r="AQ51" i="48"/>
  <c r="BB51" i="48"/>
  <c r="I51" i="48"/>
  <c r="Q51" i="48"/>
  <c r="Z51" i="48"/>
  <c r="AH51" i="48"/>
  <c r="AS51" i="48"/>
  <c r="BC51" i="48"/>
  <c r="AI95" i="48"/>
  <c r="O101" i="58" s="1"/>
  <c r="AI94" i="48"/>
  <c r="O100" i="58" s="1"/>
  <c r="AI93" i="48"/>
  <c r="O99" i="58" s="1"/>
  <c r="AI91" i="48"/>
  <c r="O97" i="58" s="1"/>
  <c r="AI89" i="48"/>
  <c r="O95" i="58" s="1"/>
  <c r="AI87" i="48"/>
  <c r="O93" i="58" s="1"/>
  <c r="AI85" i="48"/>
  <c r="O91" i="58" s="1"/>
  <c r="AI83" i="48"/>
  <c r="O89" i="58" s="1"/>
  <c r="AI82" i="48"/>
  <c r="O88" i="58" s="1"/>
  <c r="AI81" i="48"/>
  <c r="O87" i="58" s="1"/>
  <c r="AI80" i="48"/>
  <c r="O86" i="58" s="1"/>
  <c r="AI79" i="48"/>
  <c r="O85" i="58" s="1"/>
  <c r="AI78" i="48"/>
  <c r="O84" i="58" s="1"/>
  <c r="AI77" i="48"/>
  <c r="O83" i="58" s="1"/>
  <c r="AI76" i="48"/>
  <c r="O82" i="58" s="1"/>
  <c r="AI92" i="48"/>
  <c r="O98" i="58" s="1"/>
  <c r="AI90" i="48"/>
  <c r="O96" i="58" s="1"/>
  <c r="AI88" i="48"/>
  <c r="O94" i="58" s="1"/>
  <c r="AI86" i="48"/>
  <c r="O92" i="58" s="1"/>
  <c r="AI84" i="48"/>
  <c r="O90" i="58" s="1"/>
  <c r="AT51" i="48"/>
  <c r="K51" i="48"/>
  <c r="U51" i="48"/>
  <c r="AU51" i="48"/>
  <c r="D51" i="48"/>
  <c r="L51" i="48"/>
  <c r="AW51" i="48"/>
  <c r="E51" i="48"/>
  <c r="M51" i="48"/>
  <c r="AX51" i="48"/>
  <c r="F51" i="48"/>
  <c r="BD51" i="48"/>
  <c r="AV51" i="48"/>
  <c r="AZ51" i="48"/>
  <c r="AR51" i="48"/>
  <c r="BA51" i="48"/>
  <c r="H75" i="48"/>
  <c r="Q75" i="48"/>
  <c r="I75" i="48"/>
  <c r="L75" i="48"/>
  <c r="E75" i="48"/>
  <c r="N75" i="48"/>
  <c r="AD75" i="48"/>
  <c r="Z75" i="48"/>
  <c r="L8" i="26"/>
  <c r="M4" i="50" s="1"/>
  <c r="L122" i="51" s="1"/>
  <c r="L7" i="26"/>
  <c r="M4" i="49" s="1"/>
  <c r="L102" i="51" s="1"/>
  <c r="L6" i="26"/>
  <c r="M4" i="48" s="1"/>
  <c r="L82" i="51" s="1"/>
  <c r="L5" i="26"/>
  <c r="L4" i="26"/>
  <c r="L3" i="26"/>
  <c r="D3" i="26"/>
  <c r="E3" i="26"/>
  <c r="F3" i="26"/>
  <c r="G3" i="26"/>
  <c r="H3" i="26"/>
  <c r="I3" i="26"/>
  <c r="J3" i="26"/>
  <c r="D4" i="26"/>
  <c r="E4" i="26"/>
  <c r="F4" i="26"/>
  <c r="G4" i="26"/>
  <c r="H4" i="26"/>
  <c r="I4" i="26"/>
  <c r="J4" i="26"/>
  <c r="D5" i="26"/>
  <c r="E5" i="26"/>
  <c r="F5" i="26"/>
  <c r="G5" i="26"/>
  <c r="H5" i="26"/>
  <c r="I5" i="26"/>
  <c r="J5" i="26"/>
  <c r="D6" i="26"/>
  <c r="E4" i="48" s="1"/>
  <c r="D82" i="51" s="1"/>
  <c r="E6" i="26"/>
  <c r="F4" i="48" s="1"/>
  <c r="E82" i="51" s="1"/>
  <c r="F6" i="26"/>
  <c r="G4" i="48" s="1"/>
  <c r="F82" i="51" s="1"/>
  <c r="G6" i="26"/>
  <c r="H4" i="48" s="1"/>
  <c r="H6" i="26"/>
  <c r="I4" i="48" s="1"/>
  <c r="H82" i="51" s="1"/>
  <c r="I6" i="26"/>
  <c r="J4" i="48" s="1"/>
  <c r="J6" i="26"/>
  <c r="K4" i="48" s="1"/>
  <c r="D7" i="26"/>
  <c r="E4" i="49" s="1"/>
  <c r="D102" i="51" s="1"/>
  <c r="E7" i="26"/>
  <c r="F4" i="49" s="1"/>
  <c r="E102" i="51" s="1"/>
  <c r="F7" i="26"/>
  <c r="G4" i="49" s="1"/>
  <c r="F102" i="51" s="1"/>
  <c r="G7" i="26"/>
  <c r="H4" i="49" s="1"/>
  <c r="G102" i="51" s="1"/>
  <c r="H7" i="26"/>
  <c r="I4" i="49" s="1"/>
  <c r="H102" i="51" s="1"/>
  <c r="I7" i="26"/>
  <c r="J4" i="49" s="1"/>
  <c r="I102" i="51" s="1"/>
  <c r="J7" i="26"/>
  <c r="K4" i="49" s="1"/>
  <c r="J102" i="51" s="1"/>
  <c r="D8" i="26"/>
  <c r="E4" i="50" s="1"/>
  <c r="D122" i="51" s="1"/>
  <c r="E8" i="26"/>
  <c r="F4" i="50" s="1"/>
  <c r="E122" i="51" s="1"/>
  <c r="F8" i="26"/>
  <c r="G4" i="50" s="1"/>
  <c r="F122" i="51" s="1"/>
  <c r="G8" i="26"/>
  <c r="H4" i="50" s="1"/>
  <c r="G122" i="51" s="1"/>
  <c r="H8" i="26"/>
  <c r="I4" i="50" s="1"/>
  <c r="H122" i="51" s="1"/>
  <c r="I8" i="26"/>
  <c r="J4" i="50" s="1"/>
  <c r="I122" i="51" s="1"/>
  <c r="J8" i="26"/>
  <c r="K4" i="50" s="1"/>
  <c r="J122" i="51" s="1"/>
  <c r="C8" i="26"/>
  <c r="D4" i="50" s="1"/>
  <c r="C122" i="51" s="1"/>
  <c r="C7" i="26"/>
  <c r="D4" i="49" s="1"/>
  <c r="C102" i="51" s="1"/>
  <c r="C6" i="26"/>
  <c r="D4" i="48" s="1"/>
  <c r="C4" i="26"/>
  <c r="C3" i="26"/>
  <c r="AV8" i="50" l="1"/>
  <c r="BD8" i="50" s="1"/>
  <c r="J126" i="52" s="1"/>
  <c r="D125" i="52"/>
  <c r="BD7" i="50"/>
  <c r="J125" i="52" s="1"/>
  <c r="O53" i="48"/>
  <c r="N83" i="56" s="1"/>
  <c r="O30" i="48"/>
  <c r="N84" i="53" s="1"/>
  <c r="N84" i="51"/>
  <c r="AX7" i="48"/>
  <c r="F84" i="52"/>
  <c r="AY7" i="48"/>
  <c r="G84" i="52"/>
  <c r="BA7" i="48"/>
  <c r="I84" i="52"/>
  <c r="AZ7" i="48"/>
  <c r="H84" i="52"/>
  <c r="AW7" i="48"/>
  <c r="E84" i="52"/>
  <c r="AV7" i="48"/>
  <c r="D84" i="52"/>
  <c r="U55" i="49"/>
  <c r="A105" i="56"/>
  <c r="BI6" i="50"/>
  <c r="B124" i="52"/>
  <c r="BI7" i="49"/>
  <c r="B105" i="52"/>
  <c r="BH4" i="48"/>
  <c r="A82" i="52"/>
  <c r="BI4" i="48"/>
  <c r="B82" i="52"/>
  <c r="V54" i="50"/>
  <c r="B124" i="56"/>
  <c r="AP53" i="50"/>
  <c r="B123" i="55" s="1"/>
  <c r="B123" i="54"/>
  <c r="V52" i="48"/>
  <c r="B82" i="56"/>
  <c r="V55" i="49"/>
  <c r="B105" i="56"/>
  <c r="BH7" i="50"/>
  <c r="A125" i="52"/>
  <c r="BH5" i="48"/>
  <c r="A83" i="52"/>
  <c r="U53" i="48"/>
  <c r="A83" i="56"/>
  <c r="AO54" i="50"/>
  <c r="A124" i="55" s="1"/>
  <c r="A124" i="54"/>
  <c r="U52" i="48"/>
  <c r="A82" i="56"/>
  <c r="BH7" i="49"/>
  <c r="A105" i="52"/>
  <c r="U55" i="50"/>
  <c r="A125" i="56"/>
  <c r="AO54" i="49"/>
  <c r="A104" i="55" s="1"/>
  <c r="A104" i="54"/>
  <c r="AP54" i="49"/>
  <c r="B104" i="55" s="1"/>
  <c r="B104" i="54"/>
  <c r="AE52" i="50"/>
  <c r="O52" i="48"/>
  <c r="N82" i="56" s="1"/>
  <c r="O76" i="48"/>
  <c r="N82" i="57" s="1"/>
  <c r="O77" i="48"/>
  <c r="N83" i="57" s="1"/>
  <c r="M83" i="53"/>
  <c r="N53" i="48"/>
  <c r="M83" i="56" s="1"/>
  <c r="N52" i="48"/>
  <c r="M82" i="56" s="1"/>
  <c r="M82" i="53"/>
  <c r="M104" i="53"/>
  <c r="N54" i="49"/>
  <c r="M104" i="56" s="1"/>
  <c r="K104" i="53"/>
  <c r="L54" i="49"/>
  <c r="K104" i="56" s="1"/>
  <c r="K126" i="53"/>
  <c r="L56" i="50"/>
  <c r="K126" i="56" s="1"/>
  <c r="M125" i="53"/>
  <c r="N55" i="50"/>
  <c r="M125" i="56" s="1"/>
  <c r="K82" i="53"/>
  <c r="L52" i="48"/>
  <c r="K82" i="56" s="1"/>
  <c r="K5" i="48"/>
  <c r="K29" i="48" s="1"/>
  <c r="J83" i="53" s="1"/>
  <c r="J82" i="51"/>
  <c r="J28" i="48"/>
  <c r="J52" i="48" s="1"/>
  <c r="I82" i="51"/>
  <c r="D28" i="48"/>
  <c r="C82" i="53" s="1"/>
  <c r="C82" i="51"/>
  <c r="H5" i="48"/>
  <c r="G83" i="51" s="1"/>
  <c r="G82" i="51"/>
  <c r="BW28" i="48"/>
  <c r="J5" i="48"/>
  <c r="I83" i="51" s="1"/>
  <c r="J5" i="49"/>
  <c r="I103" i="51" s="1"/>
  <c r="J28" i="49"/>
  <c r="I102" i="53" s="1"/>
  <c r="J5" i="50"/>
  <c r="I123" i="51" s="1"/>
  <c r="J28" i="50"/>
  <c r="I122" i="53" s="1"/>
  <c r="I5" i="50"/>
  <c r="H123" i="51" s="1"/>
  <c r="I28" i="50"/>
  <c r="H122" i="53" s="1"/>
  <c r="H5" i="49"/>
  <c r="G103" i="51" s="1"/>
  <c r="BW28" i="49"/>
  <c r="H28" i="49"/>
  <c r="G102" i="53" s="1"/>
  <c r="I5" i="48"/>
  <c r="H83" i="51" s="1"/>
  <c r="H5" i="50"/>
  <c r="G123" i="51" s="1"/>
  <c r="BW28" i="50"/>
  <c r="H28" i="50"/>
  <c r="G122" i="53" s="1"/>
  <c r="G28" i="49"/>
  <c r="F102" i="53" s="1"/>
  <c r="G5" i="49"/>
  <c r="F103" i="51" s="1"/>
  <c r="E28" i="48"/>
  <c r="D82" i="53" s="1"/>
  <c r="H28" i="48"/>
  <c r="G82" i="53" s="1"/>
  <c r="BO28" i="49"/>
  <c r="D5" i="49"/>
  <c r="C103" i="51" s="1"/>
  <c r="BR28" i="49"/>
  <c r="Q4" i="49"/>
  <c r="D28" i="49"/>
  <c r="C102" i="53" s="1"/>
  <c r="K5" i="50"/>
  <c r="J123" i="51" s="1"/>
  <c r="K28" i="50"/>
  <c r="D5" i="50"/>
  <c r="C123" i="51" s="1"/>
  <c r="Q4" i="50"/>
  <c r="BR28" i="50"/>
  <c r="BO28" i="50"/>
  <c r="D28" i="50"/>
  <c r="C122" i="53" s="1"/>
  <c r="I5" i="49"/>
  <c r="H103" i="51" s="1"/>
  <c r="I28" i="49"/>
  <c r="H102" i="53" s="1"/>
  <c r="G5" i="50"/>
  <c r="F123" i="51" s="1"/>
  <c r="G28" i="50"/>
  <c r="F122" i="53" s="1"/>
  <c r="F28" i="49"/>
  <c r="E102" i="53" s="1"/>
  <c r="F5" i="49"/>
  <c r="E103" i="51" s="1"/>
  <c r="I28" i="48"/>
  <c r="H82" i="53" s="1"/>
  <c r="BR28" i="48"/>
  <c r="F5" i="50"/>
  <c r="E123" i="51" s="1"/>
  <c r="F28" i="50"/>
  <c r="E122" i="53" s="1"/>
  <c r="E5" i="49"/>
  <c r="D103" i="51" s="1"/>
  <c r="BU28" i="49"/>
  <c r="E28" i="49"/>
  <c r="D102" i="53" s="1"/>
  <c r="D5" i="48"/>
  <c r="C83" i="51" s="1"/>
  <c r="M5" i="50"/>
  <c r="L123" i="51" s="1"/>
  <c r="M28" i="50"/>
  <c r="L122" i="53" s="1"/>
  <c r="E5" i="50"/>
  <c r="D123" i="51" s="1"/>
  <c r="BU28" i="50"/>
  <c r="E28" i="50"/>
  <c r="D122" i="53" s="1"/>
  <c r="M28" i="49"/>
  <c r="L102" i="53" s="1"/>
  <c r="M5" i="49"/>
  <c r="L103" i="51" s="1"/>
  <c r="K28" i="49"/>
  <c r="K5" i="49"/>
  <c r="J103" i="51" s="1"/>
  <c r="O7" i="48"/>
  <c r="N79" i="50"/>
  <c r="M125" i="57" s="1"/>
  <c r="AU9" i="50"/>
  <c r="C127" i="52" s="1"/>
  <c r="O79" i="50"/>
  <c r="N125" i="57" s="1"/>
  <c r="O55" i="50"/>
  <c r="N125" i="56" s="1"/>
  <c r="C55" i="50"/>
  <c r="C31" i="50"/>
  <c r="B125" i="53" s="1"/>
  <c r="C8" i="50"/>
  <c r="B126" i="51" s="1"/>
  <c r="V7" i="50"/>
  <c r="AP7" i="50" s="1"/>
  <c r="O32" i="50"/>
  <c r="N126" i="53" s="1"/>
  <c r="O9" i="50"/>
  <c r="N127" i="51" s="1"/>
  <c r="B56" i="50"/>
  <c r="B32" i="50"/>
  <c r="A126" i="53" s="1"/>
  <c r="U8" i="50"/>
  <c r="AO8" i="50" s="1"/>
  <c r="B9" i="50"/>
  <c r="A127" i="51" s="1"/>
  <c r="AH76" i="50"/>
  <c r="N122" i="58" s="1"/>
  <c r="AH52" i="50"/>
  <c r="BB52" i="50"/>
  <c r="N122" i="55" s="1"/>
  <c r="B79" i="50"/>
  <c r="A125" i="57" s="1"/>
  <c r="U31" i="50"/>
  <c r="U79" i="50" s="1"/>
  <c r="A125" i="58" s="1"/>
  <c r="C78" i="50"/>
  <c r="B124" i="57" s="1"/>
  <c r="V30" i="50"/>
  <c r="V78" i="50" s="1"/>
  <c r="B124" i="58" s="1"/>
  <c r="AE79" i="50"/>
  <c r="K125" i="58" s="1"/>
  <c r="AE55" i="50"/>
  <c r="AY55" i="50"/>
  <c r="K125" i="55" s="1"/>
  <c r="AP30" i="50"/>
  <c r="AX29" i="50"/>
  <c r="AZ29" i="50"/>
  <c r="L33" i="50"/>
  <c r="L10" i="50"/>
  <c r="K128" i="51" s="1"/>
  <c r="L80" i="50"/>
  <c r="K126" i="57" s="1"/>
  <c r="AH78" i="50"/>
  <c r="N124" i="58" s="1"/>
  <c r="AH54" i="50"/>
  <c r="BB54" i="50"/>
  <c r="N124" i="55" s="1"/>
  <c r="N32" i="50"/>
  <c r="BX32" i="50"/>
  <c r="N9" i="50"/>
  <c r="M127" i="51" s="1"/>
  <c r="BK27" i="50" a="1"/>
  <c r="AG78" i="50"/>
  <c r="M124" i="58" s="1"/>
  <c r="AG54" i="50"/>
  <c r="BA54" i="50"/>
  <c r="M124" i="55" s="1"/>
  <c r="N78" i="49"/>
  <c r="M104" i="57" s="1"/>
  <c r="L31" i="49"/>
  <c r="L8" i="49"/>
  <c r="K106" i="51" s="1"/>
  <c r="C56" i="49"/>
  <c r="C9" i="49"/>
  <c r="B107" i="51" s="1"/>
  <c r="C32" i="49"/>
  <c r="B106" i="53" s="1"/>
  <c r="V8" i="49"/>
  <c r="AP8" i="49" s="1"/>
  <c r="AG77" i="49"/>
  <c r="M103" i="58" s="1"/>
  <c r="AG53" i="49"/>
  <c r="BA53" i="49"/>
  <c r="M103" i="55" s="1"/>
  <c r="C79" i="49"/>
  <c r="B105" i="57" s="1"/>
  <c r="V31" i="49"/>
  <c r="V79" i="49" s="1"/>
  <c r="B105" i="58" s="1"/>
  <c r="BD10" i="49"/>
  <c r="J108" i="52" s="1"/>
  <c r="AE77" i="49"/>
  <c r="K103" i="58" s="1"/>
  <c r="AE53" i="49"/>
  <c r="AY53" i="49"/>
  <c r="K103" i="55" s="1"/>
  <c r="O31" i="49"/>
  <c r="N105" i="53" s="1"/>
  <c r="O8" i="49"/>
  <c r="N106" i="51" s="1"/>
  <c r="B56" i="49"/>
  <c r="B32" i="49"/>
  <c r="A106" i="53" s="1"/>
  <c r="B9" i="49"/>
  <c r="A107" i="51" s="1"/>
  <c r="U8" i="49"/>
  <c r="AO8" i="49" s="1"/>
  <c r="AP30" i="49"/>
  <c r="AZ29" i="49"/>
  <c r="AX29" i="49"/>
  <c r="O78" i="49"/>
  <c r="N104" i="57" s="1"/>
  <c r="O54" i="49"/>
  <c r="N104" i="56" s="1"/>
  <c r="B79" i="49"/>
  <c r="A105" i="57" s="1"/>
  <c r="U31" i="49"/>
  <c r="U79" i="49" s="1"/>
  <c r="A105" i="58" s="1"/>
  <c r="BL27" i="49"/>
  <c r="BK27" i="49"/>
  <c r="AH77" i="49"/>
  <c r="N103" i="58" s="1"/>
  <c r="AH53" i="49"/>
  <c r="BB53" i="49"/>
  <c r="N103" i="55" s="1"/>
  <c r="BX31" i="49"/>
  <c r="N31" i="49"/>
  <c r="N8" i="49"/>
  <c r="M106" i="51" s="1"/>
  <c r="L78" i="49"/>
  <c r="K104" i="57" s="1"/>
  <c r="F5" i="48"/>
  <c r="E83" i="51" s="1"/>
  <c r="F28" i="48"/>
  <c r="F52" i="48" s="1"/>
  <c r="E5" i="48"/>
  <c r="BU28" i="48"/>
  <c r="M5" i="48"/>
  <c r="M28" i="48"/>
  <c r="L82" i="53" s="1"/>
  <c r="G28" i="48"/>
  <c r="F82" i="53" s="1"/>
  <c r="G5" i="48"/>
  <c r="F83" i="51" s="1"/>
  <c r="Q4" i="48"/>
  <c r="BO28" i="48"/>
  <c r="D76" i="48"/>
  <c r="C82" i="57" s="1"/>
  <c r="AP27" i="48"/>
  <c r="AO27" i="48"/>
  <c r="BK27" i="48" s="1" a="1"/>
  <c r="K28" i="48"/>
  <c r="B77" i="48"/>
  <c r="A83" i="57" s="1"/>
  <c r="U29" i="48"/>
  <c r="U77" i="48" s="1"/>
  <c r="A83" i="58" s="1"/>
  <c r="N76" i="48"/>
  <c r="M82" i="57" s="1"/>
  <c r="BI57" i="48" a="1"/>
  <c r="BI57" i="48" s="1"/>
  <c r="AU6" i="48"/>
  <c r="C84" i="52" s="1"/>
  <c r="BD5" i="48"/>
  <c r="J83" i="52" s="1"/>
  <c r="C53" i="48"/>
  <c r="C29" i="48"/>
  <c r="B83" i="53" s="1"/>
  <c r="V5" i="48"/>
  <c r="AP5" i="48" s="1"/>
  <c r="C6" i="48"/>
  <c r="B84" i="51" s="1"/>
  <c r="N77" i="48"/>
  <c r="M83" i="57" s="1"/>
  <c r="P76" i="48"/>
  <c r="O82" i="57" s="1"/>
  <c r="BX30" i="48"/>
  <c r="N30" i="48"/>
  <c r="N7" i="48"/>
  <c r="M85" i="51" s="1"/>
  <c r="BB52" i="48"/>
  <c r="N82" i="55" s="1"/>
  <c r="B54" i="48"/>
  <c r="B7" i="48"/>
  <c r="A85" i="51" s="1"/>
  <c r="B30" i="48"/>
  <c r="A84" i="53" s="1"/>
  <c r="U6" i="48"/>
  <c r="AO6" i="48" s="1"/>
  <c r="B76" i="48"/>
  <c r="A82" i="57" s="1"/>
  <c r="AO28" i="48"/>
  <c r="AO29" i="48" s="1"/>
  <c r="AO30" i="48" s="1"/>
  <c r="AO31" i="48" s="1"/>
  <c r="AO32" i="48" s="1"/>
  <c r="AO33" i="48" s="1"/>
  <c r="AO34" i="48" s="1"/>
  <c r="AO35" i="48" s="1"/>
  <c r="AO36" i="48" s="1"/>
  <c r="AO37" i="48" s="1"/>
  <c r="AO38" i="48" s="1"/>
  <c r="AO39" i="48" s="1"/>
  <c r="AO40" i="48" s="1"/>
  <c r="AO41" i="48" s="1"/>
  <c r="AO42" i="48" s="1"/>
  <c r="AO43" i="48" s="1"/>
  <c r="AO44" i="48" s="1"/>
  <c r="AO45" i="48" s="1"/>
  <c r="AO46" i="48" s="1"/>
  <c r="AO47" i="48" s="1"/>
  <c r="U28" i="48"/>
  <c r="U76" i="48" s="1"/>
  <c r="A82" i="58" s="1"/>
  <c r="AH76" i="48"/>
  <c r="N82" i="58" s="1"/>
  <c r="AH52" i="48"/>
  <c r="L76" i="48"/>
  <c r="K82" i="57" s="1"/>
  <c r="BA52" i="48"/>
  <c r="M82" i="55" s="1"/>
  <c r="L29" i="48"/>
  <c r="L6" i="48"/>
  <c r="K84" i="51" s="1"/>
  <c r="C76" i="48"/>
  <c r="B82" i="57" s="1"/>
  <c r="AP28" i="48"/>
  <c r="V28" i="48"/>
  <c r="V76" i="48" s="1"/>
  <c r="B82" i="58" s="1"/>
  <c r="R29" i="47"/>
  <c r="Q63" i="53" s="1"/>
  <c r="R30" i="47"/>
  <c r="Q64" i="53" s="1"/>
  <c r="R31" i="47"/>
  <c r="Q65" i="53" s="1"/>
  <c r="R32" i="47"/>
  <c r="Q66" i="53" s="1"/>
  <c r="R33" i="47"/>
  <c r="Q67" i="53" s="1"/>
  <c r="R34" i="47"/>
  <c r="Q68" i="53" s="1"/>
  <c r="R35" i="47"/>
  <c r="Q69" i="53" s="1"/>
  <c r="R36" i="47"/>
  <c r="Q70" i="53" s="1"/>
  <c r="R37" i="47"/>
  <c r="Q71" i="53" s="1"/>
  <c r="R38" i="47"/>
  <c r="Q72" i="53" s="1"/>
  <c r="R39" i="47"/>
  <c r="Q73" i="53" s="1"/>
  <c r="R40" i="47"/>
  <c r="Q74" i="53" s="1"/>
  <c r="R41" i="47"/>
  <c r="Q75" i="53" s="1"/>
  <c r="R42" i="47"/>
  <c r="Q76" i="53" s="1"/>
  <c r="R43" i="47"/>
  <c r="Q77" i="53" s="1"/>
  <c r="R44" i="47"/>
  <c r="Q78" i="53" s="1"/>
  <c r="R45" i="47"/>
  <c r="Q79" i="53" s="1"/>
  <c r="R46" i="47"/>
  <c r="Q80" i="53" s="1"/>
  <c r="R47" i="47"/>
  <c r="Q81" i="53" s="1"/>
  <c r="R28" i="47"/>
  <c r="Q62" i="53" s="1"/>
  <c r="AV4" i="47"/>
  <c r="AV5" i="47" s="1"/>
  <c r="AW4" i="47"/>
  <c r="AX4" i="47"/>
  <c r="AY4" i="47"/>
  <c r="AZ4" i="47"/>
  <c r="BA4" i="47"/>
  <c r="BA5" i="47" s="1"/>
  <c r="AU4" i="47"/>
  <c r="AU5" i="47" s="1"/>
  <c r="C63" i="52" s="1"/>
  <c r="L4" i="47"/>
  <c r="N4" i="47"/>
  <c r="BX28" i="47" s="1"/>
  <c r="O4" i="47"/>
  <c r="C4" i="47"/>
  <c r="B62" i="51" s="1"/>
  <c r="B4" i="47"/>
  <c r="A62" i="51" s="1"/>
  <c r="AJ75" i="47"/>
  <c r="AI75" i="47"/>
  <c r="AG75" i="47"/>
  <c r="AB75" i="47"/>
  <c r="AA75" i="47"/>
  <c r="Y75" i="47"/>
  <c r="X75" i="47"/>
  <c r="W75" i="47"/>
  <c r="W75" i="47" a="1"/>
  <c r="AH75" i="47" s="1"/>
  <c r="U75" i="47" a="1"/>
  <c r="G75" i="47"/>
  <c r="D75" i="47"/>
  <c r="D75" i="47" a="1"/>
  <c r="K75" i="47" s="1"/>
  <c r="B75" i="47" a="1"/>
  <c r="B75" i="47" s="1"/>
  <c r="CA71" i="47"/>
  <c r="BZ71" i="47"/>
  <c r="BY71" i="47"/>
  <c r="BX71" i="47"/>
  <c r="BW71" i="47"/>
  <c r="BV71" i="47"/>
  <c r="BU71" i="47"/>
  <c r="BT71" i="47"/>
  <c r="BS71" i="47"/>
  <c r="BR71" i="47"/>
  <c r="BQ71" i="47"/>
  <c r="BP71" i="47"/>
  <c r="BO71" i="47"/>
  <c r="BN71" i="47"/>
  <c r="BM71" i="47"/>
  <c r="BL71" i="47"/>
  <c r="BK71" i="47"/>
  <c r="BJ71" i="47"/>
  <c r="BI71" i="47"/>
  <c r="CA70" i="47"/>
  <c r="BZ70" i="47"/>
  <c r="BY70" i="47"/>
  <c r="BX70" i="47"/>
  <c r="BW70" i="47"/>
  <c r="BV70" i="47"/>
  <c r="BU70" i="47"/>
  <c r="BT70" i="47"/>
  <c r="BS70" i="47"/>
  <c r="BR70" i="47"/>
  <c r="BQ70" i="47"/>
  <c r="BP70" i="47"/>
  <c r="BO70" i="47"/>
  <c r="BN70" i="47"/>
  <c r="BM70" i="47"/>
  <c r="BL70" i="47"/>
  <c r="BK70" i="47"/>
  <c r="BJ70" i="47"/>
  <c r="BI70" i="47"/>
  <c r="CA57" i="47"/>
  <c r="BZ57" i="47"/>
  <c r="BY57" i="47"/>
  <c r="BX57" i="47"/>
  <c r="BW57" i="47"/>
  <c r="BV57" i="47"/>
  <c r="BU57" i="47"/>
  <c r="BT57" i="47"/>
  <c r="BS57" i="47"/>
  <c r="BR57" i="47"/>
  <c r="BQ57" i="47"/>
  <c r="BP57" i="47"/>
  <c r="BO57" i="47"/>
  <c r="BN57" i="47"/>
  <c r="BM57" i="47"/>
  <c r="BL57" i="47"/>
  <c r="BK57" i="47"/>
  <c r="BJ57" i="47"/>
  <c r="CA56" i="47"/>
  <c r="BZ56" i="47"/>
  <c r="BY56" i="47"/>
  <c r="BX56" i="47"/>
  <c r="BW56" i="47"/>
  <c r="BV56" i="47"/>
  <c r="BU56" i="47"/>
  <c r="BT56" i="47"/>
  <c r="BS56" i="47"/>
  <c r="BR56" i="47"/>
  <c r="BQ56" i="47"/>
  <c r="BP56" i="47"/>
  <c r="BO56" i="47"/>
  <c r="BN56" i="47"/>
  <c r="BM56" i="47"/>
  <c r="BL56" i="47"/>
  <c r="BK56" i="47"/>
  <c r="BJ56" i="47"/>
  <c r="BI56" i="47"/>
  <c r="AL54" i="47"/>
  <c r="AL55" i="47" s="1"/>
  <c r="AL56" i="47" s="1"/>
  <c r="AL57" i="47" s="1"/>
  <c r="AL58" i="47" s="1"/>
  <c r="AL59" i="47" s="1"/>
  <c r="AL60" i="47" s="1"/>
  <c r="AL61" i="47" s="1"/>
  <c r="AL62" i="47" s="1"/>
  <c r="AL63" i="47" s="1"/>
  <c r="AL64" i="47" s="1"/>
  <c r="AL65" i="47" s="1"/>
  <c r="AL66" i="47" s="1"/>
  <c r="AL67" i="47" s="1"/>
  <c r="AL68" i="47" s="1"/>
  <c r="AL69" i="47" s="1"/>
  <c r="AL70" i="47" s="1"/>
  <c r="AL71" i="47" s="1"/>
  <c r="AQ51" i="47" a="1"/>
  <c r="AZ51" i="47" s="1"/>
  <c r="AO51" i="47"/>
  <c r="AO51" i="47" a="1"/>
  <c r="AP51" i="47" s="1"/>
  <c r="AA51" i="47"/>
  <c r="Z51" i="47"/>
  <c r="W51" i="47" a="1"/>
  <c r="AC51" i="47" s="1"/>
  <c r="U51" i="47" a="1"/>
  <c r="V51" i="47" s="1"/>
  <c r="D51" i="47" a="1"/>
  <c r="L51" i="47" s="1"/>
  <c r="C51" i="47"/>
  <c r="B51" i="47"/>
  <c r="B51" i="47" a="1"/>
  <c r="BM37" i="47"/>
  <c r="BN37" i="47" s="1"/>
  <c r="BQ37" i="47" s="1"/>
  <c r="BM36" i="47"/>
  <c r="BN36" i="47" s="1"/>
  <c r="BQ36" i="47" s="1"/>
  <c r="BH36" i="47"/>
  <c r="BM35" i="47"/>
  <c r="BN35" i="47" s="1"/>
  <c r="BH35" i="47"/>
  <c r="BM34" i="47"/>
  <c r="BN34" i="47" s="1"/>
  <c r="BT34" i="47" s="1"/>
  <c r="BH34" i="47"/>
  <c r="BM33" i="47"/>
  <c r="BN33" i="47" s="1"/>
  <c r="BM32" i="47"/>
  <c r="BN32" i="47" s="1"/>
  <c r="BM31" i="47"/>
  <c r="BN31" i="47" s="1"/>
  <c r="BH31" i="47"/>
  <c r="BM30" i="47"/>
  <c r="BN30" i="47" s="1"/>
  <c r="BH30" i="47"/>
  <c r="BZ29" i="47"/>
  <c r="BZ30" i="47" s="1"/>
  <c r="BZ31" i="47" s="1"/>
  <c r="BZ32" i="47" s="1"/>
  <c r="BZ33" i="47" s="1"/>
  <c r="BZ34" i="47" s="1"/>
  <c r="BZ35" i="47" s="1"/>
  <c r="BZ36" i="47" s="1"/>
  <c r="BZ37" i="47" s="1"/>
  <c r="BZ38" i="47" s="1"/>
  <c r="BZ39" i="47" s="1"/>
  <c r="BZ40" i="47" s="1"/>
  <c r="BZ41" i="47" s="1"/>
  <c r="BZ42" i="47" s="1"/>
  <c r="BZ43" i="47" s="1"/>
  <c r="BZ44" i="47" s="1"/>
  <c r="BZ45" i="47" s="1"/>
  <c r="BZ46" i="47" s="1"/>
  <c r="BZ47" i="47" s="1"/>
  <c r="BM29" i="47"/>
  <c r="BN29" i="47" s="1"/>
  <c r="BM28" i="47"/>
  <c r="BN28" i="47" s="1"/>
  <c r="BT28" i="47" s="1"/>
  <c r="BM27" i="47"/>
  <c r="AQ27" i="47"/>
  <c r="AQ27" i="47" a="1"/>
  <c r="AS27" i="47" s="1"/>
  <c r="AG27" i="47"/>
  <c r="AF27" i="47"/>
  <c r="W27" i="47"/>
  <c r="W27" i="47" a="1"/>
  <c r="AE27" i="47" s="1"/>
  <c r="D27" i="47" a="1"/>
  <c r="N27" i="47" s="1"/>
  <c r="B27" i="47" a="1"/>
  <c r="AW5" i="47"/>
  <c r="BD4" i="47"/>
  <c r="AY5" i="47"/>
  <c r="AX5" i="47"/>
  <c r="AJ4" i="47"/>
  <c r="V4" i="47"/>
  <c r="AP4" i="47" s="1"/>
  <c r="U4" i="47"/>
  <c r="AO4" i="47" s="1"/>
  <c r="BD3" i="47"/>
  <c r="BC3" i="47"/>
  <c r="AY3" i="47"/>
  <c r="AV3" i="47"/>
  <c r="AU3" i="47"/>
  <c r="AT3" i="47"/>
  <c r="AS3" i="47"/>
  <c r="AQ3" i="47" a="1"/>
  <c r="AX3" i="47" s="1"/>
  <c r="AO3" i="47" a="1"/>
  <c r="AO3" i="47" s="1"/>
  <c r="AI3" i="47"/>
  <c r="AB3" i="47"/>
  <c r="AA3" i="47"/>
  <c r="W3" i="47" a="1"/>
  <c r="AD3" i="47" s="1"/>
  <c r="U3" i="47"/>
  <c r="U3" i="47" a="1"/>
  <c r="V3" i="47" s="1"/>
  <c r="D3" i="47" a="1"/>
  <c r="L3" i="47" s="1"/>
  <c r="C3" i="47"/>
  <c r="B3" i="47"/>
  <c r="B3" i="47" a="1"/>
  <c r="BM29" i="46"/>
  <c r="BM30" i="46"/>
  <c r="BM31" i="46"/>
  <c r="BM32" i="46"/>
  <c r="BM33" i="46"/>
  <c r="BM34" i="46"/>
  <c r="BM35" i="46"/>
  <c r="BM36" i="46"/>
  <c r="BM37" i="46"/>
  <c r="BM28" i="46"/>
  <c r="R29" i="46"/>
  <c r="Q43" i="53" s="1"/>
  <c r="R30" i="46"/>
  <c r="Q44" i="53" s="1"/>
  <c r="R31" i="46"/>
  <c r="Q45" i="53" s="1"/>
  <c r="R32" i="46"/>
  <c r="Q46" i="53" s="1"/>
  <c r="R33" i="46"/>
  <c r="Q47" i="53" s="1"/>
  <c r="R34" i="46"/>
  <c r="Q48" i="53" s="1"/>
  <c r="R35" i="46"/>
  <c r="Q49" i="53" s="1"/>
  <c r="R36" i="46"/>
  <c r="Q50" i="53" s="1"/>
  <c r="R37" i="46"/>
  <c r="Q51" i="53" s="1"/>
  <c r="R38" i="46"/>
  <c r="Q52" i="53" s="1"/>
  <c r="R39" i="46"/>
  <c r="Q53" i="53" s="1"/>
  <c r="R40" i="46"/>
  <c r="Q54" i="53" s="1"/>
  <c r="R41" i="46"/>
  <c r="Q55" i="53" s="1"/>
  <c r="R42" i="46"/>
  <c r="Q56" i="53" s="1"/>
  <c r="R43" i="46"/>
  <c r="Q57" i="53" s="1"/>
  <c r="R44" i="46"/>
  <c r="Q58" i="53" s="1"/>
  <c r="R45" i="46"/>
  <c r="Q59" i="53" s="1"/>
  <c r="R46" i="46"/>
  <c r="Q60" i="53" s="1"/>
  <c r="R47" i="46"/>
  <c r="Q61" i="53" s="1"/>
  <c r="R28" i="46"/>
  <c r="Q42" i="53" s="1"/>
  <c r="AV4" i="46"/>
  <c r="AV5" i="46" s="1"/>
  <c r="AW4" i="46"/>
  <c r="AW5" i="46" s="1"/>
  <c r="AX4" i="46"/>
  <c r="AY4" i="46"/>
  <c r="AZ4" i="46"/>
  <c r="BA4" i="46"/>
  <c r="AU4" i="46"/>
  <c r="L4" i="46"/>
  <c r="L5" i="46" s="1"/>
  <c r="K43" i="51" s="1"/>
  <c r="N4" i="46"/>
  <c r="O4" i="46"/>
  <c r="C4" i="46"/>
  <c r="C5" i="46" s="1"/>
  <c r="B43" i="51" s="1"/>
  <c r="B4" i="46"/>
  <c r="A42" i="51" s="1"/>
  <c r="AD75" i="46"/>
  <c r="W75" i="46" a="1"/>
  <c r="AC75" i="46" s="1"/>
  <c r="V75" i="46"/>
  <c r="U75" i="46" a="1"/>
  <c r="U75" i="46" s="1"/>
  <c r="L75" i="46"/>
  <c r="D75" i="46" a="1"/>
  <c r="C75" i="46"/>
  <c r="B75" i="46" a="1"/>
  <c r="B75" i="46" s="1"/>
  <c r="CA71" i="46"/>
  <c r="BZ71" i="46"/>
  <c r="BY71" i="46"/>
  <c r="BX71" i="46"/>
  <c r="BW71" i="46"/>
  <c r="BV71" i="46"/>
  <c r="BU71" i="46"/>
  <c r="BT71" i="46"/>
  <c r="BS71" i="46"/>
  <c r="BR71" i="46"/>
  <c r="BQ71" i="46"/>
  <c r="BP71" i="46"/>
  <c r="BO71" i="46"/>
  <c r="BN71" i="46"/>
  <c r="BM71" i="46"/>
  <c r="BL71" i="46"/>
  <c r="BK71" i="46"/>
  <c r="BJ71" i="46"/>
  <c r="BI71" i="46"/>
  <c r="CA70" i="46"/>
  <c r="BZ70" i="46"/>
  <c r="BY70" i="46"/>
  <c r="BX70" i="46"/>
  <c r="BW70" i="46"/>
  <c r="BV70" i="46"/>
  <c r="BU70" i="46"/>
  <c r="BT70" i="46"/>
  <c r="BS70" i="46"/>
  <c r="BR70" i="46"/>
  <c r="BQ70" i="46"/>
  <c r="BP70" i="46"/>
  <c r="BO70" i="46"/>
  <c r="BN70" i="46"/>
  <c r="BM70" i="46"/>
  <c r="BL70" i="46"/>
  <c r="BK70" i="46"/>
  <c r="BJ70" i="46"/>
  <c r="BI70" i="46"/>
  <c r="CA57" i="46"/>
  <c r="BZ57" i="46"/>
  <c r="BY57" i="46"/>
  <c r="BX57" i="46"/>
  <c r="BW57" i="46"/>
  <c r="BV57" i="46"/>
  <c r="BU57" i="46"/>
  <c r="BT57" i="46"/>
  <c r="BS57" i="46"/>
  <c r="BR57" i="46"/>
  <c r="BQ57" i="46"/>
  <c r="BP57" i="46"/>
  <c r="BO57" i="46"/>
  <c r="BN57" i="46"/>
  <c r="BM57" i="46"/>
  <c r="BL57" i="46"/>
  <c r="BK57" i="46"/>
  <c r="BJ57" i="46"/>
  <c r="CA56" i="46"/>
  <c r="BZ56" i="46"/>
  <c r="BY56" i="46"/>
  <c r="BX56" i="46"/>
  <c r="BW56" i="46"/>
  <c r="BV56" i="46"/>
  <c r="BU56" i="46"/>
  <c r="BT56" i="46"/>
  <c r="BS56" i="46"/>
  <c r="BR56" i="46"/>
  <c r="BQ56" i="46"/>
  <c r="BP56" i="46"/>
  <c r="BO56" i="46"/>
  <c r="BN56" i="46"/>
  <c r="BM56" i="46"/>
  <c r="BL56" i="46"/>
  <c r="BK56" i="46"/>
  <c r="BJ56" i="46"/>
  <c r="BI56" i="46"/>
  <c r="AL54" i="46"/>
  <c r="AL55" i="46" s="1"/>
  <c r="AL56" i="46" s="1"/>
  <c r="AL57" i="46" s="1"/>
  <c r="AL58" i="46" s="1"/>
  <c r="AL59" i="46" s="1"/>
  <c r="AL60" i="46" s="1"/>
  <c r="AL61" i="46" s="1"/>
  <c r="AL62" i="46" s="1"/>
  <c r="AL63" i="46" s="1"/>
  <c r="AL64" i="46" s="1"/>
  <c r="AL65" i="46" s="1"/>
  <c r="AL66" i="46" s="1"/>
  <c r="AL67" i="46" s="1"/>
  <c r="AL68" i="46" s="1"/>
  <c r="AL69" i="46" s="1"/>
  <c r="AL70" i="46" s="1"/>
  <c r="AL71" i="46" s="1"/>
  <c r="AQ51" i="46" a="1"/>
  <c r="AO51" i="46"/>
  <c r="AO51" i="46" a="1"/>
  <c r="AP51" i="46" s="1"/>
  <c r="W51" i="46" a="1"/>
  <c r="AD51" i="46" s="1"/>
  <c r="U51" i="46"/>
  <c r="U51" i="46" a="1"/>
  <c r="V51" i="46" s="1"/>
  <c r="O51" i="46"/>
  <c r="D51" i="46" a="1"/>
  <c r="L51" i="46" s="1"/>
  <c r="C51" i="46"/>
  <c r="B51" i="46"/>
  <c r="B51" i="46" a="1"/>
  <c r="BH36" i="46"/>
  <c r="BH35" i="46"/>
  <c r="BH34" i="46"/>
  <c r="BH31" i="46"/>
  <c r="BH30" i="46"/>
  <c r="BZ29" i="46"/>
  <c r="BZ30" i="46" s="1"/>
  <c r="BZ31" i="46" s="1"/>
  <c r="BZ32" i="46" s="1"/>
  <c r="BZ33" i="46" s="1"/>
  <c r="BZ34" i="46" s="1"/>
  <c r="BZ35" i="46" s="1"/>
  <c r="BZ36" i="46" s="1"/>
  <c r="BZ37" i="46" s="1"/>
  <c r="BZ38" i="46" s="1"/>
  <c r="BZ39" i="46" s="1"/>
  <c r="BZ40" i="46" s="1"/>
  <c r="BZ41" i="46" s="1"/>
  <c r="BZ42" i="46" s="1"/>
  <c r="BZ43" i="46" s="1"/>
  <c r="BZ44" i="46" s="1"/>
  <c r="BZ45" i="46" s="1"/>
  <c r="BZ46" i="46" s="1"/>
  <c r="BZ47" i="46" s="1"/>
  <c r="BM27" i="46"/>
  <c r="AQ27" i="46" a="1"/>
  <c r="AR27" i="46" s="1"/>
  <c r="AJ27" i="46"/>
  <c r="AI27" i="46"/>
  <c r="AE27" i="46"/>
  <c r="AC27" i="46"/>
  <c r="AB27" i="46"/>
  <c r="AA27" i="46"/>
  <c r="Y27" i="46"/>
  <c r="X27" i="46"/>
  <c r="W27" i="46" a="1"/>
  <c r="AH27" i="46" s="1"/>
  <c r="D27" i="46" a="1"/>
  <c r="K27" i="46" s="1"/>
  <c r="B27" i="46" a="1"/>
  <c r="B27" i="46" s="1"/>
  <c r="AZ5" i="46"/>
  <c r="AX5" i="46"/>
  <c r="O5" i="46"/>
  <c r="N43" i="51" s="1"/>
  <c r="BA5" i="46"/>
  <c r="AY5" i="46"/>
  <c r="AJ4" i="46"/>
  <c r="BB3" i="46"/>
  <c r="AQ3" i="46" a="1"/>
  <c r="BD3" i="46" s="1"/>
  <c r="AO3" i="46"/>
  <c r="AO3" i="46" a="1"/>
  <c r="AP3" i="46" s="1"/>
  <c r="W3" i="46" a="1"/>
  <c r="AB3" i="46" s="1"/>
  <c r="V3" i="46"/>
  <c r="U3" i="46"/>
  <c r="U3" i="46" a="1"/>
  <c r="D3" i="46" a="1"/>
  <c r="K3" i="46" s="1"/>
  <c r="C3" i="46"/>
  <c r="B3" i="46"/>
  <c r="B3" i="46" a="1"/>
  <c r="L4" i="44"/>
  <c r="L5" i="44" s="1"/>
  <c r="K23" i="51" s="1"/>
  <c r="N4" i="44"/>
  <c r="N5" i="44" s="1"/>
  <c r="O4" i="44"/>
  <c r="O5" i="44" s="1"/>
  <c r="N23" i="51" s="1"/>
  <c r="AV4" i="44"/>
  <c r="AW4" i="44"/>
  <c r="AX4" i="44"/>
  <c r="AY4" i="44"/>
  <c r="AZ4" i="44"/>
  <c r="BA4" i="44"/>
  <c r="R29" i="44"/>
  <c r="Q23" i="53" s="1"/>
  <c r="R30" i="44"/>
  <c r="Q24" i="53" s="1"/>
  <c r="R31" i="44"/>
  <c r="Q25" i="53" s="1"/>
  <c r="R32" i="44"/>
  <c r="Q26" i="53" s="1"/>
  <c r="R33" i="44"/>
  <c r="Q27" i="53" s="1"/>
  <c r="R34" i="44"/>
  <c r="Q28" i="53" s="1"/>
  <c r="R35" i="44"/>
  <c r="Q29" i="53" s="1"/>
  <c r="R36" i="44"/>
  <c r="Q30" i="53" s="1"/>
  <c r="R37" i="44"/>
  <c r="Q31" i="53" s="1"/>
  <c r="R38" i="44"/>
  <c r="Q32" i="53" s="1"/>
  <c r="R39" i="44"/>
  <c r="Q33" i="53" s="1"/>
  <c r="R40" i="44"/>
  <c r="Q34" i="53" s="1"/>
  <c r="R41" i="44"/>
  <c r="Q35" i="53" s="1"/>
  <c r="R42" i="44"/>
  <c r="Q36" i="53" s="1"/>
  <c r="R43" i="44"/>
  <c r="Q37" i="53" s="1"/>
  <c r="R44" i="44"/>
  <c r="Q38" i="53" s="1"/>
  <c r="R45" i="44"/>
  <c r="Q39" i="53" s="1"/>
  <c r="R46" i="44"/>
  <c r="Q40" i="53" s="1"/>
  <c r="R47" i="44"/>
  <c r="Q41" i="53" s="1"/>
  <c r="R28" i="44"/>
  <c r="Q22" i="53" s="1"/>
  <c r="C28" i="44"/>
  <c r="C4" i="44"/>
  <c r="B4" i="44"/>
  <c r="B5" i="44" s="1"/>
  <c r="AC75" i="44"/>
  <c r="W75" i="44"/>
  <c r="W75" i="44" a="1"/>
  <c r="U75" i="44" a="1"/>
  <c r="M75" i="44"/>
  <c r="L75" i="44"/>
  <c r="J75" i="44"/>
  <c r="G75" i="44"/>
  <c r="D75" i="44" a="1"/>
  <c r="Q75" i="44" s="1"/>
  <c r="B75" i="44" a="1"/>
  <c r="CA71" i="44"/>
  <c r="BZ71" i="44"/>
  <c r="BY71" i="44"/>
  <c r="BX71" i="44"/>
  <c r="BW71" i="44"/>
  <c r="BV71" i="44"/>
  <c r="BU71" i="44"/>
  <c r="BT71" i="44"/>
  <c r="BS71" i="44"/>
  <c r="BR71" i="44"/>
  <c r="BQ71" i="44"/>
  <c r="BP71" i="44"/>
  <c r="BO71" i="44"/>
  <c r="BN71" i="44"/>
  <c r="BM71" i="44"/>
  <c r="BL71" i="44"/>
  <c r="BK71" i="44"/>
  <c r="BJ71" i="44"/>
  <c r="BI71" i="44"/>
  <c r="CA70" i="44"/>
  <c r="BZ70" i="44"/>
  <c r="BY70" i="44"/>
  <c r="BX70" i="44"/>
  <c r="BW70" i="44"/>
  <c r="BV70" i="44"/>
  <c r="BU70" i="44"/>
  <c r="BT70" i="44"/>
  <c r="BS70" i="44"/>
  <c r="BR70" i="44"/>
  <c r="BQ70" i="44"/>
  <c r="BP70" i="44"/>
  <c r="BO70" i="44"/>
  <c r="BN70" i="44"/>
  <c r="BM70" i="44"/>
  <c r="BL70" i="44"/>
  <c r="BK70" i="44"/>
  <c r="BJ70" i="44"/>
  <c r="BI70" i="44"/>
  <c r="CA57" i="44"/>
  <c r="BZ57" i="44"/>
  <c r="BY57" i="44"/>
  <c r="BX57" i="44"/>
  <c r="BW57" i="44"/>
  <c r="BV57" i="44"/>
  <c r="BU57" i="44"/>
  <c r="BT57" i="44"/>
  <c r="BS57" i="44"/>
  <c r="BR57" i="44"/>
  <c r="BQ57" i="44"/>
  <c r="BP57" i="44"/>
  <c r="BO57" i="44"/>
  <c r="BN57" i="44"/>
  <c r="BM57" i="44"/>
  <c r="BL57" i="44"/>
  <c r="BK57" i="44"/>
  <c r="BJ57" i="44"/>
  <c r="CA56" i="44"/>
  <c r="BZ56" i="44"/>
  <c r="BY56" i="44"/>
  <c r="BX56" i="44"/>
  <c r="BW56" i="44"/>
  <c r="BV56" i="44"/>
  <c r="BU56" i="44"/>
  <c r="BT56" i="44"/>
  <c r="BS56" i="44"/>
  <c r="BR56" i="44"/>
  <c r="BQ56" i="44"/>
  <c r="BP56" i="44"/>
  <c r="BO56" i="44"/>
  <c r="BN56" i="44"/>
  <c r="BM56" i="44"/>
  <c r="BL56" i="44"/>
  <c r="BK56" i="44"/>
  <c r="BJ56" i="44"/>
  <c r="BI56" i="44"/>
  <c r="AL54" i="44"/>
  <c r="AL55" i="44" s="1"/>
  <c r="AL56" i="44" s="1"/>
  <c r="AL57" i="44" s="1"/>
  <c r="AL58" i="44" s="1"/>
  <c r="AL59" i="44" s="1"/>
  <c r="AL60" i="44" s="1"/>
  <c r="AL61" i="44" s="1"/>
  <c r="AL62" i="44" s="1"/>
  <c r="AL63" i="44" s="1"/>
  <c r="AL64" i="44" s="1"/>
  <c r="AL65" i="44" s="1"/>
  <c r="AL66" i="44" s="1"/>
  <c r="AL67" i="44" s="1"/>
  <c r="AL68" i="44" s="1"/>
  <c r="AL69" i="44" s="1"/>
  <c r="AL70" i="44" s="1"/>
  <c r="AL71" i="44" s="1"/>
  <c r="AQ51" i="44" a="1"/>
  <c r="BD51" i="44" s="1"/>
  <c r="AO51" i="44" a="1"/>
  <c r="AP51" i="44" s="1"/>
  <c r="AD51" i="44"/>
  <c r="W51" i="44" a="1"/>
  <c r="AJ51" i="44" s="1"/>
  <c r="V51" i="44"/>
  <c r="U51" i="44"/>
  <c r="U51" i="44" a="1"/>
  <c r="O51" i="44"/>
  <c r="D51" i="44" a="1"/>
  <c r="G51" i="44" s="1"/>
  <c r="B51" i="44" a="1"/>
  <c r="B51" i="44" s="1"/>
  <c r="BH36" i="44"/>
  <c r="BH35" i="44"/>
  <c r="BH34" i="44"/>
  <c r="BH31" i="44"/>
  <c r="BH30" i="44"/>
  <c r="BZ29" i="44"/>
  <c r="BZ30" i="44" s="1"/>
  <c r="BZ31" i="44" s="1"/>
  <c r="BZ32" i="44" s="1"/>
  <c r="BZ33" i="44" s="1"/>
  <c r="BZ34" i="44" s="1"/>
  <c r="BZ35" i="44" s="1"/>
  <c r="BZ36" i="44" s="1"/>
  <c r="BZ37" i="44" s="1"/>
  <c r="BZ38" i="44" s="1"/>
  <c r="BZ39" i="44" s="1"/>
  <c r="BZ40" i="44" s="1"/>
  <c r="BZ41" i="44" s="1"/>
  <c r="BZ42" i="44" s="1"/>
  <c r="BZ43" i="44" s="1"/>
  <c r="BZ44" i="44" s="1"/>
  <c r="BZ45" i="44" s="1"/>
  <c r="BZ46" i="44" s="1"/>
  <c r="BZ47" i="44" s="1"/>
  <c r="BM27" i="44"/>
  <c r="AQ27" i="44" a="1"/>
  <c r="AI27" i="44"/>
  <c r="AD27" i="44"/>
  <c r="AC27" i="44"/>
  <c r="W27" i="44" a="1"/>
  <c r="AE27" i="44" s="1"/>
  <c r="U27" i="44" a="1"/>
  <c r="L27" i="44"/>
  <c r="E27" i="44"/>
  <c r="D27" i="44"/>
  <c r="D27" i="44" a="1"/>
  <c r="K27" i="44" s="1"/>
  <c r="C27" i="44"/>
  <c r="B27" i="44"/>
  <c r="B27" i="44" a="1"/>
  <c r="AZ5" i="44"/>
  <c r="AX5" i="44"/>
  <c r="AV5" i="44"/>
  <c r="C23" i="52"/>
  <c r="BA5" i="44"/>
  <c r="AY5" i="44"/>
  <c r="AJ4" i="44"/>
  <c r="V4" i="44"/>
  <c r="AP4" i="44" s="1"/>
  <c r="BX28" i="44"/>
  <c r="AQ3" i="44" a="1"/>
  <c r="AZ3" i="44" s="1"/>
  <c r="AO3" i="44" a="1"/>
  <c r="AP3" i="44" s="1"/>
  <c r="AJ3" i="44"/>
  <c r="AC3" i="44"/>
  <c r="AB3" i="44"/>
  <c r="AA3" i="44"/>
  <c r="W3" i="44" a="1"/>
  <c r="AD3" i="44" s="1"/>
  <c r="U3" i="44"/>
  <c r="U3" i="44" a="1"/>
  <c r="V3" i="44" s="1"/>
  <c r="P3" i="44"/>
  <c r="D3" i="44" a="1"/>
  <c r="G3" i="44" s="1"/>
  <c r="B3" i="44" a="1"/>
  <c r="B3" i="44" s="1"/>
  <c r="W75" i="43" a="1"/>
  <c r="W75" i="43" s="1"/>
  <c r="C1" i="58" s="1"/>
  <c r="D75" i="43" a="1"/>
  <c r="E75" i="43" s="1"/>
  <c r="D1" i="57" s="1"/>
  <c r="U75" i="43" a="1"/>
  <c r="U75" i="43" s="1"/>
  <c r="B75" i="43" a="1"/>
  <c r="B75" i="43" s="1"/>
  <c r="BZ29" i="43"/>
  <c r="BZ30" i="43" s="1"/>
  <c r="BZ31" i="43" s="1"/>
  <c r="BZ32" i="43" s="1"/>
  <c r="BZ33" i="43" s="1"/>
  <c r="BZ34" i="43" s="1"/>
  <c r="BZ35" i="43" s="1"/>
  <c r="BZ36" i="43" s="1"/>
  <c r="BZ37" i="43" s="1"/>
  <c r="BZ38" i="43" s="1"/>
  <c r="BZ39" i="43" s="1"/>
  <c r="BZ40" i="43" s="1"/>
  <c r="BZ41" i="43" s="1"/>
  <c r="BZ42" i="43" s="1"/>
  <c r="BZ43" i="43" s="1"/>
  <c r="BZ44" i="43" s="1"/>
  <c r="BZ45" i="43" s="1"/>
  <c r="BZ46" i="43" s="1"/>
  <c r="BZ47" i="43" s="1"/>
  <c r="P102" i="51" l="1"/>
  <c r="P82" i="51"/>
  <c r="P122" i="51"/>
  <c r="AV9" i="50"/>
  <c r="D126" i="52"/>
  <c r="J6" i="48"/>
  <c r="I84" i="51" s="1"/>
  <c r="J29" i="48"/>
  <c r="I83" i="53" s="1"/>
  <c r="BA53" i="48"/>
  <c r="M83" i="55" s="1"/>
  <c r="BB53" i="48"/>
  <c r="N83" i="55" s="1"/>
  <c r="O78" i="48"/>
  <c r="N84" i="57" s="1"/>
  <c r="AZ8" i="48"/>
  <c r="H85" i="52"/>
  <c r="AH53" i="48"/>
  <c r="N83" i="54" s="1"/>
  <c r="BA8" i="48"/>
  <c r="I85" i="52"/>
  <c r="AH77" i="48"/>
  <c r="N83" i="58" s="1"/>
  <c r="O54" i="48"/>
  <c r="AH78" i="48" s="1"/>
  <c r="N84" i="58" s="1"/>
  <c r="O8" i="48"/>
  <c r="N86" i="51" s="1"/>
  <c r="N85" i="51"/>
  <c r="AV8" i="48"/>
  <c r="D85" i="52"/>
  <c r="AY8" i="48"/>
  <c r="G85" i="52"/>
  <c r="AX8" i="48"/>
  <c r="F85" i="52"/>
  <c r="AW8" i="48"/>
  <c r="E85" i="52"/>
  <c r="AX6" i="47"/>
  <c r="F63" i="52"/>
  <c r="BA6" i="47"/>
  <c r="I63" i="52"/>
  <c r="AY6" i="47"/>
  <c r="G63" i="52"/>
  <c r="AW6" i="47"/>
  <c r="E63" i="52"/>
  <c r="AV6" i="47"/>
  <c r="D63" i="52"/>
  <c r="AX6" i="46"/>
  <c r="F43" i="52"/>
  <c r="AY6" i="46"/>
  <c r="G43" i="52"/>
  <c r="BA6" i="46"/>
  <c r="I43" i="52"/>
  <c r="AW6" i="46"/>
  <c r="E43" i="52"/>
  <c r="AV6" i="46"/>
  <c r="D43" i="52"/>
  <c r="AZ6" i="46"/>
  <c r="H43" i="52"/>
  <c r="AX6" i="44"/>
  <c r="F23" i="52"/>
  <c r="BX29" i="44"/>
  <c r="M23" i="51"/>
  <c r="AY6" i="44"/>
  <c r="G23" i="52"/>
  <c r="AZ6" i="44"/>
  <c r="H23" i="52"/>
  <c r="BA6" i="44"/>
  <c r="I23" i="52"/>
  <c r="AV6" i="44"/>
  <c r="D23" i="52"/>
  <c r="C5" i="47"/>
  <c r="C53" i="47" s="1"/>
  <c r="B5" i="47"/>
  <c r="BQ28" i="47"/>
  <c r="B6" i="44"/>
  <c r="A23" i="51"/>
  <c r="B29" i="44"/>
  <c r="BT35" i="47"/>
  <c r="BQ35" i="47"/>
  <c r="BQ30" i="47"/>
  <c r="BT30" i="47"/>
  <c r="BT31" i="47"/>
  <c r="BQ31" i="47"/>
  <c r="BI4" i="44"/>
  <c r="B22" i="52"/>
  <c r="V4" i="46"/>
  <c r="AP4" i="46" s="1"/>
  <c r="B42" i="51"/>
  <c r="BH8" i="49"/>
  <c r="A106" i="52"/>
  <c r="V28" i="44"/>
  <c r="V76" i="44" s="1"/>
  <c r="B22" i="58" s="1"/>
  <c r="B22" i="53"/>
  <c r="BI5" i="48"/>
  <c r="B83" i="52"/>
  <c r="BH8" i="50"/>
  <c r="A126" i="52"/>
  <c r="V55" i="50"/>
  <c r="B125" i="56"/>
  <c r="AO55" i="50"/>
  <c r="A125" i="55" s="1"/>
  <c r="A125" i="54"/>
  <c r="AO53" i="48"/>
  <c r="A83" i="55" s="1"/>
  <c r="A83" i="54"/>
  <c r="AP52" i="48"/>
  <c r="B82" i="55" s="1"/>
  <c r="B82" i="54"/>
  <c r="V56" i="49"/>
  <c r="B106" i="56"/>
  <c r="V53" i="48"/>
  <c r="B83" i="56"/>
  <c r="U56" i="49"/>
  <c r="A106" i="56"/>
  <c r="U56" i="50"/>
  <c r="A126" i="56"/>
  <c r="B6" i="47"/>
  <c r="A64" i="51" s="1"/>
  <c r="A63" i="51"/>
  <c r="BH6" i="48"/>
  <c r="A84" i="52"/>
  <c r="U4" i="44"/>
  <c r="AO4" i="44" s="1"/>
  <c r="A22" i="51"/>
  <c r="B63" i="51"/>
  <c r="AO52" i="48"/>
  <c r="A82" i="55" s="1"/>
  <c r="A82" i="54"/>
  <c r="AP54" i="50"/>
  <c r="B124" i="55" s="1"/>
  <c r="B124" i="54"/>
  <c r="C76" i="44"/>
  <c r="B22" i="57" s="1"/>
  <c r="C5" i="44"/>
  <c r="C53" i="44" s="1"/>
  <c r="B22" i="51"/>
  <c r="BH4" i="47"/>
  <c r="A62" i="52"/>
  <c r="BI7" i="50"/>
  <c r="B125" i="52"/>
  <c r="AP28" i="44"/>
  <c r="AX28" i="44" s="1"/>
  <c r="B28" i="44"/>
  <c r="A22" i="53" s="1"/>
  <c r="BI4" i="47"/>
  <c r="B62" i="52"/>
  <c r="U54" i="48"/>
  <c r="A84" i="56"/>
  <c r="BI8" i="49"/>
  <c r="B106" i="52"/>
  <c r="AP55" i="49"/>
  <c r="B105" i="55" s="1"/>
  <c r="B105" i="54"/>
  <c r="AO55" i="49"/>
  <c r="A105" i="55" s="1"/>
  <c r="A105" i="54"/>
  <c r="I76" i="48"/>
  <c r="H82" i="57" s="1"/>
  <c r="I29" i="48"/>
  <c r="H83" i="53" s="1"/>
  <c r="D6" i="48"/>
  <c r="C84" i="51" s="1"/>
  <c r="I52" i="48"/>
  <c r="AV52" i="48" s="1"/>
  <c r="H82" i="55" s="1"/>
  <c r="D52" i="48"/>
  <c r="C82" i="56" s="1"/>
  <c r="D29" i="48"/>
  <c r="C83" i="53" s="1"/>
  <c r="I82" i="56"/>
  <c r="AW52" i="48"/>
  <c r="I82" i="55" s="1"/>
  <c r="AC52" i="48"/>
  <c r="I82" i="54" s="1"/>
  <c r="AE3" i="44"/>
  <c r="AQ3" i="44"/>
  <c r="I3" i="44"/>
  <c r="AR3" i="44"/>
  <c r="N75" i="44"/>
  <c r="AF3" i="46"/>
  <c r="J3" i="44"/>
  <c r="X3" i="44"/>
  <c r="AG3" i="44"/>
  <c r="AS3" i="44"/>
  <c r="Z27" i="44"/>
  <c r="K51" i="44"/>
  <c r="X51" i="44"/>
  <c r="D75" i="44"/>
  <c r="O75" i="44"/>
  <c r="AH3" i="46"/>
  <c r="AF27" i="46"/>
  <c r="E51" i="46"/>
  <c r="AF51" i="46"/>
  <c r="AZ3" i="47"/>
  <c r="AD51" i="47"/>
  <c r="P75" i="47"/>
  <c r="AC75" i="47"/>
  <c r="H76" i="48"/>
  <c r="G82" i="57" s="1"/>
  <c r="W3" i="44"/>
  <c r="AF3" i="44"/>
  <c r="W27" i="44"/>
  <c r="D51" i="44"/>
  <c r="K3" i="44"/>
  <c r="Y3" i="44"/>
  <c r="AH3" i="44"/>
  <c r="AT3" i="44"/>
  <c r="AA27" i="44"/>
  <c r="L51" i="44"/>
  <c r="Y51" i="44"/>
  <c r="E75" i="44"/>
  <c r="W27" i="46"/>
  <c r="AG27" i="46"/>
  <c r="G51" i="46"/>
  <c r="AQ3" i="47"/>
  <c r="BA3" i="47"/>
  <c r="AF51" i="47"/>
  <c r="AE75" i="47"/>
  <c r="E76" i="48"/>
  <c r="D82" i="57" s="1"/>
  <c r="AJ27" i="44"/>
  <c r="O3" i="44"/>
  <c r="Z3" i="44"/>
  <c r="AI3" i="44"/>
  <c r="AX3" i="44"/>
  <c r="AB27" i="44"/>
  <c r="M51" i="44"/>
  <c r="AB51" i="44"/>
  <c r="F75" i="44"/>
  <c r="M51" i="46"/>
  <c r="AR3" i="47"/>
  <c r="BB3" i="47"/>
  <c r="AJ51" i="47"/>
  <c r="AF75" i="47"/>
  <c r="AY3" i="44"/>
  <c r="BB3" i="44"/>
  <c r="X3" i="46"/>
  <c r="Z3" i="46"/>
  <c r="AQ51" i="44"/>
  <c r="J27" i="46"/>
  <c r="AJ3" i="47"/>
  <c r="AB51" i="47"/>
  <c r="H75" i="47"/>
  <c r="AA52" i="48"/>
  <c r="G82" i="54" s="1"/>
  <c r="AT51" i="44"/>
  <c r="L3" i="46"/>
  <c r="P27" i="46"/>
  <c r="P28" i="46" s="1"/>
  <c r="O42" i="53" s="1"/>
  <c r="X51" i="46"/>
  <c r="M75" i="47"/>
  <c r="H52" i="48"/>
  <c r="AA76" i="48" s="1"/>
  <c r="G82" i="58" s="1"/>
  <c r="F27" i="44"/>
  <c r="N27" i="44"/>
  <c r="AC76" i="48"/>
  <c r="I82" i="58" s="1"/>
  <c r="N54" i="48"/>
  <c r="M84" i="56" s="1"/>
  <c r="M84" i="53"/>
  <c r="M105" i="53"/>
  <c r="N55" i="49"/>
  <c r="M105" i="56" s="1"/>
  <c r="K127" i="53"/>
  <c r="L57" i="50"/>
  <c r="K127" i="56" s="1"/>
  <c r="Q27" i="44"/>
  <c r="K83" i="53"/>
  <c r="L53" i="48"/>
  <c r="K83" i="56" s="1"/>
  <c r="K105" i="53"/>
  <c r="L55" i="49"/>
  <c r="K105" i="56" s="1"/>
  <c r="M126" i="53"/>
  <c r="N56" i="50"/>
  <c r="M126" i="56" s="1"/>
  <c r="G27" i="46"/>
  <c r="E52" i="48"/>
  <c r="D82" i="56" s="1"/>
  <c r="I6" i="48"/>
  <c r="H84" i="51" s="1"/>
  <c r="Y52" i="48"/>
  <c r="E82" i="54" s="1"/>
  <c r="E82" i="56"/>
  <c r="K52" i="48"/>
  <c r="J82" i="56" s="1"/>
  <c r="J82" i="53"/>
  <c r="BW29" i="48"/>
  <c r="BI67" i="48" s="1"/>
  <c r="L83" i="51"/>
  <c r="K52" i="49"/>
  <c r="J102" i="56" s="1"/>
  <c r="J102" i="53"/>
  <c r="E6" i="48"/>
  <c r="D83" i="51"/>
  <c r="J76" i="48"/>
  <c r="I82" i="57" s="1"/>
  <c r="I82" i="53"/>
  <c r="H6" i="48"/>
  <c r="G84" i="51" s="1"/>
  <c r="F76" i="48"/>
  <c r="E82" i="57" s="1"/>
  <c r="E82" i="53"/>
  <c r="K52" i="50"/>
  <c r="J122" i="56" s="1"/>
  <c r="J122" i="53"/>
  <c r="H29" i="48"/>
  <c r="G83" i="53" s="1"/>
  <c r="K6" i="48"/>
  <c r="J83" i="51"/>
  <c r="K77" i="48"/>
  <c r="J83" i="57" s="1"/>
  <c r="K53" i="48"/>
  <c r="J83" i="56" s="1"/>
  <c r="E76" i="50"/>
  <c r="D122" i="57" s="1"/>
  <c r="E52" i="50"/>
  <c r="D122" i="56" s="1"/>
  <c r="G76" i="50"/>
  <c r="F122" i="57" s="1"/>
  <c r="G52" i="50"/>
  <c r="F122" i="56" s="1"/>
  <c r="D6" i="50"/>
  <c r="C124" i="51" s="1"/>
  <c r="BR29" i="50"/>
  <c r="BI65" i="50" s="1"/>
  <c r="D29" i="50"/>
  <c r="C123" i="53" s="1"/>
  <c r="Q5" i="50"/>
  <c r="AS52" i="48"/>
  <c r="E82" i="55" s="1"/>
  <c r="E29" i="49"/>
  <c r="D103" i="53" s="1"/>
  <c r="E6" i="49"/>
  <c r="D104" i="51" s="1"/>
  <c r="G6" i="50"/>
  <c r="F124" i="51" s="1"/>
  <c r="G29" i="50"/>
  <c r="F123" i="53" s="1"/>
  <c r="K76" i="50"/>
  <c r="J122" i="57" s="1"/>
  <c r="CA28" i="50"/>
  <c r="H29" i="50"/>
  <c r="G123" i="53" s="1"/>
  <c r="H6" i="50"/>
  <c r="G124" i="51" s="1"/>
  <c r="BW29" i="50"/>
  <c r="BI67" i="50" s="1"/>
  <c r="J76" i="50"/>
  <c r="I122" i="57" s="1"/>
  <c r="J52" i="50"/>
  <c r="I122" i="56" s="1"/>
  <c r="E29" i="50"/>
  <c r="D123" i="53" s="1"/>
  <c r="E6" i="50"/>
  <c r="D124" i="51" s="1"/>
  <c r="F76" i="50"/>
  <c r="E122" i="57" s="1"/>
  <c r="F52" i="50"/>
  <c r="E122" i="56" s="1"/>
  <c r="Q28" i="49"/>
  <c r="P102" i="53" s="1"/>
  <c r="I76" i="49"/>
  <c r="H102" i="57" s="1"/>
  <c r="I52" i="49"/>
  <c r="H102" i="56" s="1"/>
  <c r="K29" i="50"/>
  <c r="K6" i="50"/>
  <c r="J124" i="51" s="1"/>
  <c r="J6" i="50"/>
  <c r="I124" i="51" s="1"/>
  <c r="J29" i="50"/>
  <c r="I123" i="53" s="1"/>
  <c r="K6" i="49"/>
  <c r="J104" i="51" s="1"/>
  <c r="K29" i="49"/>
  <c r="M52" i="50"/>
  <c r="L122" i="56" s="1"/>
  <c r="M76" i="50"/>
  <c r="L122" i="57" s="1"/>
  <c r="F6" i="50"/>
  <c r="E124" i="51" s="1"/>
  <c r="F29" i="50"/>
  <c r="E123" i="53" s="1"/>
  <c r="I6" i="49"/>
  <c r="H104" i="51" s="1"/>
  <c r="I29" i="49"/>
  <c r="H103" i="53" s="1"/>
  <c r="D52" i="49"/>
  <c r="C102" i="56" s="1"/>
  <c r="D76" i="49"/>
  <c r="C102" i="57" s="1"/>
  <c r="H76" i="49"/>
  <c r="G102" i="57" s="1"/>
  <c r="AA52" i="49"/>
  <c r="G102" i="54" s="1"/>
  <c r="H52" i="49"/>
  <c r="G102" i="56" s="1"/>
  <c r="K76" i="49"/>
  <c r="J102" i="57" s="1"/>
  <c r="CA28" i="49"/>
  <c r="M6" i="50"/>
  <c r="L124" i="51" s="1"/>
  <c r="M29" i="50"/>
  <c r="L123" i="53" s="1"/>
  <c r="D76" i="50"/>
  <c r="C122" i="57" s="1"/>
  <c r="D52" i="50"/>
  <c r="C122" i="56" s="1"/>
  <c r="Q28" i="50"/>
  <c r="G29" i="49"/>
  <c r="F103" i="53" s="1"/>
  <c r="G6" i="49"/>
  <c r="F104" i="51" s="1"/>
  <c r="J52" i="49"/>
  <c r="I102" i="56" s="1"/>
  <c r="J76" i="49"/>
  <c r="I102" i="57" s="1"/>
  <c r="G76" i="49"/>
  <c r="F102" i="57" s="1"/>
  <c r="G52" i="49"/>
  <c r="F102" i="56" s="1"/>
  <c r="H6" i="49"/>
  <c r="G104" i="51" s="1"/>
  <c r="H29" i="49"/>
  <c r="G103" i="53" s="1"/>
  <c r="BW29" i="49"/>
  <c r="BI67" i="49" s="1"/>
  <c r="J6" i="49"/>
  <c r="I104" i="51" s="1"/>
  <c r="J29" i="49"/>
  <c r="I103" i="53" s="1"/>
  <c r="F29" i="49"/>
  <c r="E103" i="53" s="1"/>
  <c r="F6" i="49"/>
  <c r="E104" i="51" s="1"/>
  <c r="H76" i="50"/>
  <c r="G122" i="57" s="1"/>
  <c r="AA52" i="50"/>
  <c r="G122" i="54" s="1"/>
  <c r="H52" i="50"/>
  <c r="G122" i="56" s="1"/>
  <c r="I76" i="50"/>
  <c r="H122" i="57" s="1"/>
  <c r="I52" i="50"/>
  <c r="H122" i="56" s="1"/>
  <c r="M29" i="49"/>
  <c r="L103" i="53" s="1"/>
  <c r="M6" i="49"/>
  <c r="L104" i="51" s="1"/>
  <c r="M76" i="49"/>
  <c r="L102" i="57" s="1"/>
  <c r="M52" i="49"/>
  <c r="L102" i="56" s="1"/>
  <c r="E76" i="49"/>
  <c r="D102" i="57" s="1"/>
  <c r="E52" i="49"/>
  <c r="D102" i="56" s="1"/>
  <c r="F76" i="49"/>
  <c r="E102" i="57" s="1"/>
  <c r="F52" i="49"/>
  <c r="E102" i="56" s="1"/>
  <c r="BR29" i="49"/>
  <c r="BI65" i="49" s="1"/>
  <c r="D6" i="49"/>
  <c r="C104" i="51" s="1"/>
  <c r="D29" i="49"/>
  <c r="C103" i="53" s="1"/>
  <c r="Q5" i="49"/>
  <c r="I29" i="50"/>
  <c r="H123" i="53" s="1"/>
  <c r="I6" i="50"/>
  <c r="H124" i="51" s="1"/>
  <c r="O31" i="48"/>
  <c r="Q5" i="48"/>
  <c r="BR29" i="48"/>
  <c r="BI65" i="48" s="1"/>
  <c r="E29" i="48"/>
  <c r="L81" i="50"/>
  <c r="K127" i="57" s="1"/>
  <c r="BK27" i="50"/>
  <c r="BL27" i="50"/>
  <c r="C56" i="50"/>
  <c r="C32" i="50"/>
  <c r="B126" i="53" s="1"/>
  <c r="V8" i="50"/>
  <c r="AP8" i="50" s="1"/>
  <c r="C9" i="50"/>
  <c r="B127" i="51" s="1"/>
  <c r="BX33" i="50"/>
  <c r="N33" i="50"/>
  <c r="N10" i="50"/>
  <c r="M128" i="51" s="1"/>
  <c r="B57" i="50"/>
  <c r="B33" i="50"/>
  <c r="A127" i="53" s="1"/>
  <c r="U9" i="50"/>
  <c r="AO9" i="50" s="1"/>
  <c r="B10" i="50"/>
  <c r="A128" i="51" s="1"/>
  <c r="C79" i="50"/>
  <c r="B125" i="57" s="1"/>
  <c r="V31" i="50"/>
  <c r="V79" i="50" s="1"/>
  <c r="B125" i="58" s="1"/>
  <c r="AZ30" i="50"/>
  <c r="AX30" i="50"/>
  <c r="AP31" i="50"/>
  <c r="O33" i="50"/>
  <c r="N127" i="53" s="1"/>
  <c r="O10" i="50"/>
  <c r="N128" i="51" s="1"/>
  <c r="BD9" i="50"/>
  <c r="J127" i="52" s="1"/>
  <c r="AU10" i="50"/>
  <c r="C128" i="52" s="1"/>
  <c r="N80" i="50"/>
  <c r="M126" i="57" s="1"/>
  <c r="B80" i="50"/>
  <c r="A126" i="57" s="1"/>
  <c r="U32" i="50"/>
  <c r="U80" i="50" s="1"/>
  <c r="A126" i="58" s="1"/>
  <c r="O80" i="50"/>
  <c r="N126" i="57" s="1"/>
  <c r="O56" i="50"/>
  <c r="N126" i="56" s="1"/>
  <c r="AE80" i="50"/>
  <c r="K126" i="58" s="1"/>
  <c r="AE56" i="50"/>
  <c r="AY56" i="50"/>
  <c r="K126" i="55" s="1"/>
  <c r="L11" i="50"/>
  <c r="K129" i="51" s="1"/>
  <c r="L34" i="50"/>
  <c r="AH79" i="50"/>
  <c r="N125" i="58" s="1"/>
  <c r="AH55" i="50"/>
  <c r="BB55" i="50"/>
  <c r="N125" i="55" s="1"/>
  <c r="AG79" i="50"/>
  <c r="M125" i="58" s="1"/>
  <c r="AG55" i="50"/>
  <c r="BA55" i="50"/>
  <c r="M125" i="55" s="1"/>
  <c r="AX30" i="49"/>
  <c r="AP31" i="49"/>
  <c r="AZ30" i="49"/>
  <c r="L79" i="49"/>
  <c r="K105" i="57" s="1"/>
  <c r="B57" i="49"/>
  <c r="U9" i="49"/>
  <c r="AO9" i="49" s="1"/>
  <c r="B33" i="49"/>
  <c r="A107" i="53" s="1"/>
  <c r="B10" i="49"/>
  <c r="A108" i="51" s="1"/>
  <c r="O32" i="49"/>
  <c r="N106" i="53" s="1"/>
  <c r="O9" i="49"/>
  <c r="N107" i="51" s="1"/>
  <c r="AG78" i="49"/>
  <c r="M104" i="58" s="1"/>
  <c r="AG54" i="49"/>
  <c r="BA54" i="49"/>
  <c r="M104" i="55" s="1"/>
  <c r="BD11" i="49"/>
  <c r="J109" i="52" s="1"/>
  <c r="BX32" i="49"/>
  <c r="N32" i="49"/>
  <c r="N9" i="49"/>
  <c r="M107" i="51" s="1"/>
  <c r="B80" i="49"/>
  <c r="A106" i="57" s="1"/>
  <c r="U32" i="49"/>
  <c r="U80" i="49" s="1"/>
  <c r="A106" i="58" s="1"/>
  <c r="O79" i="49"/>
  <c r="N105" i="57" s="1"/>
  <c r="O55" i="49"/>
  <c r="N105" i="56" s="1"/>
  <c r="C80" i="49"/>
  <c r="B106" i="57" s="1"/>
  <c r="V32" i="49"/>
  <c r="V80" i="49" s="1"/>
  <c r="B106" i="58" s="1"/>
  <c r="N79" i="49"/>
  <c r="M105" i="57" s="1"/>
  <c r="AH78" i="49"/>
  <c r="N104" i="58" s="1"/>
  <c r="AH54" i="49"/>
  <c r="BB54" i="49"/>
  <c r="N104" i="55" s="1"/>
  <c r="C57" i="49"/>
  <c r="C33" i="49"/>
  <c r="B107" i="53" s="1"/>
  <c r="V9" i="49"/>
  <c r="AP9" i="49" s="1"/>
  <c r="C10" i="49"/>
  <c r="B108" i="51" s="1"/>
  <c r="AE78" i="49"/>
  <c r="K104" i="58" s="1"/>
  <c r="AE54" i="49"/>
  <c r="AY54" i="49"/>
  <c r="K104" i="55" s="1"/>
  <c r="L9" i="49"/>
  <c r="K107" i="51" s="1"/>
  <c r="L32" i="49"/>
  <c r="M76" i="48"/>
  <c r="L82" i="57" s="1"/>
  <c r="M52" i="48"/>
  <c r="L82" i="56" s="1"/>
  <c r="M6" i="48"/>
  <c r="M29" i="48"/>
  <c r="Y76" i="48"/>
  <c r="E82" i="58" s="1"/>
  <c r="G29" i="48"/>
  <c r="F83" i="53" s="1"/>
  <c r="G6" i="48"/>
  <c r="F84" i="51" s="1"/>
  <c r="Q28" i="48"/>
  <c r="G76" i="48"/>
  <c r="F82" i="57" s="1"/>
  <c r="G52" i="48"/>
  <c r="F82" i="56" s="1"/>
  <c r="F29" i="48"/>
  <c r="E83" i="53" s="1"/>
  <c r="F6" i="48"/>
  <c r="E84" i="51" s="1"/>
  <c r="C77" i="48"/>
  <c r="B83" i="57" s="1"/>
  <c r="V29" i="48"/>
  <c r="V77" i="48" s="1"/>
  <c r="B83" i="58" s="1"/>
  <c r="AG76" i="48"/>
  <c r="M82" i="58" s="1"/>
  <c r="AG52" i="48"/>
  <c r="B78" i="48"/>
  <c r="A84" i="57" s="1"/>
  <c r="U30" i="48"/>
  <c r="U78" i="48" s="1"/>
  <c r="A84" i="58" s="1"/>
  <c r="L77" i="48"/>
  <c r="K83" i="57" s="1"/>
  <c r="B55" i="48"/>
  <c r="B31" i="48"/>
  <c r="A85" i="53" s="1"/>
  <c r="U7" i="48"/>
  <c r="AO7" i="48" s="1"/>
  <c r="B8" i="48"/>
  <c r="A86" i="51" s="1"/>
  <c r="O9" i="48"/>
  <c r="N87" i="51" s="1"/>
  <c r="AU7" i="48"/>
  <c r="C85" i="52" s="1"/>
  <c r="BD6" i="48"/>
  <c r="J84" i="52" s="1"/>
  <c r="N31" i="48"/>
  <c r="BX31" i="48"/>
  <c r="N8" i="48"/>
  <c r="M86" i="51" s="1"/>
  <c r="N78" i="48"/>
  <c r="M84" i="57" s="1"/>
  <c r="K76" i="48"/>
  <c r="CA28" i="48"/>
  <c r="AP29" i="48"/>
  <c r="AZ28" i="48"/>
  <c r="AX28" i="48"/>
  <c r="AE76" i="48"/>
  <c r="K82" i="58" s="1"/>
  <c r="AE52" i="48"/>
  <c r="AY52" i="48"/>
  <c r="K82" i="55" s="1"/>
  <c r="AG77" i="48"/>
  <c r="M83" i="58" s="1"/>
  <c r="AG53" i="48"/>
  <c r="M83" i="54" s="1"/>
  <c r="C54" i="48"/>
  <c r="C30" i="48"/>
  <c r="B84" i="53" s="1"/>
  <c r="V6" i="48"/>
  <c r="AP6" i="48" s="1"/>
  <c r="C7" i="48"/>
  <c r="B85" i="51" s="1"/>
  <c r="BC52" i="48"/>
  <c r="O82" i="55" s="1"/>
  <c r="L30" i="48"/>
  <c r="L7" i="48"/>
  <c r="K85" i="51" s="1"/>
  <c r="BL27" i="48"/>
  <c r="BK27" i="48"/>
  <c r="BH3" i="47" a="1"/>
  <c r="B54" i="47"/>
  <c r="BI57" i="47" a="1"/>
  <c r="BI57" i="47" s="1"/>
  <c r="AU6" i="47"/>
  <c r="C64" i="52" s="1"/>
  <c r="M3" i="47"/>
  <c r="F3" i="47"/>
  <c r="N3" i="47"/>
  <c r="W3" i="47"/>
  <c r="AE3" i="47"/>
  <c r="AP3" i="47"/>
  <c r="AW3" i="47"/>
  <c r="O5" i="47"/>
  <c r="N63" i="51" s="1"/>
  <c r="N3" i="51" s="1"/>
  <c r="E27" i="47"/>
  <c r="X27" i="47"/>
  <c r="N28" i="47"/>
  <c r="BT32" i="47"/>
  <c r="BQ32" i="47"/>
  <c r="E3" i="47"/>
  <c r="G3" i="47"/>
  <c r="O3" i="47"/>
  <c r="X3" i="47"/>
  <c r="AF3" i="47"/>
  <c r="J27" i="47"/>
  <c r="AC27" i="47"/>
  <c r="H3" i="47"/>
  <c r="P3" i="47"/>
  <c r="Y3" i="47"/>
  <c r="AG3" i="47"/>
  <c r="L27" i="47"/>
  <c r="BQ33" i="47"/>
  <c r="BT33" i="47"/>
  <c r="I3" i="47"/>
  <c r="Q3" i="47"/>
  <c r="Z3" i="47"/>
  <c r="AH3" i="47"/>
  <c r="B52" i="47"/>
  <c r="BK28" i="47"/>
  <c r="BK29" i="47" s="1"/>
  <c r="BK30" i="47" s="1"/>
  <c r="BK31" i="47" s="1"/>
  <c r="BK32" i="47" s="1"/>
  <c r="BK33" i="47" s="1"/>
  <c r="BK34" i="47" s="1"/>
  <c r="BK35" i="47" s="1"/>
  <c r="BK36" i="47" s="1"/>
  <c r="BK37" i="47" s="1"/>
  <c r="BK38" i="47" s="1"/>
  <c r="BK39" i="47" s="1"/>
  <c r="BK40" i="47" s="1"/>
  <c r="BK41" i="47" s="1"/>
  <c r="BK42" i="47" s="1"/>
  <c r="BK43" i="47" s="1"/>
  <c r="BK44" i="47" s="1"/>
  <c r="BK45" i="47" s="1"/>
  <c r="BK46" i="47" s="1"/>
  <c r="BK47" i="47" s="1"/>
  <c r="U5" i="47"/>
  <c r="AO5" i="47" s="1"/>
  <c r="M27" i="47"/>
  <c r="B28" i="47"/>
  <c r="A62" i="53" s="1"/>
  <c r="J3" i="47"/>
  <c r="C52" i="47"/>
  <c r="C28" i="47"/>
  <c r="B62" i="53" s="1"/>
  <c r="BL28" i="47"/>
  <c r="BL29" i="47" s="1"/>
  <c r="BL30" i="47" s="1"/>
  <c r="BL31" i="47" s="1"/>
  <c r="BL32" i="47" s="1"/>
  <c r="BL33" i="47" s="1"/>
  <c r="BL34" i="47" s="1"/>
  <c r="BL35" i="47" s="1"/>
  <c r="BL36" i="47" s="1"/>
  <c r="BL37" i="47" s="1"/>
  <c r="BL38" i="47" s="1"/>
  <c r="BL39" i="47" s="1"/>
  <c r="BL40" i="47" s="1"/>
  <c r="BL41" i="47" s="1"/>
  <c r="BL42" i="47" s="1"/>
  <c r="BL43" i="47" s="1"/>
  <c r="BL44" i="47" s="1"/>
  <c r="BL45" i="47" s="1"/>
  <c r="BL46" i="47" s="1"/>
  <c r="BL47" i="47" s="1"/>
  <c r="B53" i="47"/>
  <c r="B29" i="47"/>
  <c r="A63" i="53" s="1"/>
  <c r="AZ5" i="47"/>
  <c r="K3" i="47"/>
  <c r="L28" i="47"/>
  <c r="V5" i="47"/>
  <c r="AP5" i="47" s="1"/>
  <c r="L5" i="47"/>
  <c r="K63" i="51" s="1"/>
  <c r="K3" i="51" s="1"/>
  <c r="B27" i="47"/>
  <c r="U27" i="47" s="1" a="1"/>
  <c r="C27" i="47"/>
  <c r="D3" i="47"/>
  <c r="AC3" i="47"/>
  <c r="Q27" i="47"/>
  <c r="I27" i="47"/>
  <c r="O27" i="47"/>
  <c r="O28" i="47" s="1"/>
  <c r="N62" i="53" s="1"/>
  <c r="F27" i="47"/>
  <c r="K27" i="47"/>
  <c r="H27" i="47"/>
  <c r="P27" i="47"/>
  <c r="P28" i="47" s="1"/>
  <c r="O62" i="53" s="1"/>
  <c r="G27" i="47"/>
  <c r="AH27" i="47"/>
  <c r="Z27" i="47"/>
  <c r="AI27" i="47"/>
  <c r="Y27" i="47"/>
  <c r="AD27" i="47"/>
  <c r="AB27" i="47"/>
  <c r="AJ27" i="47"/>
  <c r="AA27" i="47"/>
  <c r="AR27" i="47"/>
  <c r="AT27" i="47"/>
  <c r="N5" i="47"/>
  <c r="M63" i="51" s="1"/>
  <c r="D27" i="47"/>
  <c r="BT29" i="47"/>
  <c r="BQ29" i="47"/>
  <c r="BQ34" i="47"/>
  <c r="BT36" i="47"/>
  <c r="BT37" i="47"/>
  <c r="K51" i="47"/>
  <c r="AG51" i="47"/>
  <c r="Y51" i="47"/>
  <c r="AE51" i="47"/>
  <c r="W51" i="47"/>
  <c r="AH51" i="47"/>
  <c r="AT51" i="47"/>
  <c r="BD51" i="47"/>
  <c r="X51" i="47"/>
  <c r="AI51" i="47"/>
  <c r="AU51" i="47"/>
  <c r="P51" i="47"/>
  <c r="H51" i="47"/>
  <c r="N51" i="47"/>
  <c r="F51" i="47"/>
  <c r="M51" i="47"/>
  <c r="AV51" i="47"/>
  <c r="D51" i="47"/>
  <c r="O51" i="47"/>
  <c r="AX51" i="47"/>
  <c r="E51" i="47"/>
  <c r="Q51" i="47"/>
  <c r="G51" i="47"/>
  <c r="AY51" i="47"/>
  <c r="AQ51" i="47"/>
  <c r="AW51" i="47"/>
  <c r="BA51" i="47"/>
  <c r="I51" i="47"/>
  <c r="U51" i="47"/>
  <c r="AR51" i="47"/>
  <c r="BB51" i="47"/>
  <c r="J51" i="47"/>
  <c r="AS51" i="47"/>
  <c r="BC51" i="47"/>
  <c r="V75" i="47"/>
  <c r="U75" i="47"/>
  <c r="J75" i="47"/>
  <c r="C75" i="47"/>
  <c r="Q75" i="47"/>
  <c r="I75" i="47"/>
  <c r="L75" i="47"/>
  <c r="E75" i="47"/>
  <c r="N75" i="47"/>
  <c r="F75" i="47"/>
  <c r="O75" i="47"/>
  <c r="AD75" i="47"/>
  <c r="Z75" i="47"/>
  <c r="AI3" i="46"/>
  <c r="AA3" i="46"/>
  <c r="AG3" i="46"/>
  <c r="Y3" i="46"/>
  <c r="AE3" i="46"/>
  <c r="W3" i="46"/>
  <c r="AJ3" i="46"/>
  <c r="AZ3" i="46"/>
  <c r="BX28" i="46"/>
  <c r="N5" i="46"/>
  <c r="M43" i="51" s="1"/>
  <c r="C53" i="46"/>
  <c r="C29" i="46"/>
  <c r="B43" i="53" s="1"/>
  <c r="C6" i="46"/>
  <c r="B44" i="51" s="1"/>
  <c r="V5" i="46"/>
  <c r="AP5" i="46" s="1"/>
  <c r="P3" i="46"/>
  <c r="H3" i="46"/>
  <c r="N3" i="46"/>
  <c r="F3" i="46"/>
  <c r="M3" i="46"/>
  <c r="BH3" i="46" a="1"/>
  <c r="O3" i="46"/>
  <c r="BC3" i="46"/>
  <c r="AU3" i="46"/>
  <c r="BA3" i="46"/>
  <c r="AS3" i="46"/>
  <c r="AY3" i="46"/>
  <c r="AQ3" i="46"/>
  <c r="AW3" i="46"/>
  <c r="E3" i="46"/>
  <c r="Q3" i="46"/>
  <c r="AC3" i="46"/>
  <c r="AR3" i="46"/>
  <c r="B52" i="46"/>
  <c r="BK28" i="46"/>
  <c r="BK29" i="46" s="1"/>
  <c r="BK30" i="46" s="1"/>
  <c r="BK31" i="46" s="1"/>
  <c r="BK32" i="46" s="1"/>
  <c r="BK33" i="46" s="1"/>
  <c r="BK34" i="46" s="1"/>
  <c r="BK35" i="46" s="1"/>
  <c r="BK36" i="46" s="1"/>
  <c r="BK37" i="46" s="1"/>
  <c r="BK38" i="46" s="1"/>
  <c r="BK39" i="46" s="1"/>
  <c r="BK40" i="46" s="1"/>
  <c r="BK41" i="46" s="1"/>
  <c r="BK42" i="46" s="1"/>
  <c r="BK43" i="46" s="1"/>
  <c r="BK44" i="46" s="1"/>
  <c r="BK45" i="46" s="1"/>
  <c r="BK46" i="46" s="1"/>
  <c r="BK47" i="46" s="1"/>
  <c r="B5" i="46"/>
  <c r="A43" i="51" s="1"/>
  <c r="B28" i="46"/>
  <c r="A42" i="53" s="1"/>
  <c r="U4" i="46"/>
  <c r="AO4" i="46" s="1"/>
  <c r="D3" i="46"/>
  <c r="G3" i="46"/>
  <c r="AD3" i="46"/>
  <c r="AT3" i="46"/>
  <c r="I3" i="46"/>
  <c r="AV3" i="46"/>
  <c r="BD4" i="46"/>
  <c r="AU5" i="46"/>
  <c r="C43" i="52" s="1"/>
  <c r="C3" i="52" s="1"/>
  <c r="O6" i="46"/>
  <c r="N44" i="51" s="1"/>
  <c r="L6" i="46"/>
  <c r="K44" i="51" s="1"/>
  <c r="J3" i="46"/>
  <c r="AX3" i="46"/>
  <c r="F27" i="46"/>
  <c r="O27" i="46"/>
  <c r="O29" i="46" s="1"/>
  <c r="N43" i="53" s="1"/>
  <c r="H27" i="46"/>
  <c r="C52" i="46"/>
  <c r="C28" i="46"/>
  <c r="B42" i="53" s="1"/>
  <c r="C27" i="46"/>
  <c r="U27" i="46" s="1" a="1"/>
  <c r="AQ27" i="46"/>
  <c r="BL28" i="46"/>
  <c r="Q27" i="46"/>
  <c r="I27" i="46"/>
  <c r="L27" i="46"/>
  <c r="L29" i="46" s="1"/>
  <c r="AS27" i="46"/>
  <c r="D27" i="46"/>
  <c r="M27" i="46"/>
  <c r="AT27" i="46"/>
  <c r="E27" i="46"/>
  <c r="N27" i="46"/>
  <c r="N28" i="46" s="1"/>
  <c r="AD27" i="46"/>
  <c r="BD51" i="46"/>
  <c r="AV51" i="46"/>
  <c r="BC51" i="46"/>
  <c r="AU51" i="46"/>
  <c r="BB51" i="46"/>
  <c r="AT51" i="46"/>
  <c r="BA51" i="46"/>
  <c r="AS51" i="46"/>
  <c r="AZ51" i="46"/>
  <c r="AR51" i="46"/>
  <c r="AY51" i="46"/>
  <c r="AQ51" i="46"/>
  <c r="AW51" i="46"/>
  <c r="Z27" i="46"/>
  <c r="AX51" i="46"/>
  <c r="F51" i="46"/>
  <c r="N51" i="46"/>
  <c r="W51" i="46"/>
  <c r="AE51" i="46"/>
  <c r="H51" i="46"/>
  <c r="P51" i="46"/>
  <c r="P76" i="46" s="1"/>
  <c r="O42" i="57" s="1"/>
  <c r="Y51" i="46"/>
  <c r="AG51" i="46"/>
  <c r="I51" i="46"/>
  <c r="Q51" i="46"/>
  <c r="Z51" i="46"/>
  <c r="AH51" i="46"/>
  <c r="J51" i="46"/>
  <c r="AA51" i="46"/>
  <c r="AI51" i="46"/>
  <c r="K51" i="46"/>
  <c r="AB51" i="46"/>
  <c r="AJ51" i="46"/>
  <c r="D51" i="46"/>
  <c r="AC51" i="46"/>
  <c r="Q75" i="46"/>
  <c r="I75" i="46"/>
  <c r="P75" i="46"/>
  <c r="G75" i="46"/>
  <c r="O75" i="46"/>
  <c r="F75" i="46"/>
  <c r="N75" i="46"/>
  <c r="E75" i="46"/>
  <c r="M75" i="46"/>
  <c r="D75" i="46"/>
  <c r="J75" i="46"/>
  <c r="H75" i="46"/>
  <c r="K75" i="46"/>
  <c r="AH75" i="46"/>
  <c r="Z75" i="46"/>
  <c r="AE75" i="46"/>
  <c r="W75" i="46"/>
  <c r="AF75" i="46"/>
  <c r="X75" i="46"/>
  <c r="AG75" i="46"/>
  <c r="Y75" i="46"/>
  <c r="AI75" i="46"/>
  <c r="AA75" i="46"/>
  <c r="AJ75" i="46"/>
  <c r="AB75" i="46"/>
  <c r="N28" i="44"/>
  <c r="N29" i="44"/>
  <c r="N6" i="44"/>
  <c r="B54" i="44"/>
  <c r="C3" i="44"/>
  <c r="C52" i="44"/>
  <c r="BL28" i="44"/>
  <c r="BM28" i="44" s="1"/>
  <c r="V5" i="44"/>
  <c r="AP5" i="44" s="1"/>
  <c r="U28" i="44"/>
  <c r="U76" i="44" s="1"/>
  <c r="A22" i="58" s="1"/>
  <c r="Q3" i="44"/>
  <c r="L28" i="44"/>
  <c r="V27" i="44"/>
  <c r="U27" i="44"/>
  <c r="AO27" i="44" s="1" a="1"/>
  <c r="BI57" i="44" a="1"/>
  <c r="BI57" i="44" s="1"/>
  <c r="C24" i="52"/>
  <c r="U6" i="44"/>
  <c r="AO6" i="44" s="1"/>
  <c r="B52" i="44"/>
  <c r="BK28" i="44"/>
  <c r="BK29" i="44" s="1"/>
  <c r="BK30" i="44" s="1"/>
  <c r="BK31" i="44" s="1"/>
  <c r="BK32" i="44" s="1"/>
  <c r="BK33" i="44" s="1"/>
  <c r="BK34" i="44" s="1"/>
  <c r="BK35" i="44" s="1"/>
  <c r="BK36" i="44" s="1"/>
  <c r="BK37" i="44" s="1"/>
  <c r="BK38" i="44" s="1"/>
  <c r="BK39" i="44" s="1"/>
  <c r="BK40" i="44" s="1"/>
  <c r="BK41" i="44" s="1"/>
  <c r="BK42" i="44" s="1"/>
  <c r="BK43" i="44" s="1"/>
  <c r="BK44" i="44" s="1"/>
  <c r="BK45" i="44" s="1"/>
  <c r="BK46" i="44" s="1"/>
  <c r="BK47" i="44" s="1"/>
  <c r="N3" i="44"/>
  <c r="F3" i="44"/>
  <c r="L3" i="44"/>
  <c r="D3" i="44"/>
  <c r="M3" i="44"/>
  <c r="E3" i="44"/>
  <c r="H3" i="44"/>
  <c r="AW3" i="44"/>
  <c r="BD3" i="44"/>
  <c r="AV3" i="44"/>
  <c r="BC3" i="44"/>
  <c r="AU3" i="44"/>
  <c r="BA3" i="44"/>
  <c r="B53" i="44"/>
  <c r="U5" i="44"/>
  <c r="AO5" i="44" s="1"/>
  <c r="O6" i="44"/>
  <c r="N24" i="51" s="1"/>
  <c r="AR27" i="44"/>
  <c r="AQ27" i="44"/>
  <c r="AT27" i="44"/>
  <c r="AS27" i="44"/>
  <c r="AO28" i="44"/>
  <c r="AO29" i="44" s="1"/>
  <c r="AO30" i="44" s="1"/>
  <c r="AO31" i="44" s="1"/>
  <c r="AO32" i="44" s="1"/>
  <c r="AO33" i="44" s="1"/>
  <c r="AO34" i="44" s="1"/>
  <c r="AO35" i="44" s="1"/>
  <c r="AO36" i="44" s="1"/>
  <c r="AO37" i="44" s="1"/>
  <c r="AO38" i="44" s="1"/>
  <c r="AO39" i="44" s="1"/>
  <c r="AO40" i="44" s="1"/>
  <c r="AO41" i="44" s="1"/>
  <c r="AO42" i="44" s="1"/>
  <c r="AO43" i="44" s="1"/>
  <c r="AO44" i="44" s="1"/>
  <c r="AO45" i="44" s="1"/>
  <c r="AO46" i="44" s="1"/>
  <c r="AO47" i="44" s="1"/>
  <c r="AW5" i="44"/>
  <c r="BD4" i="44"/>
  <c r="J22" i="52" s="1"/>
  <c r="J2" i="52" s="1"/>
  <c r="AO3" i="44"/>
  <c r="BH3" i="44" s="1" a="1"/>
  <c r="J27" i="44"/>
  <c r="AG27" i="44"/>
  <c r="Y27" i="44"/>
  <c r="AF27" i="44"/>
  <c r="X27" i="44"/>
  <c r="AH27" i="44"/>
  <c r="AZ28" i="44"/>
  <c r="P27" i="44"/>
  <c r="P28" i="44" s="1"/>
  <c r="O22" i="53" s="1"/>
  <c r="O2" i="53" s="1"/>
  <c r="H27" i="44"/>
  <c r="O27" i="44"/>
  <c r="O28" i="44" s="1"/>
  <c r="G27" i="44"/>
  <c r="M27" i="44"/>
  <c r="I27" i="44"/>
  <c r="C51" i="44"/>
  <c r="E51" i="44"/>
  <c r="BB51" i="44"/>
  <c r="BC51" i="44"/>
  <c r="AI51" i="44"/>
  <c r="AA51" i="44"/>
  <c r="AH51" i="44"/>
  <c r="Z51" i="44"/>
  <c r="AE51" i="44"/>
  <c r="W51" i="44"/>
  <c r="AG51" i="44"/>
  <c r="AF51" i="44"/>
  <c r="AO51" i="44"/>
  <c r="BA51" i="44"/>
  <c r="AS51" i="44"/>
  <c r="AZ51" i="44"/>
  <c r="AR51" i="44"/>
  <c r="AW51" i="44"/>
  <c r="AV51" i="44"/>
  <c r="AU51" i="44"/>
  <c r="Q51" i="44"/>
  <c r="I51" i="44"/>
  <c r="N51" i="44"/>
  <c r="F51" i="44"/>
  <c r="J51" i="44"/>
  <c r="H51" i="44"/>
  <c r="P51" i="44"/>
  <c r="AC51" i="44"/>
  <c r="AX51" i="44"/>
  <c r="AY51" i="44"/>
  <c r="U75" i="44"/>
  <c r="V75" i="44"/>
  <c r="AH75" i="44"/>
  <c r="Z75" i="44"/>
  <c r="AG75" i="44"/>
  <c r="Y75" i="44"/>
  <c r="AF75" i="44"/>
  <c r="AD75" i="44"/>
  <c r="AJ75" i="44"/>
  <c r="AB75" i="44"/>
  <c r="AA75" i="44"/>
  <c r="X75" i="44"/>
  <c r="AE75" i="44"/>
  <c r="C75" i="44"/>
  <c r="B75" i="44"/>
  <c r="AI75" i="44"/>
  <c r="K75" i="44"/>
  <c r="H75" i="44"/>
  <c r="P75" i="44"/>
  <c r="I75" i="44"/>
  <c r="AD75" i="43"/>
  <c r="J1" i="58" s="1"/>
  <c r="AC75" i="43"/>
  <c r="I1" i="58" s="1"/>
  <c r="AH75" i="43"/>
  <c r="N1" i="58" s="1"/>
  <c r="Z75" i="43"/>
  <c r="F1" i="58" s="1"/>
  <c r="AA75" i="43"/>
  <c r="G1" i="58" s="1"/>
  <c r="AG75" i="43"/>
  <c r="M1" i="58" s="1"/>
  <c r="Y75" i="43"/>
  <c r="E1" i="58" s="1"/>
  <c r="AJ75" i="43"/>
  <c r="P1" i="58" s="1"/>
  <c r="AI75" i="43"/>
  <c r="O1" i="58" s="1"/>
  <c r="AF75" i="43"/>
  <c r="L1" i="58" s="1"/>
  <c r="X75" i="43"/>
  <c r="D1" i="58" s="1"/>
  <c r="AB75" i="43"/>
  <c r="H1" i="58" s="1"/>
  <c r="AE75" i="43"/>
  <c r="K1" i="58" s="1"/>
  <c r="J75" i="43"/>
  <c r="I1" i="57" s="1"/>
  <c r="Q75" i="43"/>
  <c r="P1" i="57" s="1"/>
  <c r="I75" i="43"/>
  <c r="H1" i="57" s="1"/>
  <c r="L75" i="43"/>
  <c r="K1" i="57" s="1"/>
  <c r="G75" i="43"/>
  <c r="F1" i="57" s="1"/>
  <c r="N75" i="43"/>
  <c r="M1" i="57" s="1"/>
  <c r="F75" i="43"/>
  <c r="E1" i="57" s="1"/>
  <c r="D75" i="43"/>
  <c r="C1" i="57" s="1"/>
  <c r="K75" i="43"/>
  <c r="J1" i="57" s="1"/>
  <c r="P75" i="43"/>
  <c r="O1" i="57" s="1"/>
  <c r="H75" i="43"/>
  <c r="G1" i="57" s="1"/>
  <c r="O75" i="43"/>
  <c r="N1" i="57" s="1"/>
  <c r="M75" i="43"/>
  <c r="L1" i="57" s="1"/>
  <c r="V75" i="43"/>
  <c r="C75" i="43"/>
  <c r="BK71" i="43"/>
  <c r="BL71" i="43"/>
  <c r="BM71" i="43"/>
  <c r="BN71" i="43"/>
  <c r="BO71" i="43"/>
  <c r="BP71" i="43"/>
  <c r="BQ71" i="43"/>
  <c r="BR71" i="43"/>
  <c r="BS71" i="43"/>
  <c r="BT71" i="43"/>
  <c r="BU71" i="43"/>
  <c r="BV71" i="43"/>
  <c r="BW71" i="43"/>
  <c r="BX71" i="43"/>
  <c r="BY71" i="43"/>
  <c r="BZ71" i="43"/>
  <c r="CA71" i="43"/>
  <c r="BK70" i="43"/>
  <c r="BL70" i="43"/>
  <c r="BM70" i="43"/>
  <c r="BN70" i="43"/>
  <c r="BO70" i="43"/>
  <c r="BP70" i="43"/>
  <c r="BQ70" i="43"/>
  <c r="BR70" i="43"/>
  <c r="BS70" i="43"/>
  <c r="BT70" i="43"/>
  <c r="BU70" i="43"/>
  <c r="BV70" i="43"/>
  <c r="BW70" i="43"/>
  <c r="BX70" i="43"/>
  <c r="BY70" i="43"/>
  <c r="BZ70" i="43"/>
  <c r="CA70" i="43"/>
  <c r="CA57" i="43"/>
  <c r="BZ57" i="43"/>
  <c r="BY57" i="43"/>
  <c r="BX57" i="43"/>
  <c r="BW57" i="43"/>
  <c r="BV57" i="43"/>
  <c r="BU57" i="43"/>
  <c r="BT57" i="43"/>
  <c r="BS57" i="43"/>
  <c r="BR57" i="43"/>
  <c r="BQ57" i="43"/>
  <c r="BP57" i="43"/>
  <c r="BO57" i="43"/>
  <c r="BN57" i="43"/>
  <c r="BM57" i="43"/>
  <c r="BL57" i="43"/>
  <c r="BK57" i="43"/>
  <c r="CA56" i="43"/>
  <c r="BZ56" i="43"/>
  <c r="BY56" i="43"/>
  <c r="BX56" i="43"/>
  <c r="BW56" i="43"/>
  <c r="BV56" i="43"/>
  <c r="BU56" i="43"/>
  <c r="BT56" i="43"/>
  <c r="BS56" i="43"/>
  <c r="BR56" i="43"/>
  <c r="BQ56" i="43"/>
  <c r="BP56" i="43"/>
  <c r="BO56" i="43"/>
  <c r="BN56" i="43"/>
  <c r="BM56" i="43"/>
  <c r="BL56" i="43"/>
  <c r="BK56" i="43"/>
  <c r="BJ57" i="43"/>
  <c r="BJ56" i="43"/>
  <c r="BJ71" i="43"/>
  <c r="BJ70" i="43"/>
  <c r="BI71" i="43"/>
  <c r="BI70" i="43"/>
  <c r="BI56" i="43"/>
  <c r="R29" i="43"/>
  <c r="Q3" i="53" s="1"/>
  <c r="R30" i="43"/>
  <c r="Q4" i="53" s="1"/>
  <c r="R31" i="43"/>
  <c r="Q5" i="53" s="1"/>
  <c r="R32" i="43"/>
  <c r="Q6" i="53" s="1"/>
  <c r="R33" i="43"/>
  <c r="Q7" i="53" s="1"/>
  <c r="R34" i="43"/>
  <c r="Q8" i="53" s="1"/>
  <c r="R35" i="43"/>
  <c r="Q9" i="53" s="1"/>
  <c r="R36" i="43"/>
  <c r="Q10" i="53" s="1"/>
  <c r="R37" i="43"/>
  <c r="Q11" i="53" s="1"/>
  <c r="R38" i="43"/>
  <c r="Q12" i="53" s="1"/>
  <c r="R39" i="43"/>
  <c r="Q13" i="53" s="1"/>
  <c r="R40" i="43"/>
  <c r="Q14" i="53" s="1"/>
  <c r="R41" i="43"/>
  <c r="Q15" i="53" s="1"/>
  <c r="R42" i="43"/>
  <c r="Q16" i="53" s="1"/>
  <c r="R43" i="43"/>
  <c r="Q17" i="53" s="1"/>
  <c r="R44" i="43"/>
  <c r="Q18" i="53" s="1"/>
  <c r="R45" i="43"/>
  <c r="Q19" i="53" s="1"/>
  <c r="R46" i="43"/>
  <c r="Q20" i="53" s="1"/>
  <c r="R47" i="43"/>
  <c r="Q21" i="53" s="1"/>
  <c r="R28" i="43"/>
  <c r="Q2" i="53" s="1"/>
  <c r="AL54" i="43"/>
  <c r="E4" i="60" s="1"/>
  <c r="BM27" i="43"/>
  <c r="AQ51" i="43" a="1"/>
  <c r="AQ51" i="43" s="1"/>
  <c r="AQ3" i="43" a="1"/>
  <c r="AQ3" i="43" s="1"/>
  <c r="W51" i="43" a="1"/>
  <c r="W51" i="43" s="1"/>
  <c r="C1" i="54" s="1"/>
  <c r="W27" i="43" a="1"/>
  <c r="W27" i="43" s="1"/>
  <c r="W3" i="43" a="1"/>
  <c r="W3" i="43" s="1"/>
  <c r="D51" i="43" a="1"/>
  <c r="E51" i="43" s="1"/>
  <c r="D1" i="56" s="1"/>
  <c r="B51" i="43" a="1"/>
  <c r="B51" i="43" s="1"/>
  <c r="D27" i="43" a="1"/>
  <c r="L27" i="43" s="1"/>
  <c r="K1" i="53" s="1"/>
  <c r="A28" i="9"/>
  <c r="A15" i="9"/>
  <c r="A16" i="9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E30" i="21"/>
  <c r="A45" i="2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O51" i="43" a="1"/>
  <c r="AO51" i="43" s="1"/>
  <c r="U51" i="43" a="1"/>
  <c r="U51" i="43" s="1"/>
  <c r="C47" i="43"/>
  <c r="B47" i="43"/>
  <c r="C46" i="43"/>
  <c r="B46" i="43"/>
  <c r="C45" i="43"/>
  <c r="B45" i="43"/>
  <c r="C44" i="43"/>
  <c r="B44" i="43"/>
  <c r="C43" i="43"/>
  <c r="B43" i="43"/>
  <c r="C42" i="43"/>
  <c r="B42" i="43"/>
  <c r="C41" i="43"/>
  <c r="B41" i="43"/>
  <c r="C40" i="43"/>
  <c r="B40" i="43"/>
  <c r="C39" i="43"/>
  <c r="B39" i="43"/>
  <c r="C38" i="43"/>
  <c r="B38" i="43"/>
  <c r="C37" i="43"/>
  <c r="B37" i="43"/>
  <c r="BH36" i="43"/>
  <c r="C36" i="43"/>
  <c r="B36" i="43"/>
  <c r="BH35" i="43"/>
  <c r="C35" i="43"/>
  <c r="B35" i="43"/>
  <c r="BH34" i="43"/>
  <c r="C34" i="43"/>
  <c r="B34" i="43"/>
  <c r="C33" i="43"/>
  <c r="B33" i="43"/>
  <c r="C32" i="43"/>
  <c r="B32" i="43"/>
  <c r="BH31" i="43"/>
  <c r="C31" i="43"/>
  <c r="B31" i="43"/>
  <c r="BH30" i="43"/>
  <c r="C30" i="43"/>
  <c r="B30" i="43"/>
  <c r="C29" i="43"/>
  <c r="B29" i="43"/>
  <c r="C28" i="43"/>
  <c r="B28" i="43"/>
  <c r="AQ27" i="43" a="1"/>
  <c r="AS27" i="43" s="1"/>
  <c r="B27" i="43" a="1"/>
  <c r="C27" i="43" s="1"/>
  <c r="AJ4" i="43"/>
  <c r="AO3" i="43" a="1"/>
  <c r="U3" i="43" a="1"/>
  <c r="U3" i="43" s="1"/>
  <c r="B3" i="43" a="1"/>
  <c r="C3" i="43" s="1"/>
  <c r="G44" i="31"/>
  <c r="G45" i="31"/>
  <c r="G46" i="31"/>
  <c r="G47" i="31"/>
  <c r="G48" i="31"/>
  <c r="G49" i="31"/>
  <c r="G50" i="31"/>
  <c r="G51" i="31"/>
  <c r="G43" i="31"/>
  <c r="G24" i="31"/>
  <c r="G25" i="31"/>
  <c r="G26" i="31"/>
  <c r="G27" i="31"/>
  <c r="G28" i="31"/>
  <c r="G29" i="31"/>
  <c r="G30" i="31"/>
  <c r="G31" i="31"/>
  <c r="G23" i="31"/>
  <c r="G4" i="31"/>
  <c r="G5" i="31"/>
  <c r="G6" i="31"/>
  <c r="G7" i="31"/>
  <c r="G8" i="31"/>
  <c r="G9" i="31"/>
  <c r="G10" i="31"/>
  <c r="G11" i="31"/>
  <c r="G3" i="31"/>
  <c r="G124" i="31"/>
  <c r="G125" i="31"/>
  <c r="G126" i="31"/>
  <c r="G127" i="31"/>
  <c r="G128" i="31"/>
  <c r="G129" i="31"/>
  <c r="G130" i="31"/>
  <c r="G131" i="31"/>
  <c r="G123" i="31"/>
  <c r="G104" i="31"/>
  <c r="G105" i="31"/>
  <c r="G106" i="31"/>
  <c r="G107" i="31"/>
  <c r="G108" i="31"/>
  <c r="G109" i="31"/>
  <c r="G110" i="31"/>
  <c r="G111" i="31"/>
  <c r="G103" i="31"/>
  <c r="G84" i="31"/>
  <c r="G85" i="31"/>
  <c r="G86" i="31"/>
  <c r="G87" i="31"/>
  <c r="G88" i="31"/>
  <c r="G89" i="31"/>
  <c r="G90" i="31"/>
  <c r="G91" i="31"/>
  <c r="G83" i="31"/>
  <c r="G71" i="31"/>
  <c r="G70" i="31"/>
  <c r="G69" i="31"/>
  <c r="G68" i="31"/>
  <c r="G67" i="31"/>
  <c r="G66" i="31"/>
  <c r="G65" i="31"/>
  <c r="G64" i="31"/>
  <c r="G63" i="31"/>
  <c r="W52" i="48" l="1"/>
  <c r="C82" i="54" s="1"/>
  <c r="X52" i="48"/>
  <c r="D82" i="54" s="1"/>
  <c r="P83" i="51"/>
  <c r="P103" i="51"/>
  <c r="P123" i="51"/>
  <c r="AB76" i="48"/>
  <c r="H82" i="58" s="1"/>
  <c r="AV10" i="50"/>
  <c r="BD10" i="50" s="1"/>
  <c r="J128" i="52" s="1"/>
  <c r="D127" i="52"/>
  <c r="J7" i="48"/>
  <c r="I85" i="51" s="1"/>
  <c r="J30" i="48"/>
  <c r="I84" i="53" s="1"/>
  <c r="J53" i="48"/>
  <c r="I83" i="56" s="1"/>
  <c r="J77" i="48"/>
  <c r="I83" i="57" s="1"/>
  <c r="AH54" i="48"/>
  <c r="N84" i="54" s="1"/>
  <c r="N84" i="56"/>
  <c r="O32" i="48"/>
  <c r="N86" i="53" s="1"/>
  <c r="BB54" i="48"/>
  <c r="N84" i="55" s="1"/>
  <c r="H30" i="48"/>
  <c r="G84" i="53" s="1"/>
  <c r="AZ9" i="48"/>
  <c r="H86" i="52"/>
  <c r="D30" i="48"/>
  <c r="C84" i="53" s="1"/>
  <c r="AW9" i="48"/>
  <c r="E86" i="52"/>
  <c r="D7" i="48"/>
  <c r="C85" i="51" s="1"/>
  <c r="AX9" i="48"/>
  <c r="F86" i="52"/>
  <c r="AY9" i="48"/>
  <c r="G86" i="52"/>
  <c r="BA9" i="48"/>
  <c r="I86" i="52"/>
  <c r="AV9" i="48"/>
  <c r="D86" i="52"/>
  <c r="AZ6" i="47"/>
  <c r="BD6" i="47" s="1"/>
  <c r="J64" i="52" s="1"/>
  <c r="H63" i="52"/>
  <c r="H3" i="52" s="1"/>
  <c r="AW7" i="47"/>
  <c r="E64" i="52"/>
  <c r="AY7" i="47"/>
  <c r="G64" i="52"/>
  <c r="BA7" i="47"/>
  <c r="I64" i="52"/>
  <c r="AV7" i="47"/>
  <c r="D64" i="52"/>
  <c r="AX7" i="47"/>
  <c r="F64" i="52"/>
  <c r="I3" i="52"/>
  <c r="F3" i="52"/>
  <c r="D3" i="52"/>
  <c r="AW7" i="46"/>
  <c r="E44" i="52"/>
  <c r="AX7" i="46"/>
  <c r="F44" i="52"/>
  <c r="BA7" i="46"/>
  <c r="I44" i="52"/>
  <c r="G3" i="52"/>
  <c r="AY7" i="46"/>
  <c r="G44" i="52"/>
  <c r="AZ7" i="46"/>
  <c r="H44" i="52"/>
  <c r="AV7" i="46"/>
  <c r="D44" i="52"/>
  <c r="M3" i="51"/>
  <c r="AV7" i="44"/>
  <c r="D24" i="52"/>
  <c r="BX30" i="44"/>
  <c r="M24" i="51"/>
  <c r="AZ7" i="44"/>
  <c r="H24" i="52"/>
  <c r="AW6" i="44"/>
  <c r="BD6" i="44" s="1"/>
  <c r="J24" i="52" s="1"/>
  <c r="E23" i="52"/>
  <c r="E3" i="52" s="1"/>
  <c r="AY7" i="44"/>
  <c r="G24" i="52"/>
  <c r="BA7" i="44"/>
  <c r="I24" i="52"/>
  <c r="AX7" i="44"/>
  <c r="F24" i="52"/>
  <c r="I53" i="48"/>
  <c r="H83" i="56" s="1"/>
  <c r="I30" i="48"/>
  <c r="H84" i="53" s="1"/>
  <c r="C6" i="47"/>
  <c r="AP29" i="44"/>
  <c r="E132" i="31"/>
  <c r="BM38" i="50" s="1"/>
  <c r="BN38" i="50" s="1"/>
  <c r="BQ38" i="50" s="1"/>
  <c r="C29" i="47"/>
  <c r="B63" i="53" s="1"/>
  <c r="E52" i="31"/>
  <c r="E53" i="31" s="1"/>
  <c r="G53" i="31" s="1"/>
  <c r="C7" i="47"/>
  <c r="B65" i="51" s="1"/>
  <c r="C30" i="47"/>
  <c r="B64" i="53" s="1"/>
  <c r="B76" i="44"/>
  <c r="A22" i="57" s="1"/>
  <c r="C54" i="47"/>
  <c r="E32" i="31"/>
  <c r="G32" i="31" s="1"/>
  <c r="E72" i="31"/>
  <c r="E73" i="31" s="1"/>
  <c r="E74" i="31" s="1"/>
  <c r="E75" i="31" s="1"/>
  <c r="E76" i="31" s="1"/>
  <c r="E77" i="31" s="1"/>
  <c r="E78" i="31" s="1"/>
  <c r="E79" i="31" s="1"/>
  <c r="E80" i="31" s="1"/>
  <c r="E81" i="31" s="1"/>
  <c r="U6" i="47"/>
  <c r="AO6" i="47" s="1"/>
  <c r="E92" i="31"/>
  <c r="E112" i="31"/>
  <c r="G112" i="31" s="1"/>
  <c r="C6" i="44"/>
  <c r="C7" i="44" s="1"/>
  <c r="B7" i="47"/>
  <c r="A65" i="51" s="1"/>
  <c r="E12" i="31"/>
  <c r="E13" i="31" s="1"/>
  <c r="B30" i="47"/>
  <c r="A64" i="53" s="1"/>
  <c r="G92" i="31"/>
  <c r="BM38" i="48"/>
  <c r="BN38" i="48" s="1"/>
  <c r="E93" i="31"/>
  <c r="E33" i="31"/>
  <c r="E34" i="31" s="1"/>
  <c r="E35" i="31" s="1"/>
  <c r="BM39" i="47"/>
  <c r="BN39" i="47" s="1"/>
  <c r="BM39" i="46"/>
  <c r="BT38" i="50"/>
  <c r="V30" i="43"/>
  <c r="V78" i="43" s="1"/>
  <c r="B4" i="58" s="1"/>
  <c r="B4" i="53"/>
  <c r="C78" i="43"/>
  <c r="B4" i="57" s="1"/>
  <c r="U44" i="43"/>
  <c r="U92" i="43" s="1"/>
  <c r="A18" i="58" s="1"/>
  <c r="A18" i="53"/>
  <c r="B92" i="43"/>
  <c r="A18" i="57" s="1"/>
  <c r="U34" i="43"/>
  <c r="U82" i="43" s="1"/>
  <c r="A8" i="58" s="1"/>
  <c r="A8" i="53"/>
  <c r="B82" i="43"/>
  <c r="A8" i="57" s="1"/>
  <c r="V44" i="43"/>
  <c r="V92" i="43" s="1"/>
  <c r="B18" i="58" s="1"/>
  <c r="B18" i="53"/>
  <c r="C92" i="43"/>
  <c r="B18" i="57" s="1"/>
  <c r="B7" i="43"/>
  <c r="A5" i="53"/>
  <c r="B79" i="43"/>
  <c r="A5" i="57" s="1"/>
  <c r="C10" i="43"/>
  <c r="B8" i="53"/>
  <c r="C82" i="43"/>
  <c r="B8" i="57" s="1"/>
  <c r="U37" i="43"/>
  <c r="U85" i="43" s="1"/>
  <c r="A11" i="58" s="1"/>
  <c r="A11" i="53"/>
  <c r="B85" i="43"/>
  <c r="A11" i="57" s="1"/>
  <c r="U45" i="43"/>
  <c r="U93" i="43" s="1"/>
  <c r="A19" i="58" s="1"/>
  <c r="A19" i="53"/>
  <c r="B93" i="43"/>
  <c r="A19" i="57" s="1"/>
  <c r="B23" i="56"/>
  <c r="V53" i="44"/>
  <c r="B23" i="54" s="1"/>
  <c r="U53" i="47"/>
  <c r="A63" i="56"/>
  <c r="V54" i="48"/>
  <c r="B84" i="56"/>
  <c r="BI9" i="49"/>
  <c r="B107" i="52"/>
  <c r="BH9" i="49"/>
  <c r="A107" i="52"/>
  <c r="BH9" i="50"/>
  <c r="A127" i="52"/>
  <c r="AP53" i="48"/>
  <c r="B83" i="55" s="1"/>
  <c r="B83" i="54"/>
  <c r="V36" i="43"/>
  <c r="V84" i="43" s="1"/>
  <c r="B10" i="58" s="1"/>
  <c r="B10" i="53"/>
  <c r="C84" i="43"/>
  <c r="B10" i="57" s="1"/>
  <c r="V40" i="43"/>
  <c r="V88" i="43" s="1"/>
  <c r="B14" i="58" s="1"/>
  <c r="B14" i="53"/>
  <c r="C88" i="43"/>
  <c r="B14" i="57" s="1"/>
  <c r="E133" i="31"/>
  <c r="U41" i="43"/>
  <c r="U89" i="43" s="1"/>
  <c r="A15" i="58" s="1"/>
  <c r="A15" i="53"/>
  <c r="B89" i="43"/>
  <c r="A15" i="57" s="1"/>
  <c r="B4" i="43"/>
  <c r="A2" i="53"/>
  <c r="B76" i="43"/>
  <c r="A2" i="57" s="1"/>
  <c r="V31" i="43"/>
  <c r="V79" i="43" s="1"/>
  <c r="B5" i="58" s="1"/>
  <c r="B5" i="53"/>
  <c r="C79" i="43"/>
  <c r="B5" i="57" s="1"/>
  <c r="V37" i="43"/>
  <c r="V85" i="43" s="1"/>
  <c r="B11" i="58" s="1"/>
  <c r="B11" i="53"/>
  <c r="C85" i="43"/>
  <c r="B11" i="57" s="1"/>
  <c r="V41" i="43"/>
  <c r="V89" i="43" s="1"/>
  <c r="B15" i="58" s="1"/>
  <c r="B15" i="53"/>
  <c r="C89" i="43"/>
  <c r="B15" i="57" s="1"/>
  <c r="V45" i="43"/>
  <c r="V93" i="43" s="1"/>
  <c r="B19" i="58" s="1"/>
  <c r="B19" i="53"/>
  <c r="C93" i="43"/>
  <c r="B19" i="57" s="1"/>
  <c r="BI5" i="47"/>
  <c r="B63" i="52"/>
  <c r="U52" i="47"/>
  <c r="A62" i="56"/>
  <c r="BH7" i="48"/>
  <c r="A85" i="52"/>
  <c r="U57" i="49"/>
  <c r="A107" i="56"/>
  <c r="V56" i="50"/>
  <c r="B126" i="56"/>
  <c r="BI5" i="46"/>
  <c r="B43" i="52"/>
  <c r="U54" i="47"/>
  <c r="A64" i="56"/>
  <c r="V57" i="49"/>
  <c r="B107" i="56"/>
  <c r="U57" i="50"/>
  <c r="A127" i="56"/>
  <c r="AP56" i="49"/>
  <c r="B106" i="55" s="1"/>
  <c r="B106" i="54"/>
  <c r="AP55" i="50"/>
  <c r="B125" i="55" s="1"/>
  <c r="B125" i="54"/>
  <c r="G52" i="31"/>
  <c r="BM38" i="47"/>
  <c r="BN38" i="47" s="1"/>
  <c r="BM38" i="46"/>
  <c r="U40" i="43"/>
  <c r="U88" i="43" s="1"/>
  <c r="A14" i="58" s="1"/>
  <c r="A14" i="53"/>
  <c r="B88" i="43"/>
  <c r="A14" i="57" s="1"/>
  <c r="G132" i="31"/>
  <c r="U35" i="43"/>
  <c r="U83" i="43" s="1"/>
  <c r="A9" i="58" s="1"/>
  <c r="A9" i="53"/>
  <c r="B83" i="43"/>
  <c r="A9" i="57" s="1"/>
  <c r="U38" i="43"/>
  <c r="U86" i="43" s="1"/>
  <c r="A12" i="58" s="1"/>
  <c r="A12" i="53"/>
  <c r="B86" i="43"/>
  <c r="A12" i="57" s="1"/>
  <c r="U46" i="43"/>
  <c r="U94" i="43" s="1"/>
  <c r="A20" i="58" s="1"/>
  <c r="A20" i="53"/>
  <c r="B94" i="43"/>
  <c r="A20" i="57" s="1"/>
  <c r="U29" i="43"/>
  <c r="U77" i="43" s="1"/>
  <c r="A3" i="58" s="1"/>
  <c r="A3" i="53"/>
  <c r="B77" i="43"/>
  <c r="A3" i="57" s="1"/>
  <c r="A6" i="53"/>
  <c r="B80" i="43"/>
  <c r="A6" i="57" s="1"/>
  <c r="B9" i="53"/>
  <c r="C83" i="43"/>
  <c r="B9" i="57" s="1"/>
  <c r="V38" i="43"/>
  <c r="V86" i="43" s="1"/>
  <c r="B12" i="58" s="1"/>
  <c r="B12" i="53"/>
  <c r="C86" i="43"/>
  <c r="B12" i="57" s="1"/>
  <c r="V42" i="43"/>
  <c r="V90" i="43" s="1"/>
  <c r="B16" i="58" s="1"/>
  <c r="B16" i="53"/>
  <c r="C90" i="43"/>
  <c r="B16" i="57" s="1"/>
  <c r="V46" i="43"/>
  <c r="V94" i="43" s="1"/>
  <c r="B20" i="58" s="1"/>
  <c r="B20" i="53"/>
  <c r="C94" i="43"/>
  <c r="B20" i="57" s="1"/>
  <c r="A22" i="56"/>
  <c r="U52" i="44"/>
  <c r="A22" i="54" s="1"/>
  <c r="V52" i="46"/>
  <c r="AP52" i="46" s="1"/>
  <c r="B42" i="56"/>
  <c r="BH4" i="46"/>
  <c r="A42" i="52"/>
  <c r="V53" i="47"/>
  <c r="B63" i="56"/>
  <c r="V52" i="47"/>
  <c r="B62" i="56"/>
  <c r="U55" i="48"/>
  <c r="A85" i="56"/>
  <c r="AO54" i="48"/>
  <c r="A84" i="55" s="1"/>
  <c r="A84" i="54"/>
  <c r="BH5" i="44"/>
  <c r="A23" i="52"/>
  <c r="V29" i="43"/>
  <c r="V77" i="43" s="1"/>
  <c r="B3" i="58" s="1"/>
  <c r="B3" i="53"/>
  <c r="C77" i="43"/>
  <c r="B3" i="57" s="1"/>
  <c r="V32" i="43"/>
  <c r="V80" i="43" s="1"/>
  <c r="B6" i="58" s="1"/>
  <c r="B6" i="53"/>
  <c r="C80" i="43"/>
  <c r="B6" i="57" s="1"/>
  <c r="U39" i="43"/>
  <c r="U87" i="43" s="1"/>
  <c r="A13" i="58" s="1"/>
  <c r="A13" i="53"/>
  <c r="B87" i="43"/>
  <c r="A13" i="57" s="1"/>
  <c r="U43" i="43"/>
  <c r="U91" i="43" s="1"/>
  <c r="A17" i="58" s="1"/>
  <c r="A17" i="53"/>
  <c r="B91" i="43"/>
  <c r="A17" i="57" s="1"/>
  <c r="B23" i="43"/>
  <c r="A21" i="51" s="1"/>
  <c r="A21" i="53"/>
  <c r="B95" i="43"/>
  <c r="A21" i="57" s="1"/>
  <c r="BH6" i="44"/>
  <c r="A24" i="52"/>
  <c r="A24" i="56"/>
  <c r="U54" i="44"/>
  <c r="A24" i="54" s="1"/>
  <c r="V54" i="47"/>
  <c r="B64" i="56"/>
  <c r="AO56" i="50"/>
  <c r="A126" i="55" s="1"/>
  <c r="A126" i="54"/>
  <c r="BI4" i="46"/>
  <c r="B42" i="52"/>
  <c r="V33" i="43"/>
  <c r="V81" i="43" s="1"/>
  <c r="B7" i="58" s="1"/>
  <c r="B7" i="53"/>
  <c r="C81" i="43"/>
  <c r="B7" i="57" s="1"/>
  <c r="AP28" i="43"/>
  <c r="AX28" i="43" s="1"/>
  <c r="B2" i="53"/>
  <c r="C76" i="43"/>
  <c r="B2" i="57" s="1"/>
  <c r="U42" i="43"/>
  <c r="U90" i="43" s="1"/>
  <c r="A16" i="58" s="1"/>
  <c r="A16" i="53"/>
  <c r="B90" i="43"/>
  <c r="A16" i="57" s="1"/>
  <c r="U30" i="43"/>
  <c r="U78" i="43" s="1"/>
  <c r="A4" i="58" s="1"/>
  <c r="A4" i="53"/>
  <c r="B78" i="43"/>
  <c r="A4" i="57" s="1"/>
  <c r="U33" i="43"/>
  <c r="U81" i="43" s="1"/>
  <c r="A7" i="58" s="1"/>
  <c r="A7" i="53"/>
  <c r="B81" i="43"/>
  <c r="A7" i="57" s="1"/>
  <c r="U36" i="43"/>
  <c r="U84" i="43" s="1"/>
  <c r="A10" i="58" s="1"/>
  <c r="A10" i="53"/>
  <c r="B84" i="43"/>
  <c r="A10" i="57" s="1"/>
  <c r="V39" i="43"/>
  <c r="V87" i="43" s="1"/>
  <c r="B13" i="58" s="1"/>
  <c r="B13" i="53"/>
  <c r="C87" i="43"/>
  <c r="B13" i="57" s="1"/>
  <c r="V43" i="43"/>
  <c r="V91" i="43" s="1"/>
  <c r="B17" i="58" s="1"/>
  <c r="B17" i="53"/>
  <c r="C91" i="43"/>
  <c r="B17" i="57" s="1"/>
  <c r="V47" i="43"/>
  <c r="V95" i="43" s="1"/>
  <c r="B21" i="58" s="1"/>
  <c r="B21" i="53"/>
  <c r="C95" i="43"/>
  <c r="B21" i="57" s="1"/>
  <c r="BI5" i="44"/>
  <c r="B23" i="52"/>
  <c r="V53" i="46"/>
  <c r="AP53" i="46" s="1"/>
  <c r="B43" i="56"/>
  <c r="B23" i="51"/>
  <c r="C29" i="44"/>
  <c r="U29" i="44"/>
  <c r="U77" i="44" s="1"/>
  <c r="A23" i="58" s="1"/>
  <c r="A23" i="53"/>
  <c r="B77" i="44"/>
  <c r="A23" i="57" s="1"/>
  <c r="BI6" i="48"/>
  <c r="B84" i="52"/>
  <c r="BH4" i="44"/>
  <c r="A22" i="52"/>
  <c r="AO56" i="49"/>
  <c r="A106" i="55" s="1"/>
  <c r="A106" i="54"/>
  <c r="A23" i="56"/>
  <c r="U53" i="44"/>
  <c r="A23" i="54" s="1"/>
  <c r="B22" i="56"/>
  <c r="V52" i="44"/>
  <c r="B22" i="54" s="1"/>
  <c r="U52" i="46"/>
  <c r="AO52" i="46" s="1"/>
  <c r="A42" i="56"/>
  <c r="BH5" i="47"/>
  <c r="A63" i="52"/>
  <c r="BH6" i="47"/>
  <c r="A64" i="52"/>
  <c r="BI8" i="50"/>
  <c r="B126" i="52"/>
  <c r="B7" i="44"/>
  <c r="A24" i="51"/>
  <c r="B30" i="44"/>
  <c r="I7" i="48"/>
  <c r="H85" i="51" s="1"/>
  <c r="AB52" i="48"/>
  <c r="H82" i="54" s="1"/>
  <c r="I77" i="48"/>
  <c r="H83" i="57" s="1"/>
  <c r="W76" i="48"/>
  <c r="C82" i="58" s="1"/>
  <c r="D53" i="48"/>
  <c r="C83" i="56" s="1"/>
  <c r="AR52" i="48"/>
  <c r="D82" i="55" s="1"/>
  <c r="D77" i="48"/>
  <c r="C83" i="57" s="1"/>
  <c r="X76" i="48"/>
  <c r="D82" i="58" s="1"/>
  <c r="AU52" i="48"/>
  <c r="G82" i="55" s="1"/>
  <c r="G82" i="56"/>
  <c r="AQ52" i="48"/>
  <c r="C82" i="55" s="1"/>
  <c r="H82" i="56"/>
  <c r="AS76" i="43"/>
  <c r="C1" i="55"/>
  <c r="O52" i="44"/>
  <c r="N22" i="56" s="1"/>
  <c r="N22" i="53"/>
  <c r="K43" i="53"/>
  <c r="L53" i="46"/>
  <c r="K43" i="56" s="1"/>
  <c r="K84" i="53"/>
  <c r="L54" i="48"/>
  <c r="K84" i="56" s="1"/>
  <c r="K106" i="53"/>
  <c r="L56" i="49"/>
  <c r="K106" i="56" s="1"/>
  <c r="N52" i="46"/>
  <c r="M42" i="56" s="1"/>
  <c r="M42" i="53"/>
  <c r="K128" i="53"/>
  <c r="L58" i="50"/>
  <c r="K128" i="56" s="1"/>
  <c r="M127" i="53"/>
  <c r="N57" i="50"/>
  <c r="M127" i="56" s="1"/>
  <c r="M23" i="53"/>
  <c r="N53" i="44"/>
  <c r="M23" i="56" s="1"/>
  <c r="M62" i="53"/>
  <c r="N52" i="47"/>
  <c r="M62" i="56" s="1"/>
  <c r="N76" i="44"/>
  <c r="M22" i="57" s="1"/>
  <c r="N52" i="44"/>
  <c r="M22" i="56" s="1"/>
  <c r="M22" i="53"/>
  <c r="M85" i="53"/>
  <c r="N55" i="48"/>
  <c r="M85" i="56" s="1"/>
  <c r="K62" i="53"/>
  <c r="L52" i="47"/>
  <c r="K62" i="56" s="1"/>
  <c r="M106" i="53"/>
  <c r="N56" i="49"/>
  <c r="M106" i="56" s="1"/>
  <c r="K22" i="53"/>
  <c r="L52" i="44"/>
  <c r="K22" i="56" s="1"/>
  <c r="H53" i="48"/>
  <c r="G83" i="56" s="1"/>
  <c r="O55" i="48"/>
  <c r="N85" i="56" s="1"/>
  <c r="N85" i="53"/>
  <c r="Y28" i="49"/>
  <c r="Q52" i="48"/>
  <c r="P82" i="56" s="1"/>
  <c r="Z28" i="50"/>
  <c r="P122" i="53"/>
  <c r="H7" i="48"/>
  <c r="G85" i="51" s="1"/>
  <c r="AR28" i="48"/>
  <c r="P82" i="53"/>
  <c r="W28" i="49"/>
  <c r="E30" i="48"/>
  <c r="D84" i="51"/>
  <c r="AA53" i="48"/>
  <c r="G83" i="54" s="1"/>
  <c r="E77" i="48"/>
  <c r="D83" i="57" s="1"/>
  <c r="D83" i="53"/>
  <c r="H77" i="48"/>
  <c r="G83" i="57" s="1"/>
  <c r="CA29" i="48"/>
  <c r="L83" i="53"/>
  <c r="E7" i="48"/>
  <c r="E31" i="48" s="1"/>
  <c r="AA28" i="49"/>
  <c r="J84" i="51"/>
  <c r="K30" i="48"/>
  <c r="K7" i="48"/>
  <c r="K53" i="49"/>
  <c r="J103" i="56" s="1"/>
  <c r="J103" i="53"/>
  <c r="BW30" i="48"/>
  <c r="BJ67" i="48" s="1"/>
  <c r="L84" i="51"/>
  <c r="Q76" i="48"/>
  <c r="P82" i="57" s="1"/>
  <c r="J82" i="57"/>
  <c r="AS28" i="49"/>
  <c r="BF29" i="49" s="1"/>
  <c r="AY28" i="49" s="1"/>
  <c r="AY29" i="49" s="1"/>
  <c r="AY30" i="49" s="1"/>
  <c r="AY31" i="49" s="1"/>
  <c r="AY32" i="49" s="1"/>
  <c r="AY33" i="49" s="1"/>
  <c r="AY34" i="49" s="1"/>
  <c r="AY35" i="49" s="1"/>
  <c r="AY36" i="49" s="1"/>
  <c r="AY37" i="49" s="1"/>
  <c r="AY38" i="49" s="1"/>
  <c r="AY39" i="49" s="1"/>
  <c r="AY40" i="49" s="1"/>
  <c r="AY41" i="49" s="1"/>
  <c r="AY42" i="49" s="1"/>
  <c r="AY43" i="49" s="1"/>
  <c r="AY44" i="49" s="1"/>
  <c r="AY45" i="49" s="1"/>
  <c r="AY46" i="49" s="1"/>
  <c r="AY47" i="49" s="1"/>
  <c r="K53" i="50"/>
  <c r="J123" i="56" s="1"/>
  <c r="J123" i="53"/>
  <c r="AX53" i="48"/>
  <c r="J83" i="55" s="1"/>
  <c r="X52" i="49"/>
  <c r="D102" i="54" s="1"/>
  <c r="X76" i="49"/>
  <c r="D102" i="58" s="1"/>
  <c r="AR52" i="49"/>
  <c r="D102" i="55" s="1"/>
  <c r="X28" i="50"/>
  <c r="Q76" i="50"/>
  <c r="P122" i="57" s="1"/>
  <c r="I77" i="49"/>
  <c r="H103" i="57" s="1"/>
  <c r="I53" i="49"/>
  <c r="H103" i="56" s="1"/>
  <c r="AH28" i="49"/>
  <c r="AT28" i="49"/>
  <c r="AR28" i="49"/>
  <c r="BJ4" i="49"/>
  <c r="BK4" i="49" s="1"/>
  <c r="BL4" i="49" s="1"/>
  <c r="AE28" i="49"/>
  <c r="AG28" i="49"/>
  <c r="AI28" i="49"/>
  <c r="G30" i="50"/>
  <c r="F124" i="53" s="1"/>
  <c r="G7" i="50"/>
  <c r="F125" i="51" s="1"/>
  <c r="D7" i="50"/>
  <c r="C125" i="51" s="1"/>
  <c r="BR30" i="50"/>
  <c r="BJ65" i="50" s="1"/>
  <c r="D30" i="50"/>
  <c r="C124" i="53" s="1"/>
  <c r="Q6" i="50"/>
  <c r="AS28" i="48"/>
  <c r="BF29" i="48" s="1"/>
  <c r="AY28" i="48" s="1"/>
  <c r="AY29" i="48" s="1"/>
  <c r="AY30" i="48" s="1"/>
  <c r="AY31" i="48" s="1"/>
  <c r="AY32" i="48" s="1"/>
  <c r="AY33" i="48" s="1"/>
  <c r="AY34" i="48" s="1"/>
  <c r="AY35" i="48" s="1"/>
  <c r="AY36" i="48" s="1"/>
  <c r="AY37" i="48" s="1"/>
  <c r="AY38" i="48" s="1"/>
  <c r="AY39" i="48" s="1"/>
  <c r="AY40" i="48" s="1"/>
  <c r="AY41" i="48" s="1"/>
  <c r="AY42" i="48" s="1"/>
  <c r="AY43" i="48" s="1"/>
  <c r="AY44" i="48" s="1"/>
  <c r="AY45" i="48" s="1"/>
  <c r="AY46" i="48" s="1"/>
  <c r="AY47" i="48" s="1"/>
  <c r="D77" i="49"/>
  <c r="C103" i="57" s="1"/>
  <c r="D53" i="49"/>
  <c r="C103" i="56" s="1"/>
  <c r="Q29" i="49"/>
  <c r="X29" i="49" s="1"/>
  <c r="AA76" i="50"/>
  <c r="G122" i="58" s="1"/>
  <c r="AU52" i="50"/>
  <c r="G122" i="55" s="1"/>
  <c r="AC28" i="49"/>
  <c r="AA76" i="49"/>
  <c r="G102" i="58" s="1"/>
  <c r="AU52" i="49"/>
  <c r="G102" i="55" s="1"/>
  <c r="I30" i="49"/>
  <c r="H104" i="53" s="1"/>
  <c r="I7" i="49"/>
  <c r="H105" i="51" s="1"/>
  <c r="J77" i="50"/>
  <c r="I123" i="57" s="1"/>
  <c r="J53" i="50"/>
  <c r="I123" i="56" s="1"/>
  <c r="AS52" i="50"/>
  <c r="E122" i="55" s="1"/>
  <c r="Y76" i="50"/>
  <c r="E122" i="58" s="1"/>
  <c r="Y52" i="50"/>
  <c r="E122" i="54" s="1"/>
  <c r="Z76" i="50"/>
  <c r="F122" i="58" s="1"/>
  <c r="Z52" i="50"/>
  <c r="F122" i="54" s="1"/>
  <c r="AT52" i="50"/>
  <c r="F122" i="55" s="1"/>
  <c r="AT28" i="48"/>
  <c r="X28" i="48"/>
  <c r="BR30" i="49"/>
  <c r="BJ65" i="49" s="1"/>
  <c r="D7" i="49"/>
  <c r="C105" i="51" s="1"/>
  <c r="D30" i="49"/>
  <c r="C104" i="53" s="1"/>
  <c r="Q6" i="49"/>
  <c r="AF28" i="49"/>
  <c r="AA53" i="49"/>
  <c r="G103" i="54" s="1"/>
  <c r="H53" i="49"/>
  <c r="G103" i="56" s="1"/>
  <c r="H77" i="49"/>
  <c r="G103" i="57" s="1"/>
  <c r="M77" i="50"/>
  <c r="L123" i="57" s="1"/>
  <c r="M53" i="50"/>
  <c r="L123" i="56" s="1"/>
  <c r="F77" i="50"/>
  <c r="E123" i="57" s="1"/>
  <c r="F53" i="50"/>
  <c r="E123" i="56" s="1"/>
  <c r="J30" i="50"/>
  <c r="I124" i="53" s="1"/>
  <c r="J7" i="50"/>
  <c r="I125" i="51" s="1"/>
  <c r="H7" i="50"/>
  <c r="G125" i="51" s="1"/>
  <c r="H30" i="50"/>
  <c r="G124" i="53" s="1"/>
  <c r="BW30" i="50"/>
  <c r="BJ67" i="50" s="1"/>
  <c r="E7" i="49"/>
  <c r="D105" i="51" s="1"/>
  <c r="E30" i="49"/>
  <c r="D104" i="53" s="1"/>
  <c r="AF76" i="49"/>
  <c r="L102" i="58" s="1"/>
  <c r="AF52" i="49"/>
  <c r="L102" i="54" s="1"/>
  <c r="AZ52" i="49"/>
  <c r="L102" i="55" s="1"/>
  <c r="H7" i="49"/>
  <c r="G105" i="51" s="1"/>
  <c r="H30" i="49"/>
  <c r="G104" i="53" s="1"/>
  <c r="BW30" i="49"/>
  <c r="BJ67" i="49" s="1"/>
  <c r="AC76" i="49"/>
  <c r="I102" i="58" s="1"/>
  <c r="AC52" i="49"/>
  <c r="I102" i="54" s="1"/>
  <c r="AW52" i="49"/>
  <c r="I102" i="55" s="1"/>
  <c r="M7" i="50"/>
  <c r="L125" i="51" s="1"/>
  <c r="M30" i="50"/>
  <c r="L124" i="53" s="1"/>
  <c r="F30" i="50"/>
  <c r="E124" i="53" s="1"/>
  <c r="F7" i="50"/>
  <c r="E125" i="51" s="1"/>
  <c r="K30" i="50"/>
  <c r="K7" i="50"/>
  <c r="J125" i="51" s="1"/>
  <c r="E30" i="50"/>
  <c r="D124" i="53" s="1"/>
  <c r="E7" i="50"/>
  <c r="D125" i="51" s="1"/>
  <c r="H77" i="50"/>
  <c r="G123" i="57" s="1"/>
  <c r="AA53" i="50"/>
  <c r="G123" i="54" s="1"/>
  <c r="H53" i="50"/>
  <c r="G123" i="56" s="1"/>
  <c r="E77" i="49"/>
  <c r="D103" i="57" s="1"/>
  <c r="E53" i="49"/>
  <c r="D103" i="56" s="1"/>
  <c r="X76" i="50"/>
  <c r="D122" i="58" s="1"/>
  <c r="X52" i="50"/>
  <c r="D122" i="54" s="1"/>
  <c r="AR52" i="50"/>
  <c r="D122" i="55" s="1"/>
  <c r="F30" i="49"/>
  <c r="E104" i="53" s="1"/>
  <c r="F7" i="49"/>
  <c r="E105" i="51" s="1"/>
  <c r="G30" i="49"/>
  <c r="F104" i="53" s="1"/>
  <c r="G7" i="49"/>
  <c r="F105" i="51" s="1"/>
  <c r="K77" i="50"/>
  <c r="J123" i="57" s="1"/>
  <c r="CA29" i="50"/>
  <c r="E77" i="50"/>
  <c r="D123" i="57" s="1"/>
  <c r="E53" i="50"/>
  <c r="D123" i="56" s="1"/>
  <c r="AD28" i="48"/>
  <c r="AS52" i="49"/>
  <c r="E102" i="55" s="1"/>
  <c r="Y76" i="49"/>
  <c r="E102" i="58" s="1"/>
  <c r="Y52" i="49"/>
  <c r="E102" i="54" s="1"/>
  <c r="M7" i="49"/>
  <c r="L105" i="51" s="1"/>
  <c r="M30" i="49"/>
  <c r="L104" i="53" s="1"/>
  <c r="F77" i="49"/>
  <c r="E103" i="57" s="1"/>
  <c r="F53" i="49"/>
  <c r="E103" i="56" s="1"/>
  <c r="Z28" i="49"/>
  <c r="G77" i="49"/>
  <c r="F103" i="57" s="1"/>
  <c r="G53" i="49"/>
  <c r="F103" i="56" s="1"/>
  <c r="AD28" i="49"/>
  <c r="AQ28" i="49"/>
  <c r="AF52" i="50"/>
  <c r="L122" i="54" s="1"/>
  <c r="AZ52" i="50"/>
  <c r="L122" i="55" s="1"/>
  <c r="AF76" i="50"/>
  <c r="L122" i="58" s="1"/>
  <c r="AB28" i="49"/>
  <c r="AX52" i="50"/>
  <c r="J122" i="55" s="1"/>
  <c r="AD76" i="50"/>
  <c r="J122" i="58" s="1"/>
  <c r="AD52" i="50"/>
  <c r="J122" i="54" s="1"/>
  <c r="I7" i="50"/>
  <c r="H125" i="51" s="1"/>
  <c r="I30" i="50"/>
  <c r="H124" i="53" s="1"/>
  <c r="M77" i="49"/>
  <c r="L103" i="57" s="1"/>
  <c r="M53" i="49"/>
  <c r="L103" i="56" s="1"/>
  <c r="J77" i="49"/>
  <c r="I103" i="57" s="1"/>
  <c r="J53" i="49"/>
  <c r="I103" i="56" s="1"/>
  <c r="Z76" i="49"/>
  <c r="F102" i="58" s="1"/>
  <c r="Z52" i="49"/>
  <c r="F102" i="54" s="1"/>
  <c r="AT52" i="49"/>
  <c r="F102" i="55" s="1"/>
  <c r="W28" i="50"/>
  <c r="AH28" i="50"/>
  <c r="AR28" i="50"/>
  <c r="AC28" i="50"/>
  <c r="AT28" i="50"/>
  <c r="AI28" i="50"/>
  <c r="BJ4" i="50"/>
  <c r="BK4" i="50" s="1"/>
  <c r="BL4" i="50" s="1"/>
  <c r="AG28" i="50"/>
  <c r="Y28" i="50"/>
  <c r="AF28" i="50"/>
  <c r="AE28" i="50"/>
  <c r="AD28" i="50"/>
  <c r="AS28" i="50"/>
  <c r="BF29" i="50" s="1"/>
  <c r="AY28" i="50" s="1"/>
  <c r="AY29" i="50" s="1"/>
  <c r="AY30" i="50" s="1"/>
  <c r="AY31" i="50" s="1"/>
  <c r="AY32" i="50" s="1"/>
  <c r="AY33" i="50" s="1"/>
  <c r="AY34" i="50" s="1"/>
  <c r="AY35" i="50" s="1"/>
  <c r="AY36" i="50" s="1"/>
  <c r="AY37" i="50" s="1"/>
  <c r="AY38" i="50" s="1"/>
  <c r="AY39" i="50" s="1"/>
  <c r="AY40" i="50" s="1"/>
  <c r="AY41" i="50" s="1"/>
  <c r="AY42" i="50" s="1"/>
  <c r="AY43" i="50" s="1"/>
  <c r="AY44" i="50" s="1"/>
  <c r="AY45" i="50" s="1"/>
  <c r="AY46" i="50" s="1"/>
  <c r="AY47" i="50" s="1"/>
  <c r="AB28" i="50"/>
  <c r="AD76" i="49"/>
  <c r="J102" i="58" s="1"/>
  <c r="AD52" i="49"/>
  <c r="J102" i="54" s="1"/>
  <c r="AX52" i="49"/>
  <c r="J102" i="55" s="1"/>
  <c r="K77" i="49"/>
  <c r="J103" i="57" s="1"/>
  <c r="CA29" i="49"/>
  <c r="Q52" i="49"/>
  <c r="P102" i="56" s="1"/>
  <c r="AB76" i="49"/>
  <c r="H102" i="58" s="1"/>
  <c r="AB52" i="49"/>
  <c r="H102" i="54" s="1"/>
  <c r="AV52" i="49"/>
  <c r="H102" i="55" s="1"/>
  <c r="AC76" i="50"/>
  <c r="I122" i="58" s="1"/>
  <c r="AC52" i="50"/>
  <c r="I122" i="54" s="1"/>
  <c r="AW52" i="50"/>
  <c r="I122" i="55" s="1"/>
  <c r="D77" i="50"/>
  <c r="C123" i="57" s="1"/>
  <c r="D53" i="50"/>
  <c r="C123" i="56" s="1"/>
  <c r="Q29" i="50"/>
  <c r="AA28" i="50"/>
  <c r="I77" i="50"/>
  <c r="H123" i="57" s="1"/>
  <c r="I53" i="50"/>
  <c r="H123" i="56" s="1"/>
  <c r="X28" i="49"/>
  <c r="AV52" i="50"/>
  <c r="H122" i="55" s="1"/>
  <c r="AB76" i="50"/>
  <c r="H122" i="58" s="1"/>
  <c r="AB52" i="50"/>
  <c r="H122" i="54" s="1"/>
  <c r="J30" i="49"/>
  <c r="I104" i="53" s="1"/>
  <c r="J7" i="49"/>
  <c r="I105" i="51" s="1"/>
  <c r="W76" i="50"/>
  <c r="C122" i="58" s="1"/>
  <c r="W52" i="50"/>
  <c r="C122" i="54" s="1"/>
  <c r="Q52" i="50"/>
  <c r="P122" i="56" s="1"/>
  <c r="AQ52" i="50"/>
  <c r="C122" i="55" s="1"/>
  <c r="W76" i="49"/>
  <c r="C102" i="58" s="1"/>
  <c r="W52" i="49"/>
  <c r="C102" i="54" s="1"/>
  <c r="AQ52" i="49"/>
  <c r="C102" i="55" s="1"/>
  <c r="K30" i="49"/>
  <c r="K7" i="49"/>
  <c r="J105" i="51" s="1"/>
  <c r="Q76" i="49"/>
  <c r="P102" i="57" s="1"/>
  <c r="G53" i="50"/>
  <c r="F123" i="56" s="1"/>
  <c r="G77" i="50"/>
  <c r="F123" i="57" s="1"/>
  <c r="AQ28" i="50"/>
  <c r="BR30" i="48"/>
  <c r="BJ65" i="48" s="1"/>
  <c r="AD53" i="48"/>
  <c r="J83" i="54" s="1"/>
  <c r="O79" i="48"/>
  <c r="N85" i="57" s="1"/>
  <c r="AD77" i="48"/>
  <c r="J83" i="58" s="1"/>
  <c r="E53" i="48"/>
  <c r="Q29" i="48"/>
  <c r="O81" i="50"/>
  <c r="N127" i="57" s="1"/>
  <c r="O57" i="50"/>
  <c r="N127" i="56" s="1"/>
  <c r="C80" i="50"/>
  <c r="B126" i="57" s="1"/>
  <c r="V32" i="50"/>
  <c r="V80" i="50" s="1"/>
  <c r="B126" i="58" s="1"/>
  <c r="AG80" i="50"/>
  <c r="M126" i="58" s="1"/>
  <c r="AG56" i="50"/>
  <c r="BA56" i="50"/>
  <c r="M126" i="55" s="1"/>
  <c r="AP32" i="50"/>
  <c r="AZ31" i="50"/>
  <c r="AX31" i="50"/>
  <c r="BX34" i="50"/>
  <c r="N34" i="50"/>
  <c r="N11" i="50"/>
  <c r="M129" i="51" s="1"/>
  <c r="L35" i="50"/>
  <c r="L12" i="50"/>
  <c r="K130" i="51" s="1"/>
  <c r="N81" i="50"/>
  <c r="M127" i="57" s="1"/>
  <c r="L82" i="50"/>
  <c r="K128" i="57" s="1"/>
  <c r="AU11" i="50"/>
  <c r="C129" i="52" s="1"/>
  <c r="B58" i="50"/>
  <c r="B34" i="50"/>
  <c r="A128" i="53" s="1"/>
  <c r="B11" i="50"/>
  <c r="A129" i="51" s="1"/>
  <c r="U10" i="50"/>
  <c r="AO10" i="50" s="1"/>
  <c r="B81" i="50"/>
  <c r="A127" i="57" s="1"/>
  <c r="U33" i="50"/>
  <c r="U81" i="50" s="1"/>
  <c r="A127" i="58" s="1"/>
  <c r="C57" i="50"/>
  <c r="C33" i="50"/>
  <c r="B127" i="53" s="1"/>
  <c r="C10" i="50"/>
  <c r="B128" i="51" s="1"/>
  <c r="V9" i="50"/>
  <c r="AP9" i="50" s="1"/>
  <c r="AE81" i="50"/>
  <c r="K127" i="58" s="1"/>
  <c r="AE57" i="50"/>
  <c r="AY57" i="50"/>
  <c r="K127" i="55" s="1"/>
  <c r="AH80" i="50"/>
  <c r="N126" i="58" s="1"/>
  <c r="AH56" i="50"/>
  <c r="BB56" i="50"/>
  <c r="N126" i="55" s="1"/>
  <c r="O34" i="50"/>
  <c r="N128" i="53" s="1"/>
  <c r="O11" i="50"/>
  <c r="N129" i="51" s="1"/>
  <c r="L33" i="49"/>
  <c r="L10" i="49"/>
  <c r="K108" i="51" s="1"/>
  <c r="C81" i="49"/>
  <c r="B107" i="57" s="1"/>
  <c r="V33" i="49"/>
  <c r="V81" i="49" s="1"/>
  <c r="B107" i="58" s="1"/>
  <c r="BD12" i="49"/>
  <c r="J110" i="52" s="1"/>
  <c r="AE79" i="49"/>
  <c r="K105" i="58" s="1"/>
  <c r="AE55" i="49"/>
  <c r="AY55" i="49"/>
  <c r="K105" i="55" s="1"/>
  <c r="AG79" i="49"/>
  <c r="M105" i="58" s="1"/>
  <c r="AG55" i="49"/>
  <c r="BA55" i="49"/>
  <c r="M105" i="55" s="1"/>
  <c r="O33" i="49"/>
  <c r="N107" i="53" s="1"/>
  <c r="O10" i="49"/>
  <c r="N108" i="51" s="1"/>
  <c r="O80" i="49"/>
  <c r="N106" i="57" s="1"/>
  <c r="O56" i="49"/>
  <c r="N106" i="56" s="1"/>
  <c r="B58" i="49"/>
  <c r="B34" i="49"/>
  <c r="A108" i="53" s="1"/>
  <c r="B11" i="49"/>
  <c r="A109" i="51" s="1"/>
  <c r="U10" i="49"/>
  <c r="AO10" i="49" s="1"/>
  <c r="L80" i="49"/>
  <c r="K106" i="57" s="1"/>
  <c r="C58" i="49"/>
  <c r="C34" i="49"/>
  <c r="B108" i="53" s="1"/>
  <c r="C11" i="49"/>
  <c r="B109" i="51" s="1"/>
  <c r="V10" i="49"/>
  <c r="AP10" i="49" s="1"/>
  <c r="BX33" i="49"/>
  <c r="N33" i="49"/>
  <c r="N10" i="49"/>
  <c r="M108" i="51" s="1"/>
  <c r="B81" i="49"/>
  <c r="A107" i="57" s="1"/>
  <c r="U33" i="49"/>
  <c r="U81" i="49" s="1"/>
  <c r="A107" i="58" s="1"/>
  <c r="AZ31" i="49"/>
  <c r="AP32" i="49"/>
  <c r="AX31" i="49"/>
  <c r="AH79" i="49"/>
  <c r="N105" i="58" s="1"/>
  <c r="AH55" i="49"/>
  <c r="BB55" i="49"/>
  <c r="N105" i="55" s="1"/>
  <c r="N80" i="49"/>
  <c r="M106" i="57" s="1"/>
  <c r="Z28" i="48"/>
  <c r="G7" i="48"/>
  <c r="F85" i="51" s="1"/>
  <c r="G30" i="48"/>
  <c r="F84" i="53" s="1"/>
  <c r="Y28" i="48"/>
  <c r="W28" i="48"/>
  <c r="AI28" i="48"/>
  <c r="G77" i="48"/>
  <c r="F83" i="57" s="1"/>
  <c r="G53" i="48"/>
  <c r="F83" i="56" s="1"/>
  <c r="AF28" i="48"/>
  <c r="AB28" i="48"/>
  <c r="AG28" i="48"/>
  <c r="AC28" i="48"/>
  <c r="F30" i="48"/>
  <c r="E84" i="53" s="1"/>
  <c r="F7" i="48"/>
  <c r="E85" i="51" s="1"/>
  <c r="M53" i="48"/>
  <c r="L83" i="56" s="1"/>
  <c r="M77" i="48"/>
  <c r="L83" i="57" s="1"/>
  <c r="AE28" i="48"/>
  <c r="AA28" i="48"/>
  <c r="AH28" i="48"/>
  <c r="F53" i="48"/>
  <c r="E83" i="56" s="1"/>
  <c r="F77" i="48"/>
  <c r="E83" i="57" s="1"/>
  <c r="M30" i="48"/>
  <c r="L84" i="53" s="1"/>
  <c r="M7" i="48"/>
  <c r="L85" i="51" s="1"/>
  <c r="BJ4" i="48"/>
  <c r="BK4" i="48" s="1"/>
  <c r="BL4" i="48" s="1"/>
  <c r="AQ28" i="48"/>
  <c r="BD29" i="48" s="1"/>
  <c r="Z76" i="48"/>
  <c r="F82" i="58" s="1"/>
  <c r="AT52" i="48"/>
  <c r="F82" i="55" s="1"/>
  <c r="Z52" i="48"/>
  <c r="F82" i="54" s="1"/>
  <c r="AF52" i="48"/>
  <c r="L82" i="54" s="1"/>
  <c r="AF76" i="48"/>
  <c r="L82" i="58" s="1"/>
  <c r="AZ52" i="48"/>
  <c r="L82" i="55" s="1"/>
  <c r="Q6" i="48"/>
  <c r="AD76" i="48"/>
  <c r="J82" i="58" s="1"/>
  <c r="AD52" i="48"/>
  <c r="J82" i="54" s="1"/>
  <c r="AX52" i="48"/>
  <c r="J82" i="55" s="1"/>
  <c r="O33" i="48"/>
  <c r="N87" i="53" s="1"/>
  <c r="O10" i="48"/>
  <c r="N88" i="51" s="1"/>
  <c r="B32" i="48"/>
  <c r="A86" i="53" s="1"/>
  <c r="B56" i="48"/>
  <c r="B9" i="48"/>
  <c r="A87" i="51" s="1"/>
  <c r="U8" i="48"/>
  <c r="AO8" i="48" s="1"/>
  <c r="AP30" i="48"/>
  <c r="AZ29" i="48"/>
  <c r="AX29" i="48"/>
  <c r="BX32" i="48"/>
  <c r="N32" i="48"/>
  <c r="N9" i="48"/>
  <c r="M87" i="51" s="1"/>
  <c r="B79" i="48"/>
  <c r="A85" i="57" s="1"/>
  <c r="U31" i="48"/>
  <c r="U79" i="48" s="1"/>
  <c r="A85" i="58" s="1"/>
  <c r="AE77" i="48"/>
  <c r="K83" i="58" s="1"/>
  <c r="AE53" i="48"/>
  <c r="K83" i="54" s="1"/>
  <c r="AY53" i="48"/>
  <c r="K83" i="55" s="1"/>
  <c r="C78" i="48"/>
  <c r="B84" i="57" s="1"/>
  <c r="V30" i="48"/>
  <c r="V78" i="48" s="1"/>
  <c r="B84" i="58" s="1"/>
  <c r="N79" i="48"/>
  <c r="M85" i="57" s="1"/>
  <c r="C55" i="48"/>
  <c r="C31" i="48"/>
  <c r="B85" i="53" s="1"/>
  <c r="C8" i="48"/>
  <c r="B86" i="51" s="1"/>
  <c r="V7" i="48"/>
  <c r="AP7" i="48" s="1"/>
  <c r="L31" i="48"/>
  <c r="L8" i="48"/>
  <c r="K86" i="51" s="1"/>
  <c r="L78" i="48"/>
  <c r="K84" i="57" s="1"/>
  <c r="AG78" i="48"/>
  <c r="M84" i="58" s="1"/>
  <c r="AG54" i="48"/>
  <c r="M84" i="54" s="1"/>
  <c r="BA54" i="48"/>
  <c r="M84" i="55" s="1"/>
  <c r="BD7" i="48"/>
  <c r="J85" i="52" s="1"/>
  <c r="AU8" i="48"/>
  <c r="C86" i="52" s="1"/>
  <c r="O76" i="47"/>
  <c r="N62" i="57" s="1"/>
  <c r="O52" i="47"/>
  <c r="C76" i="47"/>
  <c r="B62" i="57" s="1"/>
  <c r="V28" i="47"/>
  <c r="V76" i="47" s="1"/>
  <c r="B62" i="58" s="1"/>
  <c r="AP28" i="47"/>
  <c r="C55" i="47"/>
  <c r="C31" i="47"/>
  <c r="B65" i="53" s="1"/>
  <c r="C8" i="47"/>
  <c r="B66" i="51" s="1"/>
  <c r="V7" i="47"/>
  <c r="AP7" i="47" s="1"/>
  <c r="B55" i="47"/>
  <c r="B31" i="47"/>
  <c r="A65" i="53" s="1"/>
  <c r="B8" i="47"/>
  <c r="A66" i="51" s="1"/>
  <c r="U7" i="47"/>
  <c r="AO7" i="47" s="1"/>
  <c r="P52" i="47"/>
  <c r="C77" i="47"/>
  <c r="B63" i="57" s="1"/>
  <c r="V29" i="47"/>
  <c r="V77" i="47" s="1"/>
  <c r="B63" i="58" s="1"/>
  <c r="B77" i="47"/>
  <c r="A63" i="57" s="1"/>
  <c r="U29" i="47"/>
  <c r="U77" i="47" s="1"/>
  <c r="A63" i="58" s="1"/>
  <c r="B78" i="47"/>
  <c r="A64" i="57" s="1"/>
  <c r="U30" i="47"/>
  <c r="U78" i="47" s="1"/>
  <c r="A64" i="58" s="1"/>
  <c r="B76" i="47"/>
  <c r="A62" i="57" s="1"/>
  <c r="AO28" i="47"/>
  <c r="AO29" i="47" s="1"/>
  <c r="AO30" i="47" s="1"/>
  <c r="AO31" i="47" s="1"/>
  <c r="AO32" i="47" s="1"/>
  <c r="AO33" i="47" s="1"/>
  <c r="AO34" i="47" s="1"/>
  <c r="AO35" i="47" s="1"/>
  <c r="AO36" i="47" s="1"/>
  <c r="AO37" i="47" s="1"/>
  <c r="AO38" i="47" s="1"/>
  <c r="AO39" i="47" s="1"/>
  <c r="AO40" i="47" s="1"/>
  <c r="AO41" i="47" s="1"/>
  <c r="AO42" i="47" s="1"/>
  <c r="AO43" i="47" s="1"/>
  <c r="AO44" i="47" s="1"/>
  <c r="AO45" i="47" s="1"/>
  <c r="AO46" i="47" s="1"/>
  <c r="AO47" i="47" s="1"/>
  <c r="U28" i="47"/>
  <c r="U76" i="47" s="1"/>
  <c r="A62" i="58" s="1"/>
  <c r="AI95" i="47"/>
  <c r="O81" i="58" s="1"/>
  <c r="AI94" i="47"/>
  <c r="O80" i="58" s="1"/>
  <c r="AI93" i="47"/>
  <c r="O79" i="58" s="1"/>
  <c r="AI92" i="47"/>
  <c r="O78" i="58" s="1"/>
  <c r="AI90" i="47"/>
  <c r="O76" i="58" s="1"/>
  <c r="AI88" i="47"/>
  <c r="O74" i="58" s="1"/>
  <c r="AI87" i="47"/>
  <c r="O73" i="58" s="1"/>
  <c r="AI86" i="47"/>
  <c r="O72" i="58" s="1"/>
  <c r="AI84" i="47"/>
  <c r="O70" i="58" s="1"/>
  <c r="AI82" i="47"/>
  <c r="O68" i="58" s="1"/>
  <c r="AI80" i="47"/>
  <c r="O66" i="58" s="1"/>
  <c r="AI78" i="47"/>
  <c r="O64" i="58" s="1"/>
  <c r="AI76" i="47"/>
  <c r="O62" i="58" s="1"/>
  <c r="AI91" i="47"/>
  <c r="O77" i="58" s="1"/>
  <c r="AI89" i="47"/>
  <c r="O75" i="58" s="1"/>
  <c r="AI81" i="47"/>
  <c r="O67" i="58" s="1"/>
  <c r="AI83" i="47"/>
  <c r="O69" i="58" s="1"/>
  <c r="AI79" i="47"/>
  <c r="O65" i="58" s="1"/>
  <c r="AI85" i="47"/>
  <c r="O71" i="58" s="1"/>
  <c r="AI77" i="47"/>
  <c r="O63" i="58" s="1"/>
  <c r="N29" i="47"/>
  <c r="N6" i="47"/>
  <c r="M64" i="51" s="1"/>
  <c r="BX29" i="47"/>
  <c r="L76" i="47"/>
  <c r="K62" i="57" s="1"/>
  <c r="N76" i="47"/>
  <c r="M62" i="57" s="1"/>
  <c r="BA52" i="47"/>
  <c r="M62" i="55" s="1"/>
  <c r="BD5" i="47"/>
  <c r="J63" i="52" s="1"/>
  <c r="AU7" i="47"/>
  <c r="C65" i="52" s="1"/>
  <c r="BI3" i="47"/>
  <c r="BH3" i="47"/>
  <c r="V27" i="47"/>
  <c r="U27" i="47"/>
  <c r="AO27" i="47" s="1" a="1"/>
  <c r="O6" i="47"/>
  <c r="N64" i="51" s="1"/>
  <c r="N4" i="51" s="1"/>
  <c r="O29" i="47"/>
  <c r="N63" i="53" s="1"/>
  <c r="L29" i="47"/>
  <c r="L6" i="47"/>
  <c r="K64" i="51" s="1"/>
  <c r="V27" i="46"/>
  <c r="U27" i="46"/>
  <c r="AO27" i="46" s="1" a="1"/>
  <c r="L77" i="46"/>
  <c r="K43" i="57" s="1"/>
  <c r="N76" i="46"/>
  <c r="M42" i="57" s="1"/>
  <c r="O77" i="46"/>
  <c r="N43" i="57" s="1"/>
  <c r="O53" i="46"/>
  <c r="C76" i="46"/>
  <c r="B42" i="57" s="1"/>
  <c r="V28" i="46"/>
  <c r="V76" i="46" s="1"/>
  <c r="B42" i="58" s="1"/>
  <c r="AP28" i="46"/>
  <c r="L28" i="46"/>
  <c r="AI95" i="46"/>
  <c r="O61" i="58" s="1"/>
  <c r="AI94" i="46"/>
  <c r="O60" i="58" s="1"/>
  <c r="AI93" i="46"/>
  <c r="O59" i="58" s="1"/>
  <c r="AI92" i="46"/>
  <c r="O58" i="58" s="1"/>
  <c r="AI91" i="46"/>
  <c r="O57" i="58" s="1"/>
  <c r="AI90" i="46"/>
  <c r="O56" i="58" s="1"/>
  <c r="AI89" i="46"/>
  <c r="O55" i="58" s="1"/>
  <c r="AI88" i="46"/>
  <c r="O54" i="58" s="1"/>
  <c r="AI87" i="46"/>
  <c r="O53" i="58" s="1"/>
  <c r="AI86" i="46"/>
  <c r="O52" i="58" s="1"/>
  <c r="AI85" i="46"/>
  <c r="O51" i="58" s="1"/>
  <c r="AI84" i="46"/>
  <c r="O50" i="58" s="1"/>
  <c r="AI83" i="46"/>
  <c r="O49" i="58" s="1"/>
  <c r="AI82" i="46"/>
  <c r="O48" i="58" s="1"/>
  <c r="AI81" i="46"/>
  <c r="O47" i="58" s="1"/>
  <c r="AI80" i="46"/>
  <c r="O46" i="58" s="1"/>
  <c r="AI79" i="46"/>
  <c r="O45" i="58" s="1"/>
  <c r="AI78" i="46"/>
  <c r="O44" i="58" s="1"/>
  <c r="AI77" i="46"/>
  <c r="O43" i="58" s="1"/>
  <c r="AI76" i="46"/>
  <c r="O42" i="58" s="1"/>
  <c r="BN28" i="46"/>
  <c r="BL29" i="46"/>
  <c r="N29" i="46"/>
  <c r="N6" i="46"/>
  <c r="M44" i="51" s="1"/>
  <c r="BX29" i="46"/>
  <c r="BI3" i="46"/>
  <c r="BH3" i="46"/>
  <c r="L7" i="46"/>
  <c r="K45" i="51" s="1"/>
  <c r="L30" i="46"/>
  <c r="O28" i="46"/>
  <c r="N42" i="53" s="1"/>
  <c r="O30" i="46"/>
  <c r="N44" i="53" s="1"/>
  <c r="O7" i="46"/>
  <c r="N45" i="51" s="1"/>
  <c r="BC52" i="46"/>
  <c r="B76" i="46"/>
  <c r="A42" i="57" s="1"/>
  <c r="AO28" i="46"/>
  <c r="AO29" i="46" s="1"/>
  <c r="AO30" i="46" s="1"/>
  <c r="AO31" i="46" s="1"/>
  <c r="AO32" i="46" s="1"/>
  <c r="AO33" i="46" s="1"/>
  <c r="AO34" i="46" s="1"/>
  <c r="AO35" i="46" s="1"/>
  <c r="AO36" i="46" s="1"/>
  <c r="AO37" i="46" s="1"/>
  <c r="AO38" i="46" s="1"/>
  <c r="AO39" i="46" s="1"/>
  <c r="AO40" i="46" s="1"/>
  <c r="AO41" i="46" s="1"/>
  <c r="AO42" i="46" s="1"/>
  <c r="AO43" i="46" s="1"/>
  <c r="AO44" i="46" s="1"/>
  <c r="AO45" i="46" s="1"/>
  <c r="AO46" i="46" s="1"/>
  <c r="AO47" i="46" s="1"/>
  <c r="U28" i="46"/>
  <c r="U76" i="46" s="1"/>
  <c r="A42" i="58" s="1"/>
  <c r="C54" i="46"/>
  <c r="C30" i="46"/>
  <c r="B44" i="53" s="1"/>
  <c r="V6" i="46"/>
  <c r="AP6" i="46" s="1"/>
  <c r="C7" i="46"/>
  <c r="B45" i="51" s="1"/>
  <c r="C77" i="46"/>
  <c r="B43" i="57" s="1"/>
  <c r="V29" i="46"/>
  <c r="V77" i="46" s="1"/>
  <c r="B43" i="58" s="1"/>
  <c r="BI57" i="46" a="1"/>
  <c r="BI57" i="46" s="1"/>
  <c r="BD5" i="46"/>
  <c r="J43" i="52" s="1"/>
  <c r="AU6" i="46"/>
  <c r="C44" i="52" s="1"/>
  <c r="C4" i="52" s="1"/>
  <c r="B53" i="46"/>
  <c r="B29" i="46"/>
  <c r="A43" i="53" s="1"/>
  <c r="U5" i="46"/>
  <c r="AO5" i="46" s="1"/>
  <c r="B6" i="46"/>
  <c r="A44" i="51" s="1"/>
  <c r="N30" i="44"/>
  <c r="N7" i="44"/>
  <c r="N77" i="44"/>
  <c r="M23" i="57" s="1"/>
  <c r="BI3" i="44"/>
  <c r="BH3" i="44"/>
  <c r="AP27" i="44"/>
  <c r="AO27" i="44"/>
  <c r="BK27" i="44" s="1" a="1"/>
  <c r="BD5" i="44"/>
  <c r="J23" i="52" s="1"/>
  <c r="P76" i="44"/>
  <c r="O22" i="57" s="1"/>
  <c r="AZ29" i="44"/>
  <c r="AX29" i="44"/>
  <c r="AP30" i="44"/>
  <c r="O7" i="44"/>
  <c r="N25" i="51" s="1"/>
  <c r="O30" i="44"/>
  <c r="BN28" i="44"/>
  <c r="BL29" i="44"/>
  <c r="BM29" i="44" s="1"/>
  <c r="O29" i="44"/>
  <c r="C25" i="52"/>
  <c r="L29" i="44"/>
  <c r="L6" i="44"/>
  <c r="K24" i="51" s="1"/>
  <c r="AI95" i="44"/>
  <c r="O41" i="58" s="1"/>
  <c r="O21" i="58" s="1"/>
  <c r="AI94" i="44"/>
  <c r="O40" i="58" s="1"/>
  <c r="AI93" i="44"/>
  <c r="O39" i="58" s="1"/>
  <c r="AI92" i="44"/>
  <c r="O38" i="58" s="1"/>
  <c r="O18" i="58" s="1"/>
  <c r="AI91" i="44"/>
  <c r="O37" i="58" s="1"/>
  <c r="O17" i="58" s="1"/>
  <c r="AI90" i="44"/>
  <c r="O36" i="58" s="1"/>
  <c r="O16" i="58" s="1"/>
  <c r="AI89" i="44"/>
  <c r="O35" i="58" s="1"/>
  <c r="AI88" i="44"/>
  <c r="O34" i="58" s="1"/>
  <c r="O14" i="58" s="1"/>
  <c r="AI87" i="44"/>
  <c r="O33" i="58" s="1"/>
  <c r="O13" i="58" s="1"/>
  <c r="AI86" i="44"/>
  <c r="O32" i="58" s="1"/>
  <c r="AI85" i="44"/>
  <c r="O31" i="58" s="1"/>
  <c r="AI84" i="44"/>
  <c r="O30" i="58" s="1"/>
  <c r="O10" i="58" s="1"/>
  <c r="AI83" i="44"/>
  <c r="O29" i="58" s="1"/>
  <c r="O9" i="58" s="1"/>
  <c r="AI82" i="44"/>
  <c r="O28" i="58" s="1"/>
  <c r="O8" i="58" s="1"/>
  <c r="AI81" i="44"/>
  <c r="O27" i="58" s="1"/>
  <c r="AI80" i="44"/>
  <c r="O26" i="58" s="1"/>
  <c r="AI79" i="44"/>
  <c r="O25" i="58" s="1"/>
  <c r="O5" i="58" s="1"/>
  <c r="AI78" i="44"/>
  <c r="O24" i="58" s="1"/>
  <c r="AI77" i="44"/>
  <c r="O23" i="58" s="1"/>
  <c r="O3" i="58" s="1"/>
  <c r="AI76" i="44"/>
  <c r="O22" i="58" s="1"/>
  <c r="O2" i="58" s="1"/>
  <c r="L76" i="44"/>
  <c r="K22" i="57" s="1"/>
  <c r="O76" i="44"/>
  <c r="N22" i="57" s="1"/>
  <c r="AL55" i="43"/>
  <c r="B17" i="43"/>
  <c r="B13" i="43"/>
  <c r="AS77" i="43"/>
  <c r="AS80" i="43"/>
  <c r="C7" i="43"/>
  <c r="AS78" i="43"/>
  <c r="C5" i="43"/>
  <c r="C6" i="43"/>
  <c r="V6" i="43" s="1"/>
  <c r="AP6" i="43" s="1"/>
  <c r="U32" i="43"/>
  <c r="U80" i="43" s="1"/>
  <c r="A6" i="58" s="1"/>
  <c r="B8" i="43"/>
  <c r="V35" i="43"/>
  <c r="V83" i="43" s="1"/>
  <c r="B9" i="58" s="1"/>
  <c r="C11" i="43"/>
  <c r="B19" i="43"/>
  <c r="AS79" i="43"/>
  <c r="AS74" i="43"/>
  <c r="U31" i="43"/>
  <c r="U79" i="43" s="1"/>
  <c r="A5" i="58" s="1"/>
  <c r="AS75" i="43"/>
  <c r="AV51" i="43"/>
  <c r="H1" i="55" s="1"/>
  <c r="BC51" i="43"/>
  <c r="O1" i="55" s="1"/>
  <c r="AU51" i="43"/>
  <c r="G1" i="55" s="1"/>
  <c r="BB51" i="43"/>
  <c r="N1" i="55" s="1"/>
  <c r="AT51" i="43"/>
  <c r="F1" i="55" s="1"/>
  <c r="AX51" i="43"/>
  <c r="J1" i="55" s="1"/>
  <c r="BD51" i="43"/>
  <c r="P1" i="55" s="1"/>
  <c r="BA51" i="43"/>
  <c r="M1" i="55" s="1"/>
  <c r="AS51" i="43"/>
  <c r="E1" i="55" s="1"/>
  <c r="AW51" i="43"/>
  <c r="I1" i="55" s="1"/>
  <c r="AZ51" i="43"/>
  <c r="L1" i="55" s="1"/>
  <c r="AR51" i="43"/>
  <c r="D1" i="55" s="1"/>
  <c r="AY51" i="43"/>
  <c r="K1" i="55" s="1"/>
  <c r="C21" i="43"/>
  <c r="C16" i="43"/>
  <c r="AY3" i="43"/>
  <c r="G1" i="52" s="1"/>
  <c r="AX3" i="43"/>
  <c r="F1" i="52" s="1"/>
  <c r="AW3" i="43"/>
  <c r="E1" i="52" s="1"/>
  <c r="AV3" i="43"/>
  <c r="D1" i="52" s="1"/>
  <c r="BC3" i="43"/>
  <c r="AU3" i="43"/>
  <c r="C1" i="52" s="1"/>
  <c r="BB3" i="43"/>
  <c r="AT3" i="43"/>
  <c r="BD3" i="43"/>
  <c r="J1" i="52" s="1"/>
  <c r="BA3" i="43"/>
  <c r="I1" i="52" s="1"/>
  <c r="AS3" i="43"/>
  <c r="AZ3" i="43"/>
  <c r="H1" i="52" s="1"/>
  <c r="AR3" i="43"/>
  <c r="C9" i="43"/>
  <c r="B20" i="43"/>
  <c r="C12" i="43"/>
  <c r="C20" i="43"/>
  <c r="B11" i="43"/>
  <c r="B14" i="43"/>
  <c r="C4" i="43"/>
  <c r="B16" i="43"/>
  <c r="AE51" i="43"/>
  <c r="K1" i="54" s="1"/>
  <c r="AD51" i="43"/>
  <c r="J1" i="54" s="1"/>
  <c r="AC51" i="43"/>
  <c r="I1" i="54" s="1"/>
  <c r="AJ51" i="43"/>
  <c r="P1" i="54" s="1"/>
  <c r="AB51" i="43"/>
  <c r="H1" i="54" s="1"/>
  <c r="AI51" i="43"/>
  <c r="AA51" i="43"/>
  <c r="G1" i="54" s="1"/>
  <c r="AH51" i="43"/>
  <c r="N1" i="54" s="1"/>
  <c r="Z51" i="43"/>
  <c r="F1" i="54" s="1"/>
  <c r="AG51" i="43"/>
  <c r="M1" i="54" s="1"/>
  <c r="Y51" i="43"/>
  <c r="E1" i="54" s="1"/>
  <c r="AF51" i="43"/>
  <c r="L1" i="54" s="1"/>
  <c r="X51" i="43"/>
  <c r="D1" i="54" s="1"/>
  <c r="AD27" i="43"/>
  <c r="AC27" i="43"/>
  <c r="AJ27" i="43"/>
  <c r="AB27" i="43"/>
  <c r="AI27" i="43"/>
  <c r="AA27" i="43"/>
  <c r="AH27" i="43"/>
  <c r="Z27" i="43"/>
  <c r="AG27" i="43"/>
  <c r="Y27" i="43"/>
  <c r="AF27" i="43"/>
  <c r="X27" i="43"/>
  <c r="AE27" i="43"/>
  <c r="AD3" i="43"/>
  <c r="AC3" i="43"/>
  <c r="AJ3" i="43"/>
  <c r="AB3" i="43"/>
  <c r="AI3" i="43"/>
  <c r="AA3" i="43"/>
  <c r="AH3" i="43"/>
  <c r="Z3" i="43"/>
  <c r="AG3" i="43"/>
  <c r="Y3" i="43"/>
  <c r="AF3" i="43"/>
  <c r="X3" i="43"/>
  <c r="AE3" i="43"/>
  <c r="B10" i="43"/>
  <c r="B18" i="43"/>
  <c r="B21" i="43"/>
  <c r="L51" i="43"/>
  <c r="K1" i="56" s="1"/>
  <c r="D51" i="43"/>
  <c r="C1" i="56" s="1"/>
  <c r="K51" i="43"/>
  <c r="J1" i="56" s="1"/>
  <c r="J51" i="43"/>
  <c r="I1" i="56" s="1"/>
  <c r="Q51" i="43"/>
  <c r="P1" i="56" s="1"/>
  <c r="I51" i="43"/>
  <c r="H1" i="56" s="1"/>
  <c r="P51" i="43"/>
  <c r="H51" i="43"/>
  <c r="G1" i="56" s="1"/>
  <c r="O51" i="43"/>
  <c r="N1" i="56" s="1"/>
  <c r="G51" i="43"/>
  <c r="F1" i="56" s="1"/>
  <c r="N51" i="43"/>
  <c r="M1" i="56" s="1"/>
  <c r="F51" i="43"/>
  <c r="E1" i="56" s="1"/>
  <c r="M51" i="43"/>
  <c r="L1" i="56" s="1"/>
  <c r="C51" i="43"/>
  <c r="J27" i="43"/>
  <c r="I1" i="53" s="1"/>
  <c r="D27" i="43"/>
  <c r="C1" i="53" s="1"/>
  <c r="K27" i="43"/>
  <c r="J1" i="53" s="1"/>
  <c r="Q27" i="43"/>
  <c r="P1" i="53" s="1"/>
  <c r="I27" i="43"/>
  <c r="H1" i="53" s="1"/>
  <c r="H27" i="43"/>
  <c r="G1" i="53" s="1"/>
  <c r="G27" i="43"/>
  <c r="F1" i="53" s="1"/>
  <c r="N27" i="43"/>
  <c r="M1" i="53" s="1"/>
  <c r="F27" i="43"/>
  <c r="E1" i="53" s="1"/>
  <c r="P27" i="43"/>
  <c r="O1" i="53" s="1"/>
  <c r="O27" i="43"/>
  <c r="N1" i="53" s="1"/>
  <c r="M27" i="43"/>
  <c r="L1" i="53" s="1"/>
  <c r="E27" i="43"/>
  <c r="D1" i="53" s="1"/>
  <c r="C23" i="43"/>
  <c r="B9" i="43"/>
  <c r="C19" i="43"/>
  <c r="B12" i="43"/>
  <c r="C22" i="43"/>
  <c r="C15" i="43"/>
  <c r="C13" i="43"/>
  <c r="U13" i="43"/>
  <c r="AO13" i="43" s="1"/>
  <c r="B5" i="43"/>
  <c r="V51" i="43"/>
  <c r="C8" i="43"/>
  <c r="C18" i="43"/>
  <c r="B22" i="43"/>
  <c r="A20" i="51" s="1"/>
  <c r="U28" i="43"/>
  <c r="U76" i="43" s="1"/>
  <c r="A2" i="58" s="1"/>
  <c r="AP51" i="43"/>
  <c r="U7" i="43"/>
  <c r="AO7" i="43" s="1"/>
  <c r="AO28" i="43"/>
  <c r="AO29" i="43" s="1"/>
  <c r="AO30" i="43" s="1"/>
  <c r="AO31" i="43" s="1"/>
  <c r="AO32" i="43" s="1"/>
  <c r="AO33" i="43" s="1"/>
  <c r="AO34" i="43" s="1"/>
  <c r="AO35" i="43" s="1"/>
  <c r="AO36" i="43" s="1"/>
  <c r="AO37" i="43" s="1"/>
  <c r="AO38" i="43" s="1"/>
  <c r="AO39" i="43" s="1"/>
  <c r="AO40" i="43" s="1"/>
  <c r="AO41" i="43" s="1"/>
  <c r="AO42" i="43" s="1"/>
  <c r="AO43" i="43" s="1"/>
  <c r="AO44" i="43" s="1"/>
  <c r="AO45" i="43" s="1"/>
  <c r="AO46" i="43" s="1"/>
  <c r="AO47" i="43" s="1"/>
  <c r="B15" i="43"/>
  <c r="V3" i="43"/>
  <c r="U23" i="43"/>
  <c r="AO23" i="43" s="1"/>
  <c r="V34" i="43"/>
  <c r="V82" i="43" s="1"/>
  <c r="B8" i="58" s="1"/>
  <c r="B27" i="43"/>
  <c r="U27" i="43" s="1" a="1"/>
  <c r="U47" i="43"/>
  <c r="U95" i="43" s="1"/>
  <c r="A21" i="58" s="1"/>
  <c r="B6" i="43"/>
  <c r="A4" i="51" s="1"/>
  <c r="AR27" i="43"/>
  <c r="C17" i="43"/>
  <c r="AT27" i="43"/>
  <c r="C14" i="43"/>
  <c r="AP3" i="43"/>
  <c r="AO3" i="43"/>
  <c r="B52" i="43"/>
  <c r="U4" i="43"/>
  <c r="AO4" i="43" s="1"/>
  <c r="B3" i="43"/>
  <c r="V10" i="43"/>
  <c r="AP10" i="43" s="1"/>
  <c r="AZ28" i="43"/>
  <c r="AP29" i="43"/>
  <c r="AX29" i="43" s="1"/>
  <c r="V28" i="43"/>
  <c r="V76" i="43" s="1"/>
  <c r="B2" i="58" s="1"/>
  <c r="AQ27" i="43"/>
  <c r="E36" i="31"/>
  <c r="G35" i="31"/>
  <c r="G34" i="31"/>
  <c r="AL56" i="43" l="1"/>
  <c r="E5" i="60"/>
  <c r="P104" i="51"/>
  <c r="P124" i="51"/>
  <c r="P84" i="51"/>
  <c r="AG53" i="44"/>
  <c r="M23" i="54" s="1"/>
  <c r="BA53" i="44"/>
  <c r="M23" i="55" s="1"/>
  <c r="AG77" i="44"/>
  <c r="M23" i="58" s="1"/>
  <c r="AV11" i="50"/>
  <c r="BD11" i="50" s="1"/>
  <c r="J129" i="52" s="1"/>
  <c r="D128" i="52"/>
  <c r="J8" i="48"/>
  <c r="I86" i="51" s="1"/>
  <c r="J31" i="48"/>
  <c r="I85" i="53" s="1"/>
  <c r="AW53" i="48"/>
  <c r="I83" i="55" s="1"/>
  <c r="J78" i="48"/>
  <c r="I84" i="57" s="1"/>
  <c r="J54" i="48"/>
  <c r="I84" i="56" s="1"/>
  <c r="D8" i="48"/>
  <c r="C86" i="51" s="1"/>
  <c r="AC53" i="48"/>
  <c r="I83" i="54" s="1"/>
  <c r="AC77" i="48"/>
  <c r="I83" i="58" s="1"/>
  <c r="AV53" i="48"/>
  <c r="H83" i="55" s="1"/>
  <c r="AB77" i="48"/>
  <c r="H83" i="58" s="1"/>
  <c r="AB53" i="48"/>
  <c r="H83" i="54" s="1"/>
  <c r="D54" i="48"/>
  <c r="C84" i="56" s="1"/>
  <c r="O56" i="48"/>
  <c r="N86" i="56" s="1"/>
  <c r="AA54" i="48"/>
  <c r="G84" i="54" s="1"/>
  <c r="O80" i="48"/>
  <c r="N86" i="57" s="1"/>
  <c r="H78" i="48"/>
  <c r="G84" i="57" s="1"/>
  <c r="AQ53" i="48"/>
  <c r="C83" i="55" s="1"/>
  <c r="W53" i="48"/>
  <c r="C83" i="54" s="1"/>
  <c r="W77" i="48"/>
  <c r="C83" i="58" s="1"/>
  <c r="AH55" i="48"/>
  <c r="N85" i="54" s="1"/>
  <c r="D31" i="48"/>
  <c r="C85" i="53" s="1"/>
  <c r="H54" i="48"/>
  <c r="G84" i="56" s="1"/>
  <c r="AZ10" i="48"/>
  <c r="H87" i="52"/>
  <c r="D78" i="48"/>
  <c r="C84" i="57" s="1"/>
  <c r="I54" i="48"/>
  <c r="H84" i="56" s="1"/>
  <c r="AY10" i="48"/>
  <c r="G87" i="52"/>
  <c r="I78" i="48"/>
  <c r="H84" i="57" s="1"/>
  <c r="AX10" i="48"/>
  <c r="F87" i="52"/>
  <c r="AV10" i="48"/>
  <c r="D87" i="52"/>
  <c r="AW10" i="48"/>
  <c r="E87" i="52"/>
  <c r="BA10" i="48"/>
  <c r="I87" i="52"/>
  <c r="K4" i="51"/>
  <c r="F4" i="52"/>
  <c r="AV8" i="47"/>
  <c r="D65" i="52"/>
  <c r="AY8" i="47"/>
  <c r="G65" i="52"/>
  <c r="BA8" i="47"/>
  <c r="I65" i="52"/>
  <c r="AX8" i="47"/>
  <c r="F65" i="52"/>
  <c r="AW8" i="47"/>
  <c r="E65" i="52"/>
  <c r="AZ7" i="47"/>
  <c r="BD7" i="47" s="1"/>
  <c r="J65" i="52" s="1"/>
  <c r="H64" i="52"/>
  <c r="H4" i="52" s="1"/>
  <c r="G4" i="52"/>
  <c r="AY8" i="46"/>
  <c r="G45" i="52"/>
  <c r="AV8" i="46"/>
  <c r="D45" i="52"/>
  <c r="BA8" i="46"/>
  <c r="I45" i="52"/>
  <c r="J3" i="52"/>
  <c r="I4" i="52"/>
  <c r="M4" i="51"/>
  <c r="AX8" i="46"/>
  <c r="F45" i="52"/>
  <c r="AZ8" i="46"/>
  <c r="H45" i="52"/>
  <c r="D4" i="52"/>
  <c r="AW8" i="46"/>
  <c r="E45" i="52"/>
  <c r="BA8" i="44"/>
  <c r="I25" i="52"/>
  <c r="AV8" i="44"/>
  <c r="D25" i="52"/>
  <c r="AY8" i="44"/>
  <c r="G25" i="52"/>
  <c r="N8" i="44"/>
  <c r="M26" i="51" s="1"/>
  <c r="M25" i="51"/>
  <c r="AW7" i="44"/>
  <c r="BD7" i="44" s="1"/>
  <c r="J25" i="52" s="1"/>
  <c r="E24" i="52"/>
  <c r="E4" i="52" s="1"/>
  <c r="AX8" i="44"/>
  <c r="F25" i="52"/>
  <c r="AZ8" i="44"/>
  <c r="H25" i="52"/>
  <c r="C78" i="47"/>
  <c r="B64" i="57" s="1"/>
  <c r="C30" i="44"/>
  <c r="B24" i="51"/>
  <c r="E54" i="31"/>
  <c r="G54" i="31" s="1"/>
  <c r="V30" i="47"/>
  <c r="V78" i="47" s="1"/>
  <c r="B64" i="58" s="1"/>
  <c r="B64" i="51"/>
  <c r="V6" i="47"/>
  <c r="AP6" i="47" s="1"/>
  <c r="G72" i="31"/>
  <c r="G73" i="31"/>
  <c r="E14" i="31"/>
  <c r="G13" i="31"/>
  <c r="B71" i="43"/>
  <c r="A21" i="56" s="1"/>
  <c r="E113" i="31"/>
  <c r="G113" i="31" s="1"/>
  <c r="BM38" i="49"/>
  <c r="BN38" i="49" s="1"/>
  <c r="V6" i="44"/>
  <c r="AP6" i="44" s="1"/>
  <c r="C54" i="44"/>
  <c r="AP52" i="44"/>
  <c r="B22" i="55" s="1"/>
  <c r="G12" i="31"/>
  <c r="AO53" i="44"/>
  <c r="A23" i="55" s="1"/>
  <c r="BH10" i="49"/>
  <c r="A108" i="52"/>
  <c r="B43" i="55"/>
  <c r="B43" i="54"/>
  <c r="AO52" i="47"/>
  <c r="A62" i="55" s="1"/>
  <c r="A62" i="54"/>
  <c r="BT38" i="48"/>
  <c r="BQ38" i="48"/>
  <c r="U52" i="43"/>
  <c r="A2" i="56"/>
  <c r="BH7" i="43"/>
  <c r="A5" i="52"/>
  <c r="BH13" i="43"/>
  <c r="A11" i="52"/>
  <c r="B59" i="43"/>
  <c r="A9" i="51"/>
  <c r="B56" i="43"/>
  <c r="A6" i="51"/>
  <c r="B61" i="43"/>
  <c r="A11" i="51"/>
  <c r="U55" i="47"/>
  <c r="A65" i="56"/>
  <c r="V55" i="48"/>
  <c r="B85" i="56"/>
  <c r="BH10" i="50"/>
  <c r="A128" i="52"/>
  <c r="AP52" i="47"/>
  <c r="B62" i="55" s="1"/>
  <c r="B62" i="54"/>
  <c r="BQ38" i="47"/>
  <c r="BT38" i="47"/>
  <c r="B55" i="43"/>
  <c r="A5" i="51"/>
  <c r="C61" i="43"/>
  <c r="B11" i="51"/>
  <c r="C68" i="43"/>
  <c r="B18" i="51"/>
  <c r="B65" i="43"/>
  <c r="A15" i="51"/>
  <c r="BI7" i="47"/>
  <c r="B65" i="52"/>
  <c r="A25" i="51"/>
  <c r="B31" i="44"/>
  <c r="B8" i="44"/>
  <c r="B55" i="44"/>
  <c r="U7" i="44"/>
  <c r="AO7" i="44" s="1"/>
  <c r="A42" i="55"/>
  <c r="A42" i="54"/>
  <c r="AO52" i="44"/>
  <c r="A22" i="55" s="1"/>
  <c r="AP57" i="49"/>
  <c r="B107" i="55" s="1"/>
  <c r="B107" i="54"/>
  <c r="AO57" i="49"/>
  <c r="A107" i="55" s="1"/>
  <c r="A107" i="54"/>
  <c r="AO53" i="47"/>
  <c r="A63" i="55" s="1"/>
  <c r="A63" i="54"/>
  <c r="E114" i="31"/>
  <c r="BM39" i="49"/>
  <c r="BN39" i="49" s="1"/>
  <c r="U56" i="48"/>
  <c r="A86" i="56"/>
  <c r="AP56" i="50"/>
  <c r="B126" i="55" s="1"/>
  <c r="B126" i="54"/>
  <c r="V15" i="43"/>
  <c r="AP15" i="43" s="1"/>
  <c r="B13" i="51"/>
  <c r="C60" i="43"/>
  <c r="B10" i="51"/>
  <c r="C64" i="43"/>
  <c r="B14" i="51"/>
  <c r="C54" i="43"/>
  <c r="B4" i="51"/>
  <c r="BH5" i="46"/>
  <c r="A43" i="52"/>
  <c r="BI10" i="49"/>
  <c r="B108" i="52"/>
  <c r="U58" i="49"/>
  <c r="A108" i="56"/>
  <c r="BI9" i="50"/>
  <c r="B127" i="52"/>
  <c r="B24" i="53"/>
  <c r="C78" i="44"/>
  <c r="B24" i="57" s="1"/>
  <c r="V30" i="44"/>
  <c r="V78" i="44" s="1"/>
  <c r="B24" i="58" s="1"/>
  <c r="AP54" i="47"/>
  <c r="B64" i="55" s="1"/>
  <c r="B64" i="54"/>
  <c r="AP53" i="47"/>
  <c r="B63" i="55" s="1"/>
  <c r="B63" i="54"/>
  <c r="BQ39" i="47"/>
  <c r="BT39" i="47"/>
  <c r="BT38" i="49"/>
  <c r="BQ38" i="49"/>
  <c r="BH4" i="43"/>
  <c r="A2" i="52"/>
  <c r="C71" i="43"/>
  <c r="B21" i="51"/>
  <c r="BM39" i="50"/>
  <c r="BN39" i="50" s="1"/>
  <c r="E134" i="31"/>
  <c r="G133" i="31"/>
  <c r="C62" i="43"/>
  <c r="B12" i="51"/>
  <c r="C70" i="43"/>
  <c r="B20" i="51"/>
  <c r="C69" i="43"/>
  <c r="B19" i="51"/>
  <c r="C53" i="43"/>
  <c r="B3" i="51"/>
  <c r="BI6" i="46"/>
  <c r="B44" i="52"/>
  <c r="U58" i="50"/>
  <c r="A128" i="56"/>
  <c r="AO54" i="47"/>
  <c r="A64" i="55" s="1"/>
  <c r="A64" i="54"/>
  <c r="BK28" i="43"/>
  <c r="BK29" i="43" s="1"/>
  <c r="BK30" i="43" s="1"/>
  <c r="BK31" i="43" s="1"/>
  <c r="BK32" i="43" s="1"/>
  <c r="BK33" i="43" s="1"/>
  <c r="BK34" i="43" s="1"/>
  <c r="BK35" i="43" s="1"/>
  <c r="BK36" i="43" s="1"/>
  <c r="BK37" i="43" s="1"/>
  <c r="BK38" i="43" s="1"/>
  <c r="BK39" i="43" s="1"/>
  <c r="BK40" i="43" s="1"/>
  <c r="BK41" i="43" s="1"/>
  <c r="BK42" i="43" s="1"/>
  <c r="BK43" i="43" s="1"/>
  <c r="BK44" i="43" s="1"/>
  <c r="BK45" i="43" s="1"/>
  <c r="BK46" i="43" s="1"/>
  <c r="BK47" i="43" s="1"/>
  <c r="A2" i="51"/>
  <c r="AO57" i="50"/>
  <c r="A127" i="55" s="1"/>
  <c r="A127" i="54"/>
  <c r="AP54" i="48"/>
  <c r="B84" i="55" s="1"/>
  <c r="B84" i="54"/>
  <c r="U20" i="43"/>
  <c r="AO20" i="43" s="1"/>
  <c r="A18" i="51"/>
  <c r="BI6" i="43"/>
  <c r="B4" i="52"/>
  <c r="C66" i="43"/>
  <c r="B16" i="51"/>
  <c r="B60" i="43"/>
  <c r="A10" i="51"/>
  <c r="B66" i="43"/>
  <c r="A16" i="51"/>
  <c r="C57" i="43"/>
  <c r="B7" i="51"/>
  <c r="U53" i="46"/>
  <c r="AO53" i="46" s="1"/>
  <c r="A43" i="56"/>
  <c r="V55" i="47"/>
  <c r="B65" i="56"/>
  <c r="B25" i="51"/>
  <c r="C31" i="44"/>
  <c r="V7" i="44"/>
  <c r="AP7" i="44" s="1"/>
  <c r="C8" i="44"/>
  <c r="C55" i="44"/>
  <c r="B23" i="53"/>
  <c r="C77" i="44"/>
  <c r="B23" i="57" s="1"/>
  <c r="V29" i="44"/>
  <c r="V77" i="44" s="1"/>
  <c r="B23" i="58" s="1"/>
  <c r="AP53" i="44"/>
  <c r="B23" i="55" s="1"/>
  <c r="A24" i="53"/>
  <c r="B78" i="44"/>
  <c r="A24" i="57" s="1"/>
  <c r="U30" i="44"/>
  <c r="U78" i="44" s="1"/>
  <c r="A24" i="58" s="1"/>
  <c r="E55" i="31"/>
  <c r="BM40" i="46"/>
  <c r="BM40" i="47"/>
  <c r="BN40" i="47" s="1"/>
  <c r="BH23" i="43"/>
  <c r="A21" i="52"/>
  <c r="B69" i="43"/>
  <c r="A19" i="51"/>
  <c r="BI10" i="43"/>
  <c r="B8" i="52"/>
  <c r="C65" i="43"/>
  <c r="B15" i="51"/>
  <c r="C56" i="43"/>
  <c r="B6" i="51"/>
  <c r="C67" i="43"/>
  <c r="B17" i="51"/>
  <c r="U10" i="43"/>
  <c r="AO10" i="43" s="1"/>
  <c r="A8" i="51"/>
  <c r="B64" i="43"/>
  <c r="A14" i="51"/>
  <c r="B67" i="43"/>
  <c r="A17" i="51"/>
  <c r="V7" i="43"/>
  <c r="AP7" i="43" s="1"/>
  <c r="B5" i="51"/>
  <c r="V54" i="46"/>
  <c r="AP54" i="46" s="1"/>
  <c r="B44" i="56"/>
  <c r="BH7" i="47"/>
  <c r="A65" i="52"/>
  <c r="BI7" i="48"/>
  <c r="B85" i="52"/>
  <c r="BH8" i="48"/>
  <c r="A86" i="52"/>
  <c r="V58" i="49"/>
  <c r="B108" i="56"/>
  <c r="V57" i="50"/>
  <c r="B127" i="56"/>
  <c r="AO54" i="44"/>
  <c r="A24" i="55" s="1"/>
  <c r="C58" i="43"/>
  <c r="B8" i="51"/>
  <c r="G33" i="31"/>
  <c r="B53" i="43"/>
  <c r="A3" i="51"/>
  <c r="B62" i="43"/>
  <c r="A12" i="51"/>
  <c r="B63" i="43"/>
  <c r="A13" i="51"/>
  <c r="B57" i="43"/>
  <c r="A7" i="51"/>
  <c r="V4" i="43"/>
  <c r="AP4" i="43" s="1"/>
  <c r="B2" i="51"/>
  <c r="C59" i="43"/>
  <c r="B9" i="51"/>
  <c r="AO55" i="48"/>
  <c r="A85" i="55" s="1"/>
  <c r="A85" i="54"/>
  <c r="B42" i="55"/>
  <c r="B42" i="54"/>
  <c r="BM39" i="48"/>
  <c r="BN39" i="48" s="1"/>
  <c r="G93" i="31"/>
  <c r="E94" i="31"/>
  <c r="I8" i="48"/>
  <c r="H86" i="51" s="1"/>
  <c r="I31" i="48"/>
  <c r="H85" i="53" s="1"/>
  <c r="H8" i="48"/>
  <c r="G86" i="51" s="1"/>
  <c r="H31" i="48"/>
  <c r="G85" i="53" s="1"/>
  <c r="AU53" i="48"/>
  <c r="G83" i="55" s="1"/>
  <c r="AA77" i="48"/>
  <c r="G83" i="58" s="1"/>
  <c r="O4" i="58"/>
  <c r="O12" i="58"/>
  <c r="O20" i="58"/>
  <c r="AJ28" i="49"/>
  <c r="O6" i="58"/>
  <c r="O7" i="58"/>
  <c r="O15" i="58"/>
  <c r="BA52" i="46"/>
  <c r="M42" i="55" s="1"/>
  <c r="AY52" i="47"/>
  <c r="K62" i="55" s="1"/>
  <c r="O11" i="58"/>
  <c r="O19" i="58"/>
  <c r="BA52" i="44"/>
  <c r="M22" i="55" s="1"/>
  <c r="AY53" i="46"/>
  <c r="AG52" i="44"/>
  <c r="M22" i="54" s="1"/>
  <c r="AG76" i="44"/>
  <c r="M22" i="58" s="1"/>
  <c r="O1" i="54"/>
  <c r="AI80" i="43"/>
  <c r="AI77" i="43"/>
  <c r="AI95" i="43"/>
  <c r="AI87" i="43"/>
  <c r="AI79" i="43"/>
  <c r="AI91" i="43"/>
  <c r="AI83" i="43"/>
  <c r="AI82" i="43"/>
  <c r="AI92" i="43"/>
  <c r="AI84" i="43"/>
  <c r="AI76" i="43"/>
  <c r="AI94" i="43"/>
  <c r="AI88" i="43"/>
  <c r="AI93" i="43"/>
  <c r="AI85" i="43"/>
  <c r="AI90" i="43"/>
  <c r="AI89" i="43"/>
  <c r="AI81" i="43"/>
  <c r="AI86" i="43"/>
  <c r="AI78" i="43"/>
  <c r="O1" i="56"/>
  <c r="P76" i="43"/>
  <c r="O42" i="55"/>
  <c r="O2" i="54"/>
  <c r="M43" i="53"/>
  <c r="N53" i="46"/>
  <c r="M43" i="56" s="1"/>
  <c r="L54" i="46"/>
  <c r="K44" i="56" s="1"/>
  <c r="K44" i="53"/>
  <c r="N23" i="53"/>
  <c r="N3" i="53" s="1"/>
  <c r="O53" i="44"/>
  <c r="N23" i="56" s="1"/>
  <c r="BB55" i="48"/>
  <c r="N85" i="55" s="1"/>
  <c r="P76" i="47"/>
  <c r="O62" i="57" s="1"/>
  <c r="O2" i="57" s="1"/>
  <c r="O62" i="56"/>
  <c r="O2" i="56" s="1"/>
  <c r="BB53" i="46"/>
  <c r="N43" i="56"/>
  <c r="M128" i="53"/>
  <c r="N58" i="50"/>
  <c r="M128" i="56" s="1"/>
  <c r="N54" i="44"/>
  <c r="M24" i="56" s="1"/>
  <c r="M24" i="53"/>
  <c r="AH79" i="48"/>
  <c r="N85" i="58" s="1"/>
  <c r="K23" i="53"/>
  <c r="L53" i="44"/>
  <c r="K23" i="56" s="1"/>
  <c r="O54" i="44"/>
  <c r="N24" i="56" s="1"/>
  <c r="N24" i="53"/>
  <c r="M2" i="53"/>
  <c r="K85" i="53"/>
  <c r="L55" i="48"/>
  <c r="K85" i="56" s="1"/>
  <c r="M2" i="56"/>
  <c r="M2" i="57"/>
  <c r="K63" i="53"/>
  <c r="L53" i="47"/>
  <c r="K63" i="56" s="1"/>
  <c r="L52" i="46"/>
  <c r="K42" i="56" s="1"/>
  <c r="K2" i="56" s="1"/>
  <c r="K42" i="53"/>
  <c r="K2" i="53" s="1"/>
  <c r="BC52" i="47"/>
  <c r="O62" i="55" s="1"/>
  <c r="BB52" i="47"/>
  <c r="N62" i="55" s="1"/>
  <c r="N62" i="56"/>
  <c r="M107" i="53"/>
  <c r="N57" i="49"/>
  <c r="M107" i="56" s="1"/>
  <c r="N2" i="53"/>
  <c r="M63" i="53"/>
  <c r="N53" i="47"/>
  <c r="M63" i="56" s="1"/>
  <c r="M86" i="53"/>
  <c r="N56" i="48"/>
  <c r="M86" i="56" s="1"/>
  <c r="K107" i="53"/>
  <c r="L57" i="49"/>
  <c r="K107" i="56" s="1"/>
  <c r="K129" i="53"/>
  <c r="L59" i="50"/>
  <c r="K129" i="56" s="1"/>
  <c r="K54" i="49"/>
  <c r="J104" i="56" s="1"/>
  <c r="J104" i="53"/>
  <c r="K54" i="50"/>
  <c r="J124" i="56" s="1"/>
  <c r="J124" i="53"/>
  <c r="E8" i="48"/>
  <c r="D85" i="51"/>
  <c r="D84" i="53"/>
  <c r="E78" i="48"/>
  <c r="D84" i="57" s="1"/>
  <c r="E54" i="48"/>
  <c r="AC29" i="50"/>
  <c r="P123" i="53"/>
  <c r="AJ52" i="48"/>
  <c r="P82" i="54" s="1"/>
  <c r="W29" i="49"/>
  <c r="P103" i="53"/>
  <c r="AE29" i="48"/>
  <c r="P83" i="53"/>
  <c r="J85" i="51"/>
  <c r="K31" i="48"/>
  <c r="K8" i="48"/>
  <c r="K54" i="48"/>
  <c r="J84" i="53"/>
  <c r="K78" i="48"/>
  <c r="J84" i="57" s="1"/>
  <c r="X53" i="48"/>
  <c r="D83" i="54" s="1"/>
  <c r="D83" i="56"/>
  <c r="AJ28" i="48"/>
  <c r="E55" i="48"/>
  <c r="D85" i="56" s="1"/>
  <c r="D85" i="53"/>
  <c r="AD29" i="50"/>
  <c r="AC29" i="49"/>
  <c r="Y29" i="50"/>
  <c r="AB29" i="50"/>
  <c r="AD29" i="49"/>
  <c r="AF29" i="49"/>
  <c r="X29" i="50"/>
  <c r="AS29" i="50"/>
  <c r="BI61" i="50" s="1"/>
  <c r="AQ29" i="50"/>
  <c r="AA29" i="49"/>
  <c r="Z29" i="50"/>
  <c r="W29" i="50"/>
  <c r="BD52" i="50"/>
  <c r="P122" i="55" s="1"/>
  <c r="F31" i="50"/>
  <c r="E125" i="53" s="1"/>
  <c r="F8" i="50"/>
  <c r="E126" i="51" s="1"/>
  <c r="AU28" i="48"/>
  <c r="J54" i="49"/>
  <c r="I104" i="56" s="1"/>
  <c r="J78" i="49"/>
  <c r="I104" i="57" s="1"/>
  <c r="AJ76" i="49"/>
  <c r="P102" i="58" s="1"/>
  <c r="AD77" i="49"/>
  <c r="J103" i="58" s="1"/>
  <c r="AD53" i="49"/>
  <c r="J103" i="54" s="1"/>
  <c r="AX53" i="49"/>
  <c r="J103" i="55" s="1"/>
  <c r="Z29" i="49"/>
  <c r="M31" i="49"/>
  <c r="L105" i="53" s="1"/>
  <c r="M8" i="49"/>
  <c r="L106" i="51" s="1"/>
  <c r="F8" i="49"/>
  <c r="E106" i="51" s="1"/>
  <c r="F31" i="49"/>
  <c r="E105" i="53" s="1"/>
  <c r="AA29" i="50"/>
  <c r="J78" i="50"/>
  <c r="I124" i="57" s="1"/>
  <c r="J54" i="50"/>
  <c r="I124" i="56" s="1"/>
  <c r="G78" i="50"/>
  <c r="F124" i="57" s="1"/>
  <c r="G54" i="50"/>
  <c r="F124" i="56" s="1"/>
  <c r="AB29" i="49"/>
  <c r="AT53" i="49"/>
  <c r="F103" i="55" s="1"/>
  <c r="Z77" i="49"/>
  <c r="F103" i="58" s="1"/>
  <c r="Z53" i="49"/>
  <c r="F103" i="54" s="1"/>
  <c r="BD52" i="49"/>
  <c r="P102" i="55" s="1"/>
  <c r="AF53" i="49"/>
  <c r="L103" i="54" s="1"/>
  <c r="AF77" i="49"/>
  <c r="L103" i="58" s="1"/>
  <c r="AZ53" i="49"/>
  <c r="L103" i="55" s="1"/>
  <c r="F78" i="50"/>
  <c r="E124" i="57" s="1"/>
  <c r="F54" i="50"/>
  <c r="E124" i="56" s="1"/>
  <c r="E31" i="49"/>
  <c r="D105" i="53" s="1"/>
  <c r="E8" i="49"/>
  <c r="D106" i="51" s="1"/>
  <c r="AS53" i="50"/>
  <c r="E123" i="55" s="1"/>
  <c r="Y77" i="50"/>
  <c r="E123" i="58" s="1"/>
  <c r="Y53" i="50"/>
  <c r="E123" i="54" s="1"/>
  <c r="AJ28" i="50"/>
  <c r="E54" i="49"/>
  <c r="D104" i="56" s="1"/>
  <c r="E78" i="49"/>
  <c r="D104" i="57" s="1"/>
  <c r="AJ52" i="50"/>
  <c r="P122" i="54" s="1"/>
  <c r="AJ52" i="49"/>
  <c r="P102" i="54" s="1"/>
  <c r="AD77" i="50"/>
  <c r="J123" i="58" s="1"/>
  <c r="AD53" i="50"/>
  <c r="J123" i="54" s="1"/>
  <c r="AX53" i="50"/>
  <c r="J123" i="55" s="1"/>
  <c r="H78" i="49"/>
  <c r="G104" i="57" s="1"/>
  <c r="AA54" i="49"/>
  <c r="G104" i="54" s="1"/>
  <c r="H54" i="49"/>
  <c r="G104" i="56" s="1"/>
  <c r="AQ29" i="49"/>
  <c r="D78" i="50"/>
  <c r="C124" i="57" s="1"/>
  <c r="D54" i="50"/>
  <c r="C124" i="56" s="1"/>
  <c r="Q30" i="50"/>
  <c r="AQ30" i="50" s="1"/>
  <c r="AA77" i="49"/>
  <c r="G103" i="58" s="1"/>
  <c r="AU53" i="49"/>
  <c r="G103" i="55" s="1"/>
  <c r="AC53" i="50"/>
  <c r="I123" i="54" s="1"/>
  <c r="AW53" i="50"/>
  <c r="I123" i="55" s="1"/>
  <c r="AC77" i="50"/>
  <c r="I123" i="58" s="1"/>
  <c r="AV53" i="49"/>
  <c r="H103" i="55" s="1"/>
  <c r="AB77" i="49"/>
  <c r="H103" i="58" s="1"/>
  <c r="AB53" i="49"/>
  <c r="H103" i="54" s="1"/>
  <c r="AT53" i="50"/>
  <c r="F123" i="55" s="1"/>
  <c r="Z53" i="50"/>
  <c r="F123" i="54" s="1"/>
  <c r="Z77" i="50"/>
  <c r="F123" i="58" s="1"/>
  <c r="K31" i="49"/>
  <c r="K8" i="49"/>
  <c r="J106" i="51" s="1"/>
  <c r="AJ76" i="50"/>
  <c r="P122" i="58" s="1"/>
  <c r="BI68" i="50"/>
  <c r="BJ5" i="50"/>
  <c r="BK5" i="50" s="1"/>
  <c r="BL5" i="50" s="1"/>
  <c r="P5" i="50" s="1"/>
  <c r="O123" i="51" s="1"/>
  <c r="BI69" i="50"/>
  <c r="AR29" i="50"/>
  <c r="BI60" i="50" s="1"/>
  <c r="AG29" i="50"/>
  <c r="AE29" i="50"/>
  <c r="AT29" i="50"/>
  <c r="BI62" i="50" s="1"/>
  <c r="AH29" i="50"/>
  <c r="Y29" i="49"/>
  <c r="E31" i="50"/>
  <c r="D125" i="53" s="1"/>
  <c r="E8" i="50"/>
  <c r="D126" i="51" s="1"/>
  <c r="M78" i="50"/>
  <c r="L124" i="57" s="1"/>
  <c r="M54" i="50"/>
  <c r="L124" i="56" s="1"/>
  <c r="H31" i="49"/>
  <c r="G105" i="53" s="1"/>
  <c r="H8" i="49"/>
  <c r="G106" i="51" s="1"/>
  <c r="BW31" i="49"/>
  <c r="BK67" i="49" s="1"/>
  <c r="AF29" i="50"/>
  <c r="I31" i="49"/>
  <c r="H105" i="53" s="1"/>
  <c r="I8" i="49"/>
  <c r="H106" i="51" s="1"/>
  <c r="F78" i="49"/>
  <c r="E104" i="57" s="1"/>
  <c r="F54" i="49"/>
  <c r="E104" i="56" s="1"/>
  <c r="K78" i="49"/>
  <c r="J104" i="57" s="1"/>
  <c r="CA30" i="49"/>
  <c r="AV53" i="50"/>
  <c r="H123" i="55" s="1"/>
  <c r="AB77" i="50"/>
  <c r="H123" i="58" s="1"/>
  <c r="AB53" i="50"/>
  <c r="H123" i="54" s="1"/>
  <c r="AQ53" i="50"/>
  <c r="C123" i="55" s="1"/>
  <c r="W77" i="50"/>
  <c r="C123" i="58" s="1"/>
  <c r="W53" i="50"/>
  <c r="C123" i="54" s="1"/>
  <c r="Q53" i="50"/>
  <c r="P123" i="56" s="1"/>
  <c r="I78" i="50"/>
  <c r="H124" i="57" s="1"/>
  <c r="I54" i="50"/>
  <c r="H124" i="56" s="1"/>
  <c r="Y77" i="49"/>
  <c r="E103" i="58" s="1"/>
  <c r="Y53" i="49"/>
  <c r="E103" i="54" s="1"/>
  <c r="AS53" i="49"/>
  <c r="E103" i="55" s="1"/>
  <c r="E78" i="50"/>
  <c r="D124" i="57" s="1"/>
  <c r="E54" i="50"/>
  <c r="D124" i="56" s="1"/>
  <c r="M31" i="50"/>
  <c r="L125" i="53" s="1"/>
  <c r="M8" i="50"/>
  <c r="L126" i="51" s="1"/>
  <c r="H78" i="50"/>
  <c r="G124" i="57" s="1"/>
  <c r="AA54" i="50"/>
  <c r="G124" i="54" s="1"/>
  <c r="H54" i="50"/>
  <c r="G124" i="56" s="1"/>
  <c r="AF77" i="50"/>
  <c r="L123" i="58" s="1"/>
  <c r="AF53" i="50"/>
  <c r="L123" i="54" s="1"/>
  <c r="AZ53" i="50"/>
  <c r="L123" i="55" s="1"/>
  <c r="D78" i="49"/>
  <c r="C104" i="57" s="1"/>
  <c r="D54" i="49"/>
  <c r="C104" i="56" s="1"/>
  <c r="Q30" i="49"/>
  <c r="W30" i="49" s="1"/>
  <c r="I78" i="49"/>
  <c r="H104" i="57" s="1"/>
  <c r="I54" i="49"/>
  <c r="H104" i="56" s="1"/>
  <c r="AS29" i="49"/>
  <c r="BI61" i="49" s="1"/>
  <c r="AR29" i="49"/>
  <c r="BI60" i="49" s="1"/>
  <c r="AH29" i="49"/>
  <c r="AE29" i="49"/>
  <c r="AG29" i="49"/>
  <c r="BJ5" i="49"/>
  <c r="BK5" i="49" s="1"/>
  <c r="BL5" i="49" s="1"/>
  <c r="P5" i="49" s="1"/>
  <c r="O103" i="51" s="1"/>
  <c r="BI69" i="49"/>
  <c r="AT29" i="49"/>
  <c r="BI62" i="49" s="1"/>
  <c r="BI68" i="49"/>
  <c r="D31" i="50"/>
  <c r="C125" i="53" s="1"/>
  <c r="D8" i="50"/>
  <c r="C126" i="51" s="1"/>
  <c r="BR31" i="50"/>
  <c r="BK65" i="50" s="1"/>
  <c r="Q7" i="50"/>
  <c r="AA77" i="50"/>
  <c r="G123" i="58" s="1"/>
  <c r="AU53" i="50"/>
  <c r="G123" i="55" s="1"/>
  <c r="BD29" i="50"/>
  <c r="AW32" i="50" s="1"/>
  <c r="AU28" i="50"/>
  <c r="J31" i="49"/>
  <c r="I105" i="53" s="1"/>
  <c r="J8" i="49"/>
  <c r="I106" i="51" s="1"/>
  <c r="Q77" i="50"/>
  <c r="P123" i="57" s="1"/>
  <c r="I31" i="50"/>
  <c r="H125" i="53" s="1"/>
  <c r="I8" i="50"/>
  <c r="H126" i="51" s="1"/>
  <c r="BD29" i="49"/>
  <c r="AW32" i="49" s="1"/>
  <c r="AU28" i="49"/>
  <c r="G8" i="49"/>
  <c r="F106" i="51" s="1"/>
  <c r="G31" i="49"/>
  <c r="F105" i="53" s="1"/>
  <c r="X77" i="49"/>
  <c r="D103" i="58" s="1"/>
  <c r="X53" i="49"/>
  <c r="D103" i="54" s="1"/>
  <c r="AR53" i="49"/>
  <c r="D103" i="55" s="1"/>
  <c r="K31" i="50"/>
  <c r="K8" i="50"/>
  <c r="J126" i="51" s="1"/>
  <c r="H31" i="50"/>
  <c r="G125" i="53" s="1"/>
  <c r="H8" i="50"/>
  <c r="G126" i="51" s="1"/>
  <c r="BW31" i="50"/>
  <c r="BK67" i="50" s="1"/>
  <c r="D31" i="49"/>
  <c r="C105" i="53" s="1"/>
  <c r="Q7" i="49"/>
  <c r="BR31" i="49"/>
  <c r="BK65" i="49" s="1"/>
  <c r="D8" i="49"/>
  <c r="C106" i="51" s="1"/>
  <c r="W77" i="49"/>
  <c r="C103" i="58" s="1"/>
  <c r="Q53" i="49"/>
  <c r="P103" i="56" s="1"/>
  <c r="W53" i="49"/>
  <c r="C103" i="54" s="1"/>
  <c r="AQ53" i="49"/>
  <c r="C103" i="55" s="1"/>
  <c r="AW53" i="49"/>
  <c r="I103" i="55" s="1"/>
  <c r="AC77" i="49"/>
  <c r="I103" i="58" s="1"/>
  <c r="AC53" i="49"/>
  <c r="I103" i="54" s="1"/>
  <c r="M78" i="49"/>
  <c r="L104" i="57" s="1"/>
  <c r="M54" i="49"/>
  <c r="L104" i="56" s="1"/>
  <c r="X77" i="50"/>
  <c r="D123" i="58" s="1"/>
  <c r="X53" i="50"/>
  <c r="D123" i="54" s="1"/>
  <c r="AR53" i="50"/>
  <c r="D123" i="55" s="1"/>
  <c r="G54" i="49"/>
  <c r="F104" i="56" s="1"/>
  <c r="G78" i="49"/>
  <c r="F104" i="57" s="1"/>
  <c r="CA30" i="50"/>
  <c r="K78" i="50"/>
  <c r="J124" i="57" s="1"/>
  <c r="J31" i="50"/>
  <c r="I125" i="53" s="1"/>
  <c r="J8" i="50"/>
  <c r="I126" i="51" s="1"/>
  <c r="Q77" i="49"/>
  <c r="P103" i="57" s="1"/>
  <c r="G8" i="50"/>
  <c r="F126" i="51" s="1"/>
  <c r="G31" i="50"/>
  <c r="F125" i="53" s="1"/>
  <c r="AR53" i="48"/>
  <c r="D83" i="55" s="1"/>
  <c r="Q77" i="48"/>
  <c r="P83" i="57" s="1"/>
  <c r="W29" i="48"/>
  <c r="AS29" i="48"/>
  <c r="BI61" i="48" s="1"/>
  <c r="AA29" i="48"/>
  <c r="AH29" i="48"/>
  <c r="BJ5" i="48"/>
  <c r="BK5" i="48" s="1"/>
  <c r="BL5" i="48" s="1"/>
  <c r="P5" i="48" s="1"/>
  <c r="AR29" i="48"/>
  <c r="BI60" i="48" s="1"/>
  <c r="AG29" i="48"/>
  <c r="AB29" i="48"/>
  <c r="E79" i="48"/>
  <c r="D85" i="57" s="1"/>
  <c r="X77" i="48"/>
  <c r="D83" i="58" s="1"/>
  <c r="AD29" i="48"/>
  <c r="BI69" i="48"/>
  <c r="AQ29" i="48"/>
  <c r="Y29" i="48"/>
  <c r="BI68" i="48"/>
  <c r="AC29" i="48"/>
  <c r="Z29" i="48"/>
  <c r="AF29" i="48"/>
  <c r="AT29" i="48"/>
  <c r="BI62" i="48" s="1"/>
  <c r="X29" i="48"/>
  <c r="BR31" i="48"/>
  <c r="BK65" i="48" s="1"/>
  <c r="Q53" i="48"/>
  <c r="P83" i="56" s="1"/>
  <c r="B59" i="50"/>
  <c r="B35" i="50"/>
  <c r="A129" i="53" s="1"/>
  <c r="U11" i="50"/>
  <c r="AO11" i="50" s="1"/>
  <c r="B12" i="50"/>
  <c r="A130" i="51" s="1"/>
  <c r="AU12" i="50"/>
  <c r="C130" i="52" s="1"/>
  <c r="AE82" i="50"/>
  <c r="K128" i="58" s="1"/>
  <c r="AE58" i="50"/>
  <c r="AY58" i="50"/>
  <c r="K128" i="55" s="1"/>
  <c r="BX35" i="50"/>
  <c r="N35" i="50"/>
  <c r="N12" i="50"/>
  <c r="M130" i="51" s="1"/>
  <c r="O35" i="50"/>
  <c r="N129" i="53" s="1"/>
  <c r="O12" i="50"/>
  <c r="N130" i="51" s="1"/>
  <c r="C58" i="50"/>
  <c r="C34" i="50"/>
  <c r="B128" i="53" s="1"/>
  <c r="V10" i="50"/>
  <c r="AP10" i="50" s="1"/>
  <c r="C11" i="50"/>
  <c r="B129" i="51" s="1"/>
  <c r="L36" i="50"/>
  <c r="L13" i="50"/>
  <c r="K131" i="51" s="1"/>
  <c r="N82" i="50"/>
  <c r="M128" i="57" s="1"/>
  <c r="O82" i="50"/>
  <c r="N128" i="57" s="1"/>
  <c r="O58" i="50"/>
  <c r="N128" i="56" s="1"/>
  <c r="C81" i="50"/>
  <c r="B127" i="57" s="1"/>
  <c r="V33" i="50"/>
  <c r="V81" i="50" s="1"/>
  <c r="B127" i="58" s="1"/>
  <c r="L83" i="50"/>
  <c r="K129" i="57" s="1"/>
  <c r="AG81" i="50"/>
  <c r="M127" i="58" s="1"/>
  <c r="AG57" i="50"/>
  <c r="BA57" i="50"/>
  <c r="M127" i="55" s="1"/>
  <c r="B82" i="50"/>
  <c r="A128" i="57" s="1"/>
  <c r="U34" i="50"/>
  <c r="U82" i="50" s="1"/>
  <c r="A128" i="58" s="1"/>
  <c r="AP33" i="50"/>
  <c r="AZ32" i="50"/>
  <c r="AX32" i="50"/>
  <c r="AH81" i="50"/>
  <c r="N127" i="58" s="1"/>
  <c r="AH57" i="50"/>
  <c r="BB57" i="50"/>
  <c r="N127" i="55" s="1"/>
  <c r="B82" i="49"/>
  <c r="A108" i="57" s="1"/>
  <c r="U34" i="49"/>
  <c r="U82" i="49" s="1"/>
  <c r="A108" i="58" s="1"/>
  <c r="AG80" i="49"/>
  <c r="M106" i="58" s="1"/>
  <c r="AG56" i="49"/>
  <c r="BA56" i="49"/>
  <c r="M106" i="55" s="1"/>
  <c r="AH80" i="49"/>
  <c r="N106" i="58" s="1"/>
  <c r="AH56" i="49"/>
  <c r="BB56" i="49"/>
  <c r="N106" i="55" s="1"/>
  <c r="AZ32" i="49"/>
  <c r="AX32" i="49"/>
  <c r="AP33" i="49"/>
  <c r="N34" i="49"/>
  <c r="N11" i="49"/>
  <c r="M109" i="51" s="1"/>
  <c r="BX34" i="49"/>
  <c r="O34" i="49"/>
  <c r="N108" i="53" s="1"/>
  <c r="O11" i="49"/>
  <c r="N109" i="51" s="1"/>
  <c r="O81" i="49"/>
  <c r="N107" i="57" s="1"/>
  <c r="O57" i="49"/>
  <c r="N107" i="56" s="1"/>
  <c r="BD13" i="49"/>
  <c r="J111" i="52" s="1"/>
  <c r="L34" i="49"/>
  <c r="L11" i="49"/>
  <c r="K109" i="51" s="1"/>
  <c r="N81" i="49"/>
  <c r="M107" i="57" s="1"/>
  <c r="C59" i="49"/>
  <c r="C12" i="49"/>
  <c r="B110" i="51" s="1"/>
  <c r="C35" i="49"/>
  <c r="B109" i="53" s="1"/>
  <c r="V11" i="49"/>
  <c r="AP11" i="49" s="1"/>
  <c r="C82" i="49"/>
  <c r="B108" i="57" s="1"/>
  <c r="V34" i="49"/>
  <c r="V82" i="49" s="1"/>
  <c r="B108" i="58" s="1"/>
  <c r="AE80" i="49"/>
  <c r="K106" i="58" s="1"/>
  <c r="AE56" i="49"/>
  <c r="AY56" i="49"/>
  <c r="K106" i="55" s="1"/>
  <c r="L81" i="49"/>
  <c r="K107" i="57" s="1"/>
  <c r="B59" i="49"/>
  <c r="B35" i="49"/>
  <c r="A109" i="53" s="1"/>
  <c r="B12" i="49"/>
  <c r="A110" i="51" s="1"/>
  <c r="U11" i="49"/>
  <c r="AO11" i="49" s="1"/>
  <c r="M78" i="48"/>
  <c r="L84" i="57" s="1"/>
  <c r="M54" i="48"/>
  <c r="L84" i="56" s="1"/>
  <c r="F31" i="48"/>
  <c r="E85" i="53" s="1"/>
  <c r="F8" i="48"/>
  <c r="E86" i="51" s="1"/>
  <c r="F78" i="48"/>
  <c r="E84" i="57" s="1"/>
  <c r="F54" i="48"/>
  <c r="E84" i="56" s="1"/>
  <c r="AS53" i="48"/>
  <c r="E83" i="55" s="1"/>
  <c r="Y77" i="48"/>
  <c r="E83" i="58" s="1"/>
  <c r="Y53" i="48"/>
  <c r="E83" i="54" s="1"/>
  <c r="M31" i="48"/>
  <c r="M8" i="48"/>
  <c r="BW31" i="48"/>
  <c r="BK67" i="48" s="1"/>
  <c r="BD52" i="48"/>
  <c r="P82" i="55" s="1"/>
  <c r="Z77" i="48"/>
  <c r="F83" i="58" s="1"/>
  <c r="Z53" i="48"/>
  <c r="F83" i="54" s="1"/>
  <c r="AT53" i="48"/>
  <c r="F83" i="55" s="1"/>
  <c r="CA30" i="48"/>
  <c r="G78" i="48"/>
  <c r="F84" i="57" s="1"/>
  <c r="G54" i="48"/>
  <c r="F84" i="56" s="1"/>
  <c r="Q30" i="48"/>
  <c r="AJ76" i="48"/>
  <c r="P82" i="58" s="1"/>
  <c r="G31" i="48"/>
  <c r="F85" i="53" s="1"/>
  <c r="G8" i="48"/>
  <c r="F86" i="51" s="1"/>
  <c r="AZ53" i="48"/>
  <c r="L83" i="55" s="1"/>
  <c r="AF77" i="48"/>
  <c r="L83" i="58" s="1"/>
  <c r="AF53" i="48"/>
  <c r="L83" i="54" s="1"/>
  <c r="Q7" i="48"/>
  <c r="N33" i="48"/>
  <c r="BX33" i="48"/>
  <c r="N10" i="48"/>
  <c r="M88" i="51" s="1"/>
  <c r="B80" i="48"/>
  <c r="A86" i="57" s="1"/>
  <c r="U32" i="48"/>
  <c r="U80" i="48" s="1"/>
  <c r="A86" i="58" s="1"/>
  <c r="N80" i="48"/>
  <c r="M86" i="57" s="1"/>
  <c r="O34" i="48"/>
  <c r="N88" i="53" s="1"/>
  <c r="O11" i="48"/>
  <c r="N89" i="51" s="1"/>
  <c r="BD8" i="48"/>
  <c r="J86" i="52" s="1"/>
  <c r="AU9" i="48"/>
  <c r="C87" i="52" s="1"/>
  <c r="L32" i="48"/>
  <c r="L9" i="48"/>
  <c r="K87" i="51" s="1"/>
  <c r="L79" i="48"/>
  <c r="K85" i="57" s="1"/>
  <c r="O81" i="48"/>
  <c r="N87" i="57" s="1"/>
  <c r="O57" i="48"/>
  <c r="N87" i="56" s="1"/>
  <c r="AE78" i="48"/>
  <c r="K84" i="58" s="1"/>
  <c r="AE54" i="48"/>
  <c r="K84" i="54" s="1"/>
  <c r="AY54" i="48"/>
  <c r="K84" i="55" s="1"/>
  <c r="C56" i="48"/>
  <c r="V8" i="48"/>
  <c r="AP8" i="48" s="1"/>
  <c r="C32" i="48"/>
  <c r="B86" i="53" s="1"/>
  <c r="C9" i="48"/>
  <c r="B87" i="51" s="1"/>
  <c r="AW30" i="48"/>
  <c r="BH29" i="48"/>
  <c r="AW29" i="48"/>
  <c r="AW28" i="48"/>
  <c r="BA28" i="48" s="1"/>
  <c r="C79" i="48"/>
  <c r="B85" i="57" s="1"/>
  <c r="V31" i="48"/>
  <c r="V79" i="48" s="1"/>
  <c r="B85" i="58" s="1"/>
  <c r="AG79" i="48"/>
  <c r="M85" i="58" s="1"/>
  <c r="AG55" i="48"/>
  <c r="M85" i="54" s="1"/>
  <c r="BA55" i="48"/>
  <c r="M85" i="55" s="1"/>
  <c r="AP31" i="48"/>
  <c r="AW31" i="48" s="1"/>
  <c r="AX30" i="48"/>
  <c r="AZ30" i="48"/>
  <c r="B57" i="48"/>
  <c r="U9" i="48"/>
  <c r="AO9" i="48" s="1"/>
  <c r="B33" i="48"/>
  <c r="A87" i="53" s="1"/>
  <c r="B10" i="48"/>
  <c r="A88" i="51" s="1"/>
  <c r="O30" i="47"/>
  <c r="N64" i="53" s="1"/>
  <c r="O7" i="47"/>
  <c r="N65" i="51" s="1"/>
  <c r="N5" i="51" s="1"/>
  <c r="N77" i="47"/>
  <c r="M63" i="57" s="1"/>
  <c r="AP27" i="47"/>
  <c r="AO27" i="47"/>
  <c r="BK27" i="47" s="1" a="1"/>
  <c r="B56" i="47"/>
  <c r="B32" i="47"/>
  <c r="A66" i="53" s="1"/>
  <c r="U8" i="47"/>
  <c r="AO8" i="47" s="1"/>
  <c r="B9" i="47"/>
  <c r="A67" i="51" s="1"/>
  <c r="L30" i="47"/>
  <c r="L7" i="47"/>
  <c r="K65" i="51" s="1"/>
  <c r="B79" i="47"/>
  <c r="A65" i="57" s="1"/>
  <c r="U31" i="47"/>
  <c r="U79" i="47" s="1"/>
  <c r="A65" i="58" s="1"/>
  <c r="AH76" i="47"/>
  <c r="N62" i="58" s="1"/>
  <c r="AH52" i="47"/>
  <c r="L77" i="47"/>
  <c r="K63" i="57" s="1"/>
  <c r="AU8" i="47"/>
  <c r="C66" i="52" s="1"/>
  <c r="AE76" i="47"/>
  <c r="K62" i="58" s="1"/>
  <c r="AE52" i="47"/>
  <c r="C56" i="47"/>
  <c r="C32" i="47"/>
  <c r="B66" i="53" s="1"/>
  <c r="V8" i="47"/>
  <c r="AP8" i="47" s="1"/>
  <c r="C9" i="47"/>
  <c r="B67" i="51" s="1"/>
  <c r="AX28" i="47"/>
  <c r="AZ28" i="47"/>
  <c r="AP29" i="47"/>
  <c r="C79" i="47"/>
  <c r="B65" i="57" s="1"/>
  <c r="V31" i="47"/>
  <c r="V79" i="47" s="1"/>
  <c r="B65" i="58" s="1"/>
  <c r="AG76" i="47"/>
  <c r="M62" i="58" s="1"/>
  <c r="AG52" i="47"/>
  <c r="O77" i="47"/>
  <c r="N63" i="57" s="1"/>
  <c r="O53" i="47"/>
  <c r="N63" i="56" s="1"/>
  <c r="N30" i="47"/>
  <c r="BX30" i="47"/>
  <c r="N7" i="47"/>
  <c r="M65" i="51" s="1"/>
  <c r="AE77" i="46"/>
  <c r="K43" i="58" s="1"/>
  <c r="AE53" i="46"/>
  <c r="O76" i="46"/>
  <c r="N42" i="57" s="1"/>
  <c r="N2" i="57" s="1"/>
  <c r="O52" i="46"/>
  <c r="N42" i="56" s="1"/>
  <c r="N2" i="56" s="1"/>
  <c r="BD6" i="46"/>
  <c r="J44" i="52" s="1"/>
  <c r="J4" i="52" s="1"/>
  <c r="AU7" i="46"/>
  <c r="C45" i="52" s="1"/>
  <c r="C5" i="52" s="1"/>
  <c r="L76" i="46"/>
  <c r="K42" i="57" s="1"/>
  <c r="K2" i="57" s="1"/>
  <c r="AG76" i="46"/>
  <c r="M42" i="58" s="1"/>
  <c r="AG52" i="46"/>
  <c r="C55" i="46"/>
  <c r="C8" i="46"/>
  <c r="B46" i="51" s="1"/>
  <c r="C31" i="46"/>
  <c r="B45" i="53" s="1"/>
  <c r="V7" i="46"/>
  <c r="AP7" i="46" s="1"/>
  <c r="B54" i="46"/>
  <c r="B30" i="46"/>
  <c r="A44" i="53" s="1"/>
  <c r="B7" i="46"/>
  <c r="A45" i="51" s="1"/>
  <c r="U6" i="46"/>
  <c r="AO6" i="46" s="1"/>
  <c r="L78" i="46"/>
  <c r="K44" i="57" s="1"/>
  <c r="N7" i="46"/>
  <c r="M45" i="51" s="1"/>
  <c r="BX30" i="46"/>
  <c r="N30" i="46"/>
  <c r="AX28" i="46"/>
  <c r="AP29" i="46"/>
  <c r="AZ28" i="46"/>
  <c r="L31" i="46"/>
  <c r="L8" i="46"/>
  <c r="K46" i="51" s="1"/>
  <c r="N77" i="46"/>
  <c r="M43" i="57" s="1"/>
  <c r="BL30" i="46"/>
  <c r="BN29" i="46"/>
  <c r="O78" i="46"/>
  <c r="N44" i="57" s="1"/>
  <c r="O54" i="46"/>
  <c r="N44" i="56" s="1"/>
  <c r="C78" i="46"/>
  <c r="B44" i="57" s="1"/>
  <c r="V30" i="46"/>
  <c r="V78" i="46" s="1"/>
  <c r="B44" i="58" s="1"/>
  <c r="BQ28" i="46"/>
  <c r="BT28" i="46"/>
  <c r="AO27" i="46"/>
  <c r="BK27" i="46" s="1" a="1"/>
  <c r="AP27" i="46"/>
  <c r="O8" i="46"/>
  <c r="N46" i="51" s="1"/>
  <c r="O31" i="46"/>
  <c r="N45" i="53" s="1"/>
  <c r="AH77" i="46"/>
  <c r="N43" i="58" s="1"/>
  <c r="AH53" i="46"/>
  <c r="B77" i="46"/>
  <c r="A43" i="57" s="1"/>
  <c r="U29" i="46"/>
  <c r="U77" i="46" s="1"/>
  <c r="A43" i="58" s="1"/>
  <c r="N78" i="44"/>
  <c r="M24" i="57" s="1"/>
  <c r="N31" i="44"/>
  <c r="BX31" i="44"/>
  <c r="L77" i="44"/>
  <c r="K23" i="57" s="1"/>
  <c r="AZ30" i="44"/>
  <c r="AX30" i="44"/>
  <c r="AP31" i="44"/>
  <c r="O78" i="44"/>
  <c r="N24" i="57" s="1"/>
  <c r="BL27" i="44"/>
  <c r="BK27" i="44"/>
  <c r="AH76" i="44"/>
  <c r="N22" i="58" s="1"/>
  <c r="AH52" i="44"/>
  <c r="N22" i="54" s="1"/>
  <c r="O77" i="44"/>
  <c r="N23" i="57" s="1"/>
  <c r="AE76" i="44"/>
  <c r="K22" i="58" s="1"/>
  <c r="AE52" i="44"/>
  <c r="K22" i="54" s="1"/>
  <c r="O31" i="44"/>
  <c r="O8" i="44"/>
  <c r="N26" i="51" s="1"/>
  <c r="BN29" i="44"/>
  <c r="BL30" i="44"/>
  <c r="BM30" i="44" s="1"/>
  <c r="L30" i="44"/>
  <c r="L7" i="44"/>
  <c r="K25" i="51" s="1"/>
  <c r="BT28" i="44"/>
  <c r="BQ28" i="44"/>
  <c r="C26" i="52"/>
  <c r="AY52" i="44"/>
  <c r="K22" i="55" s="1"/>
  <c r="BB52" i="44"/>
  <c r="N22" i="55" s="1"/>
  <c r="BC52" i="44"/>
  <c r="O22" i="55" s="1"/>
  <c r="V20" i="43"/>
  <c r="AP20" i="43" s="1"/>
  <c r="U17" i="43"/>
  <c r="AO17" i="43" s="1"/>
  <c r="V12" i="43"/>
  <c r="AP12" i="43" s="1"/>
  <c r="U11" i="43"/>
  <c r="AO11" i="43" s="1"/>
  <c r="B68" i="43"/>
  <c r="V5" i="43"/>
  <c r="AP5" i="43" s="1"/>
  <c r="V21" i="43"/>
  <c r="AP21" i="43" s="1"/>
  <c r="V8" i="43"/>
  <c r="AP8" i="43" s="1"/>
  <c r="C55" i="43"/>
  <c r="C63" i="43"/>
  <c r="U16" i="43"/>
  <c r="AO16" i="43" s="1"/>
  <c r="V16" i="43"/>
  <c r="AP16" i="43" s="1"/>
  <c r="U8" i="43"/>
  <c r="AO8" i="43" s="1"/>
  <c r="V14" i="43"/>
  <c r="AP14" i="43" s="1"/>
  <c r="U19" i="43"/>
  <c r="AO19" i="43" s="1"/>
  <c r="V11" i="43"/>
  <c r="AP11" i="43" s="1"/>
  <c r="V23" i="43"/>
  <c r="AP23" i="43" s="1"/>
  <c r="V9" i="43"/>
  <c r="AP9" i="43" s="1"/>
  <c r="V19" i="43"/>
  <c r="AP19" i="43" s="1"/>
  <c r="C52" i="43"/>
  <c r="BL28" i="43"/>
  <c r="BM28" i="43" s="1"/>
  <c r="U15" i="43"/>
  <c r="AO15" i="43" s="1"/>
  <c r="U18" i="43"/>
  <c r="AO18" i="43" s="1"/>
  <c r="B58" i="43"/>
  <c r="U9" i="43"/>
  <c r="AO9" i="43" s="1"/>
  <c r="U14" i="43"/>
  <c r="AO14" i="43" s="1"/>
  <c r="U12" i="43"/>
  <c r="AO12" i="43" s="1"/>
  <c r="U21" i="43"/>
  <c r="AO21" i="43" s="1"/>
  <c r="V22" i="43"/>
  <c r="AP22" i="43" s="1"/>
  <c r="V17" i="43"/>
  <c r="AP17" i="43" s="1"/>
  <c r="U5" i="43"/>
  <c r="AO5" i="43" s="1"/>
  <c r="V18" i="43"/>
  <c r="AP18" i="43" s="1"/>
  <c r="V13" i="43"/>
  <c r="AP13" i="43" s="1"/>
  <c r="B70" i="43"/>
  <c r="U22" i="43"/>
  <c r="AO22" i="43" s="1"/>
  <c r="U27" i="43"/>
  <c r="V27" i="43"/>
  <c r="B54" i="43"/>
  <c r="U6" i="43"/>
  <c r="AO6" i="43" s="1"/>
  <c r="BH3" i="43" a="1"/>
  <c r="BH3" i="43" s="1"/>
  <c r="AZ29" i="43"/>
  <c r="AP30" i="43"/>
  <c r="AX30" i="43" s="1"/>
  <c r="G74" i="31"/>
  <c r="E37" i="31"/>
  <c r="G36" i="31"/>
  <c r="AL57" i="43" l="1"/>
  <c r="E6" i="60"/>
  <c r="P85" i="51"/>
  <c r="P125" i="51"/>
  <c r="P105" i="51"/>
  <c r="AV12" i="50"/>
  <c r="BD12" i="50" s="1"/>
  <c r="J130" i="52" s="1"/>
  <c r="D129" i="52"/>
  <c r="J9" i="48"/>
  <c r="I87" i="51" s="1"/>
  <c r="J55" i="48"/>
  <c r="I85" i="56" s="1"/>
  <c r="J79" i="48"/>
  <c r="I85" i="57" s="1"/>
  <c r="J32" i="48"/>
  <c r="I86" i="53" s="1"/>
  <c r="AC54" i="48"/>
  <c r="I84" i="54" s="1"/>
  <c r="AC78" i="48"/>
  <c r="I84" i="58" s="1"/>
  <c r="I55" i="48"/>
  <c r="H85" i="56" s="1"/>
  <c r="W78" i="48"/>
  <c r="C84" i="58" s="1"/>
  <c r="AW54" i="48"/>
  <c r="I84" i="55" s="1"/>
  <c r="W54" i="48"/>
  <c r="C84" i="54" s="1"/>
  <c r="I79" i="48"/>
  <c r="H85" i="57" s="1"/>
  <c r="AB54" i="48"/>
  <c r="H84" i="54" s="1"/>
  <c r="D32" i="48"/>
  <c r="C86" i="53" s="1"/>
  <c r="D9" i="48"/>
  <c r="C87" i="51" s="1"/>
  <c r="AU54" i="48"/>
  <c r="G84" i="55" s="1"/>
  <c r="AA78" i="48"/>
  <c r="G84" i="58" s="1"/>
  <c r="AQ54" i="48"/>
  <c r="C84" i="55" s="1"/>
  <c r="AH56" i="48"/>
  <c r="N86" i="54" s="1"/>
  <c r="I32" i="48"/>
  <c r="H86" i="53" s="1"/>
  <c r="X79" i="48"/>
  <c r="D85" i="58" s="1"/>
  <c r="AH80" i="48"/>
  <c r="N86" i="58" s="1"/>
  <c r="D55" i="48"/>
  <c r="C85" i="56" s="1"/>
  <c r="D79" i="48"/>
  <c r="C85" i="57" s="1"/>
  <c r="BB56" i="48"/>
  <c r="N86" i="55" s="1"/>
  <c r="AA55" i="48"/>
  <c r="G85" i="54" s="1"/>
  <c r="I9" i="48"/>
  <c r="H87" i="51" s="1"/>
  <c r="AV54" i="48"/>
  <c r="H84" i="55" s="1"/>
  <c r="AZ11" i="48"/>
  <c r="H88" i="52"/>
  <c r="AB78" i="48"/>
  <c r="H84" i="58" s="1"/>
  <c r="AX11" i="48"/>
  <c r="F88" i="52"/>
  <c r="AR55" i="48"/>
  <c r="D85" i="55" s="1"/>
  <c r="X55" i="48"/>
  <c r="D85" i="54" s="1"/>
  <c r="BA11" i="48"/>
  <c r="I88" i="52"/>
  <c r="AY11" i="48"/>
  <c r="G88" i="52"/>
  <c r="AW11" i="48"/>
  <c r="E88" i="52"/>
  <c r="AV11" i="48"/>
  <c r="D88" i="52"/>
  <c r="K5" i="51"/>
  <c r="D5" i="52"/>
  <c r="M3" i="53"/>
  <c r="M3" i="57"/>
  <c r="AX9" i="47"/>
  <c r="F66" i="52"/>
  <c r="BA9" i="47"/>
  <c r="I66" i="52"/>
  <c r="N3" i="57"/>
  <c r="AZ8" i="47"/>
  <c r="H65" i="52"/>
  <c r="H5" i="52" s="1"/>
  <c r="AY9" i="47"/>
  <c r="G66" i="52"/>
  <c r="K3" i="57"/>
  <c r="AW9" i="47"/>
  <c r="E66" i="52"/>
  <c r="AV9" i="47"/>
  <c r="D66" i="52"/>
  <c r="F5" i="52"/>
  <c r="G5" i="52"/>
  <c r="K43" i="55"/>
  <c r="BA9" i="46"/>
  <c r="I46" i="52"/>
  <c r="AZ9" i="46"/>
  <c r="H46" i="52"/>
  <c r="AV9" i="46"/>
  <c r="D46" i="52"/>
  <c r="I5" i="52"/>
  <c r="AX9" i="46"/>
  <c r="F46" i="52"/>
  <c r="M5" i="51"/>
  <c r="AW9" i="46"/>
  <c r="E46" i="52"/>
  <c r="AY9" i="46"/>
  <c r="G46" i="52"/>
  <c r="N32" i="44"/>
  <c r="N56" i="44" s="1"/>
  <c r="M26" i="56" s="1"/>
  <c r="AG54" i="44"/>
  <c r="M24" i="54" s="1"/>
  <c r="AG78" i="44"/>
  <c r="M24" i="58" s="1"/>
  <c r="N9" i="44"/>
  <c r="M27" i="51" s="1"/>
  <c r="BX32" i="44"/>
  <c r="AV9" i="44"/>
  <c r="D26" i="52"/>
  <c r="AZ9" i="44"/>
  <c r="H26" i="52"/>
  <c r="AY9" i="44"/>
  <c r="G26" i="52"/>
  <c r="AX9" i="44"/>
  <c r="F26" i="52"/>
  <c r="AW8" i="44"/>
  <c r="BD8" i="44" s="1"/>
  <c r="J26" i="52" s="1"/>
  <c r="E25" i="52"/>
  <c r="E5" i="52" s="1"/>
  <c r="BA9" i="44"/>
  <c r="I26" i="52"/>
  <c r="H55" i="48"/>
  <c r="G85" i="56" s="1"/>
  <c r="H79" i="48"/>
  <c r="G85" i="57" s="1"/>
  <c r="H9" i="48"/>
  <c r="G87" i="51" s="1"/>
  <c r="H32" i="48"/>
  <c r="G86" i="53" s="1"/>
  <c r="B64" i="52"/>
  <c r="BI6" i="47"/>
  <c r="U71" i="43"/>
  <c r="AO71" i="43" s="1"/>
  <c r="A21" i="55" s="1"/>
  <c r="B24" i="56"/>
  <c r="V54" i="44"/>
  <c r="BI6" i="44"/>
  <c r="B24" i="52"/>
  <c r="G14" i="31"/>
  <c r="E15" i="31"/>
  <c r="BI23" i="43"/>
  <c r="B21" i="52"/>
  <c r="BI18" i="43"/>
  <c r="B16" i="52"/>
  <c r="BI8" i="43"/>
  <c r="B6" i="52"/>
  <c r="BH5" i="43"/>
  <c r="A3" i="52"/>
  <c r="BH19" i="43"/>
  <c r="A17" i="52"/>
  <c r="BI21" i="43"/>
  <c r="B19" i="52"/>
  <c r="BI8" i="47"/>
  <c r="B66" i="52"/>
  <c r="V59" i="49"/>
  <c r="B109" i="56"/>
  <c r="B26" i="51"/>
  <c r="C32" i="44"/>
  <c r="C9" i="44"/>
  <c r="C56" i="44"/>
  <c r="V8" i="44"/>
  <c r="AP8" i="44" s="1"/>
  <c r="BQ39" i="49"/>
  <c r="BT39" i="49"/>
  <c r="BH9" i="43"/>
  <c r="A7" i="52"/>
  <c r="V55" i="43"/>
  <c r="B5" i="56"/>
  <c r="BI11" i="43"/>
  <c r="B9" i="52"/>
  <c r="BH6" i="43"/>
  <c r="A4" i="52"/>
  <c r="BH18" i="43"/>
  <c r="A16" i="52"/>
  <c r="U54" i="43"/>
  <c r="A4" i="56"/>
  <c r="BI17" i="43"/>
  <c r="B15" i="52"/>
  <c r="BH15" i="43"/>
  <c r="A13" i="52"/>
  <c r="BI14" i="43"/>
  <c r="B12" i="52"/>
  <c r="BI5" i="43"/>
  <c r="B3" i="52"/>
  <c r="V55" i="46"/>
  <c r="AP55" i="46" s="1"/>
  <c r="B45" i="56"/>
  <c r="U56" i="47"/>
  <c r="A66" i="56"/>
  <c r="BH11" i="50"/>
  <c r="A129" i="52"/>
  <c r="U57" i="43"/>
  <c r="A7" i="56"/>
  <c r="BI7" i="43"/>
  <c r="B5" i="52"/>
  <c r="V67" i="43"/>
  <c r="B17" i="56"/>
  <c r="U69" i="43"/>
  <c r="A19" i="56"/>
  <c r="BI7" i="44"/>
  <c r="B25" i="52"/>
  <c r="V57" i="43"/>
  <c r="B7" i="56"/>
  <c r="V62" i="43"/>
  <c r="B12" i="56"/>
  <c r="V60" i="43"/>
  <c r="B10" i="56"/>
  <c r="BM40" i="49"/>
  <c r="BN40" i="49" s="1"/>
  <c r="E115" i="31"/>
  <c r="G114" i="31"/>
  <c r="U55" i="43"/>
  <c r="A5" i="56"/>
  <c r="AP55" i="48"/>
  <c r="B85" i="55" s="1"/>
  <c r="B85" i="54"/>
  <c r="U59" i="43"/>
  <c r="A9" i="56"/>
  <c r="BH8" i="43"/>
  <c r="A6" i="52"/>
  <c r="BH6" i="46"/>
  <c r="A44" i="52"/>
  <c r="V56" i="47"/>
  <c r="B66" i="56"/>
  <c r="V58" i="43"/>
  <c r="B8" i="56"/>
  <c r="B25" i="53"/>
  <c r="C79" i="44"/>
  <c r="B25" i="57" s="1"/>
  <c r="V31" i="44"/>
  <c r="V79" i="44" s="1"/>
  <c r="B25" i="58" s="1"/>
  <c r="U68" i="43"/>
  <c r="A18" i="56"/>
  <c r="BH21" i="43"/>
  <c r="A19" i="52"/>
  <c r="V52" i="43"/>
  <c r="B2" i="56"/>
  <c r="BI16" i="43"/>
  <c r="B14" i="52"/>
  <c r="BH11" i="43"/>
  <c r="A9" i="52"/>
  <c r="BH9" i="48"/>
  <c r="A87" i="52"/>
  <c r="BH11" i="49"/>
  <c r="A109" i="52"/>
  <c r="BI10" i="50"/>
  <c r="B128" i="52"/>
  <c r="U59" i="50"/>
  <c r="A129" i="56"/>
  <c r="U63" i="43"/>
  <c r="A13" i="56"/>
  <c r="U67" i="43"/>
  <c r="A17" i="56"/>
  <c r="V56" i="43"/>
  <c r="B6" i="56"/>
  <c r="U66" i="43"/>
  <c r="A16" i="56"/>
  <c r="V53" i="43"/>
  <c r="B3" i="56"/>
  <c r="E135" i="31"/>
  <c r="BM40" i="50"/>
  <c r="BN40" i="50" s="1"/>
  <c r="G134" i="31"/>
  <c r="BI15" i="43"/>
  <c r="B13" i="52"/>
  <c r="BH7" i="44"/>
  <c r="A25" i="52"/>
  <c r="U65" i="43"/>
  <c r="A15" i="56"/>
  <c r="AO55" i="47"/>
  <c r="A65" i="55" s="1"/>
  <c r="A65" i="54"/>
  <c r="BH12" i="43"/>
  <c r="A10" i="52"/>
  <c r="BI12" i="43"/>
  <c r="B10" i="52"/>
  <c r="U57" i="48"/>
  <c r="A87" i="56"/>
  <c r="BI8" i="48"/>
  <c r="B86" i="52"/>
  <c r="BT40" i="47"/>
  <c r="BQ40" i="47"/>
  <c r="BT39" i="50"/>
  <c r="BQ39" i="50"/>
  <c r="A25" i="56"/>
  <c r="U55" i="44"/>
  <c r="A25" i="54" s="1"/>
  <c r="BH22" i="43"/>
  <c r="A20" i="52"/>
  <c r="BI19" i="43"/>
  <c r="B17" i="52"/>
  <c r="BH16" i="43"/>
  <c r="A14" i="52"/>
  <c r="U70" i="43"/>
  <c r="A20" i="56"/>
  <c r="BH14" i="43"/>
  <c r="A12" i="52"/>
  <c r="BI9" i="43"/>
  <c r="B7" i="52"/>
  <c r="V63" i="43"/>
  <c r="B13" i="56"/>
  <c r="BH17" i="43"/>
  <c r="A15" i="52"/>
  <c r="U54" i="46"/>
  <c r="AO54" i="46" s="1"/>
  <c r="A44" i="56"/>
  <c r="V56" i="48"/>
  <c r="B86" i="56"/>
  <c r="BI11" i="49"/>
  <c r="B109" i="52"/>
  <c r="V58" i="50"/>
  <c r="B128" i="56"/>
  <c r="G94" i="31"/>
  <c r="BM40" i="48"/>
  <c r="BN40" i="48" s="1"/>
  <c r="E95" i="31"/>
  <c r="V59" i="43"/>
  <c r="B9" i="56"/>
  <c r="U62" i="43"/>
  <c r="A12" i="56"/>
  <c r="AP57" i="50"/>
  <c r="B127" i="55" s="1"/>
  <c r="B127" i="54"/>
  <c r="U64" i="43"/>
  <c r="A14" i="56"/>
  <c r="V65" i="43"/>
  <c r="B15" i="56"/>
  <c r="AP55" i="47"/>
  <c r="B65" i="55" s="1"/>
  <c r="B65" i="54"/>
  <c r="U60" i="43"/>
  <c r="A10" i="56"/>
  <c r="BH20" i="43"/>
  <c r="A18" i="52"/>
  <c r="V69" i="43"/>
  <c r="B19" i="56"/>
  <c r="V54" i="43"/>
  <c r="B4" i="56"/>
  <c r="A26" i="51"/>
  <c r="B32" i="44"/>
  <c r="B56" i="44"/>
  <c r="B9" i="44"/>
  <c r="U8" i="44"/>
  <c r="AO8" i="44" s="1"/>
  <c r="V68" i="43"/>
  <c r="B18" i="56"/>
  <c r="U61" i="43"/>
  <c r="A11" i="56"/>
  <c r="BI13" i="43"/>
  <c r="B11" i="52"/>
  <c r="U59" i="49"/>
  <c r="A109" i="56"/>
  <c r="BM41" i="46"/>
  <c r="BM41" i="47"/>
  <c r="BN41" i="47" s="1"/>
  <c r="E56" i="31"/>
  <c r="G55" i="31"/>
  <c r="V71" i="43"/>
  <c r="B21" i="56"/>
  <c r="A25" i="53"/>
  <c r="B79" i="44"/>
  <c r="A25" i="57" s="1"/>
  <c r="U31" i="44"/>
  <c r="U79" i="44" s="1"/>
  <c r="A25" i="58" s="1"/>
  <c r="BI22" i="43"/>
  <c r="B20" i="52"/>
  <c r="BI20" i="43"/>
  <c r="B18" i="52"/>
  <c r="BI7" i="46"/>
  <c r="B45" i="52"/>
  <c r="U58" i="43"/>
  <c r="A8" i="56"/>
  <c r="BH8" i="47"/>
  <c r="A66" i="52"/>
  <c r="BQ39" i="48"/>
  <c r="BT39" i="48"/>
  <c r="BI4" i="43"/>
  <c r="B2" i="52"/>
  <c r="U53" i="43"/>
  <c r="A3" i="56"/>
  <c r="AP58" i="49"/>
  <c r="B108" i="55" s="1"/>
  <c r="B108" i="54"/>
  <c r="B44" i="55"/>
  <c r="B44" i="54"/>
  <c r="BH10" i="43"/>
  <c r="A8" i="52"/>
  <c r="AP55" i="44"/>
  <c r="B25" i="55" s="1"/>
  <c r="B25" i="56"/>
  <c r="V55" i="44"/>
  <c r="B25" i="54" s="1"/>
  <c r="A43" i="54"/>
  <c r="A43" i="55"/>
  <c r="V66" i="43"/>
  <c r="B16" i="56"/>
  <c r="AO58" i="50"/>
  <c r="A128" i="55" s="1"/>
  <c r="A128" i="54"/>
  <c r="V70" i="43"/>
  <c r="B20" i="56"/>
  <c r="AO58" i="49"/>
  <c r="A108" i="55" s="1"/>
  <c r="A108" i="54"/>
  <c r="V64" i="43"/>
  <c r="B14" i="56"/>
  <c r="AO56" i="48"/>
  <c r="A86" i="55" s="1"/>
  <c r="A86" i="54"/>
  <c r="V61" i="43"/>
  <c r="B11" i="56"/>
  <c r="U56" i="43"/>
  <c r="A6" i="56"/>
  <c r="AO52" i="43"/>
  <c r="A2" i="55" s="1"/>
  <c r="A2" i="54"/>
  <c r="M2" i="58"/>
  <c r="M3" i="56"/>
  <c r="AD30" i="50"/>
  <c r="M2" i="54"/>
  <c r="M2" i="55"/>
  <c r="O2" i="55"/>
  <c r="L58" i="49"/>
  <c r="K108" i="56" s="1"/>
  <c r="K108" i="53"/>
  <c r="M108" i="53"/>
  <c r="N58" i="49"/>
  <c r="M108" i="56" s="1"/>
  <c r="N43" i="55"/>
  <c r="Z30" i="49"/>
  <c r="N54" i="47"/>
  <c r="M64" i="56" s="1"/>
  <c r="M64" i="53"/>
  <c r="N79" i="44"/>
  <c r="M25" i="57" s="1"/>
  <c r="N55" i="44"/>
  <c r="M25" i="56" s="1"/>
  <c r="M25" i="53"/>
  <c r="L54" i="47"/>
  <c r="K64" i="56" s="1"/>
  <c r="K64" i="53"/>
  <c r="M44" i="53"/>
  <c r="N54" i="46"/>
  <c r="M44" i="56" s="1"/>
  <c r="M87" i="53"/>
  <c r="N57" i="48"/>
  <c r="M87" i="56" s="1"/>
  <c r="N4" i="53"/>
  <c r="BA54" i="44"/>
  <c r="M24" i="55" s="1"/>
  <c r="K24" i="53"/>
  <c r="L54" i="44"/>
  <c r="K24" i="56" s="1"/>
  <c r="L56" i="48"/>
  <c r="K86" i="56" s="1"/>
  <c r="K86" i="53"/>
  <c r="K3" i="56"/>
  <c r="O55" i="44"/>
  <c r="N25" i="56" s="1"/>
  <c r="N25" i="53"/>
  <c r="K45" i="53"/>
  <c r="L55" i="46"/>
  <c r="K45" i="56" s="1"/>
  <c r="K130" i="53"/>
  <c r="L60" i="50"/>
  <c r="K130" i="56" s="1"/>
  <c r="M129" i="53"/>
  <c r="N59" i="50"/>
  <c r="M129" i="56" s="1"/>
  <c r="K3" i="53"/>
  <c r="N3" i="56"/>
  <c r="AF30" i="49"/>
  <c r="CA31" i="48"/>
  <c r="L85" i="53"/>
  <c r="K55" i="49"/>
  <c r="J105" i="56" s="1"/>
  <c r="J105" i="53"/>
  <c r="J84" i="56"/>
  <c r="AD54" i="48"/>
  <c r="J84" i="54" s="1"/>
  <c r="AX54" i="48"/>
  <c r="J84" i="55" s="1"/>
  <c r="AD78" i="48"/>
  <c r="J84" i="58" s="1"/>
  <c r="D86" i="51"/>
  <c r="E32" i="48"/>
  <c r="E9" i="48"/>
  <c r="J86" i="51"/>
  <c r="K32" i="48"/>
  <c r="K9" i="48"/>
  <c r="K55" i="48"/>
  <c r="J85" i="53"/>
  <c r="K79" i="48"/>
  <c r="J85" i="57" s="1"/>
  <c r="K55" i="50"/>
  <c r="J125" i="56" s="1"/>
  <c r="J125" i="53"/>
  <c r="Y30" i="50"/>
  <c r="P124" i="53"/>
  <c r="BW32" i="48"/>
  <c r="BL67" i="48" s="1"/>
  <c r="L86" i="51"/>
  <c r="BJ68" i="48"/>
  <c r="P84" i="53"/>
  <c r="P29" i="48"/>
  <c r="O83" i="53" s="1"/>
  <c r="O83" i="51"/>
  <c r="AA30" i="49"/>
  <c r="P104" i="53"/>
  <c r="D84" i="56"/>
  <c r="X78" i="48"/>
  <c r="D84" i="58" s="1"/>
  <c r="X54" i="48"/>
  <c r="D84" i="54" s="1"/>
  <c r="AR54" i="48"/>
  <c r="D84" i="55" s="1"/>
  <c r="Y30" i="49"/>
  <c r="AC30" i="50"/>
  <c r="AJ53" i="49"/>
  <c r="AU29" i="50"/>
  <c r="X30" i="49"/>
  <c r="AJ77" i="49"/>
  <c r="P103" i="58" s="1"/>
  <c r="AJ29" i="50"/>
  <c r="AJ29" i="49"/>
  <c r="AS30" i="50"/>
  <c r="BJ61" i="50" s="1"/>
  <c r="G32" i="50"/>
  <c r="F126" i="53" s="1"/>
  <c r="G9" i="50"/>
  <c r="F127" i="51" s="1"/>
  <c r="AF78" i="49"/>
  <c r="L104" i="58" s="1"/>
  <c r="AZ54" i="49"/>
  <c r="L104" i="55" s="1"/>
  <c r="AF54" i="49"/>
  <c r="L104" i="54" s="1"/>
  <c r="H79" i="50"/>
  <c r="G125" i="57" s="1"/>
  <c r="H55" i="50"/>
  <c r="G125" i="56" s="1"/>
  <c r="AA55" i="50"/>
  <c r="G125" i="54" s="1"/>
  <c r="J79" i="49"/>
  <c r="I105" i="57" s="1"/>
  <c r="J55" i="49"/>
  <c r="I105" i="56" s="1"/>
  <c r="D32" i="50"/>
  <c r="C126" i="53" s="1"/>
  <c r="D9" i="50"/>
  <c r="C127" i="51" s="1"/>
  <c r="BR32" i="50"/>
  <c r="BL65" i="50" s="1"/>
  <c r="Q8" i="50"/>
  <c r="W54" i="49"/>
  <c r="C104" i="54" s="1"/>
  <c r="Q54" i="49"/>
  <c r="P104" i="56" s="1"/>
  <c r="W78" i="49"/>
  <c r="C104" i="58" s="1"/>
  <c r="AQ54" i="49"/>
  <c r="C104" i="55" s="1"/>
  <c r="E79" i="49"/>
  <c r="D105" i="57" s="1"/>
  <c r="E55" i="49"/>
  <c r="D105" i="56" s="1"/>
  <c r="AS30" i="49"/>
  <c r="BJ61" i="49" s="1"/>
  <c r="BR32" i="49"/>
  <c r="BL65" i="49" s="1"/>
  <c r="D9" i="49"/>
  <c r="C107" i="51" s="1"/>
  <c r="D32" i="49"/>
  <c r="C106" i="53" s="1"/>
  <c r="Q8" i="49"/>
  <c r="K32" i="50"/>
  <c r="K9" i="50"/>
  <c r="J127" i="51" s="1"/>
  <c r="AW30" i="49"/>
  <c r="BA30" i="49" s="1"/>
  <c r="AW29" i="49"/>
  <c r="BA29" i="49" s="1"/>
  <c r="BH29" i="49"/>
  <c r="AW28" i="49"/>
  <c r="BA28" i="49" s="1"/>
  <c r="AW31" i="49"/>
  <c r="BA31" i="49" s="1"/>
  <c r="D79" i="50"/>
  <c r="C125" i="57" s="1"/>
  <c r="D55" i="50"/>
  <c r="C125" i="56" s="1"/>
  <c r="Q31" i="50"/>
  <c r="AF31" i="50" s="1"/>
  <c r="Q78" i="49"/>
  <c r="P104" i="57" s="1"/>
  <c r="AB30" i="50"/>
  <c r="Y78" i="49"/>
  <c r="E104" i="58" s="1"/>
  <c r="Y54" i="49"/>
  <c r="E104" i="54" s="1"/>
  <c r="AS54" i="49"/>
  <c r="E104" i="55" s="1"/>
  <c r="H9" i="49"/>
  <c r="G107" i="51" s="1"/>
  <c r="H32" i="49"/>
  <c r="G106" i="53" s="1"/>
  <c r="BW32" i="49"/>
  <c r="BL67" i="49" s="1"/>
  <c r="W30" i="50"/>
  <c r="AC78" i="50"/>
  <c r="I124" i="58" s="1"/>
  <c r="AC54" i="50"/>
  <c r="I124" i="54" s="1"/>
  <c r="AW54" i="50"/>
  <c r="I124" i="55" s="1"/>
  <c r="J32" i="50"/>
  <c r="I126" i="53" s="1"/>
  <c r="J9" i="50"/>
  <c r="I127" i="51" s="1"/>
  <c r="K79" i="50"/>
  <c r="J125" i="57" s="1"/>
  <c r="CA31" i="50"/>
  <c r="AW29" i="50"/>
  <c r="AW30" i="50"/>
  <c r="BA30" i="50" s="1"/>
  <c r="BH29" i="50"/>
  <c r="AW28" i="50"/>
  <c r="BA28" i="50" s="1"/>
  <c r="AW31" i="50"/>
  <c r="BA31" i="50" s="1"/>
  <c r="M32" i="50"/>
  <c r="L126" i="53" s="1"/>
  <c r="M9" i="50"/>
  <c r="L127" i="51" s="1"/>
  <c r="AB78" i="50"/>
  <c r="H124" i="58" s="1"/>
  <c r="AB54" i="50"/>
  <c r="H124" i="54" s="1"/>
  <c r="AV54" i="50"/>
  <c r="H124" i="55" s="1"/>
  <c r="H79" i="49"/>
  <c r="G105" i="57" s="1"/>
  <c r="AA55" i="49"/>
  <c r="G105" i="54" s="1"/>
  <c r="H55" i="49"/>
  <c r="G105" i="56" s="1"/>
  <c r="K9" i="49"/>
  <c r="J107" i="51" s="1"/>
  <c r="K32" i="49"/>
  <c r="X30" i="50"/>
  <c r="AG30" i="50"/>
  <c r="BJ68" i="50"/>
  <c r="BJ69" i="50"/>
  <c r="AH30" i="50"/>
  <c r="AR30" i="50"/>
  <c r="BJ60" i="50" s="1"/>
  <c r="AT30" i="50"/>
  <c r="BJ62" i="50" s="1"/>
  <c r="BJ6" i="50"/>
  <c r="BK6" i="50" s="1"/>
  <c r="BL6" i="50" s="1"/>
  <c r="P6" i="50" s="1"/>
  <c r="O124" i="51" s="1"/>
  <c r="AE30" i="50"/>
  <c r="X54" i="49"/>
  <c r="D104" i="54" s="1"/>
  <c r="X78" i="49"/>
  <c r="D104" i="58" s="1"/>
  <c r="AR54" i="49"/>
  <c r="D104" i="55" s="1"/>
  <c r="Y54" i="50"/>
  <c r="E124" i="54" s="1"/>
  <c r="Y78" i="50"/>
  <c r="E124" i="58" s="1"/>
  <c r="AS54" i="50"/>
  <c r="E124" i="55" s="1"/>
  <c r="F32" i="50"/>
  <c r="E126" i="53" s="1"/>
  <c r="F9" i="50"/>
  <c r="E127" i="51" s="1"/>
  <c r="J79" i="50"/>
  <c r="I125" i="57" s="1"/>
  <c r="J55" i="50"/>
  <c r="I125" i="56" s="1"/>
  <c r="Z78" i="49"/>
  <c r="F104" i="58" s="1"/>
  <c r="Z54" i="49"/>
  <c r="F104" i="54" s="1"/>
  <c r="AT54" i="49"/>
  <c r="F104" i="55" s="1"/>
  <c r="I32" i="50"/>
  <c r="H126" i="53" s="1"/>
  <c r="I9" i="50"/>
  <c r="H127" i="51" s="1"/>
  <c r="AB30" i="49"/>
  <c r="M55" i="50"/>
  <c r="L125" i="56" s="1"/>
  <c r="M79" i="50"/>
  <c r="L125" i="57" s="1"/>
  <c r="AD30" i="49"/>
  <c r="AF30" i="50"/>
  <c r="K79" i="49"/>
  <c r="J105" i="57" s="1"/>
  <c r="CA31" i="49"/>
  <c r="W78" i="50"/>
  <c r="C124" i="58" s="1"/>
  <c r="W54" i="50"/>
  <c r="C124" i="54" s="1"/>
  <c r="Q54" i="50"/>
  <c r="P124" i="56" s="1"/>
  <c r="AQ54" i="50"/>
  <c r="C124" i="55" s="1"/>
  <c r="F79" i="50"/>
  <c r="E125" i="57" s="1"/>
  <c r="F55" i="50"/>
  <c r="E125" i="56" s="1"/>
  <c r="I79" i="50"/>
  <c r="H125" i="57" s="1"/>
  <c r="I55" i="50"/>
  <c r="H125" i="56" s="1"/>
  <c r="AB78" i="49"/>
  <c r="H104" i="58" s="1"/>
  <c r="AB54" i="49"/>
  <c r="H104" i="54" s="1"/>
  <c r="AV54" i="49"/>
  <c r="H104" i="55" s="1"/>
  <c r="X78" i="50"/>
  <c r="D124" i="58" s="1"/>
  <c r="X54" i="50"/>
  <c r="D124" i="54" s="1"/>
  <c r="AR54" i="50"/>
  <c r="D124" i="55" s="1"/>
  <c r="AF78" i="50"/>
  <c r="L124" i="58" s="1"/>
  <c r="AF54" i="50"/>
  <c r="L124" i="54" s="1"/>
  <c r="AZ54" i="50"/>
  <c r="L124" i="55" s="1"/>
  <c r="Q78" i="50"/>
  <c r="P124" i="57" s="1"/>
  <c r="F79" i="49"/>
  <c r="E105" i="57" s="1"/>
  <c r="F55" i="49"/>
  <c r="E105" i="56" s="1"/>
  <c r="Q31" i="49"/>
  <c r="W31" i="49" s="1"/>
  <c r="D79" i="49"/>
  <c r="C105" i="57" s="1"/>
  <c r="D55" i="49"/>
  <c r="C105" i="56" s="1"/>
  <c r="I32" i="49"/>
  <c r="H106" i="53" s="1"/>
  <c r="I9" i="49"/>
  <c r="H107" i="51" s="1"/>
  <c r="AX54" i="50"/>
  <c r="J124" i="55" s="1"/>
  <c r="AD78" i="50"/>
  <c r="J124" i="58" s="1"/>
  <c r="AD54" i="50"/>
  <c r="J124" i="54" s="1"/>
  <c r="AI5" i="49"/>
  <c r="O103" i="59" s="1"/>
  <c r="P29" i="49"/>
  <c r="O103" i="53" s="1"/>
  <c r="BU29" i="49"/>
  <c r="BI66" i="49" s="1"/>
  <c r="BO29" i="49"/>
  <c r="BI64" i="49" s="1"/>
  <c r="AA30" i="50"/>
  <c r="AJ53" i="50"/>
  <c r="AD78" i="49"/>
  <c r="J104" i="58" s="1"/>
  <c r="AD54" i="49"/>
  <c r="J104" i="54" s="1"/>
  <c r="AX54" i="49"/>
  <c r="J104" i="55" s="1"/>
  <c r="I79" i="49"/>
  <c r="H105" i="57" s="1"/>
  <c r="I55" i="49"/>
  <c r="H105" i="56" s="1"/>
  <c r="AU29" i="49"/>
  <c r="Z30" i="50"/>
  <c r="F9" i="49"/>
  <c r="E107" i="51" s="1"/>
  <c r="F32" i="49"/>
  <c r="E106" i="53" s="1"/>
  <c r="AC30" i="49"/>
  <c r="G79" i="49"/>
  <c r="F105" i="57" s="1"/>
  <c r="G55" i="49"/>
  <c r="F105" i="56" s="1"/>
  <c r="AA78" i="50"/>
  <c r="G124" i="58" s="1"/>
  <c r="AU54" i="50"/>
  <c r="G124" i="55" s="1"/>
  <c r="AJ77" i="50"/>
  <c r="P123" i="58" s="1"/>
  <c r="E32" i="50"/>
  <c r="D126" i="53" s="1"/>
  <c r="E9" i="50"/>
  <c r="D127" i="51" s="1"/>
  <c r="Z78" i="50"/>
  <c r="F124" i="58" s="1"/>
  <c r="Z54" i="50"/>
  <c r="F124" i="54" s="1"/>
  <c r="AT54" i="50"/>
  <c r="F124" i="55" s="1"/>
  <c r="M32" i="49"/>
  <c r="L106" i="53" s="1"/>
  <c r="M9" i="49"/>
  <c r="L107" i="51" s="1"/>
  <c r="G79" i="50"/>
  <c r="F125" i="57" s="1"/>
  <c r="G55" i="50"/>
  <c r="F125" i="56" s="1"/>
  <c r="H32" i="50"/>
  <c r="G126" i="53" s="1"/>
  <c r="H9" i="50"/>
  <c r="G127" i="51" s="1"/>
  <c r="BW32" i="50"/>
  <c r="BL67" i="50" s="1"/>
  <c r="G32" i="49"/>
  <c r="F106" i="53" s="1"/>
  <c r="G9" i="49"/>
  <c r="F107" i="51" s="1"/>
  <c r="J32" i="49"/>
  <c r="I106" i="53" s="1"/>
  <c r="J9" i="49"/>
  <c r="I107" i="51" s="1"/>
  <c r="AQ30" i="49"/>
  <c r="BJ69" i="49"/>
  <c r="AG30" i="49"/>
  <c r="AT30" i="49"/>
  <c r="BJ62" i="49" s="1"/>
  <c r="AR30" i="49"/>
  <c r="BJ60" i="49" s="1"/>
  <c r="AE30" i="49"/>
  <c r="BJ6" i="49"/>
  <c r="BK6" i="49" s="1"/>
  <c r="BL6" i="49" s="1"/>
  <c r="P6" i="49" s="1"/>
  <c r="O104" i="51" s="1"/>
  <c r="AH30" i="49"/>
  <c r="BJ68" i="49"/>
  <c r="E79" i="50"/>
  <c r="D125" i="57" s="1"/>
  <c r="E55" i="50"/>
  <c r="D125" i="56" s="1"/>
  <c r="AI5" i="50"/>
  <c r="O123" i="59" s="1"/>
  <c r="P29" i="50"/>
  <c r="O123" i="53" s="1"/>
  <c r="BU29" i="50"/>
  <c r="BI66" i="50" s="1"/>
  <c r="BO29" i="50"/>
  <c r="BI64" i="50" s="1"/>
  <c r="AA78" i="49"/>
  <c r="G104" i="58" s="1"/>
  <c r="AU54" i="49"/>
  <c r="G104" i="55" s="1"/>
  <c r="E9" i="49"/>
  <c r="D107" i="51" s="1"/>
  <c r="E32" i="49"/>
  <c r="D106" i="53" s="1"/>
  <c r="M79" i="49"/>
  <c r="L105" i="57" s="1"/>
  <c r="M55" i="49"/>
  <c r="L105" i="56" s="1"/>
  <c r="AC78" i="49"/>
  <c r="I104" i="58" s="1"/>
  <c r="AC54" i="49"/>
  <c r="I104" i="54" s="1"/>
  <c r="AW54" i="49"/>
  <c r="I104" i="55" s="1"/>
  <c r="AI5" i="48"/>
  <c r="BO29" i="48"/>
  <c r="BI64" i="48" s="1"/>
  <c r="BU29" i="48"/>
  <c r="BI66" i="48" s="1"/>
  <c r="AU29" i="48"/>
  <c r="AS30" i="48"/>
  <c r="BJ61" i="48" s="1"/>
  <c r="AJ29" i="48"/>
  <c r="AF30" i="48"/>
  <c r="AG30" i="48"/>
  <c r="AB30" i="48"/>
  <c r="BJ69" i="48"/>
  <c r="BR32" i="48"/>
  <c r="BL65" i="48" s="1"/>
  <c r="Q54" i="48"/>
  <c r="P84" i="56" s="1"/>
  <c r="AT30" i="48"/>
  <c r="BJ62" i="48" s="1"/>
  <c r="AJ53" i="48"/>
  <c r="Q8" i="48"/>
  <c r="AJ77" i="48"/>
  <c r="P83" i="58" s="1"/>
  <c r="AA30" i="48"/>
  <c r="Y30" i="48"/>
  <c r="AC30" i="48"/>
  <c r="Q78" i="48"/>
  <c r="P84" i="57" s="1"/>
  <c r="L84" i="50"/>
  <c r="K130" i="57" s="1"/>
  <c r="C82" i="50"/>
  <c r="B128" i="57" s="1"/>
  <c r="V34" i="50"/>
  <c r="V82" i="50" s="1"/>
  <c r="B128" i="58" s="1"/>
  <c r="B83" i="50"/>
  <c r="A129" i="57" s="1"/>
  <c r="U35" i="50"/>
  <c r="U83" i="50" s="1"/>
  <c r="A129" i="58" s="1"/>
  <c r="BA32" i="50"/>
  <c r="AH82" i="50"/>
  <c r="N128" i="58" s="1"/>
  <c r="AH58" i="50"/>
  <c r="BB58" i="50"/>
  <c r="N128" i="55" s="1"/>
  <c r="AG82" i="50"/>
  <c r="M128" i="58" s="1"/>
  <c r="AG58" i="50"/>
  <c r="BA58" i="50"/>
  <c r="M128" i="55" s="1"/>
  <c r="O36" i="50"/>
  <c r="N130" i="53" s="1"/>
  <c r="O13" i="50"/>
  <c r="N131" i="51" s="1"/>
  <c r="AU13" i="50"/>
  <c r="C131" i="52" s="1"/>
  <c r="AZ33" i="50"/>
  <c r="AX33" i="50"/>
  <c r="AP34" i="50"/>
  <c r="AW33" i="50"/>
  <c r="O83" i="50"/>
  <c r="N129" i="57" s="1"/>
  <c r="O59" i="50"/>
  <c r="N129" i="56" s="1"/>
  <c r="N36" i="50"/>
  <c r="N13" i="50"/>
  <c r="M131" i="51" s="1"/>
  <c r="BX36" i="50"/>
  <c r="N83" i="50"/>
  <c r="M129" i="57" s="1"/>
  <c r="AE83" i="50"/>
  <c r="K129" i="58" s="1"/>
  <c r="AE59" i="50"/>
  <c r="AY59" i="50"/>
  <c r="K129" i="55" s="1"/>
  <c r="L37" i="50"/>
  <c r="L14" i="50"/>
  <c r="K132" i="51" s="1"/>
  <c r="C59" i="50"/>
  <c r="C35" i="50"/>
  <c r="B129" i="53" s="1"/>
  <c r="C12" i="50"/>
  <c r="B130" i="51" s="1"/>
  <c r="V11" i="50"/>
  <c r="AP11" i="50" s="1"/>
  <c r="B60" i="50"/>
  <c r="B36" i="50"/>
  <c r="A130" i="53" s="1"/>
  <c r="B13" i="50"/>
  <c r="A131" i="51" s="1"/>
  <c r="U12" i="50"/>
  <c r="AO12" i="50" s="1"/>
  <c r="AH81" i="49"/>
  <c r="N107" i="58" s="1"/>
  <c r="AH57" i="49"/>
  <c r="BB57" i="49"/>
  <c r="N107" i="55" s="1"/>
  <c r="B60" i="49"/>
  <c r="U12" i="49"/>
  <c r="AO12" i="49" s="1"/>
  <c r="B36" i="49"/>
  <c r="A110" i="53" s="1"/>
  <c r="B13" i="49"/>
  <c r="A111" i="51" s="1"/>
  <c r="AE81" i="49"/>
  <c r="K107" i="58" s="1"/>
  <c r="AE57" i="49"/>
  <c r="AY57" i="49"/>
  <c r="K107" i="55" s="1"/>
  <c r="C83" i="49"/>
  <c r="B109" i="57" s="1"/>
  <c r="V35" i="49"/>
  <c r="V83" i="49" s="1"/>
  <c r="B109" i="58" s="1"/>
  <c r="B83" i="49"/>
  <c r="A109" i="57" s="1"/>
  <c r="U35" i="49"/>
  <c r="U83" i="49" s="1"/>
  <c r="A109" i="58" s="1"/>
  <c r="C60" i="49"/>
  <c r="C36" i="49"/>
  <c r="B110" i="53" s="1"/>
  <c r="V12" i="49"/>
  <c r="AP12" i="49" s="1"/>
  <c r="C13" i="49"/>
  <c r="B111" i="51" s="1"/>
  <c r="N35" i="49"/>
  <c r="BX35" i="49"/>
  <c r="N12" i="49"/>
  <c r="M110" i="51" s="1"/>
  <c r="L35" i="49"/>
  <c r="L12" i="49"/>
  <c r="K110" i="51" s="1"/>
  <c r="L82" i="49"/>
  <c r="K108" i="57" s="1"/>
  <c r="BD14" i="49"/>
  <c r="J112" i="52" s="1"/>
  <c r="O35" i="49"/>
  <c r="N109" i="53" s="1"/>
  <c r="O12" i="49"/>
  <c r="N110" i="51" s="1"/>
  <c r="N82" i="49"/>
  <c r="M108" i="57" s="1"/>
  <c r="AG81" i="49"/>
  <c r="M107" i="58" s="1"/>
  <c r="AG57" i="49"/>
  <c r="BA57" i="49"/>
  <c r="M107" i="55" s="1"/>
  <c r="O82" i="49"/>
  <c r="N108" i="57" s="1"/>
  <c r="O58" i="49"/>
  <c r="N108" i="56" s="1"/>
  <c r="BA32" i="49"/>
  <c r="AX33" i="49"/>
  <c r="AP34" i="49"/>
  <c r="AZ33" i="49"/>
  <c r="AW33" i="49"/>
  <c r="G79" i="48"/>
  <c r="F85" i="57" s="1"/>
  <c r="G55" i="48"/>
  <c r="F85" i="56" s="1"/>
  <c r="AD30" i="48"/>
  <c r="Y54" i="48"/>
  <c r="E84" i="54" s="1"/>
  <c r="AS54" i="48"/>
  <c r="E84" i="55" s="1"/>
  <c r="Y78" i="48"/>
  <c r="E84" i="58" s="1"/>
  <c r="AQ30" i="48"/>
  <c r="BJ59" i="48" s="1"/>
  <c r="W30" i="48"/>
  <c r="F9" i="48"/>
  <c r="E87" i="51" s="1"/>
  <c r="F32" i="48"/>
  <c r="E86" i="53" s="1"/>
  <c r="G32" i="48"/>
  <c r="F86" i="53" s="1"/>
  <c r="G9" i="48"/>
  <c r="F87" i="51" s="1"/>
  <c r="AH30" i="48"/>
  <c r="Z54" i="48"/>
  <c r="F84" i="54" s="1"/>
  <c r="AT54" i="48"/>
  <c r="F84" i="55" s="1"/>
  <c r="Z78" i="48"/>
  <c r="F84" i="58" s="1"/>
  <c r="M9" i="48"/>
  <c r="L87" i="51" s="1"/>
  <c r="M32" i="48"/>
  <c r="F79" i="48"/>
  <c r="E85" i="57" s="1"/>
  <c r="F55" i="48"/>
  <c r="E85" i="56" s="1"/>
  <c r="X30" i="48"/>
  <c r="BJ6" i="48"/>
  <c r="BK6" i="48" s="1"/>
  <c r="BL6" i="48" s="1"/>
  <c r="P6" i="48" s="1"/>
  <c r="M79" i="48"/>
  <c r="L85" i="57" s="1"/>
  <c r="M55" i="48"/>
  <c r="L85" i="56" s="1"/>
  <c r="AF78" i="48"/>
  <c r="L84" i="58" s="1"/>
  <c r="AF54" i="48"/>
  <c r="L84" i="54" s="1"/>
  <c r="AZ54" i="48"/>
  <c r="L84" i="55" s="1"/>
  <c r="Q31" i="48"/>
  <c r="Z30" i="48"/>
  <c r="AR30" i="48"/>
  <c r="BJ60" i="48" s="1"/>
  <c r="AE30" i="48"/>
  <c r="BA29" i="48"/>
  <c r="BI59" i="48"/>
  <c r="C57" i="48"/>
  <c r="C33" i="48"/>
  <c r="B87" i="53" s="1"/>
  <c r="C10" i="48"/>
  <c r="B88" i="51" s="1"/>
  <c r="V9" i="48"/>
  <c r="AP9" i="48" s="1"/>
  <c r="AE79" i="48"/>
  <c r="K85" i="58" s="1"/>
  <c r="AE55" i="48"/>
  <c r="K85" i="54" s="1"/>
  <c r="AY55" i="48"/>
  <c r="K85" i="55" s="1"/>
  <c r="N34" i="48"/>
  <c r="BX34" i="48"/>
  <c r="N11" i="48"/>
  <c r="M89" i="51" s="1"/>
  <c r="C80" i="48"/>
  <c r="B86" i="57" s="1"/>
  <c r="V32" i="48"/>
  <c r="V80" i="48" s="1"/>
  <c r="B86" i="58" s="1"/>
  <c r="BA30" i="48"/>
  <c r="L33" i="48"/>
  <c r="L10" i="48"/>
  <c r="K88" i="51" s="1"/>
  <c r="O35" i="48"/>
  <c r="N89" i="53" s="1"/>
  <c r="O12" i="48"/>
  <c r="N90" i="51" s="1"/>
  <c r="AZ31" i="48"/>
  <c r="AX31" i="48"/>
  <c r="AP32" i="48"/>
  <c r="P77" i="48"/>
  <c r="O83" i="57" s="1"/>
  <c r="L80" i="48"/>
  <c r="K86" i="57" s="1"/>
  <c r="O82" i="48"/>
  <c r="N88" i="57" s="1"/>
  <c r="O58" i="48"/>
  <c r="N88" i="56" s="1"/>
  <c r="N81" i="48"/>
  <c r="M87" i="57" s="1"/>
  <c r="B58" i="48"/>
  <c r="B34" i="48"/>
  <c r="A88" i="53" s="1"/>
  <c r="B11" i="48"/>
  <c r="A89" i="51" s="1"/>
  <c r="U10" i="48"/>
  <c r="AO10" i="48" s="1"/>
  <c r="BD9" i="48"/>
  <c r="J87" i="52" s="1"/>
  <c r="AU10" i="48"/>
  <c r="C88" i="52" s="1"/>
  <c r="B81" i="48"/>
  <c r="A87" i="57" s="1"/>
  <c r="U33" i="48"/>
  <c r="U81" i="48" s="1"/>
  <c r="A87" i="58" s="1"/>
  <c r="AH81" i="48"/>
  <c r="N87" i="58" s="1"/>
  <c r="AH57" i="48"/>
  <c r="N87" i="54" s="1"/>
  <c r="BB57" i="48"/>
  <c r="N87" i="55" s="1"/>
  <c r="AG80" i="48"/>
  <c r="M86" i="58" s="1"/>
  <c r="AG56" i="48"/>
  <c r="M86" i="54" s="1"/>
  <c r="BA56" i="48"/>
  <c r="M86" i="55" s="1"/>
  <c r="N78" i="47"/>
  <c r="M64" i="57" s="1"/>
  <c r="AH77" i="47"/>
  <c r="N63" i="58" s="1"/>
  <c r="AH53" i="47"/>
  <c r="BB53" i="47"/>
  <c r="N63" i="55" s="1"/>
  <c r="C57" i="47"/>
  <c r="C33" i="47"/>
  <c r="B67" i="53" s="1"/>
  <c r="V9" i="47"/>
  <c r="AP9" i="47" s="1"/>
  <c r="C10" i="47"/>
  <c r="B68" i="51" s="1"/>
  <c r="C80" i="47"/>
  <c r="B66" i="57" s="1"/>
  <c r="V32" i="47"/>
  <c r="V80" i="47" s="1"/>
  <c r="B66" i="58" s="1"/>
  <c r="AG77" i="47"/>
  <c r="M63" i="58" s="1"/>
  <c r="AG53" i="47"/>
  <c r="BA53" i="47"/>
  <c r="M63" i="55" s="1"/>
  <c r="O31" i="47"/>
  <c r="N65" i="53" s="1"/>
  <c r="O8" i="47"/>
  <c r="N66" i="51" s="1"/>
  <c r="N6" i="51" s="1"/>
  <c r="BX31" i="47"/>
  <c r="N31" i="47"/>
  <c r="N8" i="47"/>
  <c r="M66" i="51" s="1"/>
  <c r="O78" i="47"/>
  <c r="N64" i="57" s="1"/>
  <c r="N4" i="57" s="1"/>
  <c r="O54" i="47"/>
  <c r="N64" i="56" s="1"/>
  <c r="N4" i="56" s="1"/>
  <c r="AU9" i="47"/>
  <c r="C67" i="52" s="1"/>
  <c r="B57" i="47"/>
  <c r="B33" i="47"/>
  <c r="A67" i="53" s="1"/>
  <c r="U9" i="47"/>
  <c r="AO9" i="47" s="1"/>
  <c r="B10" i="47"/>
  <c r="A68" i="51" s="1"/>
  <c r="AP30" i="47"/>
  <c r="AX29" i="47"/>
  <c r="AZ29" i="47"/>
  <c r="AE77" i="47"/>
  <c r="K63" i="58" s="1"/>
  <c r="AE53" i="47"/>
  <c r="AY53" i="47"/>
  <c r="K63" i="55" s="1"/>
  <c r="L31" i="47"/>
  <c r="L8" i="47"/>
  <c r="K66" i="51" s="1"/>
  <c r="B80" i="47"/>
  <c r="A66" i="57" s="1"/>
  <c r="U32" i="47"/>
  <c r="U80" i="47" s="1"/>
  <c r="A66" i="58" s="1"/>
  <c r="L78" i="47"/>
  <c r="K64" i="57" s="1"/>
  <c r="BK27" i="47"/>
  <c r="BL27" i="47"/>
  <c r="BT29" i="46"/>
  <c r="BQ29" i="46"/>
  <c r="AE76" i="46"/>
  <c r="K42" i="58" s="1"/>
  <c r="K2" i="58" s="1"/>
  <c r="AE52" i="46"/>
  <c r="AY52" i="46"/>
  <c r="O32" i="46"/>
  <c r="N46" i="53" s="1"/>
  <c r="O9" i="46"/>
  <c r="N47" i="51" s="1"/>
  <c r="BN30" i="46"/>
  <c r="BL31" i="46"/>
  <c r="C56" i="46"/>
  <c r="C32" i="46"/>
  <c r="B46" i="53" s="1"/>
  <c r="V8" i="46"/>
  <c r="AP8" i="46" s="1"/>
  <c r="C9" i="46"/>
  <c r="B47" i="51" s="1"/>
  <c r="O79" i="46"/>
  <c r="N45" i="57" s="1"/>
  <c r="O55" i="46"/>
  <c r="N45" i="56" s="1"/>
  <c r="B78" i="46"/>
  <c r="A44" i="57" s="1"/>
  <c r="U30" i="46"/>
  <c r="U78" i="46" s="1"/>
  <c r="A44" i="58" s="1"/>
  <c r="AG77" i="46"/>
  <c r="M43" i="58" s="1"/>
  <c r="AG53" i="46"/>
  <c r="BA53" i="46"/>
  <c r="C79" i="46"/>
  <c r="B45" i="57" s="1"/>
  <c r="V31" i="46"/>
  <c r="V79" i="46" s="1"/>
  <c r="B45" i="58" s="1"/>
  <c r="N78" i="46"/>
  <c r="M44" i="57" s="1"/>
  <c r="BK27" i="46"/>
  <c r="BL27" i="46"/>
  <c r="AH78" i="46"/>
  <c r="N44" i="58" s="1"/>
  <c r="AH54" i="46"/>
  <c r="BB54" i="46"/>
  <c r="L32" i="46"/>
  <c r="L9" i="46"/>
  <c r="K47" i="51" s="1"/>
  <c r="AZ29" i="46"/>
  <c r="AP30" i="46"/>
  <c r="AX29" i="46"/>
  <c r="AU8" i="46"/>
  <c r="C46" i="52" s="1"/>
  <c r="C6" i="52" s="1"/>
  <c r="BD7" i="46"/>
  <c r="J45" i="52" s="1"/>
  <c r="J5" i="52" s="1"/>
  <c r="AH76" i="46"/>
  <c r="N42" i="58" s="1"/>
  <c r="N2" i="58" s="1"/>
  <c r="AH52" i="46"/>
  <c r="BB52" i="46"/>
  <c r="L79" i="46"/>
  <c r="K45" i="57" s="1"/>
  <c r="BX31" i="46"/>
  <c r="N31" i="46"/>
  <c r="N8" i="46"/>
  <c r="M46" i="51" s="1"/>
  <c r="AE78" i="46"/>
  <c r="K44" i="58" s="1"/>
  <c r="AE54" i="46"/>
  <c r="AY54" i="46"/>
  <c r="B55" i="46"/>
  <c r="B31" i="46"/>
  <c r="A45" i="53" s="1"/>
  <c r="U7" i="46"/>
  <c r="AO7" i="46" s="1"/>
  <c r="B8" i="46"/>
  <c r="A46" i="51" s="1"/>
  <c r="C27" i="52"/>
  <c r="L8" i="44"/>
  <c r="K26" i="51" s="1"/>
  <c r="L31" i="44"/>
  <c r="AH78" i="44"/>
  <c r="N24" i="58" s="1"/>
  <c r="AH54" i="44"/>
  <c r="N24" i="54" s="1"/>
  <c r="BB54" i="44"/>
  <c r="N24" i="55" s="1"/>
  <c r="O32" i="44"/>
  <c r="O9" i="44"/>
  <c r="N27" i="51" s="1"/>
  <c r="AH77" i="44"/>
  <c r="N23" i="58" s="1"/>
  <c r="AH53" i="44"/>
  <c r="N23" i="54" s="1"/>
  <c r="BB53" i="44"/>
  <c r="N23" i="55" s="1"/>
  <c r="AE77" i="44"/>
  <c r="K23" i="58" s="1"/>
  <c r="AE53" i="44"/>
  <c r="K23" i="54" s="1"/>
  <c r="AY53" i="44"/>
  <c r="K23" i="55" s="1"/>
  <c r="O79" i="44"/>
  <c r="N25" i="57" s="1"/>
  <c r="AP32" i="44"/>
  <c r="AX31" i="44"/>
  <c r="AZ31" i="44"/>
  <c r="BN30" i="44"/>
  <c r="BL31" i="44"/>
  <c r="BM31" i="44" s="1"/>
  <c r="L78" i="44"/>
  <c r="K24" i="57" s="1"/>
  <c r="BQ29" i="44"/>
  <c r="BT29" i="44"/>
  <c r="BL29" i="43"/>
  <c r="BM29" i="43" s="1"/>
  <c r="BN28" i="43"/>
  <c r="BI3" i="43"/>
  <c r="AO27" i="43" a="1"/>
  <c r="AZ30" i="43"/>
  <c r="AP31" i="43"/>
  <c r="AX31" i="43" s="1"/>
  <c r="G75" i="31"/>
  <c r="G37" i="31"/>
  <c r="E38" i="31"/>
  <c r="AL58" i="43" l="1"/>
  <c r="E7" i="60"/>
  <c r="P126" i="51"/>
  <c r="AJ5" i="48"/>
  <c r="P83" i="59" s="1"/>
  <c r="O83" i="59"/>
  <c r="P86" i="51"/>
  <c r="P106" i="51"/>
  <c r="AV13" i="50"/>
  <c r="BD13" i="50" s="1"/>
  <c r="J131" i="52" s="1"/>
  <c r="D130" i="52"/>
  <c r="J10" i="48"/>
  <c r="I88" i="51" s="1"/>
  <c r="J33" i="48"/>
  <c r="I87" i="53" s="1"/>
  <c r="AC79" i="48"/>
  <c r="I85" i="58" s="1"/>
  <c r="AW55" i="48"/>
  <c r="I85" i="55" s="1"/>
  <c r="AC55" i="48"/>
  <c r="I85" i="54" s="1"/>
  <c r="AV55" i="48"/>
  <c r="H85" i="55" s="1"/>
  <c r="AB79" i="48"/>
  <c r="H85" i="58" s="1"/>
  <c r="D80" i="48"/>
  <c r="C86" i="57" s="1"/>
  <c r="AB55" i="48"/>
  <c r="H85" i="54" s="1"/>
  <c r="J56" i="48"/>
  <c r="I86" i="56" s="1"/>
  <c r="J80" i="48"/>
  <c r="I86" i="57" s="1"/>
  <c r="AQ55" i="48"/>
  <c r="C85" i="55" s="1"/>
  <c r="D56" i="48"/>
  <c r="C86" i="56" s="1"/>
  <c r="D10" i="48"/>
  <c r="C88" i="51" s="1"/>
  <c r="D33" i="48"/>
  <c r="C87" i="53" s="1"/>
  <c r="I56" i="48"/>
  <c r="H86" i="56" s="1"/>
  <c r="I80" i="48"/>
  <c r="H86" i="57" s="1"/>
  <c r="H56" i="48"/>
  <c r="G86" i="56" s="1"/>
  <c r="AA56" i="48"/>
  <c r="G86" i="54" s="1"/>
  <c r="W55" i="48"/>
  <c r="C85" i="54" s="1"/>
  <c r="W79" i="48"/>
  <c r="C85" i="58" s="1"/>
  <c r="I10" i="48"/>
  <c r="H88" i="51" s="1"/>
  <c r="AU55" i="48"/>
  <c r="G85" i="55" s="1"/>
  <c r="AA79" i="48"/>
  <c r="G85" i="58" s="1"/>
  <c r="H10" i="48"/>
  <c r="G88" i="51" s="1"/>
  <c r="H80" i="48"/>
  <c r="G86" i="57" s="1"/>
  <c r="I33" i="48"/>
  <c r="H87" i="53" s="1"/>
  <c r="BA12" i="48"/>
  <c r="I89" i="52"/>
  <c r="AV12" i="48"/>
  <c r="D89" i="52"/>
  <c r="H33" i="48"/>
  <c r="G87" i="53" s="1"/>
  <c r="AW12" i="48"/>
  <c r="E89" i="52"/>
  <c r="AX12" i="48"/>
  <c r="F89" i="52"/>
  <c r="AY12" i="48"/>
  <c r="G89" i="52"/>
  <c r="AZ12" i="48"/>
  <c r="H89" i="52"/>
  <c r="K6" i="51"/>
  <c r="M4" i="56"/>
  <c r="K4" i="56"/>
  <c r="N3" i="58"/>
  <c r="M6" i="51"/>
  <c r="K3" i="58"/>
  <c r="M4" i="53"/>
  <c r="AY10" i="47"/>
  <c r="G67" i="52"/>
  <c r="K4" i="53"/>
  <c r="AZ9" i="47"/>
  <c r="BD9" i="47" s="1"/>
  <c r="J67" i="52" s="1"/>
  <c r="H66" i="52"/>
  <c r="H6" i="52" s="1"/>
  <c r="AV10" i="47"/>
  <c r="D67" i="52"/>
  <c r="M4" i="57"/>
  <c r="BD8" i="47"/>
  <c r="J66" i="52" s="1"/>
  <c r="AW10" i="47"/>
  <c r="E67" i="52"/>
  <c r="BA10" i="47"/>
  <c r="I67" i="52"/>
  <c r="AX10" i="47"/>
  <c r="F67" i="52"/>
  <c r="D6" i="52"/>
  <c r="F6" i="52"/>
  <c r="I6" i="52"/>
  <c r="K3" i="55"/>
  <c r="G6" i="52"/>
  <c r="AW10" i="46"/>
  <c r="E47" i="52"/>
  <c r="AV10" i="46"/>
  <c r="D47" i="52"/>
  <c r="AZ10" i="46"/>
  <c r="H47" i="52"/>
  <c r="AX10" i="46"/>
  <c r="F47" i="52"/>
  <c r="BA10" i="46"/>
  <c r="I47" i="52"/>
  <c r="AY10" i="46"/>
  <c r="G47" i="52"/>
  <c r="N33" i="44"/>
  <c r="M27" i="53" s="1"/>
  <c r="BX33" i="44"/>
  <c r="N80" i="44"/>
  <c r="M26" i="57" s="1"/>
  <c r="M26" i="53"/>
  <c r="N10" i="44"/>
  <c r="M28" i="51" s="1"/>
  <c r="AZ10" i="44"/>
  <c r="H27" i="52"/>
  <c r="AW9" i="44"/>
  <c r="BD9" i="44" s="1"/>
  <c r="J27" i="52" s="1"/>
  <c r="E26" i="52"/>
  <c r="E6" i="52" s="1"/>
  <c r="AV10" i="44"/>
  <c r="D27" i="52"/>
  <c r="AX10" i="44"/>
  <c r="F27" i="52"/>
  <c r="AY10" i="44"/>
  <c r="G27" i="52"/>
  <c r="BA10" i="44"/>
  <c r="I27" i="52"/>
  <c r="A21" i="54"/>
  <c r="G15" i="31"/>
  <c r="E16" i="31"/>
  <c r="BA33" i="49"/>
  <c r="B24" i="54"/>
  <c r="AP54" i="44"/>
  <c r="B24" i="55" s="1"/>
  <c r="AO59" i="49"/>
  <c r="A109" i="55" s="1"/>
  <c r="A109" i="54"/>
  <c r="A27" i="51"/>
  <c r="B33" i="44"/>
  <c r="B10" i="44"/>
  <c r="U9" i="44"/>
  <c r="AO9" i="44" s="1"/>
  <c r="B57" i="44"/>
  <c r="E96" i="31"/>
  <c r="BM41" i="48"/>
  <c r="BN41" i="48" s="1"/>
  <c r="G95" i="31"/>
  <c r="AP56" i="48"/>
  <c r="B86" i="55" s="1"/>
  <c r="B86" i="54"/>
  <c r="AO66" i="43"/>
  <c r="A16" i="55" s="1"/>
  <c r="A16" i="54"/>
  <c r="AO59" i="50"/>
  <c r="A129" i="55" s="1"/>
  <c r="A129" i="54"/>
  <c r="AO68" i="43"/>
  <c r="A18" i="55" s="1"/>
  <c r="A18" i="54"/>
  <c r="AP62" i="43"/>
  <c r="B12" i="55" s="1"/>
  <c r="B12" i="54"/>
  <c r="AO69" i="43"/>
  <c r="A19" i="55" s="1"/>
  <c r="A19" i="54"/>
  <c r="BI8" i="46"/>
  <c r="B46" i="52"/>
  <c r="BH10" i="48"/>
  <c r="A88" i="52"/>
  <c r="BH12" i="49"/>
  <c r="A110" i="52"/>
  <c r="U60" i="50"/>
  <c r="A130" i="56"/>
  <c r="A26" i="56"/>
  <c r="U56" i="44"/>
  <c r="A26" i="54" s="1"/>
  <c r="AO64" i="43"/>
  <c r="A14" i="55" s="1"/>
  <c r="A14" i="54"/>
  <c r="BT40" i="48"/>
  <c r="BQ40" i="48"/>
  <c r="AO55" i="43"/>
  <c r="A5" i="55" s="1"/>
  <c r="A5" i="54"/>
  <c r="AP59" i="49"/>
  <c r="B109" i="55" s="1"/>
  <c r="B109" i="54"/>
  <c r="U60" i="49"/>
  <c r="A110" i="56"/>
  <c r="BI11" i="50"/>
  <c r="B129" i="52"/>
  <c r="AP64" i="43"/>
  <c r="B14" i="55" s="1"/>
  <c r="B14" i="54"/>
  <c r="AP66" i="43"/>
  <c r="B16" i="55" s="1"/>
  <c r="B16" i="54"/>
  <c r="AP71" i="43"/>
  <c r="B21" i="55" s="1"/>
  <c r="B21" i="54"/>
  <c r="A26" i="53"/>
  <c r="U32" i="44"/>
  <c r="U80" i="44" s="1"/>
  <c r="A26" i="58" s="1"/>
  <c r="B80" i="44"/>
  <c r="A26" i="57" s="1"/>
  <c r="A44" i="55"/>
  <c r="A44" i="54"/>
  <c r="AP56" i="43"/>
  <c r="B6" i="55" s="1"/>
  <c r="B6" i="54"/>
  <c r="AP67" i="43"/>
  <c r="B17" i="55" s="1"/>
  <c r="B17" i="54"/>
  <c r="AO56" i="47"/>
  <c r="A66" i="55" s="1"/>
  <c r="A66" i="54"/>
  <c r="V56" i="46"/>
  <c r="AP56" i="46" s="1"/>
  <c r="B46" i="56"/>
  <c r="BH9" i="47"/>
  <c r="A67" i="52"/>
  <c r="AO60" i="43"/>
  <c r="A10" i="55" s="1"/>
  <c r="A10" i="54"/>
  <c r="BT40" i="50"/>
  <c r="BQ40" i="50"/>
  <c r="BM41" i="49"/>
  <c r="BN41" i="49" s="1"/>
  <c r="G115" i="31"/>
  <c r="E116" i="31"/>
  <c r="BI8" i="44"/>
  <c r="B26" i="52"/>
  <c r="U58" i="48"/>
  <c r="A88" i="56"/>
  <c r="BI9" i="48"/>
  <c r="B87" i="52"/>
  <c r="AO56" i="43"/>
  <c r="A6" i="55" s="1"/>
  <c r="A6" i="54"/>
  <c r="BM42" i="47"/>
  <c r="BN42" i="47" s="1"/>
  <c r="BM42" i="46"/>
  <c r="E57" i="31"/>
  <c r="G56" i="31"/>
  <c r="AO61" i="43"/>
  <c r="A11" i="55" s="1"/>
  <c r="A11" i="54"/>
  <c r="AP58" i="50"/>
  <c r="B128" i="55" s="1"/>
  <c r="B128" i="54"/>
  <c r="AO70" i="43"/>
  <c r="A20" i="55" s="1"/>
  <c r="A20" i="54"/>
  <c r="E136" i="31"/>
  <c r="BM41" i="50"/>
  <c r="BN41" i="50" s="1"/>
  <c r="G135" i="31"/>
  <c r="AO67" i="43"/>
  <c r="A17" i="55" s="1"/>
  <c r="A17" i="54"/>
  <c r="AP52" i="43"/>
  <c r="B2" i="55" s="1"/>
  <c r="B2" i="54"/>
  <c r="BT40" i="49"/>
  <c r="BQ40" i="49"/>
  <c r="AP57" i="43"/>
  <c r="B7" i="55" s="1"/>
  <c r="B7" i="54"/>
  <c r="B45" i="55"/>
  <c r="B45" i="54"/>
  <c r="B26" i="56"/>
  <c r="V56" i="44"/>
  <c r="B26" i="54" s="1"/>
  <c r="BH7" i="46"/>
  <c r="A45" i="52"/>
  <c r="U57" i="47"/>
  <c r="A67" i="56"/>
  <c r="BI9" i="47"/>
  <c r="B67" i="52"/>
  <c r="BI12" i="49"/>
  <c r="B110" i="52"/>
  <c r="V59" i="50"/>
  <c r="B129" i="56"/>
  <c r="BQ41" i="47"/>
  <c r="BT41" i="47"/>
  <c r="AP54" i="43"/>
  <c r="B4" i="55" s="1"/>
  <c r="B4" i="54"/>
  <c r="AO62" i="43"/>
  <c r="A12" i="55" s="1"/>
  <c r="A12" i="54"/>
  <c r="AO55" i="44"/>
  <c r="A25" i="55" s="1"/>
  <c r="AO57" i="48"/>
  <c r="A87" i="55" s="1"/>
  <c r="A87" i="54"/>
  <c r="AO65" i="43"/>
  <c r="A15" i="55" s="1"/>
  <c r="A15" i="54"/>
  <c r="AP58" i="43"/>
  <c r="B8" i="55" s="1"/>
  <c r="B8" i="54"/>
  <c r="AO59" i="43"/>
  <c r="A9" i="55" s="1"/>
  <c r="A9" i="54"/>
  <c r="B27" i="51"/>
  <c r="C33" i="44"/>
  <c r="C57" i="44"/>
  <c r="V9" i="44"/>
  <c r="AP9" i="44" s="1"/>
  <c r="C10" i="44"/>
  <c r="BH12" i="50"/>
  <c r="A130" i="52"/>
  <c r="AP61" i="43"/>
  <c r="B11" i="55" s="1"/>
  <c r="B11" i="54"/>
  <c r="AP70" i="43"/>
  <c r="B20" i="55" s="1"/>
  <c r="B20" i="54"/>
  <c r="AP68" i="43"/>
  <c r="B18" i="55" s="1"/>
  <c r="B18" i="54"/>
  <c r="AP63" i="43"/>
  <c r="B13" i="55" s="1"/>
  <c r="B13" i="54"/>
  <c r="AP53" i="43"/>
  <c r="B3" i="55" s="1"/>
  <c r="B3" i="54"/>
  <c r="AO63" i="43"/>
  <c r="A13" i="55" s="1"/>
  <c r="A13" i="54"/>
  <c r="AP60" i="43"/>
  <c r="B10" i="55" s="1"/>
  <c r="B10" i="54"/>
  <c r="AO57" i="43"/>
  <c r="A7" i="55" s="1"/>
  <c r="A7" i="54"/>
  <c r="AO54" i="43"/>
  <c r="A4" i="55" s="1"/>
  <c r="A4" i="54"/>
  <c r="AP55" i="43"/>
  <c r="B5" i="55" s="1"/>
  <c r="B5" i="54"/>
  <c r="B26" i="53"/>
  <c r="C80" i="44"/>
  <c r="B26" i="57" s="1"/>
  <c r="V32" i="44"/>
  <c r="V80" i="44" s="1"/>
  <c r="B26" i="58" s="1"/>
  <c r="U55" i="46"/>
  <c r="AO55" i="46" s="1"/>
  <c r="A45" i="56"/>
  <c r="V57" i="47"/>
  <c r="B67" i="56"/>
  <c r="V57" i="48"/>
  <c r="B87" i="56"/>
  <c r="V60" i="49"/>
  <c r="B110" i="56"/>
  <c r="AO53" i="43"/>
  <c r="A3" i="55" s="1"/>
  <c r="A3" i="54"/>
  <c r="AO58" i="43"/>
  <c r="A8" i="55" s="1"/>
  <c r="A8" i="54"/>
  <c r="BH8" i="44"/>
  <c r="A26" i="52"/>
  <c r="AP69" i="43"/>
  <c r="B19" i="55" s="1"/>
  <c r="B19" i="54"/>
  <c r="AP65" i="43"/>
  <c r="B15" i="55" s="1"/>
  <c r="B15" i="54"/>
  <c r="AP59" i="43"/>
  <c r="B9" i="55" s="1"/>
  <c r="B9" i="54"/>
  <c r="AP56" i="47"/>
  <c r="B66" i="55" s="1"/>
  <c r="B66" i="54"/>
  <c r="BI59" i="49"/>
  <c r="AI29" i="48"/>
  <c r="M3" i="58"/>
  <c r="K3" i="54"/>
  <c r="N5" i="53"/>
  <c r="M109" i="53"/>
  <c r="N59" i="49"/>
  <c r="M109" i="56" s="1"/>
  <c r="N3" i="55"/>
  <c r="M130" i="53"/>
  <c r="N60" i="50"/>
  <c r="M130" i="56" s="1"/>
  <c r="X31" i="50"/>
  <c r="N3" i="54"/>
  <c r="L56" i="46"/>
  <c r="K46" i="56" s="1"/>
  <c r="K46" i="53"/>
  <c r="L61" i="50"/>
  <c r="K131" i="56" s="1"/>
  <c r="K131" i="53"/>
  <c r="K25" i="53"/>
  <c r="L55" i="44"/>
  <c r="K25" i="56" s="1"/>
  <c r="K42" i="55"/>
  <c r="K2" i="55" s="1"/>
  <c r="K2" i="54"/>
  <c r="N44" i="55"/>
  <c r="M43" i="55"/>
  <c r="M3" i="55" s="1"/>
  <c r="M3" i="54"/>
  <c r="K109" i="53"/>
  <c r="L59" i="49"/>
  <c r="K109" i="56" s="1"/>
  <c r="N55" i="46"/>
  <c r="M45" i="56" s="1"/>
  <c r="M45" i="53"/>
  <c r="AB31" i="50"/>
  <c r="N2" i="54"/>
  <c r="N42" i="55"/>
  <c r="N2" i="55" s="1"/>
  <c r="K4" i="57"/>
  <c r="K87" i="53"/>
  <c r="L57" i="48"/>
  <c r="K87" i="56" s="1"/>
  <c r="K44" i="55"/>
  <c r="N26" i="53"/>
  <c r="O56" i="44"/>
  <c r="N26" i="56" s="1"/>
  <c r="AG79" i="44"/>
  <c r="M25" i="58" s="1"/>
  <c r="K65" i="53"/>
  <c r="L55" i="47"/>
  <c r="K65" i="56" s="1"/>
  <c r="M65" i="53"/>
  <c r="N55" i="47"/>
  <c r="M65" i="56" s="1"/>
  <c r="N58" i="48"/>
  <c r="M88" i="56" s="1"/>
  <c r="M88" i="53"/>
  <c r="AS31" i="50"/>
  <c r="BK61" i="50" s="1"/>
  <c r="CA32" i="48"/>
  <c r="L86" i="53"/>
  <c r="AB31" i="49"/>
  <c r="J87" i="51"/>
  <c r="K10" i="48"/>
  <c r="K33" i="48"/>
  <c r="W31" i="50"/>
  <c r="P125" i="53"/>
  <c r="K56" i="48"/>
  <c r="J86" i="53"/>
  <c r="K80" i="48"/>
  <c r="J86" i="57" s="1"/>
  <c r="K56" i="49"/>
  <c r="J106" i="56" s="1"/>
  <c r="J106" i="53"/>
  <c r="K56" i="50"/>
  <c r="J126" i="56" s="1"/>
  <c r="J126" i="53"/>
  <c r="AK53" i="49"/>
  <c r="BI58" i="49" s="1"/>
  <c r="P103" i="54"/>
  <c r="J85" i="56"/>
  <c r="AX55" i="48"/>
  <c r="J85" i="55" s="1"/>
  <c r="AD55" i="48"/>
  <c r="J85" i="54" s="1"/>
  <c r="AD79" i="48"/>
  <c r="J85" i="58" s="1"/>
  <c r="D87" i="51"/>
  <c r="E33" i="48"/>
  <c r="E10" i="48"/>
  <c r="AQ31" i="48"/>
  <c r="BK59" i="48" s="1"/>
  <c r="P85" i="53"/>
  <c r="AK53" i="50"/>
  <c r="BI58" i="50" s="1"/>
  <c r="P123" i="54"/>
  <c r="AI6" i="48"/>
  <c r="O84" i="51"/>
  <c r="AC31" i="49"/>
  <c r="P105" i="53"/>
  <c r="D86" i="53"/>
  <c r="E80" i="48"/>
  <c r="D86" i="57" s="1"/>
  <c r="E56" i="48"/>
  <c r="AK53" i="48"/>
  <c r="BI58" i="48" s="1"/>
  <c r="P83" i="54"/>
  <c r="AJ30" i="50"/>
  <c r="AJ30" i="49"/>
  <c r="AQ31" i="49"/>
  <c r="BK59" i="49" s="1"/>
  <c r="AJ54" i="50"/>
  <c r="K33" i="49"/>
  <c r="K10" i="49"/>
  <c r="J108" i="51" s="1"/>
  <c r="D33" i="49"/>
  <c r="C107" i="53" s="1"/>
  <c r="Q9" i="49"/>
  <c r="D10" i="49"/>
  <c r="C108" i="51" s="1"/>
  <c r="BR33" i="49"/>
  <c r="BM65" i="49" s="1"/>
  <c r="D56" i="50"/>
  <c r="C126" i="56" s="1"/>
  <c r="D80" i="50"/>
  <c r="C126" i="57" s="1"/>
  <c r="Q32" i="50"/>
  <c r="W32" i="50" s="1"/>
  <c r="M56" i="49"/>
  <c r="L106" i="56" s="1"/>
  <c r="M80" i="49"/>
  <c r="L106" i="57" s="1"/>
  <c r="Q79" i="49"/>
  <c r="P105" i="57" s="1"/>
  <c r="AB79" i="50"/>
  <c r="H125" i="58" s="1"/>
  <c r="AB55" i="50"/>
  <c r="H125" i="54" s="1"/>
  <c r="AV55" i="50"/>
  <c r="H125" i="55" s="1"/>
  <c r="AJ78" i="50"/>
  <c r="P124" i="58" s="1"/>
  <c r="AA31" i="49"/>
  <c r="M10" i="50"/>
  <c r="L128" i="51" s="1"/>
  <c r="M33" i="50"/>
  <c r="L127" i="53" s="1"/>
  <c r="AD79" i="50"/>
  <c r="J125" i="58" s="1"/>
  <c r="AX55" i="50"/>
  <c r="J125" i="55" s="1"/>
  <c r="AD55" i="50"/>
  <c r="J125" i="54" s="1"/>
  <c r="AJ78" i="49"/>
  <c r="P104" i="58" s="1"/>
  <c r="E33" i="49"/>
  <c r="D107" i="53" s="1"/>
  <c r="E10" i="49"/>
  <c r="D108" i="51" s="1"/>
  <c r="BJ59" i="49"/>
  <c r="AU30" i="49"/>
  <c r="H10" i="50"/>
  <c r="G128" i="51" s="1"/>
  <c r="H33" i="50"/>
  <c r="G127" i="53" s="1"/>
  <c r="BW33" i="50"/>
  <c r="BM67" i="50" s="1"/>
  <c r="Z31" i="49"/>
  <c r="BJ7" i="49"/>
  <c r="BK7" i="49" s="1"/>
  <c r="BL7" i="49" s="1"/>
  <c r="P7" i="49" s="1"/>
  <c r="O105" i="51" s="1"/>
  <c r="AH31" i="49"/>
  <c r="AR31" i="49"/>
  <c r="BK60" i="49" s="1"/>
  <c r="AE31" i="49"/>
  <c r="AG31" i="49"/>
  <c r="BK68" i="49"/>
  <c r="BK69" i="49"/>
  <c r="AT31" i="49"/>
  <c r="BK62" i="49" s="1"/>
  <c r="AD31" i="49"/>
  <c r="AF79" i="50"/>
  <c r="L125" i="58" s="1"/>
  <c r="AF55" i="50"/>
  <c r="L125" i="54" s="1"/>
  <c r="AZ55" i="50"/>
  <c r="L125" i="55" s="1"/>
  <c r="AC31" i="50"/>
  <c r="AA79" i="49"/>
  <c r="G105" i="58" s="1"/>
  <c r="AU55" i="49"/>
  <c r="G105" i="55" s="1"/>
  <c r="M80" i="50"/>
  <c r="L126" i="57" s="1"/>
  <c r="M56" i="50"/>
  <c r="L126" i="56" s="1"/>
  <c r="AQ31" i="50"/>
  <c r="AC79" i="49"/>
  <c r="I105" i="58" s="1"/>
  <c r="AC55" i="49"/>
  <c r="I105" i="54" s="1"/>
  <c r="AW55" i="49"/>
  <c r="I105" i="55" s="1"/>
  <c r="AF31" i="49"/>
  <c r="H80" i="50"/>
  <c r="G126" i="57" s="1"/>
  <c r="AA56" i="50"/>
  <c r="G126" i="54" s="1"/>
  <c r="H56" i="50"/>
  <c r="G126" i="56" s="1"/>
  <c r="AS31" i="49"/>
  <c r="BK61" i="49" s="1"/>
  <c r="Y31" i="49"/>
  <c r="Y31" i="50"/>
  <c r="AC79" i="50"/>
  <c r="I125" i="58" s="1"/>
  <c r="AW55" i="50"/>
  <c r="I125" i="55" s="1"/>
  <c r="AC55" i="50"/>
  <c r="I125" i="54" s="1"/>
  <c r="J33" i="50"/>
  <c r="I127" i="53" s="1"/>
  <c r="J10" i="50"/>
  <c r="I128" i="51" s="1"/>
  <c r="H56" i="49"/>
  <c r="G106" i="56" s="1"/>
  <c r="H80" i="49"/>
  <c r="G106" i="57" s="1"/>
  <c r="AA56" i="49"/>
  <c r="G106" i="54" s="1"/>
  <c r="X31" i="49"/>
  <c r="AJ54" i="49"/>
  <c r="Q55" i="49"/>
  <c r="P105" i="56" s="1"/>
  <c r="W55" i="49"/>
  <c r="C105" i="54" s="1"/>
  <c r="W79" i="49"/>
  <c r="C105" i="58" s="1"/>
  <c r="AQ55" i="49"/>
  <c r="C105" i="55" s="1"/>
  <c r="AZ55" i="49"/>
  <c r="L105" i="55" s="1"/>
  <c r="AF55" i="49"/>
  <c r="L105" i="54" s="1"/>
  <c r="AF79" i="49"/>
  <c r="L105" i="58" s="1"/>
  <c r="AI6" i="49"/>
  <c r="O104" i="59" s="1"/>
  <c r="P30" i="49"/>
  <c r="O104" i="53" s="1"/>
  <c r="BO30" i="49"/>
  <c r="BJ64" i="49" s="1"/>
  <c r="BU30" i="49"/>
  <c r="BJ66" i="49" s="1"/>
  <c r="J10" i="49"/>
  <c r="I108" i="51" s="1"/>
  <c r="J33" i="49"/>
  <c r="I107" i="53" s="1"/>
  <c r="Z79" i="49"/>
  <c r="F105" i="58" s="1"/>
  <c r="Z55" i="49"/>
  <c r="F105" i="54" s="1"/>
  <c r="AT55" i="49"/>
  <c r="F105" i="55" s="1"/>
  <c r="I33" i="49"/>
  <c r="H107" i="53" s="1"/>
  <c r="I10" i="49"/>
  <c r="H108" i="51" s="1"/>
  <c r="Y79" i="49"/>
  <c r="E105" i="58" s="1"/>
  <c r="Y55" i="49"/>
  <c r="E105" i="54" s="1"/>
  <c r="AS55" i="49"/>
  <c r="E105" i="55" s="1"/>
  <c r="Y79" i="50"/>
  <c r="E125" i="58" s="1"/>
  <c r="Y55" i="50"/>
  <c r="E125" i="54" s="1"/>
  <c r="AS55" i="50"/>
  <c r="E125" i="55" s="1"/>
  <c r="J80" i="50"/>
  <c r="I126" i="57" s="1"/>
  <c r="J56" i="50"/>
  <c r="I126" i="56" s="1"/>
  <c r="H10" i="49"/>
  <c r="G108" i="51" s="1"/>
  <c r="H33" i="49"/>
  <c r="G107" i="53" s="1"/>
  <c r="BW33" i="49"/>
  <c r="BM67" i="49" s="1"/>
  <c r="AD31" i="50"/>
  <c r="AH31" i="50"/>
  <c r="AR31" i="50"/>
  <c r="BK60" i="50" s="1"/>
  <c r="BJ7" i="50"/>
  <c r="BK7" i="50" s="1"/>
  <c r="BL7" i="50" s="1"/>
  <c r="P7" i="50" s="1"/>
  <c r="O125" i="51" s="1"/>
  <c r="AE31" i="50"/>
  <c r="BK68" i="50"/>
  <c r="AG31" i="50"/>
  <c r="AT31" i="50"/>
  <c r="BK62" i="50" s="1"/>
  <c r="BK69" i="50"/>
  <c r="K33" i="50"/>
  <c r="K10" i="50"/>
  <c r="J128" i="51" s="1"/>
  <c r="AR55" i="49"/>
  <c r="D105" i="55" s="1"/>
  <c r="X79" i="49"/>
  <c r="D105" i="58" s="1"/>
  <c r="X55" i="49"/>
  <c r="D105" i="54" s="1"/>
  <c r="AA31" i="50"/>
  <c r="G10" i="50"/>
  <c r="F128" i="51" s="1"/>
  <c r="G33" i="50"/>
  <c r="F127" i="53" s="1"/>
  <c r="AR55" i="50"/>
  <c r="D125" i="55" s="1"/>
  <c r="X79" i="50"/>
  <c r="D125" i="58" s="1"/>
  <c r="X55" i="50"/>
  <c r="D125" i="54" s="1"/>
  <c r="M10" i="49"/>
  <c r="L108" i="51" s="1"/>
  <c r="M33" i="49"/>
  <c r="L107" i="53" s="1"/>
  <c r="F33" i="49"/>
  <c r="E107" i="53" s="1"/>
  <c r="F10" i="49"/>
  <c r="E108" i="51" s="1"/>
  <c r="AI29" i="50"/>
  <c r="P77" i="50"/>
  <c r="O123" i="57" s="1"/>
  <c r="J80" i="49"/>
  <c r="I106" i="57" s="1"/>
  <c r="J56" i="49"/>
  <c r="I106" i="56" s="1"/>
  <c r="Z31" i="50"/>
  <c r="E33" i="50"/>
  <c r="D127" i="53" s="1"/>
  <c r="E10" i="50"/>
  <c r="D128" i="51" s="1"/>
  <c r="AB79" i="49"/>
  <c r="H105" i="58" s="1"/>
  <c r="AB55" i="49"/>
  <c r="H105" i="54" s="1"/>
  <c r="AV55" i="49"/>
  <c r="H105" i="55" s="1"/>
  <c r="I80" i="49"/>
  <c r="H106" i="57" s="1"/>
  <c r="I56" i="49"/>
  <c r="H106" i="56" s="1"/>
  <c r="AD79" i="49"/>
  <c r="J105" i="58" s="1"/>
  <c r="AD55" i="49"/>
  <c r="J105" i="54" s="1"/>
  <c r="AX55" i="49"/>
  <c r="J105" i="55" s="1"/>
  <c r="I33" i="50"/>
  <c r="H127" i="53" s="1"/>
  <c r="I10" i="50"/>
  <c r="H128" i="51" s="1"/>
  <c r="W79" i="50"/>
  <c r="C125" i="58" s="1"/>
  <c r="W55" i="50"/>
  <c r="C125" i="54" s="1"/>
  <c r="Q55" i="50"/>
  <c r="P125" i="56" s="1"/>
  <c r="AQ55" i="50"/>
  <c r="C125" i="55" s="1"/>
  <c r="CA32" i="50"/>
  <c r="K80" i="50"/>
  <c r="J126" i="57" s="1"/>
  <c r="G80" i="50"/>
  <c r="F126" i="57" s="1"/>
  <c r="G56" i="50"/>
  <c r="F126" i="56" s="1"/>
  <c r="AJ5" i="50"/>
  <c r="P123" i="59" s="1"/>
  <c r="BC53" i="50"/>
  <c r="G33" i="49"/>
  <c r="F107" i="53" s="1"/>
  <c r="G10" i="49"/>
  <c r="F108" i="51" s="1"/>
  <c r="Z79" i="50"/>
  <c r="F125" i="58" s="1"/>
  <c r="Z55" i="50"/>
  <c r="F125" i="54" s="1"/>
  <c r="AT55" i="50"/>
  <c r="F125" i="55" s="1"/>
  <c r="E80" i="50"/>
  <c r="D126" i="57" s="1"/>
  <c r="E56" i="50"/>
  <c r="D126" i="56" s="1"/>
  <c r="P77" i="49"/>
  <c r="O103" i="57" s="1"/>
  <c r="AI29" i="49"/>
  <c r="I56" i="50"/>
  <c r="H126" i="56" s="1"/>
  <c r="I80" i="50"/>
  <c r="H126" i="57" s="1"/>
  <c r="F33" i="50"/>
  <c r="E127" i="53" s="1"/>
  <c r="F10" i="50"/>
  <c r="E128" i="51" s="1"/>
  <c r="Q79" i="50"/>
  <c r="P125" i="57" s="1"/>
  <c r="AU30" i="50"/>
  <c r="AA79" i="50"/>
  <c r="G125" i="58" s="1"/>
  <c r="AU55" i="50"/>
  <c r="G125" i="55" s="1"/>
  <c r="E80" i="49"/>
  <c r="D106" i="57" s="1"/>
  <c r="E56" i="49"/>
  <c r="D106" i="56" s="1"/>
  <c r="G56" i="49"/>
  <c r="F106" i="56" s="1"/>
  <c r="G80" i="49"/>
  <c r="F106" i="57" s="1"/>
  <c r="F56" i="49"/>
  <c r="E106" i="56" s="1"/>
  <c r="F80" i="49"/>
  <c r="E106" i="57" s="1"/>
  <c r="AJ5" i="49"/>
  <c r="P103" i="59" s="1"/>
  <c r="F80" i="50"/>
  <c r="E126" i="57" s="1"/>
  <c r="F56" i="50"/>
  <c r="E126" i="56" s="1"/>
  <c r="P30" i="50"/>
  <c r="O124" i="53" s="1"/>
  <c r="AI6" i="50"/>
  <c r="O124" i="59" s="1"/>
  <c r="BU30" i="50"/>
  <c r="BJ66" i="50" s="1"/>
  <c r="BO30" i="50"/>
  <c r="BJ64" i="50" s="1"/>
  <c r="K80" i="49"/>
  <c r="J106" i="57" s="1"/>
  <c r="CA32" i="49"/>
  <c r="BA29" i="50"/>
  <c r="BI59" i="50"/>
  <c r="D56" i="49"/>
  <c r="C106" i="56" s="1"/>
  <c r="Q32" i="49"/>
  <c r="D80" i="49"/>
  <c r="C106" i="57" s="1"/>
  <c r="BJ59" i="50"/>
  <c r="D33" i="50"/>
  <c r="C127" i="53" s="1"/>
  <c r="D10" i="50"/>
  <c r="C128" i="51" s="1"/>
  <c r="BR33" i="50"/>
  <c r="BM65" i="50" s="1"/>
  <c r="Q9" i="50"/>
  <c r="Q55" i="48"/>
  <c r="P85" i="56" s="1"/>
  <c r="Q32" i="48"/>
  <c r="AJ78" i="48"/>
  <c r="P84" i="58" s="1"/>
  <c r="Q9" i="48"/>
  <c r="AJ54" i="48"/>
  <c r="Q79" i="48"/>
  <c r="P85" i="57" s="1"/>
  <c r="P30" i="48"/>
  <c r="BU30" i="48"/>
  <c r="BJ66" i="48" s="1"/>
  <c r="AE31" i="48"/>
  <c r="BR33" i="48"/>
  <c r="BM65" i="48" s="1"/>
  <c r="AF31" i="48"/>
  <c r="BO30" i="48"/>
  <c r="BJ64" i="48" s="1"/>
  <c r="X31" i="48"/>
  <c r="Z31" i="48"/>
  <c r="AJ30" i="48"/>
  <c r="BK68" i="48"/>
  <c r="AU30" i="48"/>
  <c r="BK69" i="48"/>
  <c r="C60" i="50"/>
  <c r="C36" i="50"/>
  <c r="B130" i="53" s="1"/>
  <c r="V12" i="50"/>
  <c r="AP12" i="50" s="1"/>
  <c r="C13" i="50"/>
  <c r="B131" i="51" s="1"/>
  <c r="C83" i="50"/>
  <c r="B129" i="57" s="1"/>
  <c r="V35" i="50"/>
  <c r="V83" i="50" s="1"/>
  <c r="B129" i="58" s="1"/>
  <c r="L85" i="50"/>
  <c r="K131" i="57" s="1"/>
  <c r="BA33" i="50"/>
  <c r="B61" i="50"/>
  <c r="B37" i="50"/>
  <c r="A131" i="53" s="1"/>
  <c r="B14" i="50"/>
  <c r="A132" i="51" s="1"/>
  <c r="U13" i="50"/>
  <c r="AO13" i="50" s="1"/>
  <c r="AG83" i="50"/>
  <c r="M129" i="58" s="1"/>
  <c r="AG59" i="50"/>
  <c r="BA59" i="50"/>
  <c r="M129" i="55" s="1"/>
  <c r="N37" i="50"/>
  <c r="BX37" i="50"/>
  <c r="N14" i="50"/>
  <c r="M132" i="51" s="1"/>
  <c r="AX34" i="50"/>
  <c r="AP35" i="50"/>
  <c r="AZ34" i="50"/>
  <c r="AW34" i="50"/>
  <c r="O37" i="50"/>
  <c r="N131" i="53" s="1"/>
  <c r="O14" i="50"/>
  <c r="N132" i="51" s="1"/>
  <c r="L38" i="50"/>
  <c r="L15" i="50"/>
  <c r="K133" i="51" s="1"/>
  <c r="B84" i="50"/>
  <c r="A130" i="57" s="1"/>
  <c r="U36" i="50"/>
  <c r="U84" i="50" s="1"/>
  <c r="A130" i="58" s="1"/>
  <c r="N84" i="50"/>
  <c r="M130" i="57" s="1"/>
  <c r="O84" i="50"/>
  <c r="N130" i="57" s="1"/>
  <c r="O60" i="50"/>
  <c r="N130" i="56" s="1"/>
  <c r="AE84" i="50"/>
  <c r="K130" i="58" s="1"/>
  <c r="AE60" i="50"/>
  <c r="AY60" i="50"/>
  <c r="K130" i="55" s="1"/>
  <c r="AH83" i="50"/>
  <c r="N129" i="58" s="1"/>
  <c r="AH59" i="50"/>
  <c r="BB59" i="50"/>
  <c r="N129" i="55" s="1"/>
  <c r="AU14" i="50"/>
  <c r="C132" i="52" s="1"/>
  <c r="C84" i="49"/>
  <c r="B110" i="57" s="1"/>
  <c r="V36" i="49"/>
  <c r="V84" i="49" s="1"/>
  <c r="B110" i="58" s="1"/>
  <c r="AG82" i="49"/>
  <c r="M108" i="58" s="1"/>
  <c r="AG58" i="49"/>
  <c r="BA58" i="49"/>
  <c r="M108" i="55" s="1"/>
  <c r="AH82" i="49"/>
  <c r="N108" i="58" s="1"/>
  <c r="AH58" i="49"/>
  <c r="BB58" i="49"/>
  <c r="N108" i="55" s="1"/>
  <c r="BD15" i="49"/>
  <c r="J113" i="52" s="1"/>
  <c r="BX36" i="49"/>
  <c r="N13" i="49"/>
  <c r="M111" i="51" s="1"/>
  <c r="N36" i="49"/>
  <c r="AZ34" i="49"/>
  <c r="AP35" i="49"/>
  <c r="AX34" i="49"/>
  <c r="AW34" i="49"/>
  <c r="O36" i="49"/>
  <c r="N110" i="53" s="1"/>
  <c r="O13" i="49"/>
  <c r="N111" i="51" s="1"/>
  <c r="O83" i="49"/>
  <c r="N109" i="57" s="1"/>
  <c r="O59" i="49"/>
  <c r="N109" i="56" s="1"/>
  <c r="AE82" i="49"/>
  <c r="K108" i="58" s="1"/>
  <c r="AE58" i="49"/>
  <c r="AY58" i="49"/>
  <c r="K108" i="55" s="1"/>
  <c r="N83" i="49"/>
  <c r="M109" i="57" s="1"/>
  <c r="L36" i="49"/>
  <c r="L13" i="49"/>
  <c r="K111" i="51" s="1"/>
  <c r="C61" i="49"/>
  <c r="C37" i="49"/>
  <c r="B111" i="53" s="1"/>
  <c r="C14" i="49"/>
  <c r="B112" i="51" s="1"/>
  <c r="V13" i="49"/>
  <c r="AP13" i="49" s="1"/>
  <c r="B61" i="49"/>
  <c r="B37" i="49"/>
  <c r="A111" i="53" s="1"/>
  <c r="B14" i="49"/>
  <c r="A112" i="51" s="1"/>
  <c r="U13" i="49"/>
  <c r="AO13" i="49" s="1"/>
  <c r="L83" i="49"/>
  <c r="K109" i="57" s="1"/>
  <c r="B84" i="49"/>
  <c r="A110" i="57" s="1"/>
  <c r="U36" i="49"/>
  <c r="U84" i="49" s="1"/>
  <c r="A110" i="58" s="1"/>
  <c r="Y31" i="48"/>
  <c r="W31" i="48"/>
  <c r="AH31" i="48"/>
  <c r="AC31" i="48"/>
  <c r="G33" i="48"/>
  <c r="F87" i="53" s="1"/>
  <c r="G10" i="48"/>
  <c r="F88" i="51" s="1"/>
  <c r="Y55" i="48"/>
  <c r="E85" i="54" s="1"/>
  <c r="Y79" i="48"/>
  <c r="E85" i="58" s="1"/>
  <c r="AS55" i="48"/>
  <c r="E85" i="55" s="1"/>
  <c r="AD31" i="48"/>
  <c r="AR31" i="48"/>
  <c r="BK60" i="48" s="1"/>
  <c r="M80" i="48"/>
  <c r="L86" i="57" s="1"/>
  <c r="M56" i="48"/>
  <c r="L86" i="56" s="1"/>
  <c r="G80" i="48"/>
  <c r="F86" i="57" s="1"/>
  <c r="G56" i="48"/>
  <c r="F86" i="56" s="1"/>
  <c r="AG31" i="48"/>
  <c r="BJ7" i="48"/>
  <c r="BK7" i="48" s="1"/>
  <c r="BL7" i="48" s="1"/>
  <c r="P7" i="48" s="1"/>
  <c r="AA31" i="48"/>
  <c r="M33" i="48"/>
  <c r="L87" i="53" s="1"/>
  <c r="M10" i="48"/>
  <c r="F56" i="48"/>
  <c r="E86" i="56" s="1"/>
  <c r="F80" i="48"/>
  <c r="E86" i="57" s="1"/>
  <c r="Z55" i="48"/>
  <c r="F85" i="54" s="1"/>
  <c r="AT55" i="48"/>
  <c r="F85" i="55" s="1"/>
  <c r="Z79" i="48"/>
  <c r="F85" i="58" s="1"/>
  <c r="AS31" i="48"/>
  <c r="BK61" i="48" s="1"/>
  <c r="AT31" i="48"/>
  <c r="BK62" i="48" s="1"/>
  <c r="AB31" i="48"/>
  <c r="BW33" i="48"/>
  <c r="BM67" i="48" s="1"/>
  <c r="AZ55" i="48"/>
  <c r="L85" i="55" s="1"/>
  <c r="AF79" i="48"/>
  <c r="L85" i="58" s="1"/>
  <c r="AF55" i="48"/>
  <c r="L85" i="54" s="1"/>
  <c r="F10" i="48"/>
  <c r="E88" i="51" s="1"/>
  <c r="F33" i="48"/>
  <c r="E87" i="53" s="1"/>
  <c r="BA31" i="48"/>
  <c r="AG81" i="48"/>
  <c r="M87" i="58" s="1"/>
  <c r="AG57" i="48"/>
  <c r="M87" i="54" s="1"/>
  <c r="BA57" i="48"/>
  <c r="M87" i="55" s="1"/>
  <c r="AE80" i="48"/>
  <c r="K86" i="58" s="1"/>
  <c r="AE56" i="48"/>
  <c r="K86" i="54" s="1"/>
  <c r="AY56" i="48"/>
  <c r="K86" i="55" s="1"/>
  <c r="O36" i="48"/>
  <c r="N90" i="53" s="1"/>
  <c r="O13" i="48"/>
  <c r="N91" i="51" s="1"/>
  <c r="B82" i="48"/>
  <c r="A88" i="57" s="1"/>
  <c r="U34" i="48"/>
  <c r="U82" i="48" s="1"/>
  <c r="A88" i="58" s="1"/>
  <c r="N82" i="48"/>
  <c r="M88" i="57" s="1"/>
  <c r="O83" i="48"/>
  <c r="N89" i="57" s="1"/>
  <c r="O59" i="48"/>
  <c r="N89" i="56" s="1"/>
  <c r="AP33" i="48"/>
  <c r="AZ32" i="48"/>
  <c r="AX32" i="48"/>
  <c r="AW32" i="48"/>
  <c r="BC53" i="48"/>
  <c r="B35" i="48"/>
  <c r="A89" i="53" s="1"/>
  <c r="B59" i="48"/>
  <c r="U11" i="48"/>
  <c r="AO11" i="48" s="1"/>
  <c r="B12" i="48"/>
  <c r="A90" i="51" s="1"/>
  <c r="BX35" i="48"/>
  <c r="N35" i="48"/>
  <c r="N12" i="48"/>
  <c r="M90" i="51" s="1"/>
  <c r="BD10" i="48"/>
  <c r="J88" i="52" s="1"/>
  <c r="AU11" i="48"/>
  <c r="C89" i="52" s="1"/>
  <c r="L11" i="48"/>
  <c r="K89" i="51" s="1"/>
  <c r="L34" i="48"/>
  <c r="AH82" i="48"/>
  <c r="N88" i="58" s="1"/>
  <c r="AH58" i="48"/>
  <c r="N88" i="54" s="1"/>
  <c r="BB58" i="48"/>
  <c r="N88" i="55" s="1"/>
  <c r="L81" i="48"/>
  <c r="K87" i="57" s="1"/>
  <c r="C58" i="48"/>
  <c r="C34" i="48"/>
  <c r="B88" i="53" s="1"/>
  <c r="C11" i="48"/>
  <c r="B89" i="51" s="1"/>
  <c r="V10" i="48"/>
  <c r="AP10" i="48" s="1"/>
  <c r="C81" i="48"/>
  <c r="B87" i="57" s="1"/>
  <c r="V33" i="48"/>
  <c r="V81" i="48" s="1"/>
  <c r="B87" i="58" s="1"/>
  <c r="AZ30" i="47"/>
  <c r="AP31" i="47"/>
  <c r="AX30" i="47"/>
  <c r="B58" i="47"/>
  <c r="B34" i="47"/>
  <c r="A68" i="53" s="1"/>
  <c r="B11" i="47"/>
  <c r="A69" i="51" s="1"/>
  <c r="U10" i="47"/>
  <c r="AO10" i="47" s="1"/>
  <c r="AU10" i="47"/>
  <c r="C68" i="52" s="1"/>
  <c r="O32" i="47"/>
  <c r="N66" i="53" s="1"/>
  <c r="O9" i="47"/>
  <c r="N67" i="51" s="1"/>
  <c r="N7" i="51" s="1"/>
  <c r="C81" i="47"/>
  <c r="B67" i="57" s="1"/>
  <c r="V33" i="47"/>
  <c r="V81" i="47" s="1"/>
  <c r="B67" i="58" s="1"/>
  <c r="O79" i="47"/>
  <c r="N65" i="57" s="1"/>
  <c r="N5" i="57" s="1"/>
  <c r="O55" i="47"/>
  <c r="N65" i="56" s="1"/>
  <c r="N5" i="56" s="1"/>
  <c r="B81" i="47"/>
  <c r="A67" i="57" s="1"/>
  <c r="U33" i="47"/>
  <c r="U81" i="47" s="1"/>
  <c r="A67" i="58" s="1"/>
  <c r="AH78" i="47"/>
  <c r="N64" i="58" s="1"/>
  <c r="N4" i="58" s="1"/>
  <c r="AH54" i="47"/>
  <c r="BB54" i="47"/>
  <c r="N64" i="55" s="1"/>
  <c r="AG78" i="47"/>
  <c r="M64" i="58" s="1"/>
  <c r="AG54" i="47"/>
  <c r="BA54" i="47"/>
  <c r="M64" i="55" s="1"/>
  <c r="L32" i="47"/>
  <c r="L9" i="47"/>
  <c r="K67" i="51" s="1"/>
  <c r="N32" i="47"/>
  <c r="BX32" i="47"/>
  <c r="N9" i="47"/>
  <c r="M67" i="51" s="1"/>
  <c r="C58" i="47"/>
  <c r="C34" i="47"/>
  <c r="B68" i="53" s="1"/>
  <c r="V10" i="47"/>
  <c r="AP10" i="47" s="1"/>
  <c r="C11" i="47"/>
  <c r="B69" i="51" s="1"/>
  <c r="AE78" i="47"/>
  <c r="K64" i="58" s="1"/>
  <c r="AE54" i="47"/>
  <c r="AY54" i="47"/>
  <c r="K64" i="55" s="1"/>
  <c r="L79" i="47"/>
  <c r="K65" i="57" s="1"/>
  <c r="N79" i="47"/>
  <c r="M65" i="57" s="1"/>
  <c r="AE79" i="46"/>
  <c r="K45" i="58" s="1"/>
  <c r="AE55" i="46"/>
  <c r="AY55" i="46"/>
  <c r="N32" i="46"/>
  <c r="N9" i="46"/>
  <c r="M47" i="51" s="1"/>
  <c r="BX32" i="46"/>
  <c r="AU9" i="46"/>
  <c r="C47" i="52" s="1"/>
  <c r="C7" i="52" s="1"/>
  <c r="BD8" i="46"/>
  <c r="J46" i="52" s="1"/>
  <c r="O33" i="46"/>
  <c r="N47" i="53" s="1"/>
  <c r="O10" i="46"/>
  <c r="N48" i="51" s="1"/>
  <c r="B56" i="46"/>
  <c r="B32" i="46"/>
  <c r="A46" i="53" s="1"/>
  <c r="B9" i="46"/>
  <c r="A47" i="51" s="1"/>
  <c r="U8" i="46"/>
  <c r="AO8" i="46" s="1"/>
  <c r="N79" i="46"/>
  <c r="M45" i="57" s="1"/>
  <c r="O80" i="46"/>
  <c r="N46" i="57" s="1"/>
  <c r="O56" i="46"/>
  <c r="N46" i="56" s="1"/>
  <c r="C57" i="46"/>
  <c r="C10" i="46"/>
  <c r="B48" i="51" s="1"/>
  <c r="C33" i="46"/>
  <c r="B47" i="53" s="1"/>
  <c r="V9" i="46"/>
  <c r="AP9" i="46" s="1"/>
  <c r="L33" i="46"/>
  <c r="L10" i="46"/>
  <c r="K48" i="51" s="1"/>
  <c r="L80" i="46"/>
  <c r="K46" i="57" s="1"/>
  <c r="AH79" i="46"/>
  <c r="N45" i="58" s="1"/>
  <c r="AH55" i="46"/>
  <c r="BB55" i="46"/>
  <c r="C80" i="46"/>
  <c r="B46" i="57" s="1"/>
  <c r="V32" i="46"/>
  <c r="V80" i="46" s="1"/>
  <c r="B46" i="58" s="1"/>
  <c r="AG78" i="46"/>
  <c r="M44" i="58" s="1"/>
  <c r="AG54" i="46"/>
  <c r="BA54" i="46"/>
  <c r="B79" i="46"/>
  <c r="A45" i="57" s="1"/>
  <c r="U31" i="46"/>
  <c r="U79" i="46" s="1"/>
  <c r="A45" i="58" s="1"/>
  <c r="AZ30" i="46"/>
  <c r="AP31" i="46"/>
  <c r="AX30" i="46"/>
  <c r="BL32" i="46"/>
  <c r="BN31" i="46"/>
  <c r="BQ30" i="46"/>
  <c r="BT30" i="46"/>
  <c r="BA55" i="44"/>
  <c r="M25" i="55" s="1"/>
  <c r="AG55" i="44"/>
  <c r="M25" i="54" s="1"/>
  <c r="BN31" i="44"/>
  <c r="BL32" i="44"/>
  <c r="BM32" i="44" s="1"/>
  <c r="BQ30" i="44"/>
  <c r="BT30" i="44"/>
  <c r="O33" i="44"/>
  <c r="O10" i="44"/>
  <c r="N28" i="51" s="1"/>
  <c r="O80" i="44"/>
  <c r="N26" i="57" s="1"/>
  <c r="L79" i="44"/>
  <c r="K25" i="57" s="1"/>
  <c r="L32" i="44"/>
  <c r="L9" i="44"/>
  <c r="K27" i="51" s="1"/>
  <c r="AH79" i="44"/>
  <c r="N25" i="58" s="1"/>
  <c r="AH55" i="44"/>
  <c r="N25" i="54" s="1"/>
  <c r="BB55" i="44"/>
  <c r="N25" i="55" s="1"/>
  <c r="AG80" i="44"/>
  <c r="M26" i="58" s="1"/>
  <c r="AG56" i="44"/>
  <c r="M26" i="54" s="1"/>
  <c r="BA56" i="44"/>
  <c r="M26" i="55" s="1"/>
  <c r="AE78" i="44"/>
  <c r="K24" i="58" s="1"/>
  <c r="AE54" i="44"/>
  <c r="K24" i="54" s="1"/>
  <c r="AY54" i="44"/>
  <c r="K24" i="55" s="1"/>
  <c r="C28" i="52"/>
  <c r="AZ32" i="44"/>
  <c r="AP33" i="44"/>
  <c r="AX32" i="44"/>
  <c r="BQ28" i="43"/>
  <c r="BT28" i="43"/>
  <c r="BL30" i="43"/>
  <c r="BM30" i="43" s="1"/>
  <c r="BN29" i="43"/>
  <c r="AP27" i="43"/>
  <c r="AO27" i="43"/>
  <c r="AP32" i="43"/>
  <c r="AX32" i="43" s="1"/>
  <c r="AZ31" i="43"/>
  <c r="G76" i="31"/>
  <c r="E39" i="31"/>
  <c r="G38" i="31"/>
  <c r="A2" i="27"/>
  <c r="A3" i="27"/>
  <c r="A4" i="27"/>
  <c r="A5" i="27"/>
  <c r="A6" i="27"/>
  <c r="A7" i="27"/>
  <c r="A8" i="27"/>
  <c r="A9" i="27"/>
  <c r="A10" i="27"/>
  <c r="A11" i="27"/>
  <c r="A12" i="27"/>
  <c r="A13" i="27"/>
  <c r="A14" i="27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A1" i="31" a="1"/>
  <c r="B1" i="31" s="1"/>
  <c r="A1" i="26" a="1"/>
  <c r="B1" i="26" s="1"/>
  <c r="A1" i="28" a="1"/>
  <c r="A1" i="28" s="1"/>
  <c r="AL59" i="43" l="1"/>
  <c r="E8" i="60"/>
  <c r="P107" i="51"/>
  <c r="P87" i="51"/>
  <c r="AJ6" i="48"/>
  <c r="P84" i="59" s="1"/>
  <c r="O84" i="59"/>
  <c r="P127" i="51"/>
  <c r="N4" i="54"/>
  <c r="AV14" i="50"/>
  <c r="D131" i="52"/>
  <c r="J34" i="48"/>
  <c r="I88" i="53" s="1"/>
  <c r="D81" i="48"/>
  <c r="C87" i="57" s="1"/>
  <c r="J57" i="48"/>
  <c r="I87" i="56" s="1"/>
  <c r="J81" i="48"/>
  <c r="I87" i="57" s="1"/>
  <c r="J11" i="48"/>
  <c r="I89" i="51" s="1"/>
  <c r="AQ56" i="48"/>
  <c r="C86" i="55" s="1"/>
  <c r="AW56" i="48"/>
  <c r="I86" i="55" s="1"/>
  <c r="I81" i="48"/>
  <c r="H87" i="57" s="1"/>
  <c r="AU56" i="48"/>
  <c r="G86" i="55" s="1"/>
  <c r="AC56" i="48"/>
  <c r="I86" i="54" s="1"/>
  <c r="AC80" i="48"/>
  <c r="I86" i="58" s="1"/>
  <c r="W80" i="48"/>
  <c r="C86" i="58" s="1"/>
  <c r="H11" i="48"/>
  <c r="G89" i="51" s="1"/>
  <c r="W56" i="48"/>
  <c r="C86" i="54" s="1"/>
  <c r="AA80" i="48"/>
  <c r="G86" i="58" s="1"/>
  <c r="D11" i="48"/>
  <c r="C89" i="51" s="1"/>
  <c r="D34" i="48"/>
  <c r="C88" i="53" s="1"/>
  <c r="I57" i="48"/>
  <c r="H87" i="56" s="1"/>
  <c r="D57" i="48"/>
  <c r="C87" i="56" s="1"/>
  <c r="H34" i="48"/>
  <c r="G88" i="53" s="1"/>
  <c r="AV56" i="48"/>
  <c r="H86" i="55" s="1"/>
  <c r="AB56" i="48"/>
  <c r="H86" i="54" s="1"/>
  <c r="AB80" i="48"/>
  <c r="H86" i="58" s="1"/>
  <c r="I11" i="48"/>
  <c r="H89" i="51" s="1"/>
  <c r="I34" i="48"/>
  <c r="H88" i="53" s="1"/>
  <c r="AA57" i="48"/>
  <c r="G87" i="54" s="1"/>
  <c r="AX13" i="48"/>
  <c r="F90" i="52"/>
  <c r="H81" i="48"/>
  <c r="G87" i="57" s="1"/>
  <c r="AW13" i="48"/>
  <c r="E90" i="52"/>
  <c r="AZ13" i="48"/>
  <c r="H90" i="52"/>
  <c r="AV13" i="48"/>
  <c r="D90" i="52"/>
  <c r="AY13" i="48"/>
  <c r="G90" i="52"/>
  <c r="H57" i="48"/>
  <c r="G87" i="56" s="1"/>
  <c r="BA13" i="48"/>
  <c r="I90" i="52"/>
  <c r="J6" i="52"/>
  <c r="K7" i="51"/>
  <c r="M5" i="53"/>
  <c r="K4" i="58"/>
  <c r="BA11" i="47"/>
  <c r="I68" i="52"/>
  <c r="AZ10" i="47"/>
  <c r="BD10" i="47" s="1"/>
  <c r="J68" i="52" s="1"/>
  <c r="H67" i="52"/>
  <c r="H7" i="52" s="1"/>
  <c r="AV11" i="47"/>
  <c r="D68" i="52"/>
  <c r="M7" i="51"/>
  <c r="AX11" i="47"/>
  <c r="F68" i="52"/>
  <c r="K5" i="57"/>
  <c r="M5" i="56"/>
  <c r="AW11" i="47"/>
  <c r="E68" i="52"/>
  <c r="M5" i="57"/>
  <c r="K5" i="56"/>
  <c r="AY11" i="47"/>
  <c r="G68" i="52"/>
  <c r="F7" i="52"/>
  <c r="K4" i="55"/>
  <c r="G7" i="52"/>
  <c r="I7" i="52"/>
  <c r="N4" i="55"/>
  <c r="AZ11" i="46"/>
  <c r="H48" i="52"/>
  <c r="AY11" i="46"/>
  <c r="G48" i="52"/>
  <c r="BA11" i="46"/>
  <c r="I48" i="52"/>
  <c r="K4" i="54"/>
  <c r="D7" i="52"/>
  <c r="AV11" i="46"/>
  <c r="D48" i="52"/>
  <c r="AX11" i="46"/>
  <c r="F48" i="52"/>
  <c r="AW11" i="46"/>
  <c r="E48" i="52"/>
  <c r="N57" i="44"/>
  <c r="M27" i="56" s="1"/>
  <c r="N81" i="44"/>
  <c r="M27" i="57" s="1"/>
  <c r="BX34" i="44"/>
  <c r="N11" i="44"/>
  <c r="M29" i="51" s="1"/>
  <c r="N34" i="44"/>
  <c r="N58" i="44" s="1"/>
  <c r="M28" i="56" s="1"/>
  <c r="AV11" i="44"/>
  <c r="D28" i="52"/>
  <c r="AX11" i="44"/>
  <c r="F28" i="52"/>
  <c r="BA11" i="44"/>
  <c r="I28" i="52"/>
  <c r="AW10" i="44"/>
  <c r="BD10" i="44" s="1"/>
  <c r="J28" i="52" s="1"/>
  <c r="E27" i="52"/>
  <c r="E7" i="52" s="1"/>
  <c r="AY11" i="44"/>
  <c r="G28" i="52"/>
  <c r="AZ11" i="44"/>
  <c r="H28" i="52"/>
  <c r="Z32" i="50"/>
  <c r="AS32" i="50"/>
  <c r="BL61" i="50" s="1"/>
  <c r="Y32" i="50"/>
  <c r="AB32" i="50"/>
  <c r="AP56" i="44"/>
  <c r="B26" i="55" s="1"/>
  <c r="AO56" i="44"/>
  <c r="A26" i="55" s="1"/>
  <c r="E17" i="31"/>
  <c r="G16" i="31"/>
  <c r="V58" i="48"/>
  <c r="B88" i="56"/>
  <c r="BH13" i="49"/>
  <c r="A111" i="52"/>
  <c r="U61" i="50"/>
  <c r="A131" i="56"/>
  <c r="V60" i="50"/>
  <c r="B130" i="56"/>
  <c r="BI9" i="44"/>
  <c r="B27" i="52"/>
  <c r="BM42" i="48"/>
  <c r="BN42" i="48" s="1"/>
  <c r="E97" i="31"/>
  <c r="G96" i="31"/>
  <c r="V58" i="47"/>
  <c r="B68" i="56"/>
  <c r="AP57" i="48"/>
  <c r="B87" i="55" s="1"/>
  <c r="B87" i="54"/>
  <c r="B27" i="56"/>
  <c r="V57" i="44"/>
  <c r="B27" i="54" s="1"/>
  <c r="BQ41" i="49"/>
  <c r="BT41" i="49"/>
  <c r="B46" i="55"/>
  <c r="B46" i="54"/>
  <c r="A27" i="56"/>
  <c r="U57" i="44"/>
  <c r="A27" i="54" s="1"/>
  <c r="U58" i="47"/>
  <c r="A68" i="56"/>
  <c r="C81" i="44"/>
  <c r="B27" i="57" s="1"/>
  <c r="B27" i="53"/>
  <c r="V33" i="44"/>
  <c r="V81" i="44" s="1"/>
  <c r="B27" i="58" s="1"/>
  <c r="AO57" i="47"/>
  <c r="A67" i="55" s="1"/>
  <c r="A67" i="54"/>
  <c r="BH9" i="44"/>
  <c r="A27" i="52"/>
  <c r="BH8" i="46"/>
  <c r="A46" i="52"/>
  <c r="U61" i="49"/>
  <c r="A111" i="56"/>
  <c r="AP57" i="47"/>
  <c r="B67" i="55" s="1"/>
  <c r="B67" i="54"/>
  <c r="BQ41" i="50"/>
  <c r="BT41" i="50"/>
  <c r="AO60" i="50"/>
  <c r="A130" i="55" s="1"/>
  <c r="A130" i="54"/>
  <c r="A28" i="51"/>
  <c r="B34" i="44"/>
  <c r="B58" i="44"/>
  <c r="U10" i="44"/>
  <c r="AO10" i="44" s="1"/>
  <c r="B11" i="44"/>
  <c r="BI9" i="46"/>
  <c r="B47" i="52"/>
  <c r="BI13" i="49"/>
  <c r="B111" i="52"/>
  <c r="AP59" i="50"/>
  <c r="B129" i="55" s="1"/>
  <c r="B129" i="54"/>
  <c r="E137" i="31"/>
  <c r="BM42" i="50"/>
  <c r="BN42" i="50" s="1"/>
  <c r="G136" i="31"/>
  <c r="BM43" i="47"/>
  <c r="BN43" i="47" s="1"/>
  <c r="BM43" i="46"/>
  <c r="G57" i="31"/>
  <c r="E58" i="31"/>
  <c r="AO58" i="48"/>
  <c r="A88" i="55" s="1"/>
  <c r="A88" i="54"/>
  <c r="A27" i="53"/>
  <c r="U33" i="44"/>
  <c r="U81" i="44" s="1"/>
  <c r="A27" i="58" s="1"/>
  <c r="B81" i="44"/>
  <c r="A27" i="57" s="1"/>
  <c r="BI10" i="48"/>
  <c r="B88" i="52"/>
  <c r="BH13" i="50"/>
  <c r="A131" i="52"/>
  <c r="A45" i="55"/>
  <c r="A45" i="54"/>
  <c r="U56" i="46"/>
  <c r="AO56" i="46" s="1"/>
  <c r="A46" i="56"/>
  <c r="BH11" i="48"/>
  <c r="A89" i="52"/>
  <c r="BI12" i="50"/>
  <c r="B130" i="52"/>
  <c r="BT42" i="47"/>
  <c r="BQ42" i="47"/>
  <c r="AO60" i="49"/>
  <c r="A110" i="55" s="1"/>
  <c r="A110" i="54"/>
  <c r="V57" i="46"/>
  <c r="AP57" i="46" s="1"/>
  <c r="B47" i="56"/>
  <c r="BI10" i="47"/>
  <c r="B68" i="52"/>
  <c r="BH10" i="47"/>
  <c r="A68" i="52"/>
  <c r="U59" i="48"/>
  <c r="A89" i="56"/>
  <c r="V61" i="49"/>
  <c r="B111" i="56"/>
  <c r="AP60" i="49"/>
  <c r="B110" i="55" s="1"/>
  <c r="B110" i="54"/>
  <c r="B28" i="51"/>
  <c r="C34" i="44"/>
  <c r="C11" i="44"/>
  <c r="V10" i="44"/>
  <c r="AP10" i="44" s="1"/>
  <c r="C58" i="44"/>
  <c r="BM42" i="49"/>
  <c r="BN42" i="49" s="1"/>
  <c r="E117" i="31"/>
  <c r="G116" i="31"/>
  <c r="BQ41" i="48"/>
  <c r="BT41" i="48"/>
  <c r="AD32" i="50"/>
  <c r="M131" i="53"/>
  <c r="N61" i="50"/>
  <c r="M131" i="56" s="1"/>
  <c r="K5" i="53"/>
  <c r="M44" i="55"/>
  <c r="M4" i="55" s="1"/>
  <c r="M4" i="54"/>
  <c r="K88" i="53"/>
  <c r="L58" i="48"/>
  <c r="K88" i="56" s="1"/>
  <c r="M4" i="58"/>
  <c r="K47" i="53"/>
  <c r="L57" i="46"/>
  <c r="K47" i="56" s="1"/>
  <c r="M89" i="53"/>
  <c r="N59" i="48"/>
  <c r="M89" i="56" s="1"/>
  <c r="N6" i="53"/>
  <c r="K132" i="53"/>
  <c r="L62" i="50"/>
  <c r="K132" i="56" s="1"/>
  <c r="L56" i="44"/>
  <c r="K26" i="56" s="1"/>
  <c r="K26" i="53"/>
  <c r="M66" i="53"/>
  <c r="N56" i="47"/>
  <c r="M66" i="56" s="1"/>
  <c r="N56" i="46"/>
  <c r="M46" i="56" s="1"/>
  <c r="M46" i="53"/>
  <c r="K110" i="53"/>
  <c r="L60" i="49"/>
  <c r="K110" i="56" s="1"/>
  <c r="O57" i="44"/>
  <c r="N27" i="56" s="1"/>
  <c r="N27" i="53"/>
  <c r="N45" i="55"/>
  <c r="K45" i="55"/>
  <c r="L56" i="47"/>
  <c r="K66" i="56" s="1"/>
  <c r="K66" i="53"/>
  <c r="M110" i="53"/>
  <c r="N60" i="49"/>
  <c r="M110" i="56" s="1"/>
  <c r="AC32" i="50"/>
  <c r="AA32" i="50"/>
  <c r="AF32" i="50"/>
  <c r="AJ31" i="49"/>
  <c r="AK54" i="48"/>
  <c r="BJ58" i="48" s="1"/>
  <c r="P84" i="54"/>
  <c r="D87" i="53"/>
  <c r="E81" i="48"/>
  <c r="D87" i="57" s="1"/>
  <c r="E57" i="48"/>
  <c r="D88" i="51"/>
  <c r="E34" i="48"/>
  <c r="E11" i="48"/>
  <c r="K57" i="48"/>
  <c r="J87" i="53"/>
  <c r="K81" i="48"/>
  <c r="J87" i="57" s="1"/>
  <c r="BD53" i="50"/>
  <c r="P123" i="55" s="1"/>
  <c r="O123" i="55"/>
  <c r="J88" i="51"/>
  <c r="K11" i="48"/>
  <c r="K34" i="48"/>
  <c r="BW34" i="48"/>
  <c r="BN67" i="48" s="1"/>
  <c r="L88" i="51"/>
  <c r="AQ32" i="48"/>
  <c r="BL59" i="48" s="1"/>
  <c r="P86" i="53"/>
  <c r="AD32" i="49"/>
  <c r="P106" i="53"/>
  <c r="BD53" i="48"/>
  <c r="P83" i="55" s="1"/>
  <c r="O83" i="55"/>
  <c r="D86" i="56"/>
  <c r="X80" i="48"/>
  <c r="D86" i="58" s="1"/>
  <c r="X56" i="48"/>
  <c r="D86" i="54" s="1"/>
  <c r="AR56" i="48"/>
  <c r="D86" i="55" s="1"/>
  <c r="AQ32" i="50"/>
  <c r="BL59" i="50" s="1"/>
  <c r="P126" i="53"/>
  <c r="K57" i="49"/>
  <c r="J107" i="56" s="1"/>
  <c r="J107" i="53"/>
  <c r="AI7" i="48"/>
  <c r="O85" i="51"/>
  <c r="P78" i="48"/>
  <c r="O84" i="57" s="1"/>
  <c r="O84" i="53"/>
  <c r="K57" i="50"/>
  <c r="J127" i="56" s="1"/>
  <c r="J127" i="53"/>
  <c r="AK54" i="49"/>
  <c r="BJ58" i="49" s="1"/>
  <c r="P104" i="54"/>
  <c r="AK54" i="50"/>
  <c r="BJ58" i="50" s="1"/>
  <c r="P124" i="54"/>
  <c r="J86" i="56"/>
  <c r="AD80" i="48"/>
  <c r="J86" i="58" s="1"/>
  <c r="AD56" i="48"/>
  <c r="J86" i="54" s="1"/>
  <c r="AX56" i="48"/>
  <c r="J86" i="55" s="1"/>
  <c r="AJ31" i="50"/>
  <c r="G34" i="49"/>
  <c r="F108" i="53" s="1"/>
  <c r="G11" i="49"/>
  <c r="F109" i="51" s="1"/>
  <c r="H81" i="49"/>
  <c r="G107" i="57" s="1"/>
  <c r="AA57" i="49"/>
  <c r="G107" i="54" s="1"/>
  <c r="H57" i="49"/>
  <c r="G107" i="56" s="1"/>
  <c r="E11" i="49"/>
  <c r="D109" i="51" s="1"/>
  <c r="E34" i="49"/>
  <c r="D108" i="53" s="1"/>
  <c r="M34" i="50"/>
  <c r="L128" i="53" s="1"/>
  <c r="M11" i="50"/>
  <c r="L129" i="51" s="1"/>
  <c r="AC32" i="48"/>
  <c r="W80" i="49"/>
  <c r="C106" i="58" s="1"/>
  <c r="W56" i="49"/>
  <c r="C106" i="54" s="1"/>
  <c r="Q56" i="49"/>
  <c r="P106" i="56" s="1"/>
  <c r="AQ56" i="49"/>
  <c r="C106" i="55" s="1"/>
  <c r="BC53" i="49"/>
  <c r="Z80" i="49"/>
  <c r="F106" i="58" s="1"/>
  <c r="Z56" i="49"/>
  <c r="F106" i="54" s="1"/>
  <c r="AT56" i="49"/>
  <c r="F106" i="55" s="1"/>
  <c r="G57" i="49"/>
  <c r="F107" i="56" s="1"/>
  <c r="G81" i="49"/>
  <c r="F107" i="57" s="1"/>
  <c r="AD80" i="50"/>
  <c r="J126" i="58" s="1"/>
  <c r="AD56" i="50"/>
  <c r="J126" i="54" s="1"/>
  <c r="AX56" i="50"/>
  <c r="J126" i="55" s="1"/>
  <c r="I34" i="50"/>
  <c r="H128" i="53" s="1"/>
  <c r="I11" i="50"/>
  <c r="H129" i="51" s="1"/>
  <c r="H34" i="49"/>
  <c r="G108" i="53" s="1"/>
  <c r="H11" i="49"/>
  <c r="G109" i="51" s="1"/>
  <c r="BW34" i="49"/>
  <c r="BN67" i="49" s="1"/>
  <c r="AA32" i="49"/>
  <c r="E81" i="49"/>
  <c r="D107" i="57" s="1"/>
  <c r="E57" i="49"/>
  <c r="D107" i="56" s="1"/>
  <c r="AF56" i="49"/>
  <c r="L106" i="54" s="1"/>
  <c r="AZ56" i="49"/>
  <c r="L106" i="55" s="1"/>
  <c r="AF80" i="49"/>
  <c r="L106" i="58" s="1"/>
  <c r="BR34" i="49"/>
  <c r="BN65" i="49" s="1"/>
  <c r="Q10" i="49"/>
  <c r="D11" i="49"/>
  <c r="C109" i="51" s="1"/>
  <c r="D34" i="49"/>
  <c r="C108" i="53" s="1"/>
  <c r="AJ6" i="50"/>
  <c r="P124" i="59" s="1"/>
  <c r="X32" i="49"/>
  <c r="I57" i="50"/>
  <c r="H127" i="56" s="1"/>
  <c r="I81" i="50"/>
  <c r="H127" i="57" s="1"/>
  <c r="P31" i="50"/>
  <c r="O125" i="53" s="1"/>
  <c r="AI7" i="50"/>
  <c r="O125" i="59" s="1"/>
  <c r="BO31" i="50"/>
  <c r="BK64" i="50" s="1"/>
  <c r="BU31" i="50"/>
  <c r="BK66" i="50" s="1"/>
  <c r="J57" i="49"/>
  <c r="I107" i="56" s="1"/>
  <c r="J81" i="49"/>
  <c r="I107" i="57" s="1"/>
  <c r="AC56" i="49"/>
  <c r="I106" i="54" s="1"/>
  <c r="AC80" i="49"/>
  <c r="I106" i="58" s="1"/>
  <c r="AW56" i="49"/>
  <c r="I106" i="55" s="1"/>
  <c r="D34" i="50"/>
  <c r="C128" i="53" s="1"/>
  <c r="D11" i="50"/>
  <c r="C129" i="51" s="1"/>
  <c r="BR34" i="50"/>
  <c r="BN65" i="50" s="1"/>
  <c r="Q10" i="50"/>
  <c r="P78" i="50"/>
  <c r="O124" i="57" s="1"/>
  <c r="AI30" i="50"/>
  <c r="Y32" i="49"/>
  <c r="X80" i="49"/>
  <c r="D106" i="58" s="1"/>
  <c r="X56" i="49"/>
  <c r="D106" i="54" s="1"/>
  <c r="AR56" i="49"/>
  <c r="D106" i="55" s="1"/>
  <c r="F34" i="50"/>
  <c r="E128" i="53" s="1"/>
  <c r="F11" i="50"/>
  <c r="E129" i="51" s="1"/>
  <c r="X80" i="50"/>
  <c r="D126" i="58" s="1"/>
  <c r="X56" i="50"/>
  <c r="D126" i="54" s="1"/>
  <c r="AR56" i="50"/>
  <c r="D126" i="55" s="1"/>
  <c r="K34" i="50"/>
  <c r="K11" i="50"/>
  <c r="J129" i="51" s="1"/>
  <c r="AC80" i="50"/>
  <c r="I126" i="58" s="1"/>
  <c r="AC56" i="50"/>
  <c r="I126" i="54" s="1"/>
  <c r="AW56" i="50"/>
  <c r="I126" i="55" s="1"/>
  <c r="J34" i="49"/>
  <c r="I108" i="53" s="1"/>
  <c r="J11" i="49"/>
  <c r="I109" i="51" s="1"/>
  <c r="H57" i="50"/>
  <c r="G127" i="56" s="1"/>
  <c r="H81" i="50"/>
  <c r="G127" i="57" s="1"/>
  <c r="AA57" i="50"/>
  <c r="G127" i="54" s="1"/>
  <c r="D57" i="49"/>
  <c r="C107" i="56" s="1"/>
  <c r="Q33" i="49"/>
  <c r="AQ33" i="49" s="1"/>
  <c r="D81" i="49"/>
  <c r="C107" i="57" s="1"/>
  <c r="D57" i="50"/>
  <c r="C127" i="56" s="1"/>
  <c r="D81" i="50"/>
  <c r="C127" i="57" s="1"/>
  <c r="Q33" i="50"/>
  <c r="F81" i="50"/>
  <c r="E127" i="57" s="1"/>
  <c r="F57" i="50"/>
  <c r="E127" i="56" s="1"/>
  <c r="E34" i="50"/>
  <c r="D128" i="53" s="1"/>
  <c r="E11" i="50"/>
  <c r="D129" i="51" s="1"/>
  <c r="K81" i="50"/>
  <c r="J127" i="57" s="1"/>
  <c r="CA33" i="50"/>
  <c r="I34" i="49"/>
  <c r="H108" i="53" s="1"/>
  <c r="I11" i="49"/>
  <c r="H109" i="51" s="1"/>
  <c r="AJ79" i="49"/>
  <c r="P105" i="58" s="1"/>
  <c r="AA80" i="49"/>
  <c r="G106" i="58" s="1"/>
  <c r="AU56" i="49"/>
  <c r="G106" i="55" s="1"/>
  <c r="H11" i="50"/>
  <c r="G129" i="51" s="1"/>
  <c r="H34" i="50"/>
  <c r="G128" i="53" s="1"/>
  <c r="BW34" i="50"/>
  <c r="BN67" i="50" s="1"/>
  <c r="K34" i="49"/>
  <c r="K11" i="49"/>
  <c r="J109" i="51" s="1"/>
  <c r="Y56" i="50"/>
  <c r="E126" i="54" s="1"/>
  <c r="Y80" i="50"/>
  <c r="E126" i="58" s="1"/>
  <c r="AS56" i="50"/>
  <c r="E126" i="55" s="1"/>
  <c r="Y80" i="49"/>
  <c r="E106" i="58" s="1"/>
  <c r="Y56" i="49"/>
  <c r="E106" i="54" s="1"/>
  <c r="AS56" i="49"/>
  <c r="E106" i="55" s="1"/>
  <c r="E81" i="50"/>
  <c r="D127" i="57" s="1"/>
  <c r="E57" i="50"/>
  <c r="D127" i="56" s="1"/>
  <c r="F11" i="49"/>
  <c r="E109" i="51" s="1"/>
  <c r="F34" i="49"/>
  <c r="E108" i="53" s="1"/>
  <c r="G57" i="50"/>
  <c r="F127" i="56" s="1"/>
  <c r="G81" i="50"/>
  <c r="F127" i="57" s="1"/>
  <c r="I81" i="49"/>
  <c r="H107" i="57" s="1"/>
  <c r="I57" i="49"/>
  <c r="H107" i="56" s="1"/>
  <c r="AJ55" i="49"/>
  <c r="J34" i="50"/>
  <c r="I128" i="53" s="1"/>
  <c r="J11" i="50"/>
  <c r="I129" i="51" s="1"/>
  <c r="BK59" i="50"/>
  <c r="AU31" i="50"/>
  <c r="X32" i="50"/>
  <c r="AR32" i="50"/>
  <c r="BL60" i="50" s="1"/>
  <c r="AT32" i="50"/>
  <c r="BL62" i="50" s="1"/>
  <c r="AG32" i="50"/>
  <c r="BJ8" i="50"/>
  <c r="BK8" i="50" s="1"/>
  <c r="BL8" i="50" s="1"/>
  <c r="P8" i="50" s="1"/>
  <c r="O126" i="51" s="1"/>
  <c r="AE32" i="50"/>
  <c r="BL69" i="50"/>
  <c r="AH32" i="50"/>
  <c r="BL68" i="50"/>
  <c r="CA33" i="49"/>
  <c r="K81" i="49"/>
  <c r="J107" i="57" s="1"/>
  <c r="W32" i="49"/>
  <c r="BL69" i="49"/>
  <c r="BL68" i="49"/>
  <c r="AE32" i="49"/>
  <c r="AT32" i="49"/>
  <c r="BL62" i="49" s="1"/>
  <c r="AR32" i="49"/>
  <c r="BL60" i="49" s="1"/>
  <c r="AH32" i="49"/>
  <c r="BJ8" i="49"/>
  <c r="BK8" i="49" s="1"/>
  <c r="BL8" i="49" s="1"/>
  <c r="P8" i="49" s="1"/>
  <c r="O106" i="51" s="1"/>
  <c r="AG32" i="49"/>
  <c r="M34" i="49"/>
  <c r="L108" i="53" s="1"/>
  <c r="M11" i="49"/>
  <c r="L109" i="51" s="1"/>
  <c r="AQ32" i="49"/>
  <c r="AD80" i="49"/>
  <c r="J106" i="58" s="1"/>
  <c r="AD56" i="49"/>
  <c r="J106" i="54" s="1"/>
  <c r="AX56" i="49"/>
  <c r="J106" i="55" s="1"/>
  <c r="AS32" i="49"/>
  <c r="BL61" i="49" s="1"/>
  <c r="Z80" i="50"/>
  <c r="F126" i="58" s="1"/>
  <c r="Z56" i="50"/>
  <c r="F126" i="54" s="1"/>
  <c r="AT56" i="50"/>
  <c r="F126" i="55" s="1"/>
  <c r="AJ55" i="50"/>
  <c r="AB32" i="49"/>
  <c r="F81" i="49"/>
  <c r="E107" i="57" s="1"/>
  <c r="F57" i="49"/>
  <c r="E107" i="56" s="1"/>
  <c r="G11" i="50"/>
  <c r="F129" i="51" s="1"/>
  <c r="G34" i="50"/>
  <c r="F128" i="53" s="1"/>
  <c r="AI30" i="49"/>
  <c r="P78" i="49"/>
  <c r="O104" i="57" s="1"/>
  <c r="J81" i="50"/>
  <c r="I127" i="57" s="1"/>
  <c r="J57" i="50"/>
  <c r="I127" i="56" s="1"/>
  <c r="AA80" i="50"/>
  <c r="G126" i="58" s="1"/>
  <c r="AU56" i="50"/>
  <c r="G126" i="55" s="1"/>
  <c r="Q80" i="50"/>
  <c r="P126" i="57" s="1"/>
  <c r="Q80" i="49"/>
  <c r="P106" i="57" s="1"/>
  <c r="AU31" i="49"/>
  <c r="Z32" i="49"/>
  <c r="AB80" i="50"/>
  <c r="H126" i="58" s="1"/>
  <c r="AB56" i="50"/>
  <c r="H126" i="54" s="1"/>
  <c r="AV56" i="50"/>
  <c r="H126" i="55" s="1"/>
  <c r="AJ79" i="50"/>
  <c r="P125" i="58" s="1"/>
  <c r="AB56" i="49"/>
  <c r="H106" i="54" s="1"/>
  <c r="AB80" i="49"/>
  <c r="H106" i="58" s="1"/>
  <c r="AV56" i="49"/>
  <c r="H106" i="55" s="1"/>
  <c r="AC32" i="49"/>
  <c r="M81" i="49"/>
  <c r="L107" i="57" s="1"/>
  <c r="M57" i="49"/>
  <c r="L107" i="56" s="1"/>
  <c r="AJ6" i="49"/>
  <c r="P104" i="59" s="1"/>
  <c r="BC54" i="49"/>
  <c r="AF80" i="50"/>
  <c r="L126" i="58" s="1"/>
  <c r="AF56" i="50"/>
  <c r="L126" i="54" s="1"/>
  <c r="AZ56" i="50"/>
  <c r="L126" i="55" s="1"/>
  <c r="P31" i="49"/>
  <c r="O105" i="53" s="1"/>
  <c r="AI7" i="49"/>
  <c r="O105" i="59" s="1"/>
  <c r="BU31" i="49"/>
  <c r="BK66" i="49" s="1"/>
  <c r="BO31" i="49"/>
  <c r="BK64" i="49" s="1"/>
  <c r="M81" i="50"/>
  <c r="L127" i="57" s="1"/>
  <c r="M57" i="50"/>
  <c r="L127" i="56" s="1"/>
  <c r="AF32" i="49"/>
  <c r="W56" i="50"/>
  <c r="C126" i="54" s="1"/>
  <c r="W80" i="50"/>
  <c r="C126" i="58" s="1"/>
  <c r="Q56" i="50"/>
  <c r="P126" i="56" s="1"/>
  <c r="AQ56" i="50"/>
  <c r="C126" i="55" s="1"/>
  <c r="AG32" i="48"/>
  <c r="AF32" i="48"/>
  <c r="AS32" i="48"/>
  <c r="BL61" i="48" s="1"/>
  <c r="BJ8" i="48"/>
  <c r="BK8" i="48" s="1"/>
  <c r="BL8" i="48" s="1"/>
  <c r="P8" i="48" s="1"/>
  <c r="AT32" i="48"/>
  <c r="BL62" i="48" s="1"/>
  <c r="AR32" i="48"/>
  <c r="BL60" i="48" s="1"/>
  <c r="BL69" i="48"/>
  <c r="Y32" i="48"/>
  <c r="AD32" i="48"/>
  <c r="Q80" i="48"/>
  <c r="P86" i="57" s="1"/>
  <c r="W32" i="48"/>
  <c r="X32" i="48"/>
  <c r="BL68" i="48"/>
  <c r="AU31" i="48"/>
  <c r="AH32" i="48"/>
  <c r="AA32" i="48"/>
  <c r="AE32" i="48"/>
  <c r="Z32" i="48"/>
  <c r="AB32" i="48"/>
  <c r="BR34" i="48"/>
  <c r="BN65" i="48" s="1"/>
  <c r="Q33" i="48"/>
  <c r="Q10" i="48"/>
  <c r="AI30" i="48"/>
  <c r="AJ55" i="48"/>
  <c r="BU31" i="48"/>
  <c r="BK66" i="48" s="1"/>
  <c r="AJ79" i="48"/>
  <c r="P85" i="58" s="1"/>
  <c r="P31" i="48"/>
  <c r="AJ31" i="48"/>
  <c r="O38" i="50"/>
  <c r="N132" i="53" s="1"/>
  <c r="O15" i="50"/>
  <c r="N133" i="51" s="1"/>
  <c r="B62" i="50"/>
  <c r="B38" i="50"/>
  <c r="A132" i="53" s="1"/>
  <c r="U14" i="50"/>
  <c r="AO14" i="50" s="1"/>
  <c r="B15" i="50"/>
  <c r="A133" i="51" s="1"/>
  <c r="O85" i="50"/>
  <c r="N131" i="57" s="1"/>
  <c r="O61" i="50"/>
  <c r="N131" i="56" s="1"/>
  <c r="N38" i="50"/>
  <c r="N15" i="50"/>
  <c r="M133" i="51" s="1"/>
  <c r="BX38" i="50"/>
  <c r="B85" i="50"/>
  <c r="A131" i="57" s="1"/>
  <c r="U37" i="50"/>
  <c r="U85" i="50" s="1"/>
  <c r="A131" i="58" s="1"/>
  <c r="AE85" i="50"/>
  <c r="K131" i="58" s="1"/>
  <c r="AE61" i="50"/>
  <c r="AY61" i="50"/>
  <c r="K131" i="55" s="1"/>
  <c r="L39" i="50"/>
  <c r="L16" i="50"/>
  <c r="K134" i="51" s="1"/>
  <c r="BA34" i="50"/>
  <c r="L86" i="50"/>
  <c r="K132" i="57" s="1"/>
  <c r="N85" i="50"/>
  <c r="M131" i="57" s="1"/>
  <c r="C61" i="50"/>
  <c r="C37" i="50"/>
  <c r="B131" i="53" s="1"/>
  <c r="V13" i="50"/>
  <c r="AP13" i="50" s="1"/>
  <c r="C14" i="50"/>
  <c r="B132" i="51" s="1"/>
  <c r="AH84" i="50"/>
  <c r="N130" i="58" s="1"/>
  <c r="AH60" i="50"/>
  <c r="BB60" i="50"/>
  <c r="N130" i="55" s="1"/>
  <c r="AW35" i="50"/>
  <c r="AX35" i="50"/>
  <c r="AP36" i="50"/>
  <c r="AZ35" i="50"/>
  <c r="AG84" i="50"/>
  <c r="M130" i="58" s="1"/>
  <c r="AG60" i="50"/>
  <c r="BA60" i="50"/>
  <c r="M130" i="55" s="1"/>
  <c r="C84" i="50"/>
  <c r="B130" i="57" s="1"/>
  <c r="V36" i="50"/>
  <c r="V84" i="50" s="1"/>
  <c r="B130" i="58" s="1"/>
  <c r="AU15" i="50"/>
  <c r="C133" i="52" s="1"/>
  <c r="BD14" i="50"/>
  <c r="J132" i="52" s="1"/>
  <c r="L37" i="49"/>
  <c r="L14" i="49"/>
  <c r="K112" i="51" s="1"/>
  <c r="AH83" i="49"/>
  <c r="N109" i="58" s="1"/>
  <c r="AH59" i="49"/>
  <c r="BB59" i="49"/>
  <c r="N109" i="55" s="1"/>
  <c r="AW35" i="49"/>
  <c r="AZ35" i="49"/>
  <c r="AP36" i="49"/>
  <c r="AX35" i="49"/>
  <c r="N84" i="49"/>
  <c r="M110" i="57" s="1"/>
  <c r="AE83" i="49"/>
  <c r="K109" i="58" s="1"/>
  <c r="AE59" i="49"/>
  <c r="AY59" i="49"/>
  <c r="K109" i="55" s="1"/>
  <c r="L84" i="49"/>
  <c r="K110" i="57" s="1"/>
  <c r="BX37" i="49"/>
  <c r="N37" i="49"/>
  <c r="N14" i="49"/>
  <c r="M112" i="51" s="1"/>
  <c r="AG83" i="49"/>
  <c r="M109" i="58" s="1"/>
  <c r="AG59" i="49"/>
  <c r="BA59" i="49"/>
  <c r="M109" i="55" s="1"/>
  <c r="B62" i="49"/>
  <c r="B38" i="49"/>
  <c r="A112" i="53" s="1"/>
  <c r="B15" i="49"/>
  <c r="A113" i="51" s="1"/>
  <c r="U14" i="49"/>
  <c r="AO14" i="49" s="1"/>
  <c r="C85" i="49"/>
  <c r="B111" i="57" s="1"/>
  <c r="V37" i="49"/>
  <c r="V85" i="49" s="1"/>
  <c r="B111" i="58" s="1"/>
  <c r="O37" i="49"/>
  <c r="N111" i="53" s="1"/>
  <c r="O14" i="49"/>
  <c r="N112" i="51" s="1"/>
  <c r="B85" i="49"/>
  <c r="A111" i="57" s="1"/>
  <c r="U37" i="49"/>
  <c r="U85" i="49" s="1"/>
  <c r="A111" i="58" s="1"/>
  <c r="O84" i="49"/>
  <c r="N110" i="57" s="1"/>
  <c r="O60" i="49"/>
  <c r="N110" i="56" s="1"/>
  <c r="BA34" i="49"/>
  <c r="BD16" i="49"/>
  <c r="J114" i="52" s="1"/>
  <c r="C62" i="49"/>
  <c r="V14" i="49"/>
  <c r="AP14" i="49" s="1"/>
  <c r="C38" i="49"/>
  <c r="B112" i="53" s="1"/>
  <c r="C15" i="49"/>
  <c r="B113" i="51" s="1"/>
  <c r="Z80" i="48"/>
  <c r="F86" i="58" s="1"/>
  <c r="Z56" i="48"/>
  <c r="F86" i="54" s="1"/>
  <c r="AT56" i="48"/>
  <c r="F86" i="55" s="1"/>
  <c r="BO31" i="48"/>
  <c r="BK64" i="48" s="1"/>
  <c r="G34" i="48"/>
  <c r="F88" i="53" s="1"/>
  <c r="G11" i="48"/>
  <c r="F89" i="51" s="1"/>
  <c r="G81" i="48"/>
  <c r="F87" i="57" s="1"/>
  <c r="G57" i="48"/>
  <c r="F87" i="56" s="1"/>
  <c r="M34" i="48"/>
  <c r="M11" i="48"/>
  <c r="F81" i="48"/>
  <c r="E87" i="57" s="1"/>
  <c r="F57" i="48"/>
  <c r="E87" i="56" s="1"/>
  <c r="M81" i="48"/>
  <c r="L87" i="57" s="1"/>
  <c r="M57" i="48"/>
  <c r="L87" i="56" s="1"/>
  <c r="AS56" i="48"/>
  <c r="E86" i="55" s="1"/>
  <c r="Y80" i="48"/>
  <c r="E86" i="58" s="1"/>
  <c r="Y56" i="48"/>
  <c r="E86" i="54" s="1"/>
  <c r="Q56" i="48"/>
  <c r="P86" i="56" s="1"/>
  <c r="F34" i="48"/>
  <c r="E88" i="53" s="1"/>
  <c r="F11" i="48"/>
  <c r="E89" i="51" s="1"/>
  <c r="CA33" i="48"/>
  <c r="AF80" i="48"/>
  <c r="L86" i="58" s="1"/>
  <c r="AF56" i="48"/>
  <c r="L86" i="54" s="1"/>
  <c r="AZ56" i="48"/>
  <c r="L86" i="55" s="1"/>
  <c r="C82" i="48"/>
  <c r="B88" i="57" s="1"/>
  <c r="V34" i="48"/>
  <c r="V82" i="48" s="1"/>
  <c r="B88" i="58" s="1"/>
  <c r="N36" i="48"/>
  <c r="BX36" i="48"/>
  <c r="N13" i="48"/>
  <c r="M91" i="51" s="1"/>
  <c r="N83" i="48"/>
  <c r="M89" i="57" s="1"/>
  <c r="BA32" i="48"/>
  <c r="AE81" i="48"/>
  <c r="K87" i="58" s="1"/>
  <c r="AE57" i="48"/>
  <c r="K87" i="54" s="1"/>
  <c r="AY57" i="48"/>
  <c r="K87" i="55" s="1"/>
  <c r="B60" i="48"/>
  <c r="B36" i="48"/>
  <c r="A90" i="53" s="1"/>
  <c r="U12" i="48"/>
  <c r="AO12" i="48" s="1"/>
  <c r="B13" i="48"/>
  <c r="A91" i="51" s="1"/>
  <c r="O84" i="48"/>
  <c r="N90" i="57" s="1"/>
  <c r="O60" i="48"/>
  <c r="N90" i="56" s="1"/>
  <c r="L82" i="48"/>
  <c r="K88" i="57" s="1"/>
  <c r="AX33" i="48"/>
  <c r="AP34" i="48"/>
  <c r="AZ33" i="48"/>
  <c r="AW33" i="48"/>
  <c r="L35" i="48"/>
  <c r="L12" i="48"/>
  <c r="K90" i="51" s="1"/>
  <c r="AH83" i="48"/>
  <c r="N89" i="58" s="1"/>
  <c r="AH59" i="48"/>
  <c r="N89" i="54" s="1"/>
  <c r="BB59" i="48"/>
  <c r="N89" i="55" s="1"/>
  <c r="B83" i="48"/>
  <c r="A89" i="57" s="1"/>
  <c r="U35" i="48"/>
  <c r="U83" i="48" s="1"/>
  <c r="A89" i="58" s="1"/>
  <c r="BC54" i="48"/>
  <c r="O37" i="48"/>
  <c r="N91" i="53" s="1"/>
  <c r="O14" i="48"/>
  <c r="N92" i="51" s="1"/>
  <c r="C59" i="48"/>
  <c r="C35" i="48"/>
  <c r="B89" i="53" s="1"/>
  <c r="C12" i="48"/>
  <c r="B90" i="51" s="1"/>
  <c r="V11" i="48"/>
  <c r="AP11" i="48" s="1"/>
  <c r="AU12" i="48"/>
  <c r="C90" i="52" s="1"/>
  <c r="BD11" i="48"/>
  <c r="J89" i="52" s="1"/>
  <c r="AG82" i="48"/>
  <c r="M88" i="58" s="1"/>
  <c r="AG58" i="48"/>
  <c r="M88" i="54" s="1"/>
  <c r="BA58" i="48"/>
  <c r="M88" i="55" s="1"/>
  <c r="N80" i="47"/>
  <c r="M66" i="57" s="1"/>
  <c r="L33" i="47"/>
  <c r="L10" i="47"/>
  <c r="K68" i="51" s="1"/>
  <c r="O33" i="47"/>
  <c r="N67" i="53" s="1"/>
  <c r="O10" i="47"/>
  <c r="N68" i="51" s="1"/>
  <c r="N8" i="51" s="1"/>
  <c r="B59" i="47"/>
  <c r="B35" i="47"/>
  <c r="A69" i="53" s="1"/>
  <c r="U11" i="47"/>
  <c r="AO11" i="47" s="1"/>
  <c r="B12" i="47"/>
  <c r="A70" i="51" s="1"/>
  <c r="L80" i="47"/>
  <c r="K66" i="57" s="1"/>
  <c r="O80" i="47"/>
  <c r="N66" i="57" s="1"/>
  <c r="N6" i="57" s="1"/>
  <c r="O56" i="47"/>
  <c r="N66" i="56" s="1"/>
  <c r="N6" i="56" s="1"/>
  <c r="B82" i="47"/>
  <c r="A68" i="57" s="1"/>
  <c r="U34" i="47"/>
  <c r="U82" i="47" s="1"/>
  <c r="A68" i="58" s="1"/>
  <c r="AE79" i="47"/>
  <c r="K65" i="58" s="1"/>
  <c r="AE55" i="47"/>
  <c r="AY55" i="47"/>
  <c r="K65" i="55" s="1"/>
  <c r="AH79" i="47"/>
  <c r="N65" i="58" s="1"/>
  <c r="N5" i="58" s="1"/>
  <c r="AH55" i="47"/>
  <c r="BB55" i="47"/>
  <c r="N65" i="55" s="1"/>
  <c r="AG79" i="47"/>
  <c r="M65" i="58" s="1"/>
  <c r="AG55" i="47"/>
  <c r="BA55" i="47"/>
  <c r="M65" i="55" s="1"/>
  <c r="AZ31" i="47"/>
  <c r="AP32" i="47"/>
  <c r="AX31" i="47"/>
  <c r="C59" i="47"/>
  <c r="C35" i="47"/>
  <c r="B69" i="53" s="1"/>
  <c r="C12" i="47"/>
  <c r="B70" i="51" s="1"/>
  <c r="V11" i="47"/>
  <c r="AP11" i="47" s="1"/>
  <c r="AU11" i="47"/>
  <c r="C69" i="52" s="1"/>
  <c r="BX33" i="47"/>
  <c r="N33" i="47"/>
  <c r="N10" i="47"/>
  <c r="M68" i="51" s="1"/>
  <c r="C82" i="47"/>
  <c r="B68" i="57" s="1"/>
  <c r="V34" i="47"/>
  <c r="V82" i="47" s="1"/>
  <c r="B68" i="58" s="1"/>
  <c r="B57" i="46"/>
  <c r="B33" i="46"/>
  <c r="A47" i="53" s="1"/>
  <c r="U9" i="46"/>
  <c r="AO9" i="46" s="1"/>
  <c r="B10" i="46"/>
  <c r="A48" i="51" s="1"/>
  <c r="N80" i="46"/>
  <c r="M46" i="57" s="1"/>
  <c r="AE80" i="46"/>
  <c r="K46" i="58" s="1"/>
  <c r="AE56" i="46"/>
  <c r="AY56" i="46"/>
  <c r="B80" i="46"/>
  <c r="A46" i="57" s="1"/>
  <c r="U32" i="46"/>
  <c r="U80" i="46" s="1"/>
  <c r="A46" i="58" s="1"/>
  <c r="BD9" i="46"/>
  <c r="J47" i="52" s="1"/>
  <c r="J7" i="52" s="1"/>
  <c r="AU10" i="46"/>
  <c r="C48" i="52" s="1"/>
  <c r="C8" i="52" s="1"/>
  <c r="L34" i="46"/>
  <c r="L11" i="46"/>
  <c r="K49" i="51" s="1"/>
  <c r="BL33" i="46"/>
  <c r="BN32" i="46"/>
  <c r="L81" i="46"/>
  <c r="K47" i="57" s="1"/>
  <c r="C81" i="46"/>
  <c r="B47" i="57" s="1"/>
  <c r="V33" i="46"/>
  <c r="V81" i="46" s="1"/>
  <c r="B47" i="58" s="1"/>
  <c r="O81" i="46"/>
  <c r="N47" i="57" s="1"/>
  <c r="O57" i="46"/>
  <c r="N47" i="56" s="1"/>
  <c r="AH80" i="46"/>
  <c r="N46" i="58" s="1"/>
  <c r="AH56" i="46"/>
  <c r="BB56" i="46"/>
  <c r="O34" i="46"/>
  <c r="N48" i="53" s="1"/>
  <c r="O11" i="46"/>
  <c r="N49" i="51" s="1"/>
  <c r="C58" i="46"/>
  <c r="C34" i="46"/>
  <c r="B48" i="53" s="1"/>
  <c r="V10" i="46"/>
  <c r="AP10" i="46" s="1"/>
  <c r="C11" i="46"/>
  <c r="B49" i="51" s="1"/>
  <c r="AX31" i="46"/>
  <c r="AP32" i="46"/>
  <c r="AZ31" i="46"/>
  <c r="BQ31" i="46"/>
  <c r="BT31" i="46"/>
  <c r="AG79" i="46"/>
  <c r="M45" i="58" s="1"/>
  <c r="AG55" i="46"/>
  <c r="BA55" i="46"/>
  <c r="N33" i="46"/>
  <c r="BX33" i="46"/>
  <c r="N10" i="46"/>
  <c r="M48" i="51" s="1"/>
  <c r="O34" i="44"/>
  <c r="O11" i="44"/>
  <c r="N29" i="51" s="1"/>
  <c r="AE79" i="44"/>
  <c r="K25" i="58" s="1"/>
  <c r="AE55" i="44"/>
  <c r="K25" i="54" s="1"/>
  <c r="AY55" i="44"/>
  <c r="K25" i="55" s="1"/>
  <c r="L10" i="44"/>
  <c r="K28" i="51" s="1"/>
  <c r="L33" i="44"/>
  <c r="O81" i="44"/>
  <c r="N27" i="57" s="1"/>
  <c r="BN32" i="44"/>
  <c r="BL33" i="44"/>
  <c r="BM33" i="44" s="1"/>
  <c r="L80" i="44"/>
  <c r="K26" i="57" s="1"/>
  <c r="BT31" i="44"/>
  <c r="BQ31" i="44"/>
  <c r="AX33" i="44"/>
  <c r="AP34" i="44"/>
  <c r="AZ33" i="44"/>
  <c r="C29" i="52"/>
  <c r="AH80" i="44"/>
  <c r="N26" i="58" s="1"/>
  <c r="AH56" i="44"/>
  <c r="N26" i="54" s="1"/>
  <c r="BB56" i="44"/>
  <c r="N26" i="55" s="1"/>
  <c r="BQ29" i="43"/>
  <c r="BT29" i="43"/>
  <c r="BK27" i="43" a="1"/>
  <c r="BL31" i="43"/>
  <c r="BM31" i="43" s="1"/>
  <c r="BN30" i="43"/>
  <c r="AP33" i="43"/>
  <c r="AX33" i="43" s="1"/>
  <c r="AZ32" i="43"/>
  <c r="G77" i="31"/>
  <c r="E40" i="31"/>
  <c r="G39" i="31"/>
  <c r="A1" i="31"/>
  <c r="A1" i="26"/>
  <c r="B1" i="28"/>
  <c r="M4" i="47"/>
  <c r="L62" i="51" s="1"/>
  <c r="M4" i="46"/>
  <c r="L42" i="51" s="1"/>
  <c r="M4" i="44"/>
  <c r="L22" i="51" s="1"/>
  <c r="E4" i="44"/>
  <c r="D22" i="51" s="1"/>
  <c r="F4" i="44"/>
  <c r="E22" i="51" s="1"/>
  <c r="G4" i="44"/>
  <c r="F22" i="51" s="1"/>
  <c r="H4" i="44"/>
  <c r="G22" i="51" s="1"/>
  <c r="I4" i="44"/>
  <c r="H22" i="51" s="1"/>
  <c r="J4" i="44"/>
  <c r="I22" i="51" s="1"/>
  <c r="K4" i="44"/>
  <c r="J22" i="51" s="1"/>
  <c r="E4" i="46"/>
  <c r="D42" i="51" s="1"/>
  <c r="F4" i="46"/>
  <c r="E42" i="51" s="1"/>
  <c r="G4" i="46"/>
  <c r="F42" i="51" s="1"/>
  <c r="H4" i="46"/>
  <c r="G42" i="51" s="1"/>
  <c r="I4" i="46"/>
  <c r="H42" i="51" s="1"/>
  <c r="J4" i="46"/>
  <c r="I42" i="51" s="1"/>
  <c r="K4" i="46"/>
  <c r="J42" i="51" s="1"/>
  <c r="E4" i="47"/>
  <c r="D62" i="51" s="1"/>
  <c r="F4" i="47"/>
  <c r="E62" i="51" s="1"/>
  <c r="G4" i="47"/>
  <c r="F62" i="51" s="1"/>
  <c r="H4" i="47"/>
  <c r="G62" i="51" s="1"/>
  <c r="I4" i="47"/>
  <c r="H62" i="51" s="1"/>
  <c r="J4" i="47"/>
  <c r="I62" i="51" s="1"/>
  <c r="K4" i="47"/>
  <c r="J62" i="51" s="1"/>
  <c r="D4" i="47"/>
  <c r="C62" i="51" s="1"/>
  <c r="D4" i="46"/>
  <c r="C42" i="51" s="1"/>
  <c r="D4" i="44"/>
  <c r="C22" i="51" s="1"/>
  <c r="K2" i="26"/>
  <c r="M2" i="26"/>
  <c r="N2" i="26"/>
  <c r="O2" i="26"/>
  <c r="AL60" i="43" l="1"/>
  <c r="E9" i="60"/>
  <c r="D35" i="48"/>
  <c r="C89" i="53" s="1"/>
  <c r="P128" i="51"/>
  <c r="P108" i="51"/>
  <c r="P88" i="51"/>
  <c r="AJ7" i="48"/>
  <c r="P85" i="59" s="1"/>
  <c r="O85" i="59"/>
  <c r="AV15" i="50"/>
  <c r="BD15" i="50" s="1"/>
  <c r="J133" i="52" s="1"/>
  <c r="D132" i="52"/>
  <c r="J58" i="48"/>
  <c r="I88" i="56" s="1"/>
  <c r="J82" i="48"/>
  <c r="I88" i="57" s="1"/>
  <c r="J12" i="48"/>
  <c r="I90" i="51" s="1"/>
  <c r="J35" i="48"/>
  <c r="I89" i="53" s="1"/>
  <c r="H12" i="48"/>
  <c r="G90" i="51" s="1"/>
  <c r="AW57" i="48"/>
  <c r="I87" i="55" s="1"/>
  <c r="AC57" i="48"/>
  <c r="I87" i="54" s="1"/>
  <c r="AC81" i="48"/>
  <c r="I87" i="58" s="1"/>
  <c r="W57" i="48"/>
  <c r="C87" i="54" s="1"/>
  <c r="H82" i="48"/>
  <c r="G88" i="57" s="1"/>
  <c r="D12" i="48"/>
  <c r="C90" i="51" s="1"/>
  <c r="H35" i="48"/>
  <c r="G89" i="53" s="1"/>
  <c r="I82" i="48"/>
  <c r="H88" i="57" s="1"/>
  <c r="D58" i="48"/>
  <c r="C88" i="56" s="1"/>
  <c r="W81" i="48"/>
  <c r="C87" i="58" s="1"/>
  <c r="AQ57" i="48"/>
  <c r="C87" i="55" s="1"/>
  <c r="AA58" i="48"/>
  <c r="G88" i="54" s="1"/>
  <c r="H58" i="48"/>
  <c r="G88" i="56" s="1"/>
  <c r="D82" i="48"/>
  <c r="C88" i="57" s="1"/>
  <c r="AV57" i="48"/>
  <c r="H87" i="55" s="1"/>
  <c r="AB57" i="48"/>
  <c r="H87" i="54" s="1"/>
  <c r="AB81" i="48"/>
  <c r="H87" i="58" s="1"/>
  <c r="I35" i="48"/>
  <c r="H89" i="53" s="1"/>
  <c r="I58" i="48"/>
  <c r="H88" i="56" s="1"/>
  <c r="I12" i="48"/>
  <c r="H90" i="51" s="1"/>
  <c r="AU57" i="48"/>
  <c r="G87" i="55" s="1"/>
  <c r="AV14" i="48"/>
  <c r="D91" i="52"/>
  <c r="AA81" i="48"/>
  <c r="G87" i="58" s="1"/>
  <c r="AZ14" i="48"/>
  <c r="H91" i="52"/>
  <c r="AW14" i="48"/>
  <c r="E91" i="52"/>
  <c r="BA14" i="48"/>
  <c r="I91" i="52"/>
  <c r="AY14" i="48"/>
  <c r="G91" i="52"/>
  <c r="AX14" i="48"/>
  <c r="F91" i="52"/>
  <c r="M6" i="57"/>
  <c r="M5" i="58"/>
  <c r="AY12" i="47"/>
  <c r="G69" i="52"/>
  <c r="AX12" i="47"/>
  <c r="F69" i="52"/>
  <c r="M8" i="51"/>
  <c r="AV12" i="47"/>
  <c r="D69" i="52"/>
  <c r="K8" i="51"/>
  <c r="AW12" i="47"/>
  <c r="E69" i="52"/>
  <c r="AZ11" i="47"/>
  <c r="BD11" i="47" s="1"/>
  <c r="J69" i="52" s="1"/>
  <c r="H68" i="52"/>
  <c r="H8" i="52" s="1"/>
  <c r="K6" i="57"/>
  <c r="K5" i="58"/>
  <c r="BA12" i="47"/>
  <c r="I69" i="52"/>
  <c r="N5" i="55"/>
  <c r="K5" i="54"/>
  <c r="G8" i="52"/>
  <c r="D8" i="52"/>
  <c r="F8" i="52"/>
  <c r="AW12" i="46"/>
  <c r="E49" i="52"/>
  <c r="AX12" i="46"/>
  <c r="F49" i="52"/>
  <c r="BA12" i="46"/>
  <c r="I49" i="52"/>
  <c r="I8" i="52"/>
  <c r="AV12" i="46"/>
  <c r="D49" i="52"/>
  <c r="AY12" i="46"/>
  <c r="G49" i="52"/>
  <c r="AZ12" i="46"/>
  <c r="H49" i="52"/>
  <c r="BA57" i="44"/>
  <c r="M27" i="55" s="1"/>
  <c r="AG57" i="44"/>
  <c r="M27" i="54" s="1"/>
  <c r="AG81" i="44"/>
  <c r="M27" i="58" s="1"/>
  <c r="M28" i="53"/>
  <c r="N82" i="44"/>
  <c r="M28" i="57" s="1"/>
  <c r="BX35" i="44"/>
  <c r="N35" i="44"/>
  <c r="N83" i="44" s="1"/>
  <c r="M29" i="57" s="1"/>
  <c r="N12" i="44"/>
  <c r="M30" i="51" s="1"/>
  <c r="AZ12" i="44"/>
  <c r="H29" i="52"/>
  <c r="AV12" i="44"/>
  <c r="D29" i="52"/>
  <c r="AX12" i="44"/>
  <c r="F29" i="52"/>
  <c r="AY12" i="44"/>
  <c r="G29" i="52"/>
  <c r="AW11" i="44"/>
  <c r="BD11" i="44" s="1"/>
  <c r="J29" i="52" s="1"/>
  <c r="E28" i="52"/>
  <c r="E8" i="52" s="1"/>
  <c r="BA12" i="44"/>
  <c r="I29" i="52"/>
  <c r="AF33" i="49"/>
  <c r="Y33" i="49"/>
  <c r="BA35" i="49"/>
  <c r="E18" i="31"/>
  <c r="G17" i="31"/>
  <c r="V59" i="47"/>
  <c r="B69" i="56"/>
  <c r="V58" i="46"/>
  <c r="AP58" i="46" s="1"/>
  <c r="B48" i="56"/>
  <c r="BH9" i="46"/>
  <c r="A47" i="52"/>
  <c r="BH11" i="47"/>
  <c r="A69" i="52"/>
  <c r="V62" i="49"/>
  <c r="B112" i="56"/>
  <c r="BM43" i="49"/>
  <c r="BN43" i="49" s="1"/>
  <c r="E118" i="31"/>
  <c r="G117" i="31"/>
  <c r="BM44" i="46"/>
  <c r="BM44" i="47"/>
  <c r="BN44" i="47" s="1"/>
  <c r="G58" i="31"/>
  <c r="E59" i="31"/>
  <c r="A28" i="53"/>
  <c r="B82" i="44"/>
  <c r="A28" i="57" s="1"/>
  <c r="U34" i="44"/>
  <c r="U82" i="44" s="1"/>
  <c r="A28" i="58" s="1"/>
  <c r="BI11" i="48"/>
  <c r="B89" i="52"/>
  <c r="BT42" i="49"/>
  <c r="BQ42" i="49"/>
  <c r="AO61" i="49"/>
  <c r="A111" i="55" s="1"/>
  <c r="A111" i="54"/>
  <c r="AP60" i="50"/>
  <c r="B130" i="55" s="1"/>
  <c r="B130" i="54"/>
  <c r="U57" i="46"/>
  <c r="AO57" i="46" s="1"/>
  <c r="A47" i="56"/>
  <c r="BI11" i="47"/>
  <c r="B69" i="52"/>
  <c r="U59" i="47"/>
  <c r="A69" i="56"/>
  <c r="BH12" i="48"/>
  <c r="A90" i="52"/>
  <c r="BI13" i="50"/>
  <c r="B131" i="52"/>
  <c r="B28" i="56"/>
  <c r="V58" i="44"/>
  <c r="B28" i="54" s="1"/>
  <c r="AP61" i="49"/>
  <c r="B111" i="55" s="1"/>
  <c r="B111" i="54"/>
  <c r="B47" i="54"/>
  <c r="B47" i="55"/>
  <c r="AP58" i="47"/>
  <c r="B68" i="55" s="1"/>
  <c r="B68" i="54"/>
  <c r="BH14" i="49"/>
  <c r="A112" i="52"/>
  <c r="BI10" i="44"/>
  <c r="B28" i="52"/>
  <c r="BQ43" i="47"/>
  <c r="BT43" i="47"/>
  <c r="AO61" i="50"/>
  <c r="A131" i="55" s="1"/>
  <c r="A131" i="54"/>
  <c r="V59" i="48"/>
  <c r="B89" i="56"/>
  <c r="U60" i="48"/>
  <c r="A90" i="56"/>
  <c r="V61" i="50"/>
  <c r="B131" i="56"/>
  <c r="B29" i="51"/>
  <c r="C35" i="44"/>
  <c r="C59" i="44"/>
  <c r="C12" i="44"/>
  <c r="V11" i="44"/>
  <c r="AP11" i="44" s="1"/>
  <c r="AO59" i="48"/>
  <c r="A89" i="55" s="1"/>
  <c r="A89" i="54"/>
  <c r="A46" i="55"/>
  <c r="A46" i="54"/>
  <c r="AO58" i="47"/>
  <c r="A68" i="55" s="1"/>
  <c r="A68" i="54"/>
  <c r="BM43" i="48"/>
  <c r="BN43" i="48" s="1"/>
  <c r="G97" i="31"/>
  <c r="E98" i="31"/>
  <c r="BH14" i="50"/>
  <c r="A132" i="52"/>
  <c r="B28" i="53"/>
  <c r="C82" i="44"/>
  <c r="B28" i="57" s="1"/>
  <c r="V34" i="44"/>
  <c r="V82" i="44" s="1"/>
  <c r="B28" i="58" s="1"/>
  <c r="BT42" i="50"/>
  <c r="BQ42" i="50"/>
  <c r="A29" i="51"/>
  <c r="B35" i="44"/>
  <c r="B12" i="44"/>
  <c r="U11" i="44"/>
  <c r="AO11" i="44" s="1"/>
  <c r="B59" i="44"/>
  <c r="BQ42" i="48"/>
  <c r="BT42" i="48"/>
  <c r="BI10" i="46"/>
  <c r="B48" i="52"/>
  <c r="U62" i="49"/>
  <c r="A112" i="56"/>
  <c r="E138" i="31"/>
  <c r="BM43" i="50"/>
  <c r="BN43" i="50" s="1"/>
  <c r="G137" i="31"/>
  <c r="BH10" i="44"/>
  <c r="A28" i="52"/>
  <c r="AP57" i="44"/>
  <c r="B27" i="55" s="1"/>
  <c r="BI14" i="49"/>
  <c r="B112" i="52"/>
  <c r="U62" i="50"/>
  <c r="A132" i="56"/>
  <c r="A28" i="56"/>
  <c r="U58" i="44"/>
  <c r="A28" i="54" s="1"/>
  <c r="AO57" i="44"/>
  <c r="A27" i="55" s="1"/>
  <c r="AP58" i="48"/>
  <c r="B88" i="55" s="1"/>
  <c r="B88" i="54"/>
  <c r="J2" i="51"/>
  <c r="F2" i="51"/>
  <c r="N5" i="54"/>
  <c r="N7" i="53"/>
  <c r="E2" i="51"/>
  <c r="BI55" i="50"/>
  <c r="AB33" i="49"/>
  <c r="K46" i="55"/>
  <c r="M47" i="53"/>
  <c r="N57" i="46"/>
  <c r="M47" i="56" s="1"/>
  <c r="M45" i="55"/>
  <c r="M5" i="55" s="1"/>
  <c r="M5" i="54"/>
  <c r="K67" i="53"/>
  <c r="L57" i="47"/>
  <c r="K67" i="56" s="1"/>
  <c r="N28" i="53"/>
  <c r="O58" i="44"/>
  <c r="N28" i="56" s="1"/>
  <c r="BI63" i="50"/>
  <c r="K133" i="53"/>
  <c r="L63" i="50"/>
  <c r="K133" i="56" s="1"/>
  <c r="M132" i="53"/>
  <c r="N62" i="50"/>
  <c r="M132" i="56" s="1"/>
  <c r="K111" i="53"/>
  <c r="L61" i="49"/>
  <c r="K111" i="56" s="1"/>
  <c r="M6" i="53"/>
  <c r="K6" i="53"/>
  <c r="K48" i="53"/>
  <c r="L58" i="46"/>
  <c r="K48" i="56" s="1"/>
  <c r="K89" i="53"/>
  <c r="L59" i="48"/>
  <c r="K89" i="56" s="1"/>
  <c r="M111" i="53"/>
  <c r="N61" i="49"/>
  <c r="M111" i="56" s="1"/>
  <c r="M6" i="56"/>
  <c r="K6" i="56"/>
  <c r="M67" i="53"/>
  <c r="N57" i="47"/>
  <c r="M67" i="56" s="1"/>
  <c r="M90" i="53"/>
  <c r="N60" i="48"/>
  <c r="M90" i="56" s="1"/>
  <c r="K27" i="53"/>
  <c r="L57" i="44"/>
  <c r="K27" i="56" s="1"/>
  <c r="N46" i="55"/>
  <c r="K5" i="55"/>
  <c r="C2" i="51"/>
  <c r="L2" i="51"/>
  <c r="X33" i="49"/>
  <c r="D2" i="51"/>
  <c r="AJ32" i="50"/>
  <c r="AD33" i="50"/>
  <c r="P127" i="53"/>
  <c r="AK55" i="48"/>
  <c r="BK58" i="48" s="1"/>
  <c r="P85" i="54"/>
  <c r="K58" i="50"/>
  <c r="J128" i="56" s="1"/>
  <c r="J128" i="53"/>
  <c r="BD54" i="49"/>
  <c r="P104" i="55" s="1"/>
  <c r="O104" i="55"/>
  <c r="K58" i="49"/>
  <c r="J108" i="56" s="1"/>
  <c r="J108" i="53"/>
  <c r="AA33" i="49"/>
  <c r="D87" i="56"/>
  <c r="X81" i="48"/>
  <c r="D87" i="58" s="1"/>
  <c r="X57" i="48"/>
  <c r="D87" i="54" s="1"/>
  <c r="AR57" i="48"/>
  <c r="D87" i="55" s="1"/>
  <c r="D89" i="51"/>
  <c r="E12" i="48"/>
  <c r="E35" i="48"/>
  <c r="D88" i="53"/>
  <c r="E82" i="48"/>
  <c r="D88" i="57" s="1"/>
  <c r="E58" i="48"/>
  <c r="AK55" i="49"/>
  <c r="BK58" i="49" s="1"/>
  <c r="P105" i="54"/>
  <c r="K58" i="48"/>
  <c r="J88" i="53"/>
  <c r="K82" i="48"/>
  <c r="J88" i="57" s="1"/>
  <c r="J89" i="51"/>
  <c r="K35" i="48"/>
  <c r="K12" i="48"/>
  <c r="I2" i="51"/>
  <c r="H2" i="51"/>
  <c r="BI55" i="48"/>
  <c r="AQ33" i="48"/>
  <c r="BM59" i="48" s="1"/>
  <c r="P87" i="53"/>
  <c r="AK55" i="50"/>
  <c r="BK58" i="50" s="1"/>
  <c r="P125" i="54"/>
  <c r="CA34" i="48"/>
  <c r="L88" i="53"/>
  <c r="BD53" i="49"/>
  <c r="P103" i="55" s="1"/>
  <c r="O103" i="55"/>
  <c r="G2" i="51"/>
  <c r="BI63" i="48"/>
  <c r="BD54" i="48"/>
  <c r="P84" i="55" s="1"/>
  <c r="O84" i="55"/>
  <c r="BO32" i="48"/>
  <c r="BL64" i="48" s="1"/>
  <c r="O86" i="51"/>
  <c r="AS33" i="49"/>
  <c r="BM61" i="49" s="1"/>
  <c r="P107" i="53"/>
  <c r="BW35" i="48"/>
  <c r="BO67" i="48" s="1"/>
  <c r="L89" i="51"/>
  <c r="P79" i="48"/>
  <c r="O85" i="57" s="1"/>
  <c r="O85" i="53"/>
  <c r="J87" i="56"/>
  <c r="AX57" i="48"/>
  <c r="J87" i="55" s="1"/>
  <c r="AD81" i="48"/>
  <c r="J87" i="58" s="1"/>
  <c r="AD57" i="48"/>
  <c r="J87" i="54" s="1"/>
  <c r="AS33" i="50"/>
  <c r="BM61" i="50" s="1"/>
  <c r="W33" i="49"/>
  <c r="Q34" i="49"/>
  <c r="AS34" i="49" s="1"/>
  <c r="BN61" i="49" s="1"/>
  <c r="D58" i="49"/>
  <c r="C108" i="56" s="1"/>
  <c r="D82" i="49"/>
  <c r="C108" i="57" s="1"/>
  <c r="X81" i="49"/>
  <c r="D107" i="58" s="1"/>
  <c r="X57" i="49"/>
  <c r="D107" i="54" s="1"/>
  <c r="AR57" i="49"/>
  <c r="D107" i="55" s="1"/>
  <c r="I12" i="50"/>
  <c r="H130" i="51" s="1"/>
  <c r="I35" i="50"/>
  <c r="H129" i="53" s="1"/>
  <c r="Z81" i="49"/>
  <c r="F107" i="58" s="1"/>
  <c r="Z57" i="49"/>
  <c r="F107" i="54" s="1"/>
  <c r="AT57" i="49"/>
  <c r="F107" i="55" s="1"/>
  <c r="AJ80" i="49"/>
  <c r="P106" i="58" s="1"/>
  <c r="G82" i="50"/>
  <c r="F128" i="57" s="1"/>
  <c r="G58" i="50"/>
  <c r="F128" i="56" s="1"/>
  <c r="M58" i="49"/>
  <c r="L108" i="56" s="1"/>
  <c r="M82" i="49"/>
  <c r="L108" i="57" s="1"/>
  <c r="J35" i="50"/>
  <c r="I129" i="53" s="1"/>
  <c r="J12" i="50"/>
  <c r="I130" i="51" s="1"/>
  <c r="AU32" i="50"/>
  <c r="E12" i="50"/>
  <c r="D130" i="51" s="1"/>
  <c r="E35" i="50"/>
  <c r="D129" i="53" s="1"/>
  <c r="Q81" i="50"/>
  <c r="P127" i="57" s="1"/>
  <c r="AA33" i="50"/>
  <c r="F35" i="50"/>
  <c r="E129" i="53" s="1"/>
  <c r="F12" i="50"/>
  <c r="E130" i="51" s="1"/>
  <c r="AC33" i="49"/>
  <c r="BR35" i="49"/>
  <c r="BO65" i="49" s="1"/>
  <c r="D35" i="49"/>
  <c r="C109" i="53" s="1"/>
  <c r="Q11" i="49"/>
  <c r="D12" i="49"/>
  <c r="C110" i="51" s="1"/>
  <c r="I82" i="50"/>
  <c r="H128" i="57" s="1"/>
  <c r="I58" i="50"/>
  <c r="H128" i="56" s="1"/>
  <c r="AA81" i="49"/>
  <c r="G107" i="58" s="1"/>
  <c r="AU57" i="49"/>
  <c r="G107" i="55" s="1"/>
  <c r="AF81" i="50"/>
  <c r="L127" i="58" s="1"/>
  <c r="AF57" i="50"/>
  <c r="L127" i="54" s="1"/>
  <c r="AZ57" i="50"/>
  <c r="L127" i="55" s="1"/>
  <c r="G35" i="50"/>
  <c r="F129" i="53" s="1"/>
  <c r="G12" i="50"/>
  <c r="F130" i="51" s="1"/>
  <c r="AJ32" i="49"/>
  <c r="BO32" i="50"/>
  <c r="BL64" i="50" s="1"/>
  <c r="BU32" i="50"/>
  <c r="BL66" i="50" s="1"/>
  <c r="AI8" i="50"/>
  <c r="O126" i="59" s="1"/>
  <c r="P32" i="50"/>
  <c r="O126" i="53" s="1"/>
  <c r="J82" i="50"/>
  <c r="I128" i="57" s="1"/>
  <c r="J58" i="50"/>
  <c r="I128" i="56" s="1"/>
  <c r="Z81" i="50"/>
  <c r="F127" i="58" s="1"/>
  <c r="Z57" i="50"/>
  <c r="F127" i="54" s="1"/>
  <c r="AT57" i="50"/>
  <c r="F127" i="55" s="1"/>
  <c r="E58" i="50"/>
  <c r="D128" i="56" s="1"/>
  <c r="E82" i="50"/>
  <c r="D128" i="57" s="1"/>
  <c r="W57" i="50"/>
  <c r="C127" i="54" s="1"/>
  <c r="W81" i="50"/>
  <c r="C127" i="58" s="1"/>
  <c r="Q57" i="50"/>
  <c r="P127" i="56" s="1"/>
  <c r="AQ57" i="50"/>
  <c r="C127" i="55" s="1"/>
  <c r="F58" i="50"/>
  <c r="E128" i="56" s="1"/>
  <c r="F82" i="50"/>
  <c r="E128" i="57" s="1"/>
  <c r="AB81" i="50"/>
  <c r="H127" i="58" s="1"/>
  <c r="AB57" i="50"/>
  <c r="H127" i="54" s="1"/>
  <c r="AV57" i="50"/>
  <c r="H127" i="55" s="1"/>
  <c r="P32" i="49"/>
  <c r="O106" i="53" s="1"/>
  <c r="AI8" i="49"/>
  <c r="O106" i="59" s="1"/>
  <c r="BU32" i="49"/>
  <c r="BL66" i="49" s="1"/>
  <c r="BO32" i="49"/>
  <c r="BL64" i="49" s="1"/>
  <c r="AX57" i="49"/>
  <c r="J107" i="55" s="1"/>
  <c r="AD81" i="49"/>
  <c r="J107" i="58" s="1"/>
  <c r="AD57" i="49"/>
  <c r="J107" i="54" s="1"/>
  <c r="F82" i="49"/>
  <c r="E108" i="57" s="1"/>
  <c r="F58" i="49"/>
  <c r="E108" i="56" s="1"/>
  <c r="I12" i="49"/>
  <c r="H110" i="51" s="1"/>
  <c r="I35" i="49"/>
  <c r="H109" i="53" s="1"/>
  <c r="Y33" i="50"/>
  <c r="BM59" i="49"/>
  <c r="K12" i="50"/>
  <c r="J130" i="51" s="1"/>
  <c r="K35" i="50"/>
  <c r="AC81" i="49"/>
  <c r="I107" i="58" s="1"/>
  <c r="AC57" i="49"/>
  <c r="I107" i="54" s="1"/>
  <c r="AW57" i="49"/>
  <c r="I107" i="55" s="1"/>
  <c r="M12" i="50"/>
  <c r="L130" i="51" s="1"/>
  <c r="M35" i="50"/>
  <c r="L129" i="53" s="1"/>
  <c r="K82" i="49"/>
  <c r="J108" i="57" s="1"/>
  <c r="CA34" i="49"/>
  <c r="AJ80" i="50"/>
  <c r="P126" i="58" s="1"/>
  <c r="AJ7" i="49"/>
  <c r="P105" i="59" s="1"/>
  <c r="AF57" i="49"/>
  <c r="L107" i="54" s="1"/>
  <c r="AF81" i="49"/>
  <c r="L107" i="58" s="1"/>
  <c r="AZ57" i="49"/>
  <c r="L107" i="55" s="1"/>
  <c r="AC81" i="50"/>
  <c r="I127" i="58" s="1"/>
  <c r="AC57" i="50"/>
  <c r="I127" i="54" s="1"/>
  <c r="AW57" i="50"/>
  <c r="I127" i="55" s="1"/>
  <c r="Y81" i="49"/>
  <c r="E107" i="58" s="1"/>
  <c r="Y57" i="49"/>
  <c r="E107" i="54" s="1"/>
  <c r="AS57" i="49"/>
  <c r="E107" i="55" s="1"/>
  <c r="F35" i="49"/>
  <c r="E109" i="53" s="1"/>
  <c r="F12" i="49"/>
  <c r="E110" i="51" s="1"/>
  <c r="I82" i="49"/>
  <c r="H108" i="57" s="1"/>
  <c r="I58" i="49"/>
  <c r="H108" i="56" s="1"/>
  <c r="Y81" i="50"/>
  <c r="E127" i="58" s="1"/>
  <c r="Y57" i="50"/>
  <c r="E127" i="54" s="1"/>
  <c r="AS57" i="50"/>
  <c r="E127" i="55" s="1"/>
  <c r="AA81" i="50"/>
  <c r="G127" i="58" s="1"/>
  <c r="AU57" i="50"/>
  <c r="G127" i="55" s="1"/>
  <c r="CA34" i="50"/>
  <c r="K82" i="50"/>
  <c r="J128" i="57" s="1"/>
  <c r="D35" i="50"/>
  <c r="C129" i="53" s="1"/>
  <c r="D12" i="50"/>
  <c r="C130" i="51" s="1"/>
  <c r="BR35" i="50"/>
  <c r="BO65" i="50" s="1"/>
  <c r="Q11" i="50"/>
  <c r="M82" i="50"/>
  <c r="L128" i="57" s="1"/>
  <c r="M58" i="50"/>
  <c r="L128" i="56" s="1"/>
  <c r="G35" i="49"/>
  <c r="F109" i="53" s="1"/>
  <c r="G12" i="49"/>
  <c r="F110" i="51" s="1"/>
  <c r="AJ56" i="50"/>
  <c r="AI31" i="49"/>
  <c r="P79" i="49"/>
  <c r="O105" i="57" s="1"/>
  <c r="AB81" i="49"/>
  <c r="H107" i="58" s="1"/>
  <c r="AB57" i="49"/>
  <c r="H107" i="54" s="1"/>
  <c r="AV57" i="49"/>
  <c r="H107" i="55" s="1"/>
  <c r="X33" i="50"/>
  <c r="H82" i="50"/>
  <c r="G128" i="57" s="1"/>
  <c r="H58" i="50"/>
  <c r="G128" i="56" s="1"/>
  <c r="AA58" i="50"/>
  <c r="G128" i="54" s="1"/>
  <c r="Q81" i="49"/>
  <c r="P107" i="57" s="1"/>
  <c r="D82" i="50"/>
  <c r="C128" i="57" s="1"/>
  <c r="D58" i="50"/>
  <c r="C128" i="56" s="1"/>
  <c r="Q34" i="50"/>
  <c r="H35" i="49"/>
  <c r="G109" i="53" s="1"/>
  <c r="H12" i="49"/>
  <c r="G110" i="51" s="1"/>
  <c r="BW35" i="49"/>
  <c r="BO67" i="49" s="1"/>
  <c r="G82" i="49"/>
  <c r="F108" i="57" s="1"/>
  <c r="G58" i="49"/>
  <c r="F108" i="56" s="1"/>
  <c r="M12" i="49"/>
  <c r="L110" i="51" s="1"/>
  <c r="M35" i="49"/>
  <c r="L109" i="53" s="1"/>
  <c r="AC33" i="50"/>
  <c r="BM68" i="50"/>
  <c r="AT33" i="50"/>
  <c r="BM62" i="50" s="1"/>
  <c r="BJ9" i="50"/>
  <c r="BK9" i="50" s="1"/>
  <c r="BL9" i="50" s="1"/>
  <c r="P9" i="50" s="1"/>
  <c r="O127" i="51" s="1"/>
  <c r="AH33" i="50"/>
  <c r="BM69" i="50"/>
  <c r="AR33" i="50"/>
  <c r="BM60" i="50" s="1"/>
  <c r="AE33" i="50"/>
  <c r="AG33" i="50"/>
  <c r="AB33" i="50"/>
  <c r="AR57" i="50"/>
  <c r="D127" i="55" s="1"/>
  <c r="X57" i="50"/>
  <c r="D127" i="54" s="1"/>
  <c r="X81" i="50"/>
  <c r="D127" i="58" s="1"/>
  <c r="H35" i="50"/>
  <c r="G129" i="53" s="1"/>
  <c r="H12" i="50"/>
  <c r="G130" i="51" s="1"/>
  <c r="BW35" i="50"/>
  <c r="BO67" i="50" s="1"/>
  <c r="W33" i="50"/>
  <c r="AD33" i="49"/>
  <c r="BM68" i="49"/>
  <c r="AH33" i="49"/>
  <c r="BM69" i="49"/>
  <c r="AT33" i="49"/>
  <c r="BM62" i="49" s="1"/>
  <c r="BJ9" i="49"/>
  <c r="BK9" i="49" s="1"/>
  <c r="BL9" i="49" s="1"/>
  <c r="P9" i="49" s="1"/>
  <c r="O107" i="51" s="1"/>
  <c r="AR33" i="49"/>
  <c r="BM60" i="49" s="1"/>
  <c r="AG33" i="49"/>
  <c r="AE33" i="49"/>
  <c r="J35" i="49"/>
  <c r="I109" i="53" s="1"/>
  <c r="J12" i="49"/>
  <c r="I110" i="51" s="1"/>
  <c r="AJ7" i="50"/>
  <c r="P125" i="59" s="1"/>
  <c r="BC55" i="50"/>
  <c r="BC54" i="50"/>
  <c r="H82" i="49"/>
  <c r="G108" i="57" s="1"/>
  <c r="AA58" i="49"/>
  <c r="G108" i="54" s="1"/>
  <c r="H58" i="49"/>
  <c r="G108" i="56" s="1"/>
  <c r="Z33" i="49"/>
  <c r="E82" i="49"/>
  <c r="D108" i="57" s="1"/>
  <c r="E58" i="49"/>
  <c r="D108" i="56" s="1"/>
  <c r="AF33" i="50"/>
  <c r="BL59" i="49"/>
  <c r="AU32" i="49"/>
  <c r="Z33" i="50"/>
  <c r="K35" i="49"/>
  <c r="K12" i="49"/>
  <c r="J110" i="51" s="1"/>
  <c r="AX57" i="50"/>
  <c r="J127" i="55" s="1"/>
  <c r="AD57" i="50"/>
  <c r="J127" i="54" s="1"/>
  <c r="AD81" i="50"/>
  <c r="J127" i="58" s="1"/>
  <c r="AQ33" i="50"/>
  <c r="W81" i="49"/>
  <c r="C107" i="58" s="1"/>
  <c r="W57" i="49"/>
  <c r="C107" i="54" s="1"/>
  <c r="Q57" i="49"/>
  <c r="P107" i="56" s="1"/>
  <c r="AQ57" i="49"/>
  <c r="C107" i="55" s="1"/>
  <c r="J82" i="49"/>
  <c r="I108" i="57" s="1"/>
  <c r="J58" i="49"/>
  <c r="I108" i="56" s="1"/>
  <c r="P79" i="50"/>
  <c r="O125" i="57" s="1"/>
  <c r="AI31" i="50"/>
  <c r="AJ56" i="49"/>
  <c r="E35" i="49"/>
  <c r="D109" i="53" s="1"/>
  <c r="E12" i="49"/>
  <c r="D110" i="51" s="1"/>
  <c r="AE33" i="48"/>
  <c r="AI8" i="48"/>
  <c r="P32" i="48"/>
  <c r="AU32" i="48"/>
  <c r="BU32" i="48"/>
  <c r="BL66" i="48" s="1"/>
  <c r="AS33" i="48"/>
  <c r="BM61" i="48" s="1"/>
  <c r="Y33" i="48"/>
  <c r="X33" i="48"/>
  <c r="W33" i="48"/>
  <c r="BR35" i="48"/>
  <c r="BO65" i="48" s="1"/>
  <c r="AJ32" i="48"/>
  <c r="AA33" i="48"/>
  <c r="AD33" i="48"/>
  <c r="AJ80" i="48"/>
  <c r="P86" i="58" s="1"/>
  <c r="AH33" i="48"/>
  <c r="BM69" i="48"/>
  <c r="BM68" i="48"/>
  <c r="Z33" i="48"/>
  <c r="AR33" i="48"/>
  <c r="BM60" i="48" s="1"/>
  <c r="BJ9" i="48"/>
  <c r="BK9" i="48" s="1"/>
  <c r="BL9" i="48" s="1"/>
  <c r="P9" i="48" s="1"/>
  <c r="AC33" i="48"/>
  <c r="AG33" i="48"/>
  <c r="AF33" i="48"/>
  <c r="AT33" i="48"/>
  <c r="BM62" i="48" s="1"/>
  <c r="AB33" i="48"/>
  <c r="AI31" i="48"/>
  <c r="Q57" i="48"/>
  <c r="P87" i="56" s="1"/>
  <c r="Q11" i="48"/>
  <c r="Q34" i="48"/>
  <c r="AJ56" i="48"/>
  <c r="Q81" i="48"/>
  <c r="P87" i="57" s="1"/>
  <c r="BA35" i="50"/>
  <c r="AE86" i="50"/>
  <c r="K132" i="58" s="1"/>
  <c r="AE62" i="50"/>
  <c r="AY62" i="50"/>
  <c r="K132" i="55" s="1"/>
  <c r="L40" i="50"/>
  <c r="L17" i="50"/>
  <c r="K135" i="51" s="1"/>
  <c r="B86" i="50"/>
  <c r="A132" i="57" s="1"/>
  <c r="U38" i="50"/>
  <c r="U86" i="50" s="1"/>
  <c r="A132" i="58" s="1"/>
  <c r="C62" i="50"/>
  <c r="C38" i="50"/>
  <c r="B132" i="53" s="1"/>
  <c r="V14" i="50"/>
  <c r="AP14" i="50" s="1"/>
  <c r="C15" i="50"/>
  <c r="B133" i="51" s="1"/>
  <c r="L87" i="50"/>
  <c r="K133" i="57" s="1"/>
  <c r="BX39" i="50"/>
  <c r="N39" i="50"/>
  <c r="N16" i="50"/>
  <c r="M134" i="51" s="1"/>
  <c r="C85" i="50"/>
  <c r="B131" i="57" s="1"/>
  <c r="V37" i="50"/>
  <c r="V85" i="50" s="1"/>
  <c r="B131" i="58" s="1"/>
  <c r="N86" i="50"/>
  <c r="M132" i="57" s="1"/>
  <c r="O39" i="50"/>
  <c r="N133" i="53" s="1"/>
  <c r="O16" i="50"/>
  <c r="N134" i="51" s="1"/>
  <c r="AP37" i="50"/>
  <c r="AZ36" i="50"/>
  <c r="AW36" i="50"/>
  <c r="AX36" i="50"/>
  <c r="AG85" i="50"/>
  <c r="M131" i="58" s="1"/>
  <c r="AG61" i="50"/>
  <c r="BA61" i="50"/>
  <c r="M131" i="55" s="1"/>
  <c r="O86" i="50"/>
  <c r="N132" i="57" s="1"/>
  <c r="O62" i="50"/>
  <c r="N132" i="56" s="1"/>
  <c r="AH85" i="50"/>
  <c r="N131" i="58" s="1"/>
  <c r="AH61" i="50"/>
  <c r="BB61" i="50"/>
  <c r="N131" i="55" s="1"/>
  <c r="AU16" i="50"/>
  <c r="C134" i="52" s="1"/>
  <c r="B63" i="50"/>
  <c r="B16" i="50"/>
  <c r="A134" i="51" s="1"/>
  <c r="B39" i="50"/>
  <c r="A133" i="53" s="1"/>
  <c r="U15" i="50"/>
  <c r="AO15" i="50" s="1"/>
  <c r="B86" i="49"/>
  <c r="A112" i="57" s="1"/>
  <c r="U38" i="49"/>
  <c r="U86" i="49" s="1"/>
  <c r="A112" i="58" s="1"/>
  <c r="AH60" i="49"/>
  <c r="AH84" i="49"/>
  <c r="N110" i="58" s="1"/>
  <c r="BB60" i="49"/>
  <c r="N110" i="55" s="1"/>
  <c r="L38" i="49"/>
  <c r="L15" i="49"/>
  <c r="K113" i="51" s="1"/>
  <c r="AE84" i="49"/>
  <c r="K110" i="58" s="1"/>
  <c r="AE60" i="49"/>
  <c r="AY60" i="49"/>
  <c r="K110" i="55" s="1"/>
  <c r="L85" i="49"/>
  <c r="K111" i="57" s="1"/>
  <c r="N38" i="49"/>
  <c r="BX38" i="49"/>
  <c r="N15" i="49"/>
  <c r="M113" i="51" s="1"/>
  <c r="AG84" i="49"/>
  <c r="M110" i="58" s="1"/>
  <c r="AG60" i="49"/>
  <c r="BA60" i="49"/>
  <c r="M110" i="55" s="1"/>
  <c r="BD17" i="49"/>
  <c r="J115" i="52" s="1"/>
  <c r="O15" i="49"/>
  <c r="N113" i="51" s="1"/>
  <c r="O38" i="49"/>
  <c r="N112" i="53" s="1"/>
  <c r="N85" i="49"/>
  <c r="M111" i="57" s="1"/>
  <c r="O85" i="49"/>
  <c r="N111" i="57" s="1"/>
  <c r="O61" i="49"/>
  <c r="N111" i="56" s="1"/>
  <c r="C63" i="49"/>
  <c r="C39" i="49"/>
  <c r="B113" i="53" s="1"/>
  <c r="C16" i="49"/>
  <c r="B114" i="51" s="1"/>
  <c r="V15" i="49"/>
  <c r="AP15" i="49" s="1"/>
  <c r="C86" i="49"/>
  <c r="B112" i="57" s="1"/>
  <c r="V38" i="49"/>
  <c r="V86" i="49" s="1"/>
  <c r="B112" i="58" s="1"/>
  <c r="B63" i="49"/>
  <c r="B39" i="49"/>
  <c r="A113" i="53" s="1"/>
  <c r="U15" i="49"/>
  <c r="AO15" i="49" s="1"/>
  <c r="B16" i="49"/>
  <c r="A114" i="51" s="1"/>
  <c r="AX36" i="49"/>
  <c r="AP37" i="49"/>
  <c r="AW36" i="49"/>
  <c r="AZ36" i="49"/>
  <c r="AZ57" i="48"/>
  <c r="L87" i="55" s="1"/>
  <c r="AF57" i="48"/>
  <c r="L87" i="54" s="1"/>
  <c r="AF81" i="48"/>
  <c r="L87" i="58" s="1"/>
  <c r="G35" i="48"/>
  <c r="F89" i="53" s="1"/>
  <c r="G12" i="48"/>
  <c r="F90" i="51" s="1"/>
  <c r="Z81" i="48"/>
  <c r="F87" i="58" s="1"/>
  <c r="Z57" i="48"/>
  <c r="F87" i="54" s="1"/>
  <c r="AT57" i="48"/>
  <c r="F87" i="55" s="1"/>
  <c r="F12" i="48"/>
  <c r="E90" i="51" s="1"/>
  <c r="F35" i="48"/>
  <c r="E89" i="53" s="1"/>
  <c r="Y81" i="48"/>
  <c r="E87" i="58" s="1"/>
  <c r="AS57" i="48"/>
  <c r="E87" i="55" s="1"/>
  <c r="Y57" i="48"/>
  <c r="E87" i="54" s="1"/>
  <c r="F82" i="48"/>
  <c r="E88" i="57" s="1"/>
  <c r="F58" i="48"/>
  <c r="E88" i="56" s="1"/>
  <c r="G82" i="48"/>
  <c r="F88" i="57" s="1"/>
  <c r="G58" i="48"/>
  <c r="F88" i="56" s="1"/>
  <c r="M35" i="48"/>
  <c r="M12" i="48"/>
  <c r="L90" i="51" s="1"/>
  <c r="M82" i="48"/>
  <c r="L88" i="57" s="1"/>
  <c r="M58" i="48"/>
  <c r="L88" i="56" s="1"/>
  <c r="AG83" i="48"/>
  <c r="M89" i="58" s="1"/>
  <c r="AG59" i="48"/>
  <c r="M89" i="54" s="1"/>
  <c r="BA59" i="48"/>
  <c r="M89" i="55" s="1"/>
  <c r="AZ34" i="48"/>
  <c r="AP35" i="48"/>
  <c r="AX34" i="48"/>
  <c r="AW34" i="48"/>
  <c r="BX37" i="48"/>
  <c r="N37" i="48"/>
  <c r="N14" i="48"/>
  <c r="M92" i="51" s="1"/>
  <c r="AU13" i="48"/>
  <c r="C91" i="52" s="1"/>
  <c r="BD12" i="48"/>
  <c r="J90" i="52" s="1"/>
  <c r="N84" i="48"/>
  <c r="M90" i="57" s="1"/>
  <c r="BC55" i="48"/>
  <c r="AE82" i="48"/>
  <c r="K88" i="58" s="1"/>
  <c r="AE58" i="48"/>
  <c r="K88" i="54" s="1"/>
  <c r="AY58" i="48"/>
  <c r="K88" i="55" s="1"/>
  <c r="B61" i="48"/>
  <c r="B37" i="48"/>
  <c r="A91" i="53" s="1"/>
  <c r="B14" i="48"/>
  <c r="A92" i="51" s="1"/>
  <c r="U13" i="48"/>
  <c r="AO13" i="48" s="1"/>
  <c r="C60" i="48"/>
  <c r="C36" i="48"/>
  <c r="B90" i="53" s="1"/>
  <c r="V12" i="48"/>
  <c r="AP12" i="48" s="1"/>
  <c r="C13" i="48"/>
  <c r="B91" i="51" s="1"/>
  <c r="O38" i="48"/>
  <c r="N92" i="53" s="1"/>
  <c r="O15" i="48"/>
  <c r="N93" i="51" s="1"/>
  <c r="C83" i="48"/>
  <c r="B89" i="57" s="1"/>
  <c r="V35" i="48"/>
  <c r="V83" i="48" s="1"/>
  <c r="B89" i="58" s="1"/>
  <c r="O85" i="48"/>
  <c r="N91" i="57" s="1"/>
  <c r="O61" i="48"/>
  <c r="N91" i="56" s="1"/>
  <c r="B84" i="48"/>
  <c r="A90" i="57" s="1"/>
  <c r="U36" i="48"/>
  <c r="U84" i="48" s="1"/>
  <c r="A90" i="58" s="1"/>
  <c r="L36" i="48"/>
  <c r="L13" i="48"/>
  <c r="K91" i="51" s="1"/>
  <c r="BA33" i="48"/>
  <c r="AH84" i="48"/>
  <c r="N90" i="58" s="1"/>
  <c r="AH60" i="48"/>
  <c r="N90" i="54" s="1"/>
  <c r="BB60" i="48"/>
  <c r="N90" i="55" s="1"/>
  <c r="L83" i="48"/>
  <c r="K89" i="57" s="1"/>
  <c r="K5" i="44"/>
  <c r="J23" i="51" s="1"/>
  <c r="K28" i="44"/>
  <c r="BR28" i="47"/>
  <c r="Q4" i="47"/>
  <c r="D5" i="47"/>
  <c r="C63" i="51" s="1"/>
  <c r="BO28" i="47"/>
  <c r="D28" i="47"/>
  <c r="C62" i="53" s="1"/>
  <c r="K5" i="46"/>
  <c r="J43" i="51" s="1"/>
  <c r="K28" i="46"/>
  <c r="J5" i="44"/>
  <c r="I23" i="51" s="1"/>
  <c r="J28" i="44"/>
  <c r="M5" i="47"/>
  <c r="L63" i="51" s="1"/>
  <c r="M28" i="47"/>
  <c r="L62" i="53" s="1"/>
  <c r="H5" i="44"/>
  <c r="G23" i="51" s="1"/>
  <c r="BW28" i="44"/>
  <c r="H28" i="44"/>
  <c r="D5" i="46"/>
  <c r="C43" i="51" s="1"/>
  <c r="BR28" i="46"/>
  <c r="Q4" i="46"/>
  <c r="BO28" i="46"/>
  <c r="D28" i="46"/>
  <c r="C42" i="53" s="1"/>
  <c r="E5" i="47"/>
  <c r="D63" i="51" s="1"/>
  <c r="E28" i="47"/>
  <c r="D62" i="53" s="1"/>
  <c r="BU28" i="47"/>
  <c r="M5" i="46"/>
  <c r="L43" i="51" s="1"/>
  <c r="M28" i="46"/>
  <c r="L42" i="53" s="1"/>
  <c r="K28" i="47"/>
  <c r="K5" i="47"/>
  <c r="J63" i="51" s="1"/>
  <c r="J5" i="46"/>
  <c r="I43" i="51" s="1"/>
  <c r="J28" i="46"/>
  <c r="I42" i="53" s="1"/>
  <c r="I5" i="44"/>
  <c r="H23" i="51" s="1"/>
  <c r="I28" i="44"/>
  <c r="J5" i="47"/>
  <c r="I63" i="51" s="1"/>
  <c r="J28" i="47"/>
  <c r="I62" i="53" s="1"/>
  <c r="H28" i="46"/>
  <c r="BW28" i="46"/>
  <c r="H5" i="46"/>
  <c r="G43" i="51" s="1"/>
  <c r="G5" i="44"/>
  <c r="F23" i="51" s="1"/>
  <c r="G28" i="44"/>
  <c r="I5" i="46"/>
  <c r="H43" i="51" s="1"/>
  <c r="I28" i="46"/>
  <c r="H42" i="53" s="1"/>
  <c r="I5" i="47"/>
  <c r="H63" i="51" s="1"/>
  <c r="I28" i="47"/>
  <c r="H62" i="53" s="1"/>
  <c r="H5" i="47"/>
  <c r="G63" i="51" s="1"/>
  <c r="BW28" i="47"/>
  <c r="H28" i="47"/>
  <c r="G62" i="53" s="1"/>
  <c r="G5" i="46"/>
  <c r="F43" i="51" s="1"/>
  <c r="G28" i="46"/>
  <c r="F42" i="53" s="1"/>
  <c r="F5" i="44"/>
  <c r="E23" i="51" s="1"/>
  <c r="F28" i="44"/>
  <c r="F5" i="46"/>
  <c r="E43" i="51" s="1"/>
  <c r="F28" i="46"/>
  <c r="E42" i="53" s="1"/>
  <c r="G5" i="47"/>
  <c r="F63" i="51" s="1"/>
  <c r="G28" i="47"/>
  <c r="F62" i="53" s="1"/>
  <c r="E5" i="44"/>
  <c r="D23" i="51" s="1"/>
  <c r="E28" i="44"/>
  <c r="BU28" i="44"/>
  <c r="Q4" i="44"/>
  <c r="BR28" i="44"/>
  <c r="D28" i="44"/>
  <c r="D5" i="44"/>
  <c r="C23" i="51" s="1"/>
  <c r="BO28" i="44"/>
  <c r="F5" i="47"/>
  <c r="E63" i="51" s="1"/>
  <c r="F28" i="47"/>
  <c r="E62" i="53" s="1"/>
  <c r="E5" i="46"/>
  <c r="D43" i="51" s="1"/>
  <c r="BU28" i="46"/>
  <c r="E28" i="46"/>
  <c r="D42" i="53" s="1"/>
  <c r="M5" i="44"/>
  <c r="L23" i="51" s="1"/>
  <c r="M28" i="44"/>
  <c r="N81" i="47"/>
  <c r="M67" i="57" s="1"/>
  <c r="C83" i="47"/>
  <c r="B69" i="57" s="1"/>
  <c r="V35" i="47"/>
  <c r="V83" i="47" s="1"/>
  <c r="B69" i="58" s="1"/>
  <c r="AU12" i="47"/>
  <c r="C70" i="52" s="1"/>
  <c r="O34" i="47"/>
  <c r="N68" i="53" s="1"/>
  <c r="O11" i="47"/>
  <c r="N69" i="51" s="1"/>
  <c r="N9" i="51" s="1"/>
  <c r="L34" i="47"/>
  <c r="L11" i="47"/>
  <c r="K69" i="51" s="1"/>
  <c r="AP33" i="47"/>
  <c r="AZ32" i="47"/>
  <c r="AX32" i="47"/>
  <c r="AH80" i="47"/>
  <c r="N66" i="58" s="1"/>
  <c r="N6" i="58" s="1"/>
  <c r="AH56" i="47"/>
  <c r="BB56" i="47"/>
  <c r="N66" i="55" s="1"/>
  <c r="O81" i="47"/>
  <c r="N67" i="57" s="1"/>
  <c r="N7" i="57" s="1"/>
  <c r="O57" i="47"/>
  <c r="N67" i="56" s="1"/>
  <c r="N7" i="56" s="1"/>
  <c r="L81" i="47"/>
  <c r="K67" i="57" s="1"/>
  <c r="B60" i="47"/>
  <c r="B36" i="47"/>
  <c r="A70" i="53" s="1"/>
  <c r="U12" i="47"/>
  <c r="AO12" i="47" s="1"/>
  <c r="B13" i="47"/>
  <c r="A71" i="51" s="1"/>
  <c r="AG80" i="47"/>
  <c r="M66" i="58" s="1"/>
  <c r="AG56" i="47"/>
  <c r="BA56" i="47"/>
  <c r="M66" i="55" s="1"/>
  <c r="BX34" i="47"/>
  <c r="N34" i="47"/>
  <c r="N11" i="47"/>
  <c r="M69" i="51" s="1"/>
  <c r="C60" i="47"/>
  <c r="C36" i="47"/>
  <c r="B70" i="53" s="1"/>
  <c r="C13" i="47"/>
  <c r="B71" i="51" s="1"/>
  <c r="V12" i="47"/>
  <c r="AP12" i="47" s="1"/>
  <c r="AE80" i="47"/>
  <c r="K66" i="58" s="1"/>
  <c r="AE56" i="47"/>
  <c r="AY56" i="47"/>
  <c r="K66" i="55" s="1"/>
  <c r="B83" i="47"/>
  <c r="A69" i="57" s="1"/>
  <c r="U35" i="47"/>
  <c r="U83" i="47" s="1"/>
  <c r="A69" i="58" s="1"/>
  <c r="L35" i="46"/>
  <c r="L12" i="46"/>
  <c r="K50" i="51" s="1"/>
  <c r="AU11" i="46"/>
  <c r="C49" i="52" s="1"/>
  <c r="C9" i="52" s="1"/>
  <c r="BD10" i="46"/>
  <c r="J48" i="52" s="1"/>
  <c r="J8" i="52" s="1"/>
  <c r="L82" i="46"/>
  <c r="K48" i="57" s="1"/>
  <c r="AH81" i="46"/>
  <c r="N47" i="58" s="1"/>
  <c r="AH57" i="46"/>
  <c r="BB57" i="46"/>
  <c r="AX32" i="46"/>
  <c r="AP33" i="46"/>
  <c r="AZ32" i="46"/>
  <c r="AE81" i="46"/>
  <c r="K47" i="58" s="1"/>
  <c r="AE57" i="46"/>
  <c r="AY57" i="46"/>
  <c r="B58" i="46"/>
  <c r="B34" i="46"/>
  <c r="A48" i="53" s="1"/>
  <c r="B11" i="46"/>
  <c r="A49" i="51" s="1"/>
  <c r="U10" i="46"/>
  <c r="AO10" i="46" s="1"/>
  <c r="N34" i="46"/>
  <c r="BX34" i="46"/>
  <c r="N11" i="46"/>
  <c r="M49" i="51" s="1"/>
  <c r="C59" i="46"/>
  <c r="C35" i="46"/>
  <c r="B49" i="53" s="1"/>
  <c r="C12" i="46"/>
  <c r="B50" i="51" s="1"/>
  <c r="V11" i="46"/>
  <c r="AP11" i="46" s="1"/>
  <c r="BT32" i="46"/>
  <c r="BQ32" i="46"/>
  <c r="AG80" i="46"/>
  <c r="M46" i="58" s="1"/>
  <c r="AG56" i="46"/>
  <c r="BA56" i="46"/>
  <c r="B81" i="46"/>
  <c r="A47" i="57" s="1"/>
  <c r="U33" i="46"/>
  <c r="U81" i="46" s="1"/>
  <c r="A47" i="58" s="1"/>
  <c r="O35" i="46"/>
  <c r="N49" i="53" s="1"/>
  <c r="O12" i="46"/>
  <c r="N50" i="51" s="1"/>
  <c r="BN33" i="46"/>
  <c r="BL34" i="46"/>
  <c r="N81" i="46"/>
  <c r="M47" i="57" s="1"/>
  <c r="C82" i="46"/>
  <c r="B48" i="57" s="1"/>
  <c r="V34" i="46"/>
  <c r="V82" i="46" s="1"/>
  <c r="B48" i="58" s="1"/>
  <c r="O82" i="46"/>
  <c r="N48" i="57" s="1"/>
  <c r="O58" i="46"/>
  <c r="N48" i="56" s="1"/>
  <c r="AE80" i="44"/>
  <c r="K26" i="58" s="1"/>
  <c r="AE56" i="44"/>
  <c r="K26" i="54" s="1"/>
  <c r="AY56" i="44"/>
  <c r="K26" i="55" s="1"/>
  <c r="O82" i="44"/>
  <c r="N28" i="57" s="1"/>
  <c r="BQ32" i="44"/>
  <c r="BT32" i="44"/>
  <c r="L81" i="44"/>
  <c r="K27" i="57" s="1"/>
  <c r="L11" i="44"/>
  <c r="K29" i="51" s="1"/>
  <c r="L34" i="44"/>
  <c r="AP35" i="44"/>
  <c r="AX34" i="44"/>
  <c r="AZ34" i="44"/>
  <c r="O35" i="44"/>
  <c r="O12" i="44"/>
  <c r="N30" i="51" s="1"/>
  <c r="AH81" i="44"/>
  <c r="N27" i="58" s="1"/>
  <c r="AH57" i="44"/>
  <c r="N27" i="54" s="1"/>
  <c r="BB57" i="44"/>
  <c r="N27" i="55" s="1"/>
  <c r="C30" i="52"/>
  <c r="BL34" i="44"/>
  <c r="BM34" i="44" s="1"/>
  <c r="BN33" i="44"/>
  <c r="AG82" i="44"/>
  <c r="M28" i="58" s="1"/>
  <c r="AG58" i="44"/>
  <c r="M28" i="54" s="1"/>
  <c r="BA58" i="44"/>
  <c r="M28" i="55" s="1"/>
  <c r="BQ30" i="43"/>
  <c r="BT30" i="43"/>
  <c r="BL32" i="43"/>
  <c r="BM32" i="43" s="1"/>
  <c r="BN31" i="43"/>
  <c r="BL27" i="43"/>
  <c r="BK27" i="43"/>
  <c r="O4" i="43"/>
  <c r="N4" i="43"/>
  <c r="BX28" i="43" s="1"/>
  <c r="L4" i="43"/>
  <c r="AZ33" i="43"/>
  <c r="AP34" i="43"/>
  <c r="AX34" i="43" s="1"/>
  <c r="G78" i="31"/>
  <c r="E41" i="31"/>
  <c r="G41" i="31" s="1"/>
  <c r="G40" i="31"/>
  <c r="G2" i="26"/>
  <c r="J2" i="26"/>
  <c r="I2" i="26"/>
  <c r="H2" i="26"/>
  <c r="P6" i="26"/>
  <c r="F2" i="26"/>
  <c r="E2" i="26"/>
  <c r="D2" i="26"/>
  <c r="P3" i="26"/>
  <c r="P4" i="26"/>
  <c r="P5" i="26"/>
  <c r="P7" i="26"/>
  <c r="P8" i="26"/>
  <c r="L2" i="26"/>
  <c r="C2" i="26"/>
  <c r="A5" i="26"/>
  <c r="A6" i="26"/>
  <c r="A7" i="26"/>
  <c r="A8" i="26"/>
  <c r="P4" i="28"/>
  <c r="P5" i="28"/>
  <c r="P6" i="28"/>
  <c r="P7" i="28"/>
  <c r="P8" i="28"/>
  <c r="A3" i="28"/>
  <c r="A4" i="28"/>
  <c r="A5" i="28"/>
  <c r="A6" i="28"/>
  <c r="A7" i="28"/>
  <c r="A8" i="28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L61" i="43" l="1"/>
  <c r="E10" i="60"/>
  <c r="D83" i="48"/>
  <c r="C89" i="57" s="1"/>
  <c r="D59" i="48"/>
  <c r="C89" i="56" s="1"/>
  <c r="P109" i="51"/>
  <c r="P62" i="51"/>
  <c r="P129" i="51"/>
  <c r="P42" i="51"/>
  <c r="P89" i="51"/>
  <c r="P22" i="51"/>
  <c r="P22" i="59"/>
  <c r="AJ8" i="48"/>
  <c r="P86" i="59" s="1"/>
  <c r="O86" i="59"/>
  <c r="BJ55" i="49"/>
  <c r="AV16" i="50"/>
  <c r="BD16" i="50" s="1"/>
  <c r="J134" i="52" s="1"/>
  <c r="D133" i="52"/>
  <c r="BI55" i="49"/>
  <c r="BI63" i="49"/>
  <c r="H13" i="48"/>
  <c r="G91" i="51" s="1"/>
  <c r="AW58" i="48"/>
  <c r="I88" i="55" s="1"/>
  <c r="AC58" i="48"/>
  <c r="I88" i="54" s="1"/>
  <c r="AC82" i="48"/>
  <c r="I88" i="58" s="1"/>
  <c r="J59" i="48"/>
  <c r="I89" i="56" s="1"/>
  <c r="H36" i="48"/>
  <c r="G90" i="53" s="1"/>
  <c r="J83" i="48"/>
  <c r="I89" i="57" s="1"/>
  <c r="J36" i="48"/>
  <c r="I90" i="53" s="1"/>
  <c r="AB58" i="48"/>
  <c r="H88" i="54" s="1"/>
  <c r="AB82" i="48"/>
  <c r="H88" i="58" s="1"/>
  <c r="J13" i="48"/>
  <c r="I91" i="51" s="1"/>
  <c r="AU58" i="48"/>
  <c r="G88" i="55" s="1"/>
  <c r="AA59" i="48"/>
  <c r="G89" i="54" s="1"/>
  <c r="H83" i="48"/>
  <c r="G89" i="57" s="1"/>
  <c r="D13" i="48"/>
  <c r="C91" i="51" s="1"/>
  <c r="AQ58" i="48"/>
  <c r="C88" i="55" s="1"/>
  <c r="H59" i="48"/>
  <c r="G89" i="56" s="1"/>
  <c r="D36" i="48"/>
  <c r="C90" i="53" s="1"/>
  <c r="W58" i="48"/>
  <c r="C88" i="54" s="1"/>
  <c r="W82" i="48"/>
  <c r="C88" i="58" s="1"/>
  <c r="AA82" i="48"/>
  <c r="G88" i="58" s="1"/>
  <c r="I59" i="48"/>
  <c r="H89" i="56" s="1"/>
  <c r="I83" i="48"/>
  <c r="H89" i="57" s="1"/>
  <c r="AV58" i="48"/>
  <c r="H88" i="55" s="1"/>
  <c r="I13" i="48"/>
  <c r="H91" i="51" s="1"/>
  <c r="I36" i="48"/>
  <c r="H90" i="53" s="1"/>
  <c r="BA15" i="48"/>
  <c r="I92" i="52"/>
  <c r="AW15" i="48"/>
  <c r="E92" i="52"/>
  <c r="AX15" i="48"/>
  <c r="F92" i="52"/>
  <c r="AZ15" i="48"/>
  <c r="H92" i="52"/>
  <c r="AY15" i="48"/>
  <c r="G92" i="52"/>
  <c r="AV15" i="48"/>
  <c r="D92" i="52"/>
  <c r="M9" i="51"/>
  <c r="M6" i="58"/>
  <c r="K9" i="51"/>
  <c r="K7" i="56"/>
  <c r="K7" i="53"/>
  <c r="BA13" i="47"/>
  <c r="I70" i="52"/>
  <c r="AV13" i="47"/>
  <c r="D70" i="52"/>
  <c r="AZ12" i="47"/>
  <c r="BD12" i="47" s="1"/>
  <c r="J70" i="52" s="1"/>
  <c r="H69" i="52"/>
  <c r="H9" i="52" s="1"/>
  <c r="AX13" i="47"/>
  <c r="F70" i="52"/>
  <c r="AW13" i="47"/>
  <c r="E70" i="52"/>
  <c r="AY13" i="47"/>
  <c r="G70" i="52"/>
  <c r="D9" i="52"/>
  <c r="F9" i="52"/>
  <c r="AZ13" i="46"/>
  <c r="H50" i="52"/>
  <c r="BA13" i="46"/>
  <c r="I50" i="52"/>
  <c r="I9" i="52"/>
  <c r="AY13" i="46"/>
  <c r="G50" i="52"/>
  <c r="AX13" i="46"/>
  <c r="F50" i="52"/>
  <c r="AV13" i="46"/>
  <c r="D50" i="52"/>
  <c r="G9" i="52"/>
  <c r="AW13" i="46"/>
  <c r="E50" i="52"/>
  <c r="N36" i="44"/>
  <c r="M30" i="53" s="1"/>
  <c r="N13" i="44"/>
  <c r="M31" i="51" s="1"/>
  <c r="BX36" i="44"/>
  <c r="M29" i="53"/>
  <c r="N59" i="44"/>
  <c r="M29" i="56" s="1"/>
  <c r="AZ13" i="44"/>
  <c r="H30" i="52"/>
  <c r="AW12" i="44"/>
  <c r="E29" i="52"/>
  <c r="E9" i="52" s="1"/>
  <c r="AY13" i="44"/>
  <c r="G30" i="52"/>
  <c r="AX13" i="44"/>
  <c r="F30" i="52"/>
  <c r="BA13" i="44"/>
  <c r="I30" i="52"/>
  <c r="AV13" i="44"/>
  <c r="D30" i="52"/>
  <c r="E19" i="31"/>
  <c r="G18" i="31"/>
  <c r="U58" i="46"/>
  <c r="AO58" i="46" s="1"/>
  <c r="A48" i="56"/>
  <c r="AO58" i="44"/>
  <c r="A28" i="55" s="1"/>
  <c r="B29" i="56"/>
  <c r="V59" i="44"/>
  <c r="B29" i="54" s="1"/>
  <c r="AP59" i="48"/>
  <c r="B89" i="55" s="1"/>
  <c r="B89" i="54"/>
  <c r="V59" i="46"/>
  <c r="AP59" i="46" s="1"/>
  <c r="B49" i="56"/>
  <c r="U60" i="47"/>
  <c r="A70" i="56"/>
  <c r="U63" i="49"/>
  <c r="A113" i="56"/>
  <c r="BQ43" i="50"/>
  <c r="BT43" i="50"/>
  <c r="A29" i="56"/>
  <c r="U59" i="44"/>
  <c r="A29" i="54" s="1"/>
  <c r="V35" i="44"/>
  <c r="V83" i="44" s="1"/>
  <c r="B29" i="58" s="1"/>
  <c r="B29" i="53"/>
  <c r="C83" i="44"/>
  <c r="B29" i="57" s="1"/>
  <c r="AP58" i="44"/>
  <c r="B28" i="55" s="1"/>
  <c r="BT44" i="47"/>
  <c r="BQ44" i="47"/>
  <c r="BI12" i="48"/>
  <c r="B90" i="52"/>
  <c r="U63" i="50"/>
  <c r="A133" i="56"/>
  <c r="AO62" i="50"/>
  <c r="A132" i="55" s="1"/>
  <c r="A132" i="54"/>
  <c r="E139" i="31"/>
  <c r="BM44" i="50"/>
  <c r="BN44" i="50" s="1"/>
  <c r="G138" i="31"/>
  <c r="BH11" i="44"/>
  <c r="A29" i="52"/>
  <c r="BI11" i="46"/>
  <c r="B49" i="52"/>
  <c r="BI14" i="50"/>
  <c r="B132" i="52"/>
  <c r="A30" i="51"/>
  <c r="B36" i="44"/>
  <c r="B60" i="44"/>
  <c r="B13" i="44"/>
  <c r="U12" i="44"/>
  <c r="AO12" i="44" s="1"/>
  <c r="A47" i="54"/>
  <c r="A47" i="55"/>
  <c r="BI12" i="47"/>
  <c r="B70" i="52"/>
  <c r="V60" i="48"/>
  <c r="B90" i="56"/>
  <c r="BH13" i="48"/>
  <c r="A91" i="52"/>
  <c r="BI15" i="49"/>
  <c r="B113" i="52"/>
  <c r="AO62" i="49"/>
  <c r="A112" i="55" s="1"/>
  <c r="A112" i="54"/>
  <c r="A29" i="53"/>
  <c r="B83" i="44"/>
  <c r="A29" i="57" s="1"/>
  <c r="U35" i="44"/>
  <c r="U83" i="44" s="1"/>
  <c r="A29" i="58" s="1"/>
  <c r="AP61" i="50"/>
  <c r="B131" i="55" s="1"/>
  <c r="B131" i="54"/>
  <c r="BM44" i="49"/>
  <c r="BN44" i="49" s="1"/>
  <c r="G118" i="31"/>
  <c r="E119" i="31"/>
  <c r="BH10" i="46"/>
  <c r="A48" i="52"/>
  <c r="V62" i="50"/>
  <c r="B132" i="56"/>
  <c r="BM44" i="48"/>
  <c r="BN44" i="48" s="1"/>
  <c r="G98" i="31"/>
  <c r="E99" i="31"/>
  <c r="BT43" i="49"/>
  <c r="BQ43" i="49"/>
  <c r="B48" i="55"/>
  <c r="B48" i="54"/>
  <c r="BI11" i="44"/>
  <c r="B29" i="52"/>
  <c r="AO60" i="48"/>
  <c r="A90" i="55" s="1"/>
  <c r="A90" i="54"/>
  <c r="V60" i="47"/>
  <c r="B70" i="56"/>
  <c r="BH12" i="47"/>
  <c r="A70" i="52"/>
  <c r="U61" i="48"/>
  <c r="A91" i="56"/>
  <c r="BH15" i="49"/>
  <c r="A113" i="52"/>
  <c r="V63" i="49"/>
  <c r="B113" i="56"/>
  <c r="BH15" i="50"/>
  <c r="A133" i="52"/>
  <c r="BQ43" i="48"/>
  <c r="BT43" i="48"/>
  <c r="B30" i="51"/>
  <c r="C36" i="44"/>
  <c r="C13" i="44"/>
  <c r="C60" i="44"/>
  <c r="V12" i="44"/>
  <c r="AP12" i="44" s="1"/>
  <c r="AO59" i="47"/>
  <c r="A69" i="55" s="1"/>
  <c r="A69" i="54"/>
  <c r="BM45" i="47"/>
  <c r="BN45" i="47" s="1"/>
  <c r="BM45" i="46"/>
  <c r="E60" i="31"/>
  <c r="G59" i="31"/>
  <c r="AP62" i="49"/>
  <c r="B112" i="55" s="1"/>
  <c r="B112" i="54"/>
  <c r="AP59" i="47"/>
  <c r="B69" i="55" s="1"/>
  <c r="B69" i="54"/>
  <c r="M7" i="57"/>
  <c r="BJ63" i="49"/>
  <c r="N6" i="55"/>
  <c r="N6" i="54"/>
  <c r="M7" i="56"/>
  <c r="G3" i="51"/>
  <c r="N8" i="53"/>
  <c r="M91" i="53"/>
  <c r="N61" i="48"/>
  <c r="M91" i="56" s="1"/>
  <c r="K134" i="53"/>
  <c r="L64" i="50"/>
  <c r="K134" i="56" s="1"/>
  <c r="K28" i="53"/>
  <c r="L58" i="44"/>
  <c r="K28" i="56" s="1"/>
  <c r="M48" i="53"/>
  <c r="N58" i="46"/>
  <c r="M48" i="56" s="1"/>
  <c r="K90" i="53"/>
  <c r="L60" i="48"/>
  <c r="K90" i="56" s="1"/>
  <c r="M112" i="53"/>
  <c r="N62" i="49"/>
  <c r="M112" i="56" s="1"/>
  <c r="M68" i="53"/>
  <c r="N58" i="47"/>
  <c r="M68" i="56" s="1"/>
  <c r="K6" i="58"/>
  <c r="K68" i="53"/>
  <c r="L58" i="47"/>
  <c r="K68" i="56" s="1"/>
  <c r="N29" i="53"/>
  <c r="O59" i="44"/>
  <c r="N29" i="56" s="1"/>
  <c r="M7" i="53"/>
  <c r="K6" i="55"/>
  <c r="K6" i="54"/>
  <c r="L59" i="46"/>
  <c r="K49" i="56" s="1"/>
  <c r="K49" i="53"/>
  <c r="K47" i="55"/>
  <c r="M6" i="54"/>
  <c r="M46" i="55"/>
  <c r="M6" i="55" s="1"/>
  <c r="L62" i="49"/>
  <c r="K112" i="56" s="1"/>
  <c r="K112" i="53"/>
  <c r="K7" i="57"/>
  <c r="N47" i="55"/>
  <c r="M133" i="53"/>
  <c r="N63" i="50"/>
  <c r="M133" i="56" s="1"/>
  <c r="AA34" i="49"/>
  <c r="C3" i="51"/>
  <c r="AB34" i="49"/>
  <c r="AD34" i="49"/>
  <c r="F3" i="51"/>
  <c r="BJ55" i="48"/>
  <c r="AC34" i="49"/>
  <c r="BJ63" i="48"/>
  <c r="X34" i="49"/>
  <c r="L3" i="51"/>
  <c r="BD54" i="50"/>
  <c r="P124" i="55" s="1"/>
  <c r="O124" i="55"/>
  <c r="AS34" i="50"/>
  <c r="BN61" i="50" s="1"/>
  <c r="P128" i="53"/>
  <c r="M52" i="44"/>
  <c r="L22" i="56" s="1"/>
  <c r="L22" i="53"/>
  <c r="L2" i="53" s="1"/>
  <c r="BD55" i="50"/>
  <c r="P125" i="55" s="1"/>
  <c r="O125" i="55"/>
  <c r="AF34" i="50"/>
  <c r="K59" i="50"/>
  <c r="J129" i="56" s="1"/>
  <c r="J129" i="53"/>
  <c r="D52" i="44"/>
  <c r="C22" i="56" s="1"/>
  <c r="C22" i="53"/>
  <c r="C2" i="53" s="1"/>
  <c r="BD55" i="48"/>
  <c r="P85" i="55" s="1"/>
  <c r="O85" i="55"/>
  <c r="J88" i="56"/>
  <c r="AD82" i="48"/>
  <c r="J88" i="58" s="1"/>
  <c r="AD58" i="48"/>
  <c r="J88" i="54" s="1"/>
  <c r="AX58" i="48"/>
  <c r="J88" i="55" s="1"/>
  <c r="K59" i="49"/>
  <c r="J109" i="56" s="1"/>
  <c r="J109" i="53"/>
  <c r="J90" i="51"/>
  <c r="K13" i="48"/>
  <c r="K36" i="48"/>
  <c r="D88" i="56"/>
  <c r="AR58" i="48"/>
  <c r="D88" i="55" s="1"/>
  <c r="X58" i="48"/>
  <c r="D88" i="54" s="1"/>
  <c r="X82" i="48"/>
  <c r="D88" i="58" s="1"/>
  <c r="J52" i="44"/>
  <c r="I22" i="56" s="1"/>
  <c r="I22" i="53"/>
  <c r="I2" i="53" s="1"/>
  <c r="F52" i="44"/>
  <c r="E22" i="56" s="1"/>
  <c r="E22" i="53"/>
  <c r="E2" i="53" s="1"/>
  <c r="I3" i="51"/>
  <c r="K52" i="44"/>
  <c r="J22" i="56" s="1"/>
  <c r="J22" i="53"/>
  <c r="AK56" i="48"/>
  <c r="BL58" i="48" s="1"/>
  <c r="P86" i="54"/>
  <c r="AK56" i="49"/>
  <c r="BL58" i="49" s="1"/>
  <c r="P106" i="54"/>
  <c r="AA34" i="50"/>
  <c r="K59" i="48"/>
  <c r="J89" i="53"/>
  <c r="K83" i="48"/>
  <c r="J89" i="57" s="1"/>
  <c r="E3" i="51"/>
  <c r="K52" i="46"/>
  <c r="J42" i="56" s="1"/>
  <c r="J42" i="53"/>
  <c r="J3" i="51"/>
  <c r="CA35" i="48"/>
  <c r="L89" i="53"/>
  <c r="AH34" i="48"/>
  <c r="P88" i="53"/>
  <c r="AQ34" i="49"/>
  <c r="BN59" i="49" s="1"/>
  <c r="P108" i="53"/>
  <c r="K52" i="47"/>
  <c r="J62" i="56" s="1"/>
  <c r="J62" i="53"/>
  <c r="E52" i="44"/>
  <c r="D22" i="56" s="1"/>
  <c r="D22" i="53"/>
  <c r="D2" i="53" s="1"/>
  <c r="I52" i="44"/>
  <c r="H22" i="56" s="1"/>
  <c r="H22" i="53"/>
  <c r="H2" i="53" s="1"/>
  <c r="H52" i="44"/>
  <c r="G22" i="56" s="1"/>
  <c r="G22" i="53"/>
  <c r="BU33" i="48"/>
  <c r="BM66" i="48" s="1"/>
  <c r="O87" i="51"/>
  <c r="AK56" i="50"/>
  <c r="BL58" i="50" s="1"/>
  <c r="P126" i="54"/>
  <c r="D89" i="53"/>
  <c r="E59" i="48"/>
  <c r="E83" i="48"/>
  <c r="D89" i="57" s="1"/>
  <c r="H52" i="46"/>
  <c r="G42" i="56" s="1"/>
  <c r="G42" i="53"/>
  <c r="D3" i="51"/>
  <c r="G52" i="44"/>
  <c r="F22" i="56" s="1"/>
  <c r="F22" i="53"/>
  <c r="F2" i="53" s="1"/>
  <c r="H3" i="51"/>
  <c r="AI32" i="48"/>
  <c r="O86" i="53"/>
  <c r="W34" i="50"/>
  <c r="D90" i="51"/>
  <c r="E13" i="48"/>
  <c r="E36" i="48"/>
  <c r="AJ33" i="49"/>
  <c r="Y34" i="50"/>
  <c r="AQ34" i="50"/>
  <c r="BN59" i="50" s="1"/>
  <c r="AJ81" i="49"/>
  <c r="P107" i="58" s="1"/>
  <c r="AD58" i="50"/>
  <c r="J128" i="54" s="1"/>
  <c r="AD82" i="50"/>
  <c r="J128" i="58" s="1"/>
  <c r="AX58" i="50"/>
  <c r="J128" i="55" s="1"/>
  <c r="AC82" i="49"/>
  <c r="I108" i="58" s="1"/>
  <c r="AC58" i="49"/>
  <c r="I108" i="54" s="1"/>
  <c r="AW58" i="49"/>
  <c r="I108" i="55" s="1"/>
  <c r="AJ33" i="50"/>
  <c r="M13" i="50"/>
  <c r="L131" i="51" s="1"/>
  <c r="M36" i="50"/>
  <c r="L130" i="53" s="1"/>
  <c r="X34" i="50"/>
  <c r="G83" i="50"/>
  <c r="F129" i="57" s="1"/>
  <c r="G59" i="50"/>
  <c r="F129" i="56" s="1"/>
  <c r="F83" i="50"/>
  <c r="E129" i="57" s="1"/>
  <c r="F59" i="50"/>
  <c r="E129" i="56" s="1"/>
  <c r="AF34" i="49"/>
  <c r="H36" i="49"/>
  <c r="G110" i="53" s="1"/>
  <c r="H13" i="49"/>
  <c r="G111" i="51" s="1"/>
  <c r="BW36" i="49"/>
  <c r="BP67" i="49" s="1"/>
  <c r="AI32" i="50"/>
  <c r="P80" i="50"/>
  <c r="O126" i="57" s="1"/>
  <c r="E13" i="49"/>
  <c r="D111" i="51" s="1"/>
  <c r="E36" i="49"/>
  <c r="D110" i="53" s="1"/>
  <c r="K36" i="49"/>
  <c r="K13" i="49"/>
  <c r="J111" i="51" s="1"/>
  <c r="X82" i="49"/>
  <c r="D108" i="58" s="1"/>
  <c r="X58" i="49"/>
  <c r="D108" i="54" s="1"/>
  <c r="AR58" i="49"/>
  <c r="D108" i="55" s="1"/>
  <c r="P33" i="49"/>
  <c r="O107" i="53" s="1"/>
  <c r="AI9" i="49"/>
  <c r="O107" i="59" s="1"/>
  <c r="BO33" i="49"/>
  <c r="BM64" i="49" s="1"/>
  <c r="BU33" i="49"/>
  <c r="BM66" i="49" s="1"/>
  <c r="M83" i="49"/>
  <c r="L109" i="57" s="1"/>
  <c r="M59" i="49"/>
  <c r="L109" i="56" s="1"/>
  <c r="AA59" i="49"/>
  <c r="G109" i="54" s="1"/>
  <c r="H83" i="49"/>
  <c r="G109" i="57" s="1"/>
  <c r="H59" i="49"/>
  <c r="G109" i="56" s="1"/>
  <c r="AB58" i="49"/>
  <c r="H108" i="54" s="1"/>
  <c r="AB82" i="49"/>
  <c r="H108" i="58" s="1"/>
  <c r="AV58" i="49"/>
  <c r="H108" i="55" s="1"/>
  <c r="I83" i="49"/>
  <c r="H109" i="57" s="1"/>
  <c r="I59" i="49"/>
  <c r="H109" i="56" s="1"/>
  <c r="X82" i="50"/>
  <c r="D128" i="58" s="1"/>
  <c r="X58" i="50"/>
  <c r="D128" i="54" s="1"/>
  <c r="AR58" i="50"/>
  <c r="D128" i="55" s="1"/>
  <c r="AJ8" i="50"/>
  <c r="P126" i="59" s="1"/>
  <c r="BC56" i="50"/>
  <c r="AF82" i="49"/>
  <c r="L108" i="58" s="1"/>
  <c r="AF58" i="49"/>
  <c r="L108" i="54" s="1"/>
  <c r="AZ58" i="49"/>
  <c r="L108" i="55" s="1"/>
  <c r="E59" i="49"/>
  <c r="D109" i="56" s="1"/>
  <c r="E83" i="49"/>
  <c r="D109" i="57" s="1"/>
  <c r="CA35" i="49"/>
  <c r="K83" i="49"/>
  <c r="J109" i="57" s="1"/>
  <c r="H36" i="50"/>
  <c r="G130" i="53" s="1"/>
  <c r="H13" i="50"/>
  <c r="G131" i="51" s="1"/>
  <c r="BW36" i="50"/>
  <c r="BP67" i="50" s="1"/>
  <c r="M13" i="49"/>
  <c r="L111" i="51" s="1"/>
  <c r="M36" i="49"/>
  <c r="L110" i="53" s="1"/>
  <c r="AA82" i="50"/>
  <c r="G128" i="58" s="1"/>
  <c r="AU58" i="50"/>
  <c r="G128" i="55" s="1"/>
  <c r="I36" i="49"/>
  <c r="H110" i="53" s="1"/>
  <c r="I13" i="49"/>
  <c r="H111" i="51" s="1"/>
  <c r="Y58" i="50"/>
  <c r="E128" i="54" s="1"/>
  <c r="Y82" i="50"/>
  <c r="E128" i="58" s="1"/>
  <c r="AS58" i="50"/>
  <c r="E128" i="55" s="1"/>
  <c r="D59" i="49"/>
  <c r="C109" i="56" s="1"/>
  <c r="Q35" i="49"/>
  <c r="D83" i="49"/>
  <c r="C109" i="57" s="1"/>
  <c r="E59" i="50"/>
  <c r="D129" i="56" s="1"/>
  <c r="E83" i="50"/>
  <c r="D129" i="57" s="1"/>
  <c r="Z34" i="50"/>
  <c r="W34" i="49"/>
  <c r="AJ57" i="49"/>
  <c r="AA59" i="50"/>
  <c r="G129" i="54" s="1"/>
  <c r="H83" i="50"/>
  <c r="G129" i="57" s="1"/>
  <c r="H59" i="50"/>
  <c r="G129" i="56" s="1"/>
  <c r="G13" i="49"/>
  <c r="F111" i="51" s="1"/>
  <c r="G36" i="49"/>
  <c r="F110" i="53" s="1"/>
  <c r="F36" i="49"/>
  <c r="E110" i="53" s="1"/>
  <c r="F13" i="49"/>
  <c r="E111" i="51" s="1"/>
  <c r="AD82" i="49"/>
  <c r="J108" i="58" s="1"/>
  <c r="AD58" i="49"/>
  <c r="J108" i="54" s="1"/>
  <c r="AX58" i="49"/>
  <c r="J108" i="55" s="1"/>
  <c r="CA35" i="50"/>
  <c r="K83" i="50"/>
  <c r="J129" i="57" s="1"/>
  <c r="Y34" i="49"/>
  <c r="AJ8" i="49"/>
  <c r="P106" i="59" s="1"/>
  <c r="E36" i="50"/>
  <c r="D130" i="53" s="1"/>
  <c r="E13" i="50"/>
  <c r="D131" i="51" s="1"/>
  <c r="D13" i="49"/>
  <c r="C111" i="51" s="1"/>
  <c r="BR36" i="49"/>
  <c r="BP65" i="49" s="1"/>
  <c r="Q12" i="49"/>
  <c r="D36" i="49"/>
  <c r="C110" i="53" s="1"/>
  <c r="J36" i="49"/>
  <c r="I110" i="53" s="1"/>
  <c r="J13" i="49"/>
  <c r="I111" i="51" s="1"/>
  <c r="Z82" i="49"/>
  <c r="F108" i="58" s="1"/>
  <c r="Z58" i="49"/>
  <c r="F108" i="54" s="1"/>
  <c r="AT58" i="49"/>
  <c r="F108" i="55" s="1"/>
  <c r="AD34" i="50"/>
  <c r="BJ10" i="50"/>
  <c r="BK10" i="50" s="1"/>
  <c r="BL10" i="50" s="1"/>
  <c r="P10" i="50" s="1"/>
  <c r="O128" i="51" s="1"/>
  <c r="AH34" i="50"/>
  <c r="AR34" i="50"/>
  <c r="BN60" i="50" s="1"/>
  <c r="AE34" i="50"/>
  <c r="BN68" i="50"/>
  <c r="AG34" i="50"/>
  <c r="BN69" i="50"/>
  <c r="AT34" i="50"/>
  <c r="BN62" i="50" s="1"/>
  <c r="G59" i="49"/>
  <c r="F109" i="56" s="1"/>
  <c r="G83" i="49"/>
  <c r="F109" i="57" s="1"/>
  <c r="F83" i="49"/>
  <c r="E109" i="57" s="1"/>
  <c r="F59" i="49"/>
  <c r="E109" i="56" s="1"/>
  <c r="K36" i="50"/>
  <c r="K13" i="50"/>
  <c r="J131" i="51" s="1"/>
  <c r="Y82" i="49"/>
  <c r="E108" i="58" s="1"/>
  <c r="Y58" i="49"/>
  <c r="E108" i="54" s="1"/>
  <c r="AS58" i="49"/>
  <c r="E108" i="55" s="1"/>
  <c r="AI32" i="49"/>
  <c r="P80" i="49"/>
  <c r="O106" i="57" s="1"/>
  <c r="Z82" i="50"/>
  <c r="F128" i="58" s="1"/>
  <c r="Z58" i="50"/>
  <c r="F128" i="54" s="1"/>
  <c r="AT58" i="50"/>
  <c r="F128" i="55" s="1"/>
  <c r="Q82" i="49"/>
  <c r="P108" i="57" s="1"/>
  <c r="BM59" i="50"/>
  <c r="AU33" i="50"/>
  <c r="AA82" i="49"/>
  <c r="G108" i="58" s="1"/>
  <c r="AU58" i="49"/>
  <c r="G108" i="55" s="1"/>
  <c r="J59" i="49"/>
  <c r="I109" i="56" s="1"/>
  <c r="J83" i="49"/>
  <c r="I109" i="57" s="1"/>
  <c r="P33" i="50"/>
  <c r="O127" i="53" s="1"/>
  <c r="AI9" i="50"/>
  <c r="O127" i="59" s="1"/>
  <c r="BU33" i="50"/>
  <c r="BM66" i="50" s="1"/>
  <c r="BO33" i="50"/>
  <c r="BM64" i="50" s="1"/>
  <c r="W82" i="50"/>
  <c r="C128" i="58" s="1"/>
  <c r="W58" i="50"/>
  <c r="C128" i="54" s="1"/>
  <c r="Q58" i="50"/>
  <c r="P128" i="56" s="1"/>
  <c r="AQ58" i="50"/>
  <c r="C128" i="55" s="1"/>
  <c r="D36" i="50"/>
  <c r="C130" i="53" s="1"/>
  <c r="D13" i="50"/>
  <c r="C131" i="51" s="1"/>
  <c r="BR36" i="50"/>
  <c r="BP65" i="50" s="1"/>
  <c r="Q12" i="50"/>
  <c r="AU33" i="49"/>
  <c r="AJ81" i="50"/>
  <c r="P127" i="58" s="1"/>
  <c r="AC34" i="50"/>
  <c r="AB34" i="50"/>
  <c r="J36" i="50"/>
  <c r="I130" i="53" s="1"/>
  <c r="J13" i="50"/>
  <c r="I131" i="51" s="1"/>
  <c r="I83" i="50"/>
  <c r="H129" i="57" s="1"/>
  <c r="I59" i="50"/>
  <c r="H129" i="56" s="1"/>
  <c r="AQ58" i="49"/>
  <c r="C108" i="55" s="1"/>
  <c r="W82" i="49"/>
  <c r="C108" i="58" s="1"/>
  <c r="Q58" i="49"/>
  <c r="P108" i="56" s="1"/>
  <c r="W58" i="49"/>
  <c r="C108" i="54" s="1"/>
  <c r="Q82" i="50"/>
  <c r="P128" i="57" s="1"/>
  <c r="AF82" i="50"/>
  <c r="L128" i="58" s="1"/>
  <c r="AF58" i="50"/>
  <c r="L128" i="54" s="1"/>
  <c r="AZ58" i="50"/>
  <c r="L128" i="55" s="1"/>
  <c r="D83" i="50"/>
  <c r="C129" i="57" s="1"/>
  <c r="D59" i="50"/>
  <c r="C129" i="56" s="1"/>
  <c r="Q35" i="50"/>
  <c r="BC55" i="49"/>
  <c r="M83" i="50"/>
  <c r="L129" i="57" s="1"/>
  <c r="M59" i="50"/>
  <c r="L129" i="56" s="1"/>
  <c r="AJ57" i="50"/>
  <c r="AC82" i="50"/>
  <c r="I128" i="58" s="1"/>
  <c r="AC58" i="50"/>
  <c r="I128" i="54" s="1"/>
  <c r="AW58" i="50"/>
  <c r="I128" i="55" s="1"/>
  <c r="G36" i="50"/>
  <c r="F130" i="53" s="1"/>
  <c r="G13" i="50"/>
  <c r="F131" i="51" s="1"/>
  <c r="AB82" i="50"/>
  <c r="H128" i="58" s="1"/>
  <c r="AB58" i="50"/>
  <c r="H128" i="54" s="1"/>
  <c r="AV58" i="50"/>
  <c r="H128" i="55" s="1"/>
  <c r="F13" i="50"/>
  <c r="E131" i="51" s="1"/>
  <c r="F36" i="50"/>
  <c r="E130" i="53" s="1"/>
  <c r="J83" i="50"/>
  <c r="I129" i="57" s="1"/>
  <c r="J59" i="50"/>
  <c r="I129" i="56" s="1"/>
  <c r="I36" i="50"/>
  <c r="H130" i="53" s="1"/>
  <c r="I13" i="50"/>
  <c r="H131" i="51" s="1"/>
  <c r="Z34" i="49"/>
  <c r="AE34" i="49"/>
  <c r="BN69" i="49"/>
  <c r="BN68" i="49"/>
  <c r="AT34" i="49"/>
  <c r="BN62" i="49" s="1"/>
  <c r="BJ10" i="49"/>
  <c r="BK10" i="49" s="1"/>
  <c r="BL10" i="49" s="1"/>
  <c r="P10" i="49" s="1"/>
  <c r="O108" i="51" s="1"/>
  <c r="AH34" i="49"/>
  <c r="AR34" i="49"/>
  <c r="BN60" i="49" s="1"/>
  <c r="AG34" i="49"/>
  <c r="P80" i="48"/>
  <c r="O86" i="57" s="1"/>
  <c r="Q35" i="48"/>
  <c r="AD34" i="48"/>
  <c r="AI9" i="48"/>
  <c r="AJ33" i="48"/>
  <c r="AC34" i="48"/>
  <c r="P33" i="48"/>
  <c r="AA34" i="48"/>
  <c r="BN69" i="48"/>
  <c r="AU33" i="48"/>
  <c r="BO33" i="48"/>
  <c r="BM64" i="48" s="1"/>
  <c r="BJ10" i="48"/>
  <c r="BK10" i="48" s="1"/>
  <c r="BL10" i="48" s="1"/>
  <c r="P10" i="48" s="1"/>
  <c r="AF34" i="48"/>
  <c r="AT34" i="48"/>
  <c r="BN62" i="48" s="1"/>
  <c r="X34" i="48"/>
  <c r="AE34" i="48"/>
  <c r="W34" i="48"/>
  <c r="AR34" i="48"/>
  <c r="BN60" i="48" s="1"/>
  <c r="AS34" i="48"/>
  <c r="BN61" i="48" s="1"/>
  <c r="Z34" i="48"/>
  <c r="BN68" i="48"/>
  <c r="AQ34" i="48"/>
  <c r="BN59" i="48" s="1"/>
  <c r="AG34" i="48"/>
  <c r="AB34" i="48"/>
  <c r="Y34" i="48"/>
  <c r="AJ81" i="48"/>
  <c r="P87" i="58" s="1"/>
  <c r="Q82" i="48"/>
  <c r="P88" i="57" s="1"/>
  <c r="AJ57" i="48"/>
  <c r="AU17" i="50"/>
  <c r="C135" i="52" s="1"/>
  <c r="AG86" i="50"/>
  <c r="M132" i="58" s="1"/>
  <c r="AG62" i="50"/>
  <c r="BA62" i="50"/>
  <c r="M132" i="55" s="1"/>
  <c r="C63" i="50"/>
  <c r="C39" i="50"/>
  <c r="B133" i="53" s="1"/>
  <c r="C16" i="50"/>
  <c r="B134" i="51" s="1"/>
  <c r="V15" i="50"/>
  <c r="AP15" i="50" s="1"/>
  <c r="O40" i="50"/>
  <c r="N134" i="53" s="1"/>
  <c r="O17" i="50"/>
  <c r="N135" i="51" s="1"/>
  <c r="L41" i="50"/>
  <c r="L18" i="50"/>
  <c r="K136" i="51" s="1"/>
  <c r="AP38" i="50"/>
  <c r="AX37" i="50"/>
  <c r="AZ37" i="50"/>
  <c r="AW37" i="50"/>
  <c r="B87" i="50"/>
  <c r="A133" i="57" s="1"/>
  <c r="U39" i="50"/>
  <c r="U87" i="50" s="1"/>
  <c r="A133" i="58" s="1"/>
  <c r="AH86" i="50"/>
  <c r="N132" i="58" s="1"/>
  <c r="AH62" i="50"/>
  <c r="BB62" i="50"/>
  <c r="N132" i="55" s="1"/>
  <c r="O87" i="50"/>
  <c r="N133" i="57" s="1"/>
  <c r="O63" i="50"/>
  <c r="N133" i="56" s="1"/>
  <c r="N40" i="50"/>
  <c r="BX40" i="50"/>
  <c r="N17" i="50"/>
  <c r="M135" i="51" s="1"/>
  <c r="AE87" i="50"/>
  <c r="K133" i="58" s="1"/>
  <c r="AE63" i="50"/>
  <c r="AY63" i="50"/>
  <c r="K133" i="55" s="1"/>
  <c r="C86" i="50"/>
  <c r="B132" i="57" s="1"/>
  <c r="V38" i="50"/>
  <c r="V86" i="50" s="1"/>
  <c r="B132" i="58" s="1"/>
  <c r="L88" i="50"/>
  <c r="K134" i="57" s="1"/>
  <c r="B64" i="50"/>
  <c r="B40" i="50"/>
  <c r="A134" i="53" s="1"/>
  <c r="U16" i="50"/>
  <c r="AO16" i="50" s="1"/>
  <c r="B17" i="50"/>
  <c r="A135" i="51" s="1"/>
  <c r="BA36" i="50"/>
  <c r="N87" i="50"/>
  <c r="M133" i="57" s="1"/>
  <c r="BA36" i="49"/>
  <c r="O16" i="49"/>
  <c r="N114" i="51" s="1"/>
  <c r="O39" i="49"/>
  <c r="N113" i="53" s="1"/>
  <c r="B64" i="49"/>
  <c r="B40" i="49"/>
  <c r="A114" i="53" s="1"/>
  <c r="B17" i="49"/>
  <c r="A115" i="51" s="1"/>
  <c r="U16" i="49"/>
  <c r="AO16" i="49" s="1"/>
  <c r="AH85" i="49"/>
  <c r="N111" i="58" s="1"/>
  <c r="AH61" i="49"/>
  <c r="BB61" i="49"/>
  <c r="N111" i="55" s="1"/>
  <c r="AP38" i="49"/>
  <c r="AX37" i="49"/>
  <c r="AW37" i="49"/>
  <c r="AZ37" i="49"/>
  <c r="B87" i="49"/>
  <c r="A113" i="57" s="1"/>
  <c r="U39" i="49"/>
  <c r="U87" i="49" s="1"/>
  <c r="A113" i="58" s="1"/>
  <c r="L39" i="49"/>
  <c r="L16" i="49"/>
  <c r="K114" i="51" s="1"/>
  <c r="O86" i="49"/>
  <c r="N112" i="57" s="1"/>
  <c r="O62" i="49"/>
  <c r="N112" i="56" s="1"/>
  <c r="L86" i="49"/>
  <c r="K112" i="57" s="1"/>
  <c r="AG85" i="49"/>
  <c r="M111" i="58" s="1"/>
  <c r="AG61" i="49"/>
  <c r="BA61" i="49"/>
  <c r="M111" i="55" s="1"/>
  <c r="C64" i="49"/>
  <c r="C40" i="49"/>
  <c r="B114" i="53" s="1"/>
  <c r="C17" i="49"/>
  <c r="B115" i="51" s="1"/>
  <c r="V16" i="49"/>
  <c r="AP16" i="49" s="1"/>
  <c r="N16" i="49"/>
  <c r="M114" i="51" s="1"/>
  <c r="BX39" i="49"/>
  <c r="N39" i="49"/>
  <c r="C87" i="49"/>
  <c r="B113" i="57" s="1"/>
  <c r="V39" i="49"/>
  <c r="V87" i="49" s="1"/>
  <c r="B113" i="58" s="1"/>
  <c r="BD18" i="49"/>
  <c r="J116" i="52" s="1"/>
  <c r="N86" i="49"/>
  <c r="M112" i="57" s="1"/>
  <c r="AE85" i="49"/>
  <c r="K111" i="58" s="1"/>
  <c r="AE61" i="49"/>
  <c r="AY61" i="49"/>
  <c r="K111" i="55" s="1"/>
  <c r="AF58" i="48"/>
  <c r="L88" i="54" s="1"/>
  <c r="AF82" i="48"/>
  <c r="L88" i="58" s="1"/>
  <c r="AZ58" i="48"/>
  <c r="L88" i="55" s="1"/>
  <c r="G36" i="48"/>
  <c r="F90" i="53" s="1"/>
  <c r="G13" i="48"/>
  <c r="F91" i="51" s="1"/>
  <c r="G83" i="48"/>
  <c r="F89" i="57" s="1"/>
  <c r="G59" i="48"/>
  <c r="F89" i="56" s="1"/>
  <c r="M36" i="48"/>
  <c r="M13" i="48"/>
  <c r="BW36" i="48"/>
  <c r="BP67" i="48" s="1"/>
  <c r="M83" i="48"/>
  <c r="L89" i="57" s="1"/>
  <c r="M59" i="48"/>
  <c r="L89" i="56" s="1"/>
  <c r="F83" i="48"/>
  <c r="E89" i="57" s="1"/>
  <c r="F59" i="48"/>
  <c r="E89" i="56" s="1"/>
  <c r="Q58" i="48"/>
  <c r="P88" i="56" s="1"/>
  <c r="Z58" i="48"/>
  <c r="F88" i="54" s="1"/>
  <c r="AT58" i="48"/>
  <c r="F88" i="55" s="1"/>
  <c r="Z82" i="48"/>
  <c r="F88" i="58" s="1"/>
  <c r="F36" i="48"/>
  <c r="E90" i="53" s="1"/>
  <c r="F13" i="48"/>
  <c r="E91" i="51" s="1"/>
  <c r="BR36" i="48"/>
  <c r="BP65" i="48" s="1"/>
  <c r="Q12" i="48"/>
  <c r="Y58" i="48"/>
  <c r="E88" i="54" s="1"/>
  <c r="AS58" i="48"/>
  <c r="E88" i="55" s="1"/>
  <c r="Y82" i="48"/>
  <c r="E88" i="58" s="1"/>
  <c r="BA34" i="48"/>
  <c r="O86" i="48"/>
  <c r="N92" i="57" s="1"/>
  <c r="O62" i="48"/>
  <c r="N92" i="56" s="1"/>
  <c r="O39" i="48"/>
  <c r="N93" i="53" s="1"/>
  <c r="O16" i="48"/>
  <c r="N94" i="51" s="1"/>
  <c r="AE83" i="48"/>
  <c r="K89" i="58" s="1"/>
  <c r="AE59" i="48"/>
  <c r="K89" i="54" s="1"/>
  <c r="AY59" i="48"/>
  <c r="K89" i="55" s="1"/>
  <c r="C61" i="48"/>
  <c r="C37" i="48"/>
  <c r="B91" i="53" s="1"/>
  <c r="C14" i="48"/>
  <c r="B92" i="51" s="1"/>
  <c r="V13" i="48"/>
  <c r="AP13" i="48" s="1"/>
  <c r="BC56" i="48"/>
  <c r="AX35" i="48"/>
  <c r="AW35" i="48"/>
  <c r="AP36" i="48"/>
  <c r="AZ35" i="48"/>
  <c r="L37" i="48"/>
  <c r="L14" i="48"/>
  <c r="K92" i="51" s="1"/>
  <c r="C84" i="48"/>
  <c r="B90" i="57" s="1"/>
  <c r="V36" i="48"/>
  <c r="V84" i="48" s="1"/>
  <c r="B90" i="58" s="1"/>
  <c r="AG84" i="48"/>
  <c r="M90" i="58" s="1"/>
  <c r="AG60" i="48"/>
  <c r="M90" i="54" s="1"/>
  <c r="BA60" i="48"/>
  <c r="M90" i="55" s="1"/>
  <c r="N38" i="48"/>
  <c r="BX38" i="48"/>
  <c r="N15" i="48"/>
  <c r="M93" i="51" s="1"/>
  <c r="L84" i="48"/>
  <c r="K90" i="57" s="1"/>
  <c r="B62" i="48"/>
  <c r="B38" i="48"/>
  <c r="A92" i="53" s="1"/>
  <c r="B15" i="48"/>
  <c r="A93" i="51" s="1"/>
  <c r="U14" i="48"/>
  <c r="AO14" i="48" s="1"/>
  <c r="AU14" i="48"/>
  <c r="C92" i="52" s="1"/>
  <c r="BD13" i="48"/>
  <c r="J91" i="52" s="1"/>
  <c r="N85" i="48"/>
  <c r="M91" i="57" s="1"/>
  <c r="AH85" i="48"/>
  <c r="N91" i="58" s="1"/>
  <c r="AH61" i="48"/>
  <c r="N91" i="54" s="1"/>
  <c r="BB61" i="48"/>
  <c r="N91" i="55" s="1"/>
  <c r="B85" i="48"/>
  <c r="A91" i="57" s="1"/>
  <c r="U37" i="48"/>
  <c r="U85" i="48" s="1"/>
  <c r="A91" i="58" s="1"/>
  <c r="M76" i="44"/>
  <c r="L22" i="57" s="1"/>
  <c r="F76" i="46"/>
  <c r="E42" i="57" s="1"/>
  <c r="F52" i="46"/>
  <c r="E42" i="56" s="1"/>
  <c r="M52" i="46"/>
  <c r="L42" i="56" s="1"/>
  <c r="M76" i="46"/>
  <c r="L42" i="57" s="1"/>
  <c r="D76" i="47"/>
  <c r="C62" i="57" s="1"/>
  <c r="D52" i="47"/>
  <c r="C62" i="56" s="1"/>
  <c r="Q28" i="47"/>
  <c r="M6" i="44"/>
  <c r="L24" i="51" s="1"/>
  <c r="M29" i="44"/>
  <c r="E6" i="44"/>
  <c r="D24" i="51" s="1"/>
  <c r="E29" i="44"/>
  <c r="F29" i="46"/>
  <c r="E43" i="53" s="1"/>
  <c r="F6" i="46"/>
  <c r="E44" i="51" s="1"/>
  <c r="H76" i="47"/>
  <c r="G62" i="57" s="1"/>
  <c r="AA52" i="47"/>
  <c r="G62" i="54" s="1"/>
  <c r="H52" i="47"/>
  <c r="G62" i="56" s="1"/>
  <c r="I6" i="46"/>
  <c r="H44" i="51" s="1"/>
  <c r="I29" i="46"/>
  <c r="H43" i="53" s="1"/>
  <c r="J76" i="46"/>
  <c r="I42" i="57" s="1"/>
  <c r="J52" i="46"/>
  <c r="I42" i="56" s="1"/>
  <c r="M6" i="46"/>
  <c r="L44" i="51" s="1"/>
  <c r="M29" i="46"/>
  <c r="L43" i="53" s="1"/>
  <c r="M29" i="47"/>
  <c r="L63" i="53" s="1"/>
  <c r="M6" i="47"/>
  <c r="L64" i="51" s="1"/>
  <c r="E76" i="44"/>
  <c r="D22" i="57" s="1"/>
  <c r="I76" i="46"/>
  <c r="H42" i="57" s="1"/>
  <c r="I52" i="46"/>
  <c r="H42" i="56" s="1"/>
  <c r="BW29" i="46"/>
  <c r="BI67" i="46" s="1"/>
  <c r="H29" i="46"/>
  <c r="H6" i="46"/>
  <c r="G44" i="51" s="1"/>
  <c r="M76" i="47"/>
  <c r="L62" i="57" s="1"/>
  <c r="M52" i="47"/>
  <c r="L62" i="56" s="1"/>
  <c r="BR29" i="44"/>
  <c r="BI65" i="44" s="1"/>
  <c r="D6" i="44"/>
  <c r="C24" i="51" s="1"/>
  <c r="Q5" i="44"/>
  <c r="D29" i="44"/>
  <c r="G76" i="47"/>
  <c r="F62" i="57" s="1"/>
  <c r="G52" i="47"/>
  <c r="F62" i="56" s="1"/>
  <c r="AA52" i="46"/>
  <c r="G42" i="54" s="1"/>
  <c r="H76" i="46"/>
  <c r="G42" i="57" s="1"/>
  <c r="J6" i="46"/>
  <c r="I44" i="51" s="1"/>
  <c r="J29" i="46"/>
  <c r="I43" i="53" s="1"/>
  <c r="D29" i="46"/>
  <c r="C43" i="53" s="1"/>
  <c r="BR29" i="46"/>
  <c r="BI65" i="46" s="1"/>
  <c r="Q5" i="46"/>
  <c r="D6" i="46"/>
  <c r="C44" i="51" s="1"/>
  <c r="Q5" i="47"/>
  <c r="BR29" i="47"/>
  <c r="BI65" i="47" s="1"/>
  <c r="D29" i="47"/>
  <c r="C63" i="53" s="1"/>
  <c r="D6" i="47"/>
  <c r="C64" i="51" s="1"/>
  <c r="H6" i="47"/>
  <c r="G64" i="51" s="1"/>
  <c r="BW29" i="47"/>
  <c r="BI67" i="47" s="1"/>
  <c r="H29" i="47"/>
  <c r="G63" i="53" s="1"/>
  <c r="J76" i="44"/>
  <c r="I22" i="57" s="1"/>
  <c r="G29" i="47"/>
  <c r="F63" i="53" s="1"/>
  <c r="G6" i="47"/>
  <c r="F64" i="51" s="1"/>
  <c r="F76" i="44"/>
  <c r="E22" i="57" s="1"/>
  <c r="J76" i="47"/>
  <c r="I62" i="57" s="1"/>
  <c r="J52" i="47"/>
  <c r="I62" i="56" s="1"/>
  <c r="K6" i="47"/>
  <c r="J64" i="51" s="1"/>
  <c r="K29" i="47"/>
  <c r="E76" i="47"/>
  <c r="D62" i="57" s="1"/>
  <c r="E52" i="47"/>
  <c r="D62" i="56" s="1"/>
  <c r="AA52" i="44"/>
  <c r="G22" i="54" s="1"/>
  <c r="H76" i="44"/>
  <c r="G22" i="57" s="1"/>
  <c r="J6" i="44"/>
  <c r="I24" i="51" s="1"/>
  <c r="J29" i="44"/>
  <c r="E6" i="46"/>
  <c r="D44" i="51" s="1"/>
  <c r="E29" i="46"/>
  <c r="D43" i="53" s="1"/>
  <c r="F6" i="44"/>
  <c r="E24" i="51" s="1"/>
  <c r="F29" i="44"/>
  <c r="I76" i="47"/>
  <c r="H62" i="57" s="1"/>
  <c r="I52" i="47"/>
  <c r="H62" i="56" s="1"/>
  <c r="G76" i="44"/>
  <c r="F22" i="57" s="1"/>
  <c r="J6" i="47"/>
  <c r="I64" i="51" s="1"/>
  <c r="J29" i="47"/>
  <c r="I63" i="53" s="1"/>
  <c r="K76" i="47"/>
  <c r="J62" i="57" s="1"/>
  <c r="CA28" i="47"/>
  <c r="E6" i="47"/>
  <c r="D64" i="51" s="1"/>
  <c r="E29" i="47"/>
  <c r="D63" i="53" s="1"/>
  <c r="CA28" i="46"/>
  <c r="K76" i="46"/>
  <c r="J42" i="57" s="1"/>
  <c r="Q28" i="46"/>
  <c r="E76" i="46"/>
  <c r="D42" i="57" s="1"/>
  <c r="E52" i="46"/>
  <c r="D42" i="56" s="1"/>
  <c r="F52" i="47"/>
  <c r="E62" i="56" s="1"/>
  <c r="F76" i="47"/>
  <c r="E62" i="57" s="1"/>
  <c r="G52" i="46"/>
  <c r="F42" i="56" s="1"/>
  <c r="G76" i="46"/>
  <c r="F42" i="57" s="1"/>
  <c r="I6" i="47"/>
  <c r="H64" i="51" s="1"/>
  <c r="I29" i="47"/>
  <c r="H63" i="53" s="1"/>
  <c r="G6" i="44"/>
  <c r="F24" i="51" s="1"/>
  <c r="G29" i="44"/>
  <c r="I76" i="44"/>
  <c r="H22" i="57" s="1"/>
  <c r="D76" i="46"/>
  <c r="C42" i="57" s="1"/>
  <c r="D52" i="46"/>
  <c r="C42" i="56" s="1"/>
  <c r="BW29" i="44"/>
  <c r="BI67" i="44" s="1"/>
  <c r="H29" i="44"/>
  <c r="H6" i="44"/>
  <c r="G24" i="51" s="1"/>
  <c r="K29" i="46"/>
  <c r="K6" i="46"/>
  <c r="J44" i="51" s="1"/>
  <c r="K76" i="44"/>
  <c r="J22" i="57" s="1"/>
  <c r="CA28" i="44"/>
  <c r="D76" i="44"/>
  <c r="C22" i="57" s="1"/>
  <c r="Q28" i="44"/>
  <c r="F6" i="47"/>
  <c r="E64" i="51" s="1"/>
  <c r="F29" i="47"/>
  <c r="E63" i="53" s="1"/>
  <c r="G6" i="46"/>
  <c r="F44" i="51" s="1"/>
  <c r="G29" i="46"/>
  <c r="F43" i="53" s="1"/>
  <c r="I6" i="44"/>
  <c r="H24" i="51" s="1"/>
  <c r="I29" i="44"/>
  <c r="K6" i="44"/>
  <c r="J24" i="51" s="1"/>
  <c r="K29" i="44"/>
  <c r="C84" i="47"/>
  <c r="B70" i="57" s="1"/>
  <c r="V36" i="47"/>
  <c r="V84" i="47" s="1"/>
  <c r="B70" i="58" s="1"/>
  <c r="BX35" i="47"/>
  <c r="N35" i="47"/>
  <c r="N12" i="47"/>
  <c r="M70" i="51" s="1"/>
  <c r="L35" i="47"/>
  <c r="L12" i="47"/>
  <c r="K70" i="51" s="1"/>
  <c r="N82" i="47"/>
  <c r="M68" i="57" s="1"/>
  <c r="L82" i="47"/>
  <c r="K68" i="57" s="1"/>
  <c r="AG81" i="47"/>
  <c r="M67" i="58" s="1"/>
  <c r="AG57" i="47"/>
  <c r="BA57" i="47"/>
  <c r="M67" i="55" s="1"/>
  <c r="C61" i="47"/>
  <c r="C37" i="47"/>
  <c r="B71" i="53" s="1"/>
  <c r="V13" i="47"/>
  <c r="AP13" i="47" s="1"/>
  <c r="C14" i="47"/>
  <c r="B72" i="51" s="1"/>
  <c r="B61" i="47"/>
  <c r="B37" i="47"/>
  <c r="A71" i="53" s="1"/>
  <c r="U13" i="47"/>
  <c r="AO13" i="47" s="1"/>
  <c r="B14" i="47"/>
  <c r="A72" i="51" s="1"/>
  <c r="O35" i="47"/>
  <c r="N69" i="53" s="1"/>
  <c r="O12" i="47"/>
  <c r="N70" i="51" s="1"/>
  <c r="N10" i="51" s="1"/>
  <c r="B84" i="47"/>
  <c r="A70" i="57" s="1"/>
  <c r="U36" i="47"/>
  <c r="U84" i="47" s="1"/>
  <c r="A70" i="58" s="1"/>
  <c r="O82" i="47"/>
  <c r="N68" i="57" s="1"/>
  <c r="N8" i="57" s="1"/>
  <c r="O58" i="47"/>
  <c r="N68" i="56" s="1"/>
  <c r="N8" i="56" s="1"/>
  <c r="AE81" i="47"/>
  <c r="K67" i="58" s="1"/>
  <c r="AE57" i="47"/>
  <c r="AY57" i="47"/>
  <c r="K67" i="55" s="1"/>
  <c r="AH81" i="47"/>
  <c r="N67" i="58" s="1"/>
  <c r="N7" i="58" s="1"/>
  <c r="AH57" i="47"/>
  <c r="BB57" i="47"/>
  <c r="N67" i="55" s="1"/>
  <c r="AZ33" i="47"/>
  <c r="AX33" i="47"/>
  <c r="AP34" i="47"/>
  <c r="AU13" i="47"/>
  <c r="C71" i="52" s="1"/>
  <c r="BT33" i="46"/>
  <c r="BQ33" i="46"/>
  <c r="O36" i="46"/>
  <c r="N50" i="53" s="1"/>
  <c r="O13" i="46"/>
  <c r="N51" i="51" s="1"/>
  <c r="C60" i="46"/>
  <c r="C36" i="46"/>
  <c r="B50" i="53" s="1"/>
  <c r="V12" i="46"/>
  <c r="AP12" i="46" s="1"/>
  <c r="C13" i="46"/>
  <c r="B51" i="51" s="1"/>
  <c r="C83" i="46"/>
  <c r="B49" i="57" s="1"/>
  <c r="V35" i="46"/>
  <c r="V83" i="46" s="1"/>
  <c r="B49" i="58" s="1"/>
  <c r="BX35" i="46"/>
  <c r="N35" i="46"/>
  <c r="N12" i="46"/>
  <c r="M50" i="51" s="1"/>
  <c r="B82" i="46"/>
  <c r="A48" i="57" s="1"/>
  <c r="U34" i="46"/>
  <c r="U82" i="46" s="1"/>
  <c r="A48" i="58" s="1"/>
  <c r="AU12" i="46"/>
  <c r="C50" i="52" s="1"/>
  <c r="C10" i="52" s="1"/>
  <c r="BD11" i="46"/>
  <c r="J49" i="52" s="1"/>
  <c r="J9" i="52" s="1"/>
  <c r="O83" i="46"/>
  <c r="N49" i="57" s="1"/>
  <c r="O59" i="46"/>
  <c r="N49" i="56" s="1"/>
  <c r="AP34" i="46"/>
  <c r="AZ33" i="46"/>
  <c r="AX33" i="46"/>
  <c r="B59" i="46"/>
  <c r="B35" i="46"/>
  <c r="A49" i="53" s="1"/>
  <c r="U11" i="46"/>
  <c r="AO11" i="46" s="1"/>
  <c r="B12" i="46"/>
  <c r="A50" i="51" s="1"/>
  <c r="AE82" i="46"/>
  <c r="K48" i="58" s="1"/>
  <c r="AE58" i="46"/>
  <c r="AY58" i="46"/>
  <c r="N82" i="46"/>
  <c r="M48" i="57" s="1"/>
  <c r="AH82" i="46"/>
  <c r="N48" i="58" s="1"/>
  <c r="AH58" i="46"/>
  <c r="BB58" i="46"/>
  <c r="AG81" i="46"/>
  <c r="M47" i="58" s="1"/>
  <c r="AG57" i="46"/>
  <c r="BA57" i="46"/>
  <c r="L13" i="46"/>
  <c r="K51" i="51" s="1"/>
  <c r="L36" i="46"/>
  <c r="BL35" i="46"/>
  <c r="BN34" i="46"/>
  <c r="L83" i="46"/>
  <c r="K49" i="57" s="1"/>
  <c r="AH82" i="44"/>
  <c r="N28" i="58" s="1"/>
  <c r="AH58" i="44"/>
  <c r="N28" i="54" s="1"/>
  <c r="BB58" i="44"/>
  <c r="N28" i="55" s="1"/>
  <c r="BN34" i="44"/>
  <c r="BL35" i="44"/>
  <c r="BM35" i="44" s="1"/>
  <c r="O36" i="44"/>
  <c r="O13" i="44"/>
  <c r="N31" i="51" s="1"/>
  <c r="O83" i="44"/>
  <c r="N29" i="57" s="1"/>
  <c r="AZ35" i="44"/>
  <c r="AP36" i="44"/>
  <c r="AX35" i="44"/>
  <c r="AW35" i="44"/>
  <c r="BQ33" i="44"/>
  <c r="BT33" i="44"/>
  <c r="L82" i="44"/>
  <c r="K28" i="57" s="1"/>
  <c r="AE81" i="44"/>
  <c r="K27" i="58" s="1"/>
  <c r="AE57" i="44"/>
  <c r="K27" i="54" s="1"/>
  <c r="AY57" i="44"/>
  <c r="K27" i="55" s="1"/>
  <c r="L35" i="44"/>
  <c r="L12" i="44"/>
  <c r="K30" i="51" s="1"/>
  <c r="C31" i="52"/>
  <c r="L28" i="43"/>
  <c r="L52" i="43" s="1"/>
  <c r="L5" i="43"/>
  <c r="BQ31" i="43"/>
  <c r="BT31" i="43"/>
  <c r="N28" i="43"/>
  <c r="N52" i="43" s="1"/>
  <c r="N5" i="43"/>
  <c r="O28" i="43"/>
  <c r="O5" i="43"/>
  <c r="BL33" i="43"/>
  <c r="BM33" i="43" s="1"/>
  <c r="BN32" i="43"/>
  <c r="E4" i="43"/>
  <c r="D4" i="43"/>
  <c r="F4" i="43"/>
  <c r="M4" i="43"/>
  <c r="I4" i="43"/>
  <c r="H4" i="43"/>
  <c r="G4" i="43"/>
  <c r="J4" i="43"/>
  <c r="K4" i="43"/>
  <c r="AZ34" i="43"/>
  <c r="AP35" i="43"/>
  <c r="AW35" i="43" s="1"/>
  <c r="G79" i="31"/>
  <c r="P2" i="26"/>
  <c r="A3" i="26"/>
  <c r="A4" i="26"/>
  <c r="A2" i="26"/>
  <c r="C2" i="28"/>
  <c r="P3" i="28"/>
  <c r="D2" i="28"/>
  <c r="E2" i="28"/>
  <c r="F2" i="28"/>
  <c r="G2" i="28"/>
  <c r="H2" i="28"/>
  <c r="I2" i="28"/>
  <c r="J2" i="28"/>
  <c r="K2" i="28"/>
  <c r="L2" i="28"/>
  <c r="M2" i="28"/>
  <c r="N2" i="28"/>
  <c r="O2" i="28"/>
  <c r="B3" i="28"/>
  <c r="B4" i="28" s="1"/>
  <c r="A2" i="28"/>
  <c r="P2" i="51" l="1"/>
  <c r="AL62" i="43"/>
  <c r="E11" i="60"/>
  <c r="W59" i="48"/>
  <c r="C89" i="54" s="1"/>
  <c r="W83" i="48"/>
  <c r="C89" i="58" s="1"/>
  <c r="AQ59" i="48"/>
  <c r="C89" i="55" s="1"/>
  <c r="P90" i="51"/>
  <c r="P63" i="51"/>
  <c r="AJ9" i="48"/>
  <c r="P87" i="59" s="1"/>
  <c r="O87" i="59"/>
  <c r="P2" i="59"/>
  <c r="P43" i="51"/>
  <c r="P130" i="51"/>
  <c r="P110" i="51"/>
  <c r="P23" i="51"/>
  <c r="P23" i="59"/>
  <c r="BK55" i="50"/>
  <c r="AV17" i="50"/>
  <c r="D134" i="52"/>
  <c r="H14" i="48"/>
  <c r="G92" i="51" s="1"/>
  <c r="H37" i="48"/>
  <c r="G91" i="53" s="1"/>
  <c r="AW59" i="48"/>
  <c r="I89" i="55" s="1"/>
  <c r="AC59" i="48"/>
  <c r="I89" i="54" s="1"/>
  <c r="AC83" i="48"/>
  <c r="I89" i="58" s="1"/>
  <c r="H60" i="48"/>
  <c r="G90" i="56" s="1"/>
  <c r="AA60" i="48"/>
  <c r="G90" i="54" s="1"/>
  <c r="H84" i="48"/>
  <c r="G90" i="57" s="1"/>
  <c r="J84" i="48"/>
  <c r="I90" i="57" s="1"/>
  <c r="J60" i="48"/>
  <c r="I90" i="56" s="1"/>
  <c r="J14" i="48"/>
  <c r="I92" i="51" s="1"/>
  <c r="J37" i="48"/>
  <c r="I91" i="53" s="1"/>
  <c r="D14" i="48"/>
  <c r="C92" i="51" s="1"/>
  <c r="D37" i="48"/>
  <c r="C91" i="53" s="1"/>
  <c r="AU59" i="48"/>
  <c r="G89" i="55" s="1"/>
  <c r="AA83" i="48"/>
  <c r="G89" i="58" s="1"/>
  <c r="D84" i="48"/>
  <c r="C90" i="57" s="1"/>
  <c r="I60" i="48"/>
  <c r="H90" i="56" s="1"/>
  <c r="D60" i="48"/>
  <c r="C90" i="56" s="1"/>
  <c r="AB59" i="48"/>
  <c r="H89" i="54" s="1"/>
  <c r="AB83" i="48"/>
  <c r="H89" i="58" s="1"/>
  <c r="I84" i="48"/>
  <c r="H90" i="57" s="1"/>
  <c r="AV59" i="48"/>
  <c r="H89" i="55" s="1"/>
  <c r="I14" i="48"/>
  <c r="H92" i="51" s="1"/>
  <c r="I37" i="48"/>
  <c r="H91" i="53" s="1"/>
  <c r="AZ16" i="48"/>
  <c r="H93" i="52"/>
  <c r="AX16" i="48"/>
  <c r="F93" i="52"/>
  <c r="AV16" i="48"/>
  <c r="D93" i="52"/>
  <c r="AW16" i="48"/>
  <c r="E93" i="52"/>
  <c r="AY16" i="48"/>
  <c r="G93" i="52"/>
  <c r="BA16" i="48"/>
  <c r="I93" i="52"/>
  <c r="M10" i="51"/>
  <c r="K7" i="58"/>
  <c r="AX14" i="47"/>
  <c r="F71" i="52"/>
  <c r="AZ13" i="47"/>
  <c r="BD13" i="47" s="1"/>
  <c r="J71" i="52" s="1"/>
  <c r="H70" i="52"/>
  <c r="H10" i="52" s="1"/>
  <c r="K8" i="57"/>
  <c r="AY14" i="47"/>
  <c r="G71" i="52"/>
  <c r="AV14" i="47"/>
  <c r="D71" i="52"/>
  <c r="K10" i="51"/>
  <c r="AW14" i="47"/>
  <c r="E71" i="52"/>
  <c r="BA14" i="47"/>
  <c r="I71" i="52"/>
  <c r="K7" i="55"/>
  <c r="I10" i="52"/>
  <c r="N7" i="55"/>
  <c r="D10" i="52"/>
  <c r="F10" i="52"/>
  <c r="AW14" i="46"/>
  <c r="E51" i="52"/>
  <c r="AX14" i="46"/>
  <c r="F51" i="52"/>
  <c r="AY14" i="46"/>
  <c r="G51" i="52"/>
  <c r="G10" i="52"/>
  <c r="BA14" i="46"/>
  <c r="I51" i="52"/>
  <c r="AV14" i="46"/>
  <c r="D51" i="52"/>
  <c r="AZ14" i="46"/>
  <c r="H51" i="52"/>
  <c r="N14" i="44"/>
  <c r="M32" i="51" s="1"/>
  <c r="N37" i="44"/>
  <c r="N61" i="44" s="1"/>
  <c r="M31" i="56" s="1"/>
  <c r="N84" i="44"/>
  <c r="M30" i="57" s="1"/>
  <c r="N60" i="44"/>
  <c r="M30" i="56" s="1"/>
  <c r="BX37" i="44"/>
  <c r="BA59" i="44"/>
  <c r="M29" i="55" s="1"/>
  <c r="AG83" i="44"/>
  <c r="M29" i="58" s="1"/>
  <c r="AG59" i="44"/>
  <c r="M29" i="54" s="1"/>
  <c r="AW13" i="44"/>
  <c r="BD13" i="44" s="1"/>
  <c r="J31" i="52" s="1"/>
  <c r="E30" i="52"/>
  <c r="E10" i="52" s="1"/>
  <c r="BD12" i="44"/>
  <c r="J30" i="52" s="1"/>
  <c r="AX14" i="44"/>
  <c r="F31" i="52"/>
  <c r="AY14" i="44"/>
  <c r="G31" i="52"/>
  <c r="AV14" i="44"/>
  <c r="D31" i="52"/>
  <c r="BA14" i="44"/>
  <c r="I31" i="52"/>
  <c r="AZ14" i="44"/>
  <c r="H31" i="52"/>
  <c r="G19" i="31"/>
  <c r="E20" i="31"/>
  <c r="V61" i="47"/>
  <c r="B71" i="56"/>
  <c r="BA37" i="50"/>
  <c r="BI15" i="50"/>
  <c r="B133" i="52"/>
  <c r="BM46" i="47"/>
  <c r="BN46" i="47" s="1"/>
  <c r="BM46" i="46"/>
  <c r="E61" i="31"/>
  <c r="G60" i="31"/>
  <c r="C84" i="44"/>
  <c r="B30" i="57" s="1"/>
  <c r="B30" i="53"/>
  <c r="V36" i="44"/>
  <c r="V84" i="44" s="1"/>
  <c r="B30" i="58" s="1"/>
  <c r="BM45" i="48"/>
  <c r="BN45" i="48" s="1"/>
  <c r="G99" i="31"/>
  <c r="E100" i="31"/>
  <c r="E140" i="31"/>
  <c r="BM45" i="50"/>
  <c r="BN45" i="50" s="1"/>
  <c r="G139" i="31"/>
  <c r="BI12" i="46"/>
  <c r="B50" i="52"/>
  <c r="BH14" i="48"/>
  <c r="A92" i="52"/>
  <c r="V64" i="49"/>
  <c r="B114" i="56"/>
  <c r="BT44" i="49"/>
  <c r="BQ44" i="49"/>
  <c r="U59" i="46"/>
  <c r="AO59" i="46" s="1"/>
  <c r="A49" i="56"/>
  <c r="BT45" i="47"/>
  <c r="BQ45" i="47"/>
  <c r="BT44" i="48"/>
  <c r="BQ44" i="48"/>
  <c r="BH13" i="47"/>
  <c r="A71" i="52"/>
  <c r="V60" i="46"/>
  <c r="AP60" i="46" s="1"/>
  <c r="B50" i="56"/>
  <c r="BI13" i="48"/>
  <c r="B91" i="52"/>
  <c r="BH16" i="49"/>
  <c r="A114" i="52"/>
  <c r="V63" i="50"/>
  <c r="B133" i="56"/>
  <c r="AO61" i="48"/>
  <c r="A91" i="55" s="1"/>
  <c r="A91" i="54"/>
  <c r="BH12" i="44"/>
  <c r="A30" i="52"/>
  <c r="AO63" i="49"/>
  <c r="A113" i="55" s="1"/>
  <c r="A113" i="54"/>
  <c r="U61" i="47"/>
  <c r="A71" i="56"/>
  <c r="U62" i="48"/>
  <c r="A92" i="56"/>
  <c r="AP62" i="50"/>
  <c r="B132" i="55" s="1"/>
  <c r="B132" i="54"/>
  <c r="A31" i="51"/>
  <c r="B37" i="44"/>
  <c r="B14" i="44"/>
  <c r="B61" i="44"/>
  <c r="U13" i="44"/>
  <c r="AO13" i="44" s="1"/>
  <c r="AO63" i="50"/>
  <c r="A133" i="55" s="1"/>
  <c r="A133" i="54"/>
  <c r="AP59" i="44"/>
  <c r="B29" i="55" s="1"/>
  <c r="BH16" i="50"/>
  <c r="A134" i="52"/>
  <c r="BI12" i="44"/>
  <c r="B30" i="52"/>
  <c r="A30" i="56"/>
  <c r="U60" i="44"/>
  <c r="A30" i="54" s="1"/>
  <c r="AO60" i="47"/>
  <c r="A70" i="55" s="1"/>
  <c r="A70" i="54"/>
  <c r="V61" i="48"/>
  <c r="B91" i="56"/>
  <c r="BI16" i="49"/>
  <c r="B114" i="52"/>
  <c r="U64" i="49"/>
  <c r="A114" i="56"/>
  <c r="B30" i="56"/>
  <c r="V60" i="44"/>
  <c r="B30" i="54" s="1"/>
  <c r="AP60" i="48"/>
  <c r="B90" i="55" s="1"/>
  <c r="B90" i="54"/>
  <c r="A30" i="53"/>
  <c r="U36" i="44"/>
  <c r="U84" i="44" s="1"/>
  <c r="A30" i="58" s="1"/>
  <c r="B84" i="44"/>
  <c r="A30" i="57" s="1"/>
  <c r="BI13" i="47"/>
  <c r="B71" i="52"/>
  <c r="BH11" i="46"/>
  <c r="A49" i="52"/>
  <c r="U64" i="50"/>
  <c r="A134" i="56"/>
  <c r="B31" i="51"/>
  <c r="C37" i="44"/>
  <c r="C61" i="44"/>
  <c r="C14" i="44"/>
  <c r="V13" i="44"/>
  <c r="AP13" i="44" s="1"/>
  <c r="AP63" i="49"/>
  <c r="B113" i="55" s="1"/>
  <c r="B113" i="54"/>
  <c r="AP60" i="47"/>
  <c r="B70" i="55" s="1"/>
  <c r="B70" i="54"/>
  <c r="BM45" i="49"/>
  <c r="BN45" i="49" s="1"/>
  <c r="E120" i="31"/>
  <c r="G119" i="31"/>
  <c r="BT44" i="50"/>
  <c r="BQ44" i="50"/>
  <c r="AO59" i="44"/>
  <c r="A29" i="55" s="1"/>
  <c r="B49" i="55"/>
  <c r="B49" i="54"/>
  <c r="A48" i="55"/>
  <c r="A48" i="54"/>
  <c r="BJ63" i="50"/>
  <c r="BJ55" i="50"/>
  <c r="M7" i="58"/>
  <c r="M8" i="56"/>
  <c r="M8" i="53"/>
  <c r="K7" i="54"/>
  <c r="K8" i="53"/>
  <c r="N7" i="54"/>
  <c r="BK55" i="48"/>
  <c r="BK63" i="48"/>
  <c r="K48" i="55"/>
  <c r="M47" i="55"/>
  <c r="M7" i="55" s="1"/>
  <c r="M7" i="54"/>
  <c r="M49" i="53"/>
  <c r="N59" i="46"/>
  <c r="M49" i="56" s="1"/>
  <c r="F2" i="57"/>
  <c r="K8" i="56"/>
  <c r="L65" i="50"/>
  <c r="K135" i="56" s="1"/>
  <c r="K135" i="53"/>
  <c r="N48" i="55"/>
  <c r="K69" i="53"/>
  <c r="L59" i="47"/>
  <c r="K69" i="56" s="1"/>
  <c r="L59" i="44"/>
  <c r="K29" i="56" s="1"/>
  <c r="K29" i="53"/>
  <c r="M113" i="53"/>
  <c r="N63" i="49"/>
  <c r="M113" i="56" s="1"/>
  <c r="N30" i="53"/>
  <c r="O60" i="44"/>
  <c r="N30" i="56" s="1"/>
  <c r="M69" i="53"/>
  <c r="N59" i="47"/>
  <c r="M69" i="56" s="1"/>
  <c r="K91" i="53"/>
  <c r="L61" i="48"/>
  <c r="K91" i="56" s="1"/>
  <c r="L60" i="46"/>
  <c r="K50" i="56" s="1"/>
  <c r="K50" i="53"/>
  <c r="M8" i="57"/>
  <c r="M92" i="53"/>
  <c r="N62" i="48"/>
  <c r="M92" i="56" s="1"/>
  <c r="M134" i="53"/>
  <c r="N64" i="50"/>
  <c r="M134" i="56" s="1"/>
  <c r="N9" i="53"/>
  <c r="K113" i="53"/>
  <c r="L63" i="49"/>
  <c r="K113" i="56" s="1"/>
  <c r="I4" i="51"/>
  <c r="D4" i="51"/>
  <c r="J4" i="51"/>
  <c r="C2" i="57"/>
  <c r="W52" i="44"/>
  <c r="C22" i="54" s="1"/>
  <c r="G4" i="51"/>
  <c r="G2" i="57"/>
  <c r="E2" i="57"/>
  <c r="D2" i="57"/>
  <c r="Y28" i="44"/>
  <c r="P22" i="53"/>
  <c r="M53" i="44"/>
  <c r="L23" i="56" s="1"/>
  <c r="L23" i="53"/>
  <c r="L3" i="53" s="1"/>
  <c r="J91" i="51"/>
  <c r="K14" i="48"/>
  <c r="K37" i="48"/>
  <c r="L4" i="51"/>
  <c r="L2" i="57"/>
  <c r="BD55" i="49"/>
  <c r="P105" i="55" s="1"/>
  <c r="O105" i="55"/>
  <c r="K60" i="50"/>
  <c r="J130" i="56" s="1"/>
  <c r="J130" i="53"/>
  <c r="BK63" i="50"/>
  <c r="G2" i="53"/>
  <c r="K53" i="44"/>
  <c r="J23" i="56" s="1"/>
  <c r="J23" i="53"/>
  <c r="X35" i="49"/>
  <c r="P109" i="53"/>
  <c r="I53" i="44"/>
  <c r="H23" i="56" s="1"/>
  <c r="H23" i="53"/>
  <c r="H3" i="53" s="1"/>
  <c r="F53" i="44"/>
  <c r="E23" i="56" s="1"/>
  <c r="E23" i="53"/>
  <c r="E3" i="53" s="1"/>
  <c r="AQ28" i="47"/>
  <c r="BD29" i="47" s="1"/>
  <c r="AW34" i="47" s="1"/>
  <c r="P62" i="53"/>
  <c r="W35" i="50"/>
  <c r="P129" i="53"/>
  <c r="Y35" i="49"/>
  <c r="AK57" i="49"/>
  <c r="BM58" i="49" s="1"/>
  <c r="P107" i="54"/>
  <c r="G2" i="56"/>
  <c r="I2" i="56"/>
  <c r="L2" i="56"/>
  <c r="H53" i="44"/>
  <c r="G23" i="56" s="1"/>
  <c r="G23" i="53"/>
  <c r="K60" i="48"/>
  <c r="J90" i="53"/>
  <c r="K84" i="48"/>
  <c r="J90" i="57" s="1"/>
  <c r="H4" i="51"/>
  <c r="J2" i="57"/>
  <c r="H2" i="57"/>
  <c r="E4" i="51"/>
  <c r="I2" i="57"/>
  <c r="AK57" i="48"/>
  <c r="BM58" i="48" s="1"/>
  <c r="P87" i="54"/>
  <c r="AI10" i="48"/>
  <c r="O88" i="51"/>
  <c r="D89" i="56"/>
  <c r="AR59" i="48"/>
  <c r="D89" i="55" s="1"/>
  <c r="X83" i="48"/>
  <c r="D89" i="58" s="1"/>
  <c r="X59" i="48"/>
  <c r="D89" i="54" s="1"/>
  <c r="J2" i="53"/>
  <c r="C2" i="56"/>
  <c r="C4" i="51"/>
  <c r="D91" i="51"/>
  <c r="E37" i="48"/>
  <c r="E14" i="48"/>
  <c r="G53" i="44"/>
  <c r="F23" i="56" s="1"/>
  <c r="F23" i="53"/>
  <c r="F3" i="53" s="1"/>
  <c r="K53" i="47"/>
  <c r="J63" i="56" s="1"/>
  <c r="J63" i="53"/>
  <c r="H53" i="46"/>
  <c r="G43" i="56" s="1"/>
  <c r="G43" i="53"/>
  <c r="Q52" i="44"/>
  <c r="P22" i="56" s="1"/>
  <c r="H2" i="56"/>
  <c r="J2" i="56"/>
  <c r="P81" i="48"/>
  <c r="O87" i="57" s="1"/>
  <c r="O87" i="53"/>
  <c r="K53" i="46"/>
  <c r="J43" i="56" s="1"/>
  <c r="J43" i="53"/>
  <c r="F4" i="51"/>
  <c r="D53" i="44"/>
  <c r="C23" i="56" s="1"/>
  <c r="C23" i="53"/>
  <c r="C3" i="53" s="1"/>
  <c r="BW37" i="48"/>
  <c r="BQ67" i="48" s="1"/>
  <c r="L91" i="51"/>
  <c r="AB35" i="48"/>
  <c r="P89" i="53"/>
  <c r="BD56" i="50"/>
  <c r="P126" i="55" s="1"/>
  <c r="O126" i="55"/>
  <c r="J89" i="56"/>
  <c r="AX59" i="48"/>
  <c r="J89" i="55" s="1"/>
  <c r="AD59" i="48"/>
  <c r="J89" i="54" s="1"/>
  <c r="AD83" i="48"/>
  <c r="J89" i="58" s="1"/>
  <c r="BD56" i="48"/>
  <c r="P86" i="55" s="1"/>
  <c r="O86" i="55"/>
  <c r="E2" i="56"/>
  <c r="AC28" i="46"/>
  <c r="P42" i="53"/>
  <c r="J53" i="44"/>
  <c r="I23" i="56" s="1"/>
  <c r="I23" i="53"/>
  <c r="I3" i="53" s="1"/>
  <c r="E53" i="44"/>
  <c r="D23" i="56" s="1"/>
  <c r="D23" i="53"/>
  <c r="D3" i="53" s="1"/>
  <c r="CA36" i="48"/>
  <c r="L90" i="53"/>
  <c r="AK57" i="50"/>
  <c r="BM58" i="50" s="1"/>
  <c r="P127" i="54"/>
  <c r="K60" i="49"/>
  <c r="J110" i="56" s="1"/>
  <c r="J110" i="53"/>
  <c r="D90" i="53"/>
  <c r="E84" i="48"/>
  <c r="D90" i="57" s="1"/>
  <c r="E60" i="48"/>
  <c r="F2" i="56"/>
  <c r="D2" i="56"/>
  <c r="AF35" i="50"/>
  <c r="AB35" i="50"/>
  <c r="AJ34" i="49"/>
  <c r="AC35" i="50"/>
  <c r="AS35" i="50"/>
  <c r="BO61" i="50" s="1"/>
  <c r="X35" i="50"/>
  <c r="AQ35" i="50"/>
  <c r="BO59" i="50" s="1"/>
  <c r="AJ34" i="50"/>
  <c r="AA35" i="50"/>
  <c r="AJ58" i="49"/>
  <c r="AJ82" i="50"/>
  <c r="P128" i="58" s="1"/>
  <c r="G37" i="50"/>
  <c r="F131" i="53" s="1"/>
  <c r="G14" i="50"/>
  <c r="F132" i="51" s="1"/>
  <c r="G84" i="50"/>
  <c r="F130" i="57" s="1"/>
  <c r="G60" i="50"/>
  <c r="F130" i="56" s="1"/>
  <c r="AS59" i="49"/>
  <c r="E109" i="55" s="1"/>
  <c r="Y83" i="49"/>
  <c r="E109" i="58" s="1"/>
  <c r="Y59" i="49"/>
  <c r="E109" i="54" s="1"/>
  <c r="D37" i="49"/>
  <c r="C111" i="53" s="1"/>
  <c r="BR37" i="49"/>
  <c r="BQ65" i="49" s="1"/>
  <c r="D14" i="49"/>
  <c r="C112" i="51" s="1"/>
  <c r="Q13" i="49"/>
  <c r="AU34" i="50"/>
  <c r="Q59" i="49"/>
  <c r="P109" i="56" s="1"/>
  <c r="AQ59" i="49"/>
  <c r="C109" i="55" s="1"/>
  <c r="W59" i="49"/>
  <c r="C109" i="54" s="1"/>
  <c r="W83" i="49"/>
  <c r="C109" i="58" s="1"/>
  <c r="AD35" i="49"/>
  <c r="AB83" i="49"/>
  <c r="H109" i="58" s="1"/>
  <c r="AB59" i="49"/>
  <c r="H109" i="54" s="1"/>
  <c r="AV59" i="49"/>
  <c r="H109" i="55" s="1"/>
  <c r="E84" i="49"/>
  <c r="D110" i="57" s="1"/>
  <c r="E60" i="49"/>
  <c r="D110" i="56" s="1"/>
  <c r="Z83" i="50"/>
  <c r="F129" i="58" s="1"/>
  <c r="Z59" i="50"/>
  <c r="F129" i="54" s="1"/>
  <c r="AT59" i="50"/>
  <c r="F129" i="55" s="1"/>
  <c r="P81" i="49"/>
  <c r="O107" i="57" s="1"/>
  <c r="AI33" i="49"/>
  <c r="F84" i="50"/>
  <c r="E130" i="57" s="1"/>
  <c r="F60" i="50"/>
  <c r="E130" i="56" s="1"/>
  <c r="J14" i="50"/>
  <c r="I132" i="51" s="1"/>
  <c r="J37" i="50"/>
  <c r="I131" i="53" s="1"/>
  <c r="E37" i="50"/>
  <c r="D131" i="53" s="1"/>
  <c r="E14" i="50"/>
  <c r="D132" i="51" s="1"/>
  <c r="AD83" i="49"/>
  <c r="J109" i="58" s="1"/>
  <c r="AD59" i="49"/>
  <c r="J109" i="54" s="1"/>
  <c r="AX59" i="49"/>
  <c r="J109" i="55" s="1"/>
  <c r="AF35" i="49"/>
  <c r="E14" i="49"/>
  <c r="D112" i="51" s="1"/>
  <c r="E37" i="49"/>
  <c r="D111" i="53" s="1"/>
  <c r="F37" i="50"/>
  <c r="E131" i="53" s="1"/>
  <c r="F14" i="50"/>
  <c r="E132" i="51" s="1"/>
  <c r="J84" i="50"/>
  <c r="I130" i="57" s="1"/>
  <c r="J60" i="50"/>
  <c r="I130" i="56" s="1"/>
  <c r="D37" i="50"/>
  <c r="C131" i="53" s="1"/>
  <c r="D14" i="50"/>
  <c r="C132" i="51" s="1"/>
  <c r="BR37" i="50"/>
  <c r="BQ65" i="50" s="1"/>
  <c r="Q13" i="50"/>
  <c r="AJ9" i="50"/>
  <c r="P127" i="59" s="1"/>
  <c r="Z35" i="49"/>
  <c r="E84" i="50"/>
  <c r="D130" i="57" s="1"/>
  <c r="E60" i="50"/>
  <c r="D130" i="56" s="1"/>
  <c r="M84" i="49"/>
  <c r="L110" i="57" s="1"/>
  <c r="M60" i="49"/>
  <c r="L110" i="56" s="1"/>
  <c r="AF83" i="49"/>
  <c r="L109" i="58" s="1"/>
  <c r="AF59" i="49"/>
  <c r="L109" i="54" s="1"/>
  <c r="AZ59" i="49"/>
  <c r="L109" i="55" s="1"/>
  <c r="AB59" i="50"/>
  <c r="H129" i="54" s="1"/>
  <c r="AB83" i="50"/>
  <c r="H129" i="58" s="1"/>
  <c r="AV59" i="50"/>
  <c r="H129" i="55" s="1"/>
  <c r="H84" i="50"/>
  <c r="G130" i="57" s="1"/>
  <c r="AA60" i="50"/>
  <c r="G130" i="54" s="1"/>
  <c r="H60" i="50"/>
  <c r="G130" i="56" s="1"/>
  <c r="I37" i="50"/>
  <c r="H131" i="53" s="1"/>
  <c r="I14" i="50"/>
  <c r="H132" i="51" s="1"/>
  <c r="AD35" i="50"/>
  <c r="AE35" i="50"/>
  <c r="BO68" i="50"/>
  <c r="BO69" i="50"/>
  <c r="AH35" i="50"/>
  <c r="AT35" i="50"/>
  <c r="BO62" i="50" s="1"/>
  <c r="AR35" i="50"/>
  <c r="BO60" i="50" s="1"/>
  <c r="BJ11" i="50"/>
  <c r="BK11" i="50" s="1"/>
  <c r="BL11" i="50" s="1"/>
  <c r="P11" i="50" s="1"/>
  <c r="O129" i="51" s="1"/>
  <c r="AG35" i="50"/>
  <c r="D84" i="50"/>
  <c r="C130" i="57" s="1"/>
  <c r="D60" i="50"/>
  <c r="C130" i="56" s="1"/>
  <c r="Q36" i="50"/>
  <c r="AF36" i="50" s="1"/>
  <c r="P81" i="50"/>
  <c r="O127" i="57" s="1"/>
  <c r="AI33" i="50"/>
  <c r="AS35" i="49"/>
  <c r="BO61" i="49" s="1"/>
  <c r="J37" i="49"/>
  <c r="I111" i="53" s="1"/>
  <c r="J14" i="49"/>
  <c r="I112" i="51" s="1"/>
  <c r="BC56" i="49"/>
  <c r="AA83" i="50"/>
  <c r="G129" i="58" s="1"/>
  <c r="AU59" i="50"/>
  <c r="G129" i="55" s="1"/>
  <c r="X83" i="50"/>
  <c r="D129" i="58" s="1"/>
  <c r="X59" i="50"/>
  <c r="D129" i="54" s="1"/>
  <c r="AR59" i="50"/>
  <c r="D129" i="55" s="1"/>
  <c r="M14" i="49"/>
  <c r="L112" i="51" s="1"/>
  <c r="M37" i="49"/>
  <c r="L111" i="53" s="1"/>
  <c r="Y35" i="50"/>
  <c r="AB35" i="49"/>
  <c r="P34" i="49"/>
  <c r="O108" i="53" s="1"/>
  <c r="AI10" i="49"/>
  <c r="O108" i="59" s="1"/>
  <c r="BO34" i="49"/>
  <c r="BN64" i="49" s="1"/>
  <c r="BU34" i="49"/>
  <c r="BN66" i="49" s="1"/>
  <c r="I84" i="50"/>
  <c r="H130" i="57" s="1"/>
  <c r="I60" i="50"/>
  <c r="H130" i="56" s="1"/>
  <c r="W83" i="50"/>
  <c r="C129" i="58" s="1"/>
  <c r="W59" i="50"/>
  <c r="C129" i="54" s="1"/>
  <c r="Q59" i="50"/>
  <c r="P129" i="56" s="1"/>
  <c r="AQ59" i="50"/>
  <c r="C129" i="55" s="1"/>
  <c r="AJ82" i="49"/>
  <c r="P108" i="58" s="1"/>
  <c r="AC35" i="49"/>
  <c r="J60" i="49"/>
  <c r="I110" i="56" s="1"/>
  <c r="J84" i="49"/>
  <c r="I110" i="57" s="1"/>
  <c r="F37" i="49"/>
  <c r="E111" i="53" s="1"/>
  <c r="F14" i="49"/>
  <c r="E112" i="51" s="1"/>
  <c r="AQ35" i="49"/>
  <c r="Y59" i="50"/>
  <c r="E129" i="54" s="1"/>
  <c r="Y83" i="50"/>
  <c r="E129" i="58" s="1"/>
  <c r="AS59" i="50"/>
  <c r="E129" i="55" s="1"/>
  <c r="M60" i="50"/>
  <c r="L130" i="56" s="1"/>
  <c r="M84" i="50"/>
  <c r="L130" i="57" s="1"/>
  <c r="G14" i="49"/>
  <c r="F112" i="51" s="1"/>
  <c r="G37" i="49"/>
  <c r="F111" i="53" s="1"/>
  <c r="AG35" i="49"/>
  <c r="AR35" i="49"/>
  <c r="BO60" i="49" s="1"/>
  <c r="AT35" i="49"/>
  <c r="BO62" i="49" s="1"/>
  <c r="BJ11" i="49"/>
  <c r="BK11" i="49" s="1"/>
  <c r="BL11" i="49" s="1"/>
  <c r="P11" i="49" s="1"/>
  <c r="O109" i="51" s="1"/>
  <c r="BO68" i="49"/>
  <c r="AH35" i="49"/>
  <c r="AE35" i="49"/>
  <c r="BO69" i="49"/>
  <c r="H84" i="49"/>
  <c r="G110" i="57" s="1"/>
  <c r="AA60" i="49"/>
  <c r="G110" i="54" s="1"/>
  <c r="H60" i="49"/>
  <c r="G110" i="56" s="1"/>
  <c r="Q83" i="50"/>
  <c r="P129" i="57" s="1"/>
  <c r="K37" i="50"/>
  <c r="K14" i="50"/>
  <c r="J132" i="51" s="1"/>
  <c r="Z59" i="49"/>
  <c r="F109" i="54" s="1"/>
  <c r="AT59" i="49"/>
  <c r="F109" i="55" s="1"/>
  <c r="Z83" i="49"/>
  <c r="F109" i="58" s="1"/>
  <c r="P34" i="50"/>
  <c r="O128" i="53" s="1"/>
  <c r="AI10" i="50"/>
  <c r="O128" i="59" s="1"/>
  <c r="BU34" i="50"/>
  <c r="BN66" i="50" s="1"/>
  <c r="BO34" i="50"/>
  <c r="BN64" i="50" s="1"/>
  <c r="D84" i="49"/>
  <c r="C110" i="57" s="1"/>
  <c r="D60" i="49"/>
  <c r="C110" i="56" s="1"/>
  <c r="Q36" i="49"/>
  <c r="AD36" i="49" s="1"/>
  <c r="F84" i="49"/>
  <c r="E110" i="57" s="1"/>
  <c r="F60" i="49"/>
  <c r="E110" i="56" s="1"/>
  <c r="W35" i="49"/>
  <c r="I37" i="49"/>
  <c r="H111" i="53" s="1"/>
  <c r="I14" i="49"/>
  <c r="H112" i="51" s="1"/>
  <c r="AA35" i="49"/>
  <c r="K37" i="49"/>
  <c r="K14" i="49"/>
  <c r="J112" i="51" s="1"/>
  <c r="M37" i="50"/>
  <c r="L131" i="53" s="1"/>
  <c r="M14" i="50"/>
  <c r="L132" i="51" s="1"/>
  <c r="AC83" i="50"/>
  <c r="I129" i="58" s="1"/>
  <c r="AC59" i="50"/>
  <c r="I129" i="54" s="1"/>
  <c r="AW59" i="50"/>
  <c r="I129" i="55" s="1"/>
  <c r="AF83" i="50"/>
  <c r="L129" i="58" s="1"/>
  <c r="AF59" i="50"/>
  <c r="L129" i="54" s="1"/>
  <c r="AZ59" i="50"/>
  <c r="L129" i="55" s="1"/>
  <c r="AJ58" i="50"/>
  <c r="AC83" i="49"/>
  <c r="I109" i="58" s="1"/>
  <c r="AC59" i="49"/>
  <c r="I109" i="54" s="1"/>
  <c r="AW59" i="49"/>
  <c r="I109" i="55" s="1"/>
  <c r="K84" i="50"/>
  <c r="J130" i="57" s="1"/>
  <c r="CA36" i="50"/>
  <c r="AD59" i="50"/>
  <c r="J129" i="54" s="1"/>
  <c r="AX59" i="50"/>
  <c r="J129" i="55" s="1"/>
  <c r="AD83" i="50"/>
  <c r="J129" i="58" s="1"/>
  <c r="G84" i="49"/>
  <c r="F110" i="57" s="1"/>
  <c r="G60" i="49"/>
  <c r="F110" i="56" s="1"/>
  <c r="Q83" i="49"/>
  <c r="P109" i="57" s="1"/>
  <c r="I84" i="49"/>
  <c r="H110" i="57" s="1"/>
  <c r="I60" i="49"/>
  <c r="H110" i="56" s="1"/>
  <c r="H37" i="50"/>
  <c r="G131" i="53" s="1"/>
  <c r="H14" i="50"/>
  <c r="G132" i="51" s="1"/>
  <c r="BW37" i="50"/>
  <c r="BQ67" i="50" s="1"/>
  <c r="X83" i="49"/>
  <c r="D109" i="58" s="1"/>
  <c r="X59" i="49"/>
  <c r="D109" i="54" s="1"/>
  <c r="AR59" i="49"/>
  <c r="D109" i="55" s="1"/>
  <c r="AA83" i="49"/>
  <c r="G109" i="58" s="1"/>
  <c r="AU59" i="49"/>
  <c r="G109" i="55" s="1"/>
  <c r="AJ9" i="49"/>
  <c r="P107" i="59" s="1"/>
  <c r="BC57" i="49"/>
  <c r="K84" i="49"/>
  <c r="J110" i="57" s="1"/>
  <c r="CA36" i="49"/>
  <c r="H37" i="49"/>
  <c r="G111" i="53" s="1"/>
  <c r="H14" i="49"/>
  <c r="G112" i="51" s="1"/>
  <c r="BW37" i="49"/>
  <c r="BQ67" i="49" s="1"/>
  <c r="Z35" i="50"/>
  <c r="AU34" i="49"/>
  <c r="BX29" i="43"/>
  <c r="AS35" i="48"/>
  <c r="BO61" i="48" s="1"/>
  <c r="AE35" i="48"/>
  <c r="AG35" i="48"/>
  <c r="BJ11" i="48"/>
  <c r="BK11" i="48" s="1"/>
  <c r="BL11" i="48" s="1"/>
  <c r="P11" i="48" s="1"/>
  <c r="W35" i="48"/>
  <c r="AR35" i="48"/>
  <c r="BO60" i="48" s="1"/>
  <c r="AC35" i="48"/>
  <c r="BO69" i="48"/>
  <c r="BO68" i="48"/>
  <c r="AQ35" i="48"/>
  <c r="BO59" i="48" s="1"/>
  <c r="Z35" i="48"/>
  <c r="AD35" i="48"/>
  <c r="X35" i="48"/>
  <c r="Y35" i="48"/>
  <c r="AA35" i="48"/>
  <c r="BR37" i="48"/>
  <c r="BQ65" i="48" s="1"/>
  <c r="AH35" i="48"/>
  <c r="AJ58" i="48"/>
  <c r="AF35" i="48"/>
  <c r="AT35" i="48"/>
  <c r="BO62" i="48" s="1"/>
  <c r="Q13" i="48"/>
  <c r="BO34" i="48"/>
  <c r="BN64" i="48" s="1"/>
  <c r="AI33" i="48"/>
  <c r="P34" i="48"/>
  <c r="AU34" i="48"/>
  <c r="Q36" i="48"/>
  <c r="AJ34" i="48"/>
  <c r="BU34" i="48"/>
  <c r="BN66" i="48" s="1"/>
  <c r="Q83" i="48"/>
  <c r="P89" i="57" s="1"/>
  <c r="AJ82" i="48"/>
  <c r="P88" i="58" s="1"/>
  <c r="AE88" i="50"/>
  <c r="K134" i="58" s="1"/>
  <c r="AE64" i="50"/>
  <c r="AY64" i="50"/>
  <c r="K134" i="55" s="1"/>
  <c r="AH87" i="50"/>
  <c r="N133" i="58" s="1"/>
  <c r="AH63" i="50"/>
  <c r="BB63" i="50"/>
  <c r="N133" i="55" s="1"/>
  <c r="AG87" i="50"/>
  <c r="M133" i="58" s="1"/>
  <c r="AG63" i="50"/>
  <c r="BA63" i="50"/>
  <c r="M133" i="55" s="1"/>
  <c r="L42" i="50"/>
  <c r="L19" i="50"/>
  <c r="K137" i="51" s="1"/>
  <c r="BX41" i="50"/>
  <c r="N41" i="50"/>
  <c r="N18" i="50"/>
  <c r="M136" i="51" s="1"/>
  <c r="AW38" i="50"/>
  <c r="AP39" i="50"/>
  <c r="AZ38" i="50"/>
  <c r="AX38" i="50"/>
  <c r="L89" i="50"/>
  <c r="K135" i="57" s="1"/>
  <c r="B65" i="50"/>
  <c r="B41" i="50"/>
  <c r="A135" i="53" s="1"/>
  <c r="U17" i="50"/>
  <c r="AO17" i="50" s="1"/>
  <c r="B18" i="50"/>
  <c r="A136" i="51" s="1"/>
  <c r="C64" i="50"/>
  <c r="C40" i="50"/>
  <c r="B134" i="53" s="1"/>
  <c r="C17" i="50"/>
  <c r="B135" i="51" s="1"/>
  <c r="V16" i="50"/>
  <c r="AP16" i="50" s="1"/>
  <c r="N88" i="50"/>
  <c r="M134" i="57" s="1"/>
  <c r="O41" i="50"/>
  <c r="N135" i="53" s="1"/>
  <c r="O18" i="50"/>
  <c r="N136" i="51" s="1"/>
  <c r="C87" i="50"/>
  <c r="B133" i="57" s="1"/>
  <c r="V39" i="50"/>
  <c r="V87" i="50" s="1"/>
  <c r="B133" i="58" s="1"/>
  <c r="B88" i="50"/>
  <c r="A134" i="57" s="1"/>
  <c r="U40" i="50"/>
  <c r="U88" i="50" s="1"/>
  <c r="A134" i="58" s="1"/>
  <c r="O88" i="50"/>
  <c r="N134" i="57" s="1"/>
  <c r="O64" i="50"/>
  <c r="N134" i="56" s="1"/>
  <c r="AU18" i="50"/>
  <c r="C136" i="52" s="1"/>
  <c r="BA37" i="49"/>
  <c r="AG86" i="49"/>
  <c r="M112" i="58" s="1"/>
  <c r="AG62" i="49"/>
  <c r="BA62" i="49"/>
  <c r="M112" i="55" s="1"/>
  <c r="B65" i="49"/>
  <c r="B41" i="49"/>
  <c r="A115" i="53" s="1"/>
  <c r="U17" i="49"/>
  <c r="AO17" i="49" s="1"/>
  <c r="B18" i="49"/>
  <c r="A116" i="51" s="1"/>
  <c r="N87" i="49"/>
  <c r="M113" i="57" s="1"/>
  <c r="AE86" i="49"/>
  <c r="K112" i="58" s="1"/>
  <c r="AE62" i="49"/>
  <c r="AY62" i="49"/>
  <c r="K112" i="55" s="1"/>
  <c r="B88" i="49"/>
  <c r="A114" i="57" s="1"/>
  <c r="U40" i="49"/>
  <c r="U88" i="49" s="1"/>
  <c r="A114" i="58" s="1"/>
  <c r="BD19" i="49"/>
  <c r="J117" i="52" s="1"/>
  <c r="AP39" i="49"/>
  <c r="AW38" i="49"/>
  <c r="AZ38" i="49"/>
  <c r="AX38" i="49"/>
  <c r="L87" i="49"/>
  <c r="K113" i="57" s="1"/>
  <c r="N40" i="49"/>
  <c r="BX40" i="49"/>
  <c r="N17" i="49"/>
  <c r="M115" i="51" s="1"/>
  <c r="AH86" i="49"/>
  <c r="N112" i="58" s="1"/>
  <c r="AH62" i="49"/>
  <c r="BB62" i="49"/>
  <c r="N112" i="55" s="1"/>
  <c r="C88" i="49"/>
  <c r="B114" i="57" s="1"/>
  <c r="V40" i="49"/>
  <c r="V88" i="49" s="1"/>
  <c r="B114" i="58" s="1"/>
  <c r="O87" i="49"/>
  <c r="N113" i="57" s="1"/>
  <c r="O63" i="49"/>
  <c r="N113" i="56" s="1"/>
  <c r="C65" i="49"/>
  <c r="V17" i="49"/>
  <c r="AP17" i="49" s="1"/>
  <c r="C18" i="49"/>
  <c r="B116" i="51" s="1"/>
  <c r="C41" i="49"/>
  <c r="B115" i="53" s="1"/>
  <c r="L17" i="49"/>
  <c r="K115" i="51" s="1"/>
  <c r="L40" i="49"/>
  <c r="O17" i="49"/>
  <c r="N115" i="51" s="1"/>
  <c r="O40" i="49"/>
  <c r="N114" i="53" s="1"/>
  <c r="G14" i="48"/>
  <c r="F92" i="51" s="1"/>
  <c r="G37" i="48"/>
  <c r="F91" i="53" s="1"/>
  <c r="M84" i="48"/>
  <c r="L90" i="57" s="1"/>
  <c r="M60" i="48"/>
  <c r="L90" i="56" s="1"/>
  <c r="Y59" i="48"/>
  <c r="E89" i="54" s="1"/>
  <c r="AS59" i="48"/>
  <c r="E89" i="55" s="1"/>
  <c r="Y83" i="48"/>
  <c r="E89" i="58" s="1"/>
  <c r="Z83" i="48"/>
  <c r="F89" i="58" s="1"/>
  <c r="Z59" i="48"/>
  <c r="F89" i="54" s="1"/>
  <c r="AT59" i="48"/>
  <c r="F89" i="55" s="1"/>
  <c r="F37" i="48"/>
  <c r="E91" i="53" s="1"/>
  <c r="F14" i="48"/>
  <c r="E92" i="51" s="1"/>
  <c r="AF83" i="48"/>
  <c r="L89" i="58" s="1"/>
  <c r="AF59" i="48"/>
  <c r="L89" i="54" s="1"/>
  <c r="AZ59" i="48"/>
  <c r="L89" i="55" s="1"/>
  <c r="F84" i="48"/>
  <c r="E90" i="57" s="1"/>
  <c r="F60" i="48"/>
  <c r="E90" i="56" s="1"/>
  <c r="G84" i="48"/>
  <c r="F90" i="57" s="1"/>
  <c r="G60" i="48"/>
  <c r="F90" i="56" s="1"/>
  <c r="Q59" i="48"/>
  <c r="P89" i="56" s="1"/>
  <c r="M14" i="48"/>
  <c r="M37" i="48"/>
  <c r="B63" i="48"/>
  <c r="U15" i="48"/>
  <c r="AO15" i="48" s="1"/>
  <c r="B39" i="48"/>
  <c r="A93" i="53" s="1"/>
  <c r="B16" i="48"/>
  <c r="A94" i="51" s="1"/>
  <c r="C85" i="48"/>
  <c r="B91" i="57" s="1"/>
  <c r="V37" i="48"/>
  <c r="V85" i="48" s="1"/>
  <c r="B91" i="58" s="1"/>
  <c r="O40" i="48"/>
  <c r="N94" i="53" s="1"/>
  <c r="O17" i="48"/>
  <c r="N95" i="51" s="1"/>
  <c r="AG85" i="48"/>
  <c r="M91" i="58" s="1"/>
  <c r="AG61" i="48"/>
  <c r="M91" i="54" s="1"/>
  <c r="BA61" i="48"/>
  <c r="M91" i="55" s="1"/>
  <c r="L38" i="48"/>
  <c r="L15" i="48"/>
  <c r="K93" i="51" s="1"/>
  <c r="O87" i="48"/>
  <c r="N93" i="57" s="1"/>
  <c r="O63" i="48"/>
  <c r="N93" i="56" s="1"/>
  <c r="C62" i="48"/>
  <c r="C38" i="48"/>
  <c r="B92" i="53" s="1"/>
  <c r="V14" i="48"/>
  <c r="AP14" i="48" s="1"/>
  <c r="C15" i="48"/>
  <c r="B93" i="51" s="1"/>
  <c r="L85" i="48"/>
  <c r="K91" i="57" s="1"/>
  <c r="B86" i="48"/>
  <c r="A92" i="57" s="1"/>
  <c r="U38" i="48"/>
  <c r="U86" i="48" s="1"/>
  <c r="A92" i="58" s="1"/>
  <c r="AH86" i="48"/>
  <c r="N92" i="58" s="1"/>
  <c r="AH62" i="48"/>
  <c r="N92" i="54" s="1"/>
  <c r="BB62" i="48"/>
  <c r="N92" i="55" s="1"/>
  <c r="BC57" i="48"/>
  <c r="AE84" i="48"/>
  <c r="K90" i="58" s="1"/>
  <c r="AE60" i="48"/>
  <c r="K90" i="54" s="1"/>
  <c r="AY60" i="48"/>
  <c r="K90" i="55" s="1"/>
  <c r="AU15" i="48"/>
  <c r="C93" i="52" s="1"/>
  <c r="BD14" i="48"/>
  <c r="J92" i="52" s="1"/>
  <c r="AP37" i="48"/>
  <c r="AX36" i="48"/>
  <c r="AZ36" i="48"/>
  <c r="AW36" i="48"/>
  <c r="N86" i="48"/>
  <c r="M92" i="57" s="1"/>
  <c r="BX39" i="48"/>
  <c r="N39" i="48"/>
  <c r="N16" i="48"/>
  <c r="M94" i="51" s="1"/>
  <c r="BA35" i="48"/>
  <c r="BJ4" i="47"/>
  <c r="BK4" i="47" s="1"/>
  <c r="BL4" i="47" s="1"/>
  <c r="X28" i="47"/>
  <c r="AQ28" i="46"/>
  <c r="BD29" i="46" s="1"/>
  <c r="AW34" i="46" s="1"/>
  <c r="Q76" i="46"/>
  <c r="P42" i="57" s="1"/>
  <c r="W28" i="44"/>
  <c r="AT28" i="44"/>
  <c r="Q76" i="44"/>
  <c r="P22" i="57" s="1"/>
  <c r="AC28" i="47"/>
  <c r="AA28" i="47"/>
  <c r="BJ4" i="44"/>
  <c r="BK4" i="44" s="1"/>
  <c r="BL4" i="44" s="1"/>
  <c r="W28" i="47"/>
  <c r="Z28" i="47"/>
  <c r="AF28" i="47"/>
  <c r="Y28" i="47"/>
  <c r="AR28" i="47"/>
  <c r="AS28" i="47"/>
  <c r="BF29" i="47" s="1"/>
  <c r="AY28" i="47" s="1"/>
  <c r="AY29" i="47" s="1"/>
  <c r="AY30" i="47" s="1"/>
  <c r="AY31" i="47" s="1"/>
  <c r="AY32" i="47" s="1"/>
  <c r="AY33" i="47" s="1"/>
  <c r="AY34" i="47" s="1"/>
  <c r="AY35" i="47" s="1"/>
  <c r="AY36" i="47" s="1"/>
  <c r="AY37" i="47" s="1"/>
  <c r="AY38" i="47" s="1"/>
  <c r="AY39" i="47" s="1"/>
  <c r="AY40" i="47" s="1"/>
  <c r="AY41" i="47" s="1"/>
  <c r="AY42" i="47" s="1"/>
  <c r="AY43" i="47" s="1"/>
  <c r="AY44" i="47" s="1"/>
  <c r="AY45" i="47" s="1"/>
  <c r="AY46" i="47" s="1"/>
  <c r="AY47" i="47" s="1"/>
  <c r="AT28" i="47"/>
  <c r="AD28" i="47"/>
  <c r="AQ28" i="44"/>
  <c r="BD29" i="44" s="1"/>
  <c r="AS28" i="44"/>
  <c r="BF29" i="44" s="1"/>
  <c r="AY28" i="44" s="1"/>
  <c r="AY29" i="44" s="1"/>
  <c r="AY30" i="44" s="1"/>
  <c r="AY31" i="44" s="1"/>
  <c r="AY32" i="44" s="1"/>
  <c r="AY33" i="44" s="1"/>
  <c r="AY34" i="44" s="1"/>
  <c r="AY35" i="44" s="1"/>
  <c r="AY36" i="44" s="1"/>
  <c r="AY37" i="44" s="1"/>
  <c r="AY38" i="44" s="1"/>
  <c r="AY39" i="44" s="1"/>
  <c r="AY40" i="44" s="1"/>
  <c r="AY41" i="44" s="1"/>
  <c r="AY42" i="44" s="1"/>
  <c r="AY43" i="44" s="1"/>
  <c r="AY44" i="44" s="1"/>
  <c r="AY45" i="44" s="1"/>
  <c r="AY46" i="44" s="1"/>
  <c r="AY47" i="44" s="1"/>
  <c r="Y28" i="46"/>
  <c r="AD28" i="46"/>
  <c r="AA28" i="46"/>
  <c r="AB28" i="44"/>
  <c r="I77" i="47"/>
  <c r="H63" i="57" s="1"/>
  <c r="I53" i="47"/>
  <c r="H63" i="56" s="1"/>
  <c r="CA29" i="47"/>
  <c r="K77" i="47"/>
  <c r="J63" i="57" s="1"/>
  <c r="J7" i="46"/>
  <c r="I45" i="51" s="1"/>
  <c r="J30" i="46"/>
  <c r="I44" i="53" s="1"/>
  <c r="M30" i="47"/>
  <c r="L64" i="53" s="1"/>
  <c r="M7" i="47"/>
  <c r="L65" i="51" s="1"/>
  <c r="M7" i="44"/>
  <c r="L25" i="51" s="1"/>
  <c r="M30" i="44"/>
  <c r="CA29" i="44"/>
  <c r="K77" i="44"/>
  <c r="J23" i="57" s="1"/>
  <c r="I7" i="47"/>
  <c r="H65" i="51" s="1"/>
  <c r="I30" i="47"/>
  <c r="H64" i="53" s="1"/>
  <c r="AA76" i="44"/>
  <c r="G22" i="58" s="1"/>
  <c r="AU52" i="44"/>
  <c r="G22" i="55" s="1"/>
  <c r="K30" i="47"/>
  <c r="K7" i="47"/>
  <c r="J65" i="51" s="1"/>
  <c r="G7" i="47"/>
  <c r="F65" i="51" s="1"/>
  <c r="G30" i="47"/>
  <c r="F64" i="53" s="1"/>
  <c r="H7" i="47"/>
  <c r="G65" i="51" s="1"/>
  <c r="H30" i="47"/>
  <c r="G64" i="53" s="1"/>
  <c r="BW30" i="47"/>
  <c r="BJ67" i="47" s="1"/>
  <c r="AF76" i="47"/>
  <c r="L62" i="58" s="1"/>
  <c r="AF52" i="47"/>
  <c r="L62" i="54" s="1"/>
  <c r="AZ52" i="47"/>
  <c r="L62" i="55" s="1"/>
  <c r="I30" i="46"/>
  <c r="H44" i="53" s="1"/>
  <c r="I7" i="46"/>
  <c r="H45" i="51" s="1"/>
  <c r="K30" i="44"/>
  <c r="K7" i="44"/>
  <c r="J25" i="51" s="1"/>
  <c r="F7" i="47"/>
  <c r="E65" i="51" s="1"/>
  <c r="F30" i="47"/>
  <c r="E64" i="53" s="1"/>
  <c r="AD28" i="44"/>
  <c r="H30" i="44"/>
  <c r="H7" i="44"/>
  <c r="G25" i="51" s="1"/>
  <c r="BW30" i="44"/>
  <c r="BJ67" i="44" s="1"/>
  <c r="AV52" i="44"/>
  <c r="H22" i="55" s="1"/>
  <c r="AB76" i="44"/>
  <c r="H22" i="58" s="1"/>
  <c r="AB52" i="44"/>
  <c r="H22" i="54" s="1"/>
  <c r="Z28" i="46"/>
  <c r="X28" i="46"/>
  <c r="E30" i="46"/>
  <c r="D44" i="53" s="1"/>
  <c r="E7" i="46"/>
  <c r="D45" i="51" s="1"/>
  <c r="G77" i="47"/>
  <c r="F63" i="57" s="1"/>
  <c r="G53" i="47"/>
  <c r="F63" i="56" s="1"/>
  <c r="Q6" i="46"/>
  <c r="D30" i="46"/>
  <c r="C44" i="53" s="1"/>
  <c r="D7" i="46"/>
  <c r="C45" i="51" s="1"/>
  <c r="BR30" i="46"/>
  <c r="BJ65" i="46" s="1"/>
  <c r="AT28" i="46"/>
  <c r="X28" i="44"/>
  <c r="M77" i="46"/>
  <c r="L43" i="57" s="1"/>
  <c r="M53" i="46"/>
  <c r="L43" i="56" s="1"/>
  <c r="Y76" i="46"/>
  <c r="E42" i="58" s="1"/>
  <c r="Y52" i="46"/>
  <c r="E42" i="54" s="1"/>
  <c r="AS52" i="46"/>
  <c r="Z76" i="47"/>
  <c r="F62" i="58" s="1"/>
  <c r="Z52" i="47"/>
  <c r="F62" i="54" s="1"/>
  <c r="AT52" i="47"/>
  <c r="F62" i="55" s="1"/>
  <c r="F7" i="46"/>
  <c r="E45" i="51" s="1"/>
  <c r="F30" i="46"/>
  <c r="E44" i="53" s="1"/>
  <c r="X76" i="46"/>
  <c r="D42" i="58" s="1"/>
  <c r="X52" i="46"/>
  <c r="D42" i="54" s="1"/>
  <c r="AR52" i="46"/>
  <c r="Z76" i="44"/>
  <c r="F22" i="58" s="1"/>
  <c r="Z52" i="44"/>
  <c r="F22" i="54" s="1"/>
  <c r="AT52" i="44"/>
  <c r="F22" i="55" s="1"/>
  <c r="M53" i="47"/>
  <c r="L63" i="56" s="1"/>
  <c r="M77" i="47"/>
  <c r="L63" i="57" s="1"/>
  <c r="H77" i="44"/>
  <c r="G23" i="57" s="1"/>
  <c r="AA53" i="44"/>
  <c r="G23" i="54" s="1"/>
  <c r="AS28" i="46"/>
  <c r="BF29" i="46" s="1"/>
  <c r="AY28" i="46" s="1"/>
  <c r="AY29" i="46" s="1"/>
  <c r="AY30" i="46" s="1"/>
  <c r="AY31" i="46" s="1"/>
  <c r="AY32" i="46" s="1"/>
  <c r="AY33" i="46" s="1"/>
  <c r="AY34" i="46" s="1"/>
  <c r="AY35" i="46" s="1"/>
  <c r="AY36" i="46" s="1"/>
  <c r="AY37" i="46" s="1"/>
  <c r="AY38" i="46" s="1"/>
  <c r="AY39" i="46" s="1"/>
  <c r="AY40" i="46" s="1"/>
  <c r="AY41" i="46" s="1"/>
  <c r="AY42" i="46" s="1"/>
  <c r="AY43" i="46" s="1"/>
  <c r="AY44" i="46" s="1"/>
  <c r="AY45" i="46" s="1"/>
  <c r="AY46" i="46" s="1"/>
  <c r="AY47" i="46" s="1"/>
  <c r="AB76" i="47"/>
  <c r="H62" i="58" s="1"/>
  <c r="AB52" i="47"/>
  <c r="H62" i="54" s="1"/>
  <c r="AV52" i="47"/>
  <c r="H62" i="55" s="1"/>
  <c r="AC76" i="47"/>
  <c r="I62" i="58" s="1"/>
  <c r="AC52" i="47"/>
  <c r="I62" i="54" s="1"/>
  <c r="AW52" i="47"/>
  <c r="I62" i="55" s="1"/>
  <c r="AC28" i="44"/>
  <c r="AR28" i="44"/>
  <c r="M30" i="46"/>
  <c r="L44" i="53" s="1"/>
  <c r="M7" i="46"/>
  <c r="L45" i="51" s="1"/>
  <c r="AB28" i="47"/>
  <c r="AE28" i="47"/>
  <c r="AI28" i="47"/>
  <c r="AH28" i="47"/>
  <c r="AG28" i="47"/>
  <c r="F53" i="47"/>
  <c r="E63" i="56" s="1"/>
  <c r="F77" i="47"/>
  <c r="E63" i="57" s="1"/>
  <c r="AS52" i="47"/>
  <c r="E62" i="55" s="1"/>
  <c r="Y76" i="47"/>
  <c r="E62" i="58" s="1"/>
  <c r="Y52" i="47"/>
  <c r="E62" i="54" s="1"/>
  <c r="E77" i="46"/>
  <c r="D43" i="57" s="1"/>
  <c r="E53" i="46"/>
  <c r="D43" i="56" s="1"/>
  <c r="AX52" i="46"/>
  <c r="AD52" i="46"/>
  <c r="J42" i="54" s="1"/>
  <c r="AD76" i="46"/>
  <c r="J42" i="58" s="1"/>
  <c r="F77" i="46"/>
  <c r="E43" i="57" s="1"/>
  <c r="F53" i="46"/>
  <c r="E43" i="56" s="1"/>
  <c r="I77" i="44"/>
  <c r="H23" i="57" s="1"/>
  <c r="AD76" i="44"/>
  <c r="J22" i="58" s="1"/>
  <c r="AD52" i="44"/>
  <c r="J22" i="54" s="1"/>
  <c r="AX52" i="44"/>
  <c r="J22" i="55" s="1"/>
  <c r="AR28" i="46"/>
  <c r="AD52" i="47"/>
  <c r="J62" i="54" s="1"/>
  <c r="AD76" i="47"/>
  <c r="J62" i="58" s="1"/>
  <c r="AX52" i="47"/>
  <c r="J62" i="55" s="1"/>
  <c r="J77" i="44"/>
  <c r="I23" i="57" s="1"/>
  <c r="Q6" i="47"/>
  <c r="D30" i="47"/>
  <c r="C64" i="53" s="1"/>
  <c r="BR30" i="47"/>
  <c r="BJ65" i="47" s="1"/>
  <c r="D7" i="47"/>
  <c r="C65" i="51" s="1"/>
  <c r="Q29" i="44"/>
  <c r="D77" i="44"/>
  <c r="C23" i="57" s="1"/>
  <c r="BW30" i="46"/>
  <c r="BJ67" i="46" s="1"/>
  <c r="H30" i="46"/>
  <c r="H7" i="46"/>
  <c r="G45" i="51" s="1"/>
  <c r="X52" i="44"/>
  <c r="D22" i="54" s="1"/>
  <c r="X76" i="44"/>
  <c r="D22" i="58" s="1"/>
  <c r="AR52" i="44"/>
  <c r="D22" i="55" s="1"/>
  <c r="AA76" i="47"/>
  <c r="G62" i="58" s="1"/>
  <c r="AU52" i="47"/>
  <c r="G62" i="55" s="1"/>
  <c r="E77" i="44"/>
  <c r="D23" i="57" s="1"/>
  <c r="W52" i="47"/>
  <c r="C62" i="54" s="1"/>
  <c r="W76" i="47"/>
  <c r="C62" i="58" s="1"/>
  <c r="Q52" i="47"/>
  <c r="P62" i="56" s="1"/>
  <c r="AQ52" i="47"/>
  <c r="C62" i="55" s="1"/>
  <c r="AF28" i="44"/>
  <c r="AB52" i="46"/>
  <c r="H42" i="54" s="1"/>
  <c r="AB76" i="46"/>
  <c r="H42" i="58" s="1"/>
  <c r="AV52" i="46"/>
  <c r="G77" i="44"/>
  <c r="F23" i="57" s="1"/>
  <c r="AT52" i="46"/>
  <c r="Z76" i="46"/>
  <c r="F42" i="58" s="1"/>
  <c r="Z52" i="46"/>
  <c r="F42" i="54" s="1"/>
  <c r="AH28" i="46"/>
  <c r="AE28" i="46"/>
  <c r="AI28" i="46"/>
  <c r="AG28" i="46"/>
  <c r="F77" i="44"/>
  <c r="E23" i="57" s="1"/>
  <c r="J30" i="44"/>
  <c r="J7" i="44"/>
  <c r="I25" i="51" s="1"/>
  <c r="X76" i="47"/>
  <c r="D62" i="58" s="1"/>
  <c r="X52" i="47"/>
  <c r="D62" i="54" s="1"/>
  <c r="AR52" i="47"/>
  <c r="D62" i="55" s="1"/>
  <c r="AC76" i="44"/>
  <c r="I22" i="58" s="1"/>
  <c r="AC52" i="44"/>
  <c r="I22" i="54" s="1"/>
  <c r="AW52" i="44"/>
  <c r="I22" i="55" s="1"/>
  <c r="D53" i="47"/>
  <c r="C63" i="56" s="1"/>
  <c r="Q29" i="47"/>
  <c r="D77" i="47"/>
  <c r="C63" i="57" s="1"/>
  <c r="D77" i="46"/>
  <c r="C43" i="57" s="1"/>
  <c r="D53" i="46"/>
  <c r="C43" i="56" s="1"/>
  <c r="Q29" i="46"/>
  <c r="AA76" i="46"/>
  <c r="G42" i="58" s="1"/>
  <c r="AU52" i="46"/>
  <c r="H77" i="46"/>
  <c r="G43" i="57" s="1"/>
  <c r="AA53" i="46"/>
  <c r="G43" i="54" s="1"/>
  <c r="AC76" i="46"/>
  <c r="I42" i="58" s="1"/>
  <c r="AC52" i="46"/>
  <c r="I42" i="54" s="1"/>
  <c r="AW52" i="46"/>
  <c r="E7" i="44"/>
  <c r="D25" i="51" s="1"/>
  <c r="E30" i="44"/>
  <c r="Q76" i="47"/>
  <c r="P62" i="57" s="1"/>
  <c r="AF76" i="44"/>
  <c r="L22" i="58" s="1"/>
  <c r="AF52" i="44"/>
  <c r="L22" i="54" s="1"/>
  <c r="AZ52" i="44"/>
  <c r="L22" i="55" s="1"/>
  <c r="AF76" i="46"/>
  <c r="L42" i="58" s="1"/>
  <c r="AF52" i="46"/>
  <c r="L42" i="54" s="1"/>
  <c r="AZ52" i="46"/>
  <c r="AE76" i="43"/>
  <c r="L76" i="43"/>
  <c r="I30" i="44"/>
  <c r="I7" i="44"/>
  <c r="H25" i="51" s="1"/>
  <c r="BW28" i="43"/>
  <c r="G53" i="46"/>
  <c r="F43" i="56" s="1"/>
  <c r="G77" i="46"/>
  <c r="F43" i="57" s="1"/>
  <c r="Z28" i="44"/>
  <c r="AI28" i="44"/>
  <c r="AE28" i="44"/>
  <c r="AH28" i="44"/>
  <c r="AG28" i="44"/>
  <c r="W28" i="46"/>
  <c r="G30" i="44"/>
  <c r="G7" i="44"/>
  <c r="F25" i="51" s="1"/>
  <c r="E77" i="47"/>
  <c r="D63" i="57" s="1"/>
  <c r="E53" i="47"/>
  <c r="D63" i="56" s="1"/>
  <c r="J53" i="47"/>
  <c r="I63" i="56" s="1"/>
  <c r="J77" i="47"/>
  <c r="I63" i="57" s="1"/>
  <c r="F7" i="44"/>
  <c r="E25" i="51" s="1"/>
  <c r="F30" i="44"/>
  <c r="AA28" i="44"/>
  <c r="Y76" i="44"/>
  <c r="E22" i="58" s="1"/>
  <c r="Y52" i="44"/>
  <c r="E22" i="54" s="1"/>
  <c r="AS52" i="44"/>
  <c r="E22" i="55" s="1"/>
  <c r="Q6" i="44"/>
  <c r="D30" i="44"/>
  <c r="D7" i="44"/>
  <c r="C25" i="51" s="1"/>
  <c r="BR30" i="44"/>
  <c r="BJ65" i="44" s="1"/>
  <c r="AF28" i="46"/>
  <c r="K77" i="46"/>
  <c r="J43" i="57" s="1"/>
  <c r="CA29" i="46"/>
  <c r="AG76" i="43"/>
  <c r="N76" i="43"/>
  <c r="O52" i="43"/>
  <c r="AH76" i="43" s="1"/>
  <c r="O76" i="43"/>
  <c r="G30" i="46"/>
  <c r="F44" i="53" s="1"/>
  <c r="G7" i="46"/>
  <c r="F45" i="51" s="1"/>
  <c r="W76" i="44"/>
  <c r="C22" i="58" s="1"/>
  <c r="AQ52" i="44"/>
  <c r="C22" i="55" s="1"/>
  <c r="K30" i="46"/>
  <c r="K7" i="46"/>
  <c r="J45" i="51" s="1"/>
  <c r="AQ52" i="46"/>
  <c r="W76" i="46"/>
  <c r="C42" i="58" s="1"/>
  <c r="W52" i="46"/>
  <c r="C42" i="54" s="1"/>
  <c r="Q52" i="46"/>
  <c r="P42" i="56" s="1"/>
  <c r="BJ4" i="46"/>
  <c r="BK4" i="46" s="1"/>
  <c r="BL4" i="46" s="1"/>
  <c r="E30" i="47"/>
  <c r="D64" i="53" s="1"/>
  <c r="E7" i="47"/>
  <c r="D65" i="51" s="1"/>
  <c r="J7" i="47"/>
  <c r="I65" i="51" s="1"/>
  <c r="J30" i="47"/>
  <c r="I64" i="53" s="1"/>
  <c r="H77" i="47"/>
  <c r="G63" i="57" s="1"/>
  <c r="AA53" i="47"/>
  <c r="G63" i="54" s="1"/>
  <c r="H53" i="47"/>
  <c r="G63" i="56" s="1"/>
  <c r="J77" i="46"/>
  <c r="I43" i="57" s="1"/>
  <c r="J53" i="46"/>
  <c r="I43" i="56" s="1"/>
  <c r="AB28" i="46"/>
  <c r="I77" i="46"/>
  <c r="H43" i="57" s="1"/>
  <c r="I53" i="46"/>
  <c r="H43" i="56" s="1"/>
  <c r="M77" i="44"/>
  <c r="L23" i="57" s="1"/>
  <c r="AU14" i="47"/>
  <c r="C72" i="52" s="1"/>
  <c r="C62" i="47"/>
  <c r="C38" i="47"/>
  <c r="B72" i="53" s="1"/>
  <c r="V14" i="47"/>
  <c r="AP14" i="47" s="1"/>
  <c r="C15" i="47"/>
  <c r="B73" i="51" s="1"/>
  <c r="B62" i="47"/>
  <c r="B38" i="47"/>
  <c r="A72" i="53" s="1"/>
  <c r="U14" i="47"/>
  <c r="AO14" i="47" s="1"/>
  <c r="B15" i="47"/>
  <c r="A73" i="51" s="1"/>
  <c r="AG82" i="47"/>
  <c r="M68" i="58" s="1"/>
  <c r="AG58" i="47"/>
  <c r="BA58" i="47"/>
  <c r="M68" i="55" s="1"/>
  <c r="N36" i="47"/>
  <c r="BX36" i="47"/>
  <c r="N13" i="47"/>
  <c r="M71" i="51" s="1"/>
  <c r="C85" i="47"/>
  <c r="B71" i="57" s="1"/>
  <c r="V37" i="47"/>
  <c r="V85" i="47" s="1"/>
  <c r="B71" i="58" s="1"/>
  <c r="N83" i="47"/>
  <c r="M69" i="57" s="1"/>
  <c r="O36" i="47"/>
  <c r="N70" i="53" s="1"/>
  <c r="O13" i="47"/>
  <c r="N71" i="51" s="1"/>
  <c r="N11" i="51" s="1"/>
  <c r="B85" i="47"/>
  <c r="A71" i="57" s="1"/>
  <c r="U37" i="47"/>
  <c r="U85" i="47" s="1"/>
  <c r="A71" i="58" s="1"/>
  <c r="L36" i="47"/>
  <c r="L13" i="47"/>
  <c r="K71" i="51" s="1"/>
  <c r="L83" i="47"/>
  <c r="K69" i="57" s="1"/>
  <c r="O83" i="47"/>
  <c r="N69" i="57" s="1"/>
  <c r="N9" i="57" s="1"/>
  <c r="O59" i="47"/>
  <c r="N69" i="56" s="1"/>
  <c r="N9" i="56" s="1"/>
  <c r="AH82" i="47"/>
  <c r="N68" i="58" s="1"/>
  <c r="N8" i="58" s="1"/>
  <c r="AH58" i="47"/>
  <c r="BB58" i="47"/>
  <c r="N68" i="55" s="1"/>
  <c r="AX34" i="47"/>
  <c r="AZ34" i="47"/>
  <c r="AP35" i="47"/>
  <c r="AE82" i="47"/>
  <c r="K68" i="58" s="1"/>
  <c r="AE58" i="47"/>
  <c r="AY58" i="47"/>
  <c r="K68" i="55" s="1"/>
  <c r="BD12" i="46"/>
  <c r="J50" i="52" s="1"/>
  <c r="AU13" i="46"/>
  <c r="C51" i="52" s="1"/>
  <c r="C11" i="52" s="1"/>
  <c r="O37" i="46"/>
  <c r="N51" i="53" s="1"/>
  <c r="O14" i="46"/>
  <c r="N52" i="51" s="1"/>
  <c r="AE83" i="46"/>
  <c r="K49" i="58" s="1"/>
  <c r="AE59" i="46"/>
  <c r="AY59" i="46"/>
  <c r="BN35" i="46"/>
  <c r="BL36" i="46"/>
  <c r="B60" i="46"/>
  <c r="B13" i="46"/>
  <c r="A51" i="51" s="1"/>
  <c r="B36" i="46"/>
  <c r="A50" i="53" s="1"/>
  <c r="U12" i="46"/>
  <c r="AO12" i="46" s="1"/>
  <c r="O84" i="46"/>
  <c r="N50" i="57" s="1"/>
  <c r="O60" i="46"/>
  <c r="N50" i="56" s="1"/>
  <c r="N36" i="46"/>
  <c r="N13" i="46"/>
  <c r="M51" i="51" s="1"/>
  <c r="BX36" i="46"/>
  <c r="B83" i="46"/>
  <c r="A49" i="57" s="1"/>
  <c r="U35" i="46"/>
  <c r="U83" i="46" s="1"/>
  <c r="A49" i="58" s="1"/>
  <c r="AX34" i="46"/>
  <c r="AP35" i="46"/>
  <c r="AZ34" i="46"/>
  <c r="AH83" i="46"/>
  <c r="N49" i="58" s="1"/>
  <c r="AH59" i="46"/>
  <c r="BB59" i="46"/>
  <c r="N83" i="46"/>
  <c r="M49" i="57" s="1"/>
  <c r="C61" i="46"/>
  <c r="C37" i="46"/>
  <c r="B51" i="53" s="1"/>
  <c r="C14" i="46"/>
  <c r="B52" i="51" s="1"/>
  <c r="V13" i="46"/>
  <c r="AP13" i="46" s="1"/>
  <c r="L84" i="46"/>
  <c r="K50" i="57" s="1"/>
  <c r="BT34" i="46"/>
  <c r="BQ34" i="46"/>
  <c r="AG82" i="46"/>
  <c r="M48" i="58" s="1"/>
  <c r="AG58" i="46"/>
  <c r="BA58" i="46"/>
  <c r="C84" i="46"/>
  <c r="B50" i="57" s="1"/>
  <c r="V36" i="46"/>
  <c r="V84" i="46" s="1"/>
  <c r="B50" i="58" s="1"/>
  <c r="L37" i="46"/>
  <c r="L14" i="46"/>
  <c r="K52" i="51" s="1"/>
  <c r="BN35" i="44"/>
  <c r="BL36" i="44"/>
  <c r="BM36" i="44" s="1"/>
  <c r="BQ34" i="44"/>
  <c r="BT34" i="44"/>
  <c r="L36" i="44"/>
  <c r="L13" i="44"/>
  <c r="K31" i="51" s="1"/>
  <c r="AX36" i="44"/>
  <c r="AW36" i="44"/>
  <c r="AP37" i="44"/>
  <c r="AZ36" i="44"/>
  <c r="C32" i="52"/>
  <c r="L83" i="44"/>
  <c r="K29" i="57" s="1"/>
  <c r="O37" i="44"/>
  <c r="O14" i="44"/>
  <c r="N32" i="51" s="1"/>
  <c r="O84" i="44"/>
  <c r="N30" i="57" s="1"/>
  <c r="AH83" i="44"/>
  <c r="N29" i="58" s="1"/>
  <c r="AH59" i="44"/>
  <c r="N29" i="54" s="1"/>
  <c r="BB59" i="44"/>
  <c r="N29" i="55" s="1"/>
  <c r="AE82" i="44"/>
  <c r="K28" i="58" s="1"/>
  <c r="AE58" i="44"/>
  <c r="K28" i="54" s="1"/>
  <c r="AY58" i="44"/>
  <c r="K28" i="55" s="1"/>
  <c r="BR28" i="43"/>
  <c r="F28" i="43"/>
  <c r="F5" i="43"/>
  <c r="O6" i="43"/>
  <c r="O29" i="43"/>
  <c r="H28" i="43"/>
  <c r="H5" i="43"/>
  <c r="D28" i="43"/>
  <c r="N6" i="43"/>
  <c r="N29" i="43"/>
  <c r="N53" i="43" s="1"/>
  <c r="K5" i="43"/>
  <c r="K28" i="43"/>
  <c r="I5" i="43"/>
  <c r="I28" i="43"/>
  <c r="E28" i="43"/>
  <c r="E5" i="43"/>
  <c r="G28" i="43"/>
  <c r="G5" i="43"/>
  <c r="J5" i="43"/>
  <c r="J28" i="43"/>
  <c r="M28" i="43"/>
  <c r="M5" i="43"/>
  <c r="BQ32" i="43"/>
  <c r="BT32" i="43"/>
  <c r="L6" i="43"/>
  <c r="L29" i="43"/>
  <c r="L53" i="43" s="1"/>
  <c r="BL34" i="43"/>
  <c r="BM34" i="43" s="1"/>
  <c r="BN33" i="43"/>
  <c r="Q4" i="43"/>
  <c r="AW4" i="43"/>
  <c r="AV4" i="43"/>
  <c r="AU4" i="43"/>
  <c r="B6" i="28"/>
  <c r="B8" i="28" s="1"/>
  <c r="B5" i="28"/>
  <c r="B7" i="28" s="1"/>
  <c r="BA4" i="43"/>
  <c r="AX4" i="43"/>
  <c r="AZ4" i="43"/>
  <c r="AY4" i="43"/>
  <c r="AZ35" i="43"/>
  <c r="AP36" i="43"/>
  <c r="AW36" i="43" s="1"/>
  <c r="AX35" i="43"/>
  <c r="G81" i="31"/>
  <c r="G80" i="31"/>
  <c r="P2" i="28"/>
  <c r="AL63" i="43" l="1"/>
  <c r="E12" i="60"/>
  <c r="P3" i="51"/>
  <c r="P24" i="51"/>
  <c r="P24" i="59"/>
  <c r="AJ10" i="48"/>
  <c r="P88" i="59" s="1"/>
  <c r="O88" i="59"/>
  <c r="P111" i="51"/>
  <c r="P44" i="51"/>
  <c r="P91" i="51"/>
  <c r="P64" i="51"/>
  <c r="P131" i="51"/>
  <c r="AA84" i="48"/>
  <c r="G90" i="58" s="1"/>
  <c r="H61" i="48"/>
  <c r="G91" i="56" s="1"/>
  <c r="AV18" i="50"/>
  <c r="BD18" i="50" s="1"/>
  <c r="J136" i="52" s="1"/>
  <c r="D135" i="52"/>
  <c r="BD17" i="50"/>
  <c r="J135" i="52" s="1"/>
  <c r="H15" i="48"/>
  <c r="G93" i="51" s="1"/>
  <c r="H38" i="48"/>
  <c r="G92" i="53" s="1"/>
  <c r="AA61" i="48"/>
  <c r="G91" i="54" s="1"/>
  <c r="H85" i="48"/>
  <c r="G91" i="57" s="1"/>
  <c r="AB60" i="48"/>
  <c r="H90" i="54" s="1"/>
  <c r="AW60" i="48"/>
  <c r="I90" i="55" s="1"/>
  <c r="AU60" i="48"/>
  <c r="G90" i="55" s="1"/>
  <c r="J15" i="48"/>
  <c r="I93" i="51" s="1"/>
  <c r="AC60" i="48"/>
  <c r="I90" i="54" s="1"/>
  <c r="D85" i="48"/>
  <c r="C91" i="57" s="1"/>
  <c r="AC84" i="48"/>
  <c r="I90" i="58" s="1"/>
  <c r="W60" i="48"/>
  <c r="C90" i="54" s="1"/>
  <c r="J85" i="48"/>
  <c r="I91" i="57" s="1"/>
  <c r="J38" i="48"/>
  <c r="I92" i="53" s="1"/>
  <c r="D15" i="48"/>
  <c r="C93" i="51" s="1"/>
  <c r="D38" i="48"/>
  <c r="C92" i="53" s="1"/>
  <c r="J61" i="48"/>
  <c r="I91" i="56" s="1"/>
  <c r="D61" i="48"/>
  <c r="C91" i="56" s="1"/>
  <c r="AV60" i="48"/>
  <c r="H90" i="55" s="1"/>
  <c r="AQ60" i="48"/>
  <c r="C90" i="55" s="1"/>
  <c r="W84" i="48"/>
  <c r="C90" i="58" s="1"/>
  <c r="I15" i="48"/>
  <c r="H93" i="51" s="1"/>
  <c r="I38" i="48"/>
  <c r="H92" i="53" s="1"/>
  <c r="I61" i="48"/>
  <c r="H91" i="56" s="1"/>
  <c r="AB84" i="48"/>
  <c r="H90" i="58" s="1"/>
  <c r="I85" i="48"/>
  <c r="H91" i="57" s="1"/>
  <c r="BL55" i="48"/>
  <c r="BL63" i="48"/>
  <c r="AW17" i="48"/>
  <c r="E94" i="52"/>
  <c r="AV17" i="48"/>
  <c r="D94" i="52"/>
  <c r="BA17" i="48"/>
  <c r="I94" i="52"/>
  <c r="AX17" i="48"/>
  <c r="F94" i="52"/>
  <c r="AY17" i="48"/>
  <c r="G94" i="52"/>
  <c r="AZ17" i="48"/>
  <c r="H94" i="52"/>
  <c r="M11" i="51"/>
  <c r="K11" i="51"/>
  <c r="AV15" i="47"/>
  <c r="D72" i="52"/>
  <c r="AY15" i="47"/>
  <c r="G72" i="52"/>
  <c r="BA15" i="47"/>
  <c r="I72" i="52"/>
  <c r="M9" i="53"/>
  <c r="AW15" i="47"/>
  <c r="E72" i="52"/>
  <c r="AZ14" i="47"/>
  <c r="BD14" i="47" s="1"/>
  <c r="J72" i="52" s="1"/>
  <c r="H71" i="52"/>
  <c r="H11" i="52" s="1"/>
  <c r="AX15" i="47"/>
  <c r="F72" i="52"/>
  <c r="K8" i="55"/>
  <c r="N8" i="54"/>
  <c r="D11" i="52"/>
  <c r="I11" i="52"/>
  <c r="G11" i="52"/>
  <c r="F11" i="52"/>
  <c r="AZ15" i="46"/>
  <c r="H52" i="52"/>
  <c r="AY15" i="46"/>
  <c r="G52" i="52"/>
  <c r="AV15" i="46"/>
  <c r="D52" i="52"/>
  <c r="AX15" i="46"/>
  <c r="F52" i="52"/>
  <c r="J10" i="52"/>
  <c r="BA15" i="46"/>
  <c r="I52" i="52"/>
  <c r="AW15" i="46"/>
  <c r="E52" i="52"/>
  <c r="BX38" i="44"/>
  <c r="M31" i="53"/>
  <c r="N38" i="44"/>
  <c r="N62" i="44" s="1"/>
  <c r="M32" i="56" s="1"/>
  <c r="N15" i="44"/>
  <c r="M33" i="51" s="1"/>
  <c r="BA60" i="44"/>
  <c r="M30" i="55" s="1"/>
  <c r="AG60" i="44"/>
  <c r="M30" i="54" s="1"/>
  <c r="AG84" i="44"/>
  <c r="M30" i="58" s="1"/>
  <c r="N85" i="44"/>
  <c r="M31" i="57" s="1"/>
  <c r="AV15" i="44"/>
  <c r="D32" i="52"/>
  <c r="AY15" i="44"/>
  <c r="G32" i="52"/>
  <c r="AZ15" i="44"/>
  <c r="H32" i="52"/>
  <c r="AX15" i="44"/>
  <c r="F32" i="52"/>
  <c r="BA15" i="44"/>
  <c r="I32" i="52"/>
  <c r="AW14" i="44"/>
  <c r="BD14" i="44" s="1"/>
  <c r="J32" i="52" s="1"/>
  <c r="E31" i="52"/>
  <c r="E11" i="52" s="1"/>
  <c r="AP60" i="44"/>
  <c r="B30" i="55" s="1"/>
  <c r="AO60" i="44"/>
  <c r="A30" i="55" s="1"/>
  <c r="G20" i="31"/>
  <c r="E21" i="31"/>
  <c r="G21" i="31" s="1"/>
  <c r="BH12" i="46"/>
  <c r="A50" i="52"/>
  <c r="BI13" i="44"/>
  <c r="B31" i="52"/>
  <c r="AP61" i="48"/>
  <c r="B91" i="55" s="1"/>
  <c r="B91" i="54"/>
  <c r="A31" i="53"/>
  <c r="B85" i="44"/>
  <c r="A31" i="57" s="1"/>
  <c r="U37" i="44"/>
  <c r="U85" i="44" s="1"/>
  <c r="A31" i="58" s="1"/>
  <c r="E141" i="31"/>
  <c r="BM46" i="50"/>
  <c r="BN46" i="50" s="1"/>
  <c r="G140" i="31"/>
  <c r="G61" i="31"/>
  <c r="BM47" i="47"/>
  <c r="BN47" i="47" s="1"/>
  <c r="BM47" i="46"/>
  <c r="V62" i="47"/>
  <c r="B72" i="56"/>
  <c r="BH13" i="44"/>
  <c r="A31" i="52"/>
  <c r="U60" i="46"/>
  <c r="AO60" i="46" s="1"/>
  <c r="A50" i="56"/>
  <c r="U62" i="47"/>
  <c r="A72" i="56"/>
  <c r="BI17" i="49"/>
  <c r="B115" i="52"/>
  <c r="BH17" i="50"/>
  <c r="A135" i="52"/>
  <c r="B32" i="51"/>
  <c r="C38" i="44"/>
  <c r="C62" i="44"/>
  <c r="C15" i="44"/>
  <c r="V14" i="44"/>
  <c r="AP14" i="44" s="1"/>
  <c r="AP64" i="49"/>
  <c r="B114" i="55" s="1"/>
  <c r="B114" i="54"/>
  <c r="BM46" i="48"/>
  <c r="BN46" i="48" s="1"/>
  <c r="E101" i="31"/>
  <c r="G100" i="31"/>
  <c r="AO62" i="48"/>
  <c r="A92" i="55" s="1"/>
  <c r="A92" i="54"/>
  <c r="V65" i="49"/>
  <c r="B115" i="56"/>
  <c r="BH17" i="49"/>
  <c r="A115" i="52"/>
  <c r="BM46" i="49"/>
  <c r="BN46" i="49" s="1"/>
  <c r="E121" i="31"/>
  <c r="G120" i="31"/>
  <c r="B31" i="56"/>
  <c r="V61" i="44"/>
  <c r="B31" i="54" s="1"/>
  <c r="BT46" i="47"/>
  <c r="BQ46" i="47"/>
  <c r="BI14" i="48"/>
  <c r="B92" i="52"/>
  <c r="B50" i="55"/>
  <c r="B50" i="54"/>
  <c r="BI14" i="47"/>
  <c r="B72" i="52"/>
  <c r="BH15" i="48"/>
  <c r="A93" i="52"/>
  <c r="U65" i="50"/>
  <c r="A135" i="56"/>
  <c r="BT45" i="49"/>
  <c r="BQ45" i="49"/>
  <c r="B31" i="53"/>
  <c r="C85" i="44"/>
  <c r="B31" i="57" s="1"/>
  <c r="V37" i="44"/>
  <c r="V85" i="44" s="1"/>
  <c r="B31" i="58" s="1"/>
  <c r="BT45" i="48"/>
  <c r="BQ45" i="48"/>
  <c r="BI13" i="46"/>
  <c r="B51" i="52"/>
  <c r="U63" i="48"/>
  <c r="A93" i="56"/>
  <c r="U65" i="49"/>
  <c r="A115" i="56"/>
  <c r="BI16" i="50"/>
  <c r="B134" i="52"/>
  <c r="AO64" i="49"/>
  <c r="A114" i="55" s="1"/>
  <c r="A114" i="54"/>
  <c r="AO64" i="50"/>
  <c r="A134" i="55" s="1"/>
  <c r="A134" i="54"/>
  <c r="A31" i="56"/>
  <c r="U61" i="44"/>
  <c r="A31" i="54" s="1"/>
  <c r="A49" i="55"/>
  <c r="A49" i="54"/>
  <c r="V61" i="46"/>
  <c r="AP61" i="46" s="1"/>
  <c r="B51" i="56"/>
  <c r="BH14" i="47"/>
  <c r="A72" i="52"/>
  <c r="V62" i="48"/>
  <c r="B92" i="56"/>
  <c r="V64" i="50"/>
  <c r="B134" i="56"/>
  <c r="A32" i="51"/>
  <c r="B38" i="44"/>
  <c r="B15" i="44"/>
  <c r="B62" i="44"/>
  <c r="U14" i="44"/>
  <c r="AO14" i="44" s="1"/>
  <c r="AO61" i="47"/>
  <c r="A71" i="55" s="1"/>
  <c r="A71" i="54"/>
  <c r="AP63" i="50"/>
  <c r="B133" i="55" s="1"/>
  <c r="B133" i="54"/>
  <c r="BT45" i="50"/>
  <c r="BQ45" i="50"/>
  <c r="AP61" i="47"/>
  <c r="B71" i="55" s="1"/>
  <c r="B71" i="54"/>
  <c r="D5" i="51"/>
  <c r="E2" i="58"/>
  <c r="BK55" i="49"/>
  <c r="F2" i="58"/>
  <c r="BK63" i="49"/>
  <c r="C2" i="58"/>
  <c r="E5" i="51"/>
  <c r="H5" i="51"/>
  <c r="I5" i="51"/>
  <c r="K9" i="53"/>
  <c r="W53" i="44"/>
  <c r="C23" i="54" s="1"/>
  <c r="L3" i="57"/>
  <c r="N8" i="55"/>
  <c r="L5" i="51"/>
  <c r="W36" i="50"/>
  <c r="K49" i="55"/>
  <c r="M93" i="53"/>
  <c r="N63" i="48"/>
  <c r="M93" i="56" s="1"/>
  <c r="M135" i="53"/>
  <c r="N65" i="50"/>
  <c r="M135" i="56" s="1"/>
  <c r="M9" i="56"/>
  <c r="M114" i="53"/>
  <c r="N64" i="49"/>
  <c r="M114" i="56" s="1"/>
  <c r="K9" i="56"/>
  <c r="K114" i="53"/>
  <c r="L64" i="49"/>
  <c r="K114" i="56" s="1"/>
  <c r="K136" i="53"/>
  <c r="L66" i="50"/>
  <c r="K136" i="56" s="1"/>
  <c r="BL55" i="50"/>
  <c r="N10" i="53"/>
  <c r="M48" i="55"/>
  <c r="M8" i="55" s="1"/>
  <c r="M8" i="54"/>
  <c r="M8" i="58"/>
  <c r="M9" i="57"/>
  <c r="K70" i="53"/>
  <c r="L60" i="47"/>
  <c r="K70" i="56" s="1"/>
  <c r="BL63" i="50"/>
  <c r="K92" i="53"/>
  <c r="L62" i="48"/>
  <c r="K92" i="56" s="1"/>
  <c r="N31" i="53"/>
  <c r="O61" i="44"/>
  <c r="N31" i="56" s="1"/>
  <c r="N49" i="55"/>
  <c r="K8" i="54"/>
  <c r="K9" i="57"/>
  <c r="L60" i="44"/>
  <c r="K30" i="56" s="1"/>
  <c r="K30" i="53"/>
  <c r="N60" i="47"/>
  <c r="M70" i="56" s="1"/>
  <c r="M70" i="53"/>
  <c r="K8" i="58"/>
  <c r="K51" i="53"/>
  <c r="L61" i="46"/>
  <c r="K51" i="56" s="1"/>
  <c r="M50" i="53"/>
  <c r="N60" i="46"/>
  <c r="M50" i="56" s="1"/>
  <c r="D90" i="56"/>
  <c r="X84" i="48"/>
  <c r="D90" i="58" s="1"/>
  <c r="X60" i="48"/>
  <c r="D90" i="54" s="1"/>
  <c r="AR60" i="48"/>
  <c r="D90" i="55" s="1"/>
  <c r="C5" i="51"/>
  <c r="AD29" i="47"/>
  <c r="P63" i="53"/>
  <c r="D2" i="58"/>
  <c r="J42" i="55"/>
  <c r="J2" i="55" s="1"/>
  <c r="J2" i="54"/>
  <c r="G2" i="58"/>
  <c r="BU35" i="48"/>
  <c r="BO66" i="48" s="1"/>
  <c r="O89" i="51"/>
  <c r="K61" i="50"/>
  <c r="J131" i="56" s="1"/>
  <c r="J131" i="53"/>
  <c r="AB36" i="50"/>
  <c r="BD56" i="49"/>
  <c r="P106" i="55" s="1"/>
  <c r="O106" i="55"/>
  <c r="AU35" i="50"/>
  <c r="J92" i="51"/>
  <c r="K38" i="48"/>
  <c r="K15" i="48"/>
  <c r="E3" i="56"/>
  <c r="C42" i="55"/>
  <c r="C2" i="55" s="1"/>
  <c r="C2" i="54"/>
  <c r="L2" i="58"/>
  <c r="F2" i="54"/>
  <c r="F42" i="55"/>
  <c r="F2" i="55" s="1"/>
  <c r="G3" i="57"/>
  <c r="H2" i="58"/>
  <c r="J5" i="51"/>
  <c r="P2" i="57"/>
  <c r="AK58" i="49"/>
  <c r="BN58" i="49" s="1"/>
  <c r="P108" i="54"/>
  <c r="D3" i="56"/>
  <c r="J90" i="56"/>
  <c r="AD84" i="48"/>
  <c r="J90" i="58" s="1"/>
  <c r="AD60" i="48"/>
  <c r="J90" i="54" s="1"/>
  <c r="AX60" i="48"/>
  <c r="J90" i="55" s="1"/>
  <c r="H3" i="56"/>
  <c r="K61" i="49"/>
  <c r="J111" i="56" s="1"/>
  <c r="J111" i="53"/>
  <c r="E42" i="55"/>
  <c r="E2" i="55" s="1"/>
  <c r="E2" i="54"/>
  <c r="D54" i="44"/>
  <c r="C24" i="56" s="1"/>
  <c r="C24" i="53"/>
  <c r="C4" i="53" s="1"/>
  <c r="J54" i="44"/>
  <c r="I24" i="56" s="1"/>
  <c r="I24" i="53"/>
  <c r="I4" i="53" s="1"/>
  <c r="G42" i="55"/>
  <c r="G2" i="55" s="1"/>
  <c r="G2" i="54"/>
  <c r="E3" i="57"/>
  <c r="F3" i="57"/>
  <c r="J2" i="58"/>
  <c r="K54" i="44"/>
  <c r="J24" i="56" s="1"/>
  <c r="J24" i="53"/>
  <c r="AE36" i="48"/>
  <c r="P90" i="53"/>
  <c r="AK58" i="48"/>
  <c r="BN58" i="48" s="1"/>
  <c r="P88" i="54"/>
  <c r="Q53" i="44"/>
  <c r="P23" i="56" s="1"/>
  <c r="G3" i="53"/>
  <c r="BJ5" i="44"/>
  <c r="BK5" i="44" s="1"/>
  <c r="BL5" i="44" s="1"/>
  <c r="P5" i="44" s="1"/>
  <c r="O23" i="51" s="1"/>
  <c r="P23" i="53"/>
  <c r="K54" i="47"/>
  <c r="J64" i="56" s="1"/>
  <c r="J64" i="53"/>
  <c r="K61" i="48"/>
  <c r="J91" i="53"/>
  <c r="K85" i="48"/>
  <c r="J91" i="57" s="1"/>
  <c r="I54" i="44"/>
  <c r="H24" i="56" s="1"/>
  <c r="H24" i="53"/>
  <c r="H4" i="53" s="1"/>
  <c r="K54" i="46"/>
  <c r="J44" i="56" s="1"/>
  <c r="J44" i="53"/>
  <c r="E54" i="44"/>
  <c r="D24" i="56" s="1"/>
  <c r="D24" i="53"/>
  <c r="D4" i="53" s="1"/>
  <c r="H54" i="46"/>
  <c r="G44" i="56" s="1"/>
  <c r="G44" i="53"/>
  <c r="I3" i="57"/>
  <c r="H3" i="57"/>
  <c r="J3" i="57"/>
  <c r="BD57" i="48"/>
  <c r="P87" i="55" s="1"/>
  <c r="O87" i="55"/>
  <c r="I3" i="56"/>
  <c r="F3" i="56"/>
  <c r="G3" i="56"/>
  <c r="L3" i="56"/>
  <c r="G54" i="44"/>
  <c r="F24" i="56" s="1"/>
  <c r="F24" i="53"/>
  <c r="F4" i="53" s="1"/>
  <c r="F54" i="44"/>
  <c r="E24" i="56" s="1"/>
  <c r="E24" i="53"/>
  <c r="E4" i="53" s="1"/>
  <c r="D42" i="55"/>
  <c r="D2" i="55" s="1"/>
  <c r="D2" i="54"/>
  <c r="AA36" i="50"/>
  <c r="P130" i="53"/>
  <c r="L42" i="55"/>
  <c r="L2" i="55" s="1"/>
  <c r="L2" i="54"/>
  <c r="AR29" i="46"/>
  <c r="BI60" i="46" s="1"/>
  <c r="P43" i="53"/>
  <c r="I2" i="58"/>
  <c r="H42" i="55"/>
  <c r="H2" i="55" s="1"/>
  <c r="H2" i="54"/>
  <c r="D3" i="57"/>
  <c r="G5" i="51"/>
  <c r="CA37" i="48"/>
  <c r="L91" i="53"/>
  <c r="P82" i="48"/>
  <c r="O88" i="57" s="1"/>
  <c r="O88" i="53"/>
  <c r="AK58" i="50"/>
  <c r="BN58" i="50" s="1"/>
  <c r="P128" i="54"/>
  <c r="D92" i="51"/>
  <c r="E38" i="48"/>
  <c r="E15" i="48"/>
  <c r="J3" i="53"/>
  <c r="P2" i="53"/>
  <c r="F5" i="51"/>
  <c r="I42" i="55"/>
  <c r="I2" i="55" s="1"/>
  <c r="I2" i="54"/>
  <c r="C3" i="57"/>
  <c r="H54" i="44"/>
  <c r="G24" i="56" s="1"/>
  <c r="G24" i="53"/>
  <c r="M54" i="44"/>
  <c r="L24" i="56" s="1"/>
  <c r="L24" i="53"/>
  <c r="L4" i="53" s="1"/>
  <c r="BW38" i="48"/>
  <c r="BR67" i="48" s="1"/>
  <c r="L92" i="51"/>
  <c r="BD57" i="49"/>
  <c r="P107" i="55" s="1"/>
  <c r="O107" i="55"/>
  <c r="X36" i="49"/>
  <c r="P110" i="53"/>
  <c r="C3" i="56"/>
  <c r="P2" i="56"/>
  <c r="D91" i="53"/>
  <c r="E85" i="48"/>
  <c r="D91" i="57" s="1"/>
  <c r="E61" i="48"/>
  <c r="J3" i="56"/>
  <c r="H76" i="43"/>
  <c r="H52" i="43"/>
  <c r="AB36" i="49"/>
  <c r="AA36" i="49"/>
  <c r="AJ35" i="50"/>
  <c r="AF36" i="49"/>
  <c r="W36" i="49"/>
  <c r="K76" i="43"/>
  <c r="K52" i="43"/>
  <c r="AD76" i="43" s="1"/>
  <c r="Z36" i="49"/>
  <c r="AS36" i="49"/>
  <c r="BP61" i="49" s="1"/>
  <c r="Q84" i="49"/>
  <c r="P110" i="57" s="1"/>
  <c r="Z36" i="50"/>
  <c r="Y36" i="49"/>
  <c r="AC36" i="49"/>
  <c r="K38" i="50"/>
  <c r="K15" i="50"/>
  <c r="J133" i="51" s="1"/>
  <c r="F15" i="49"/>
  <c r="E113" i="51" s="1"/>
  <c r="F38" i="49"/>
  <c r="E112" i="53" s="1"/>
  <c r="H38" i="49"/>
  <c r="G112" i="53" s="1"/>
  <c r="H15" i="49"/>
  <c r="G113" i="51" s="1"/>
  <c r="BW38" i="49"/>
  <c r="BR67" i="49" s="1"/>
  <c r="H61" i="50"/>
  <c r="G131" i="56" s="1"/>
  <c r="H85" i="50"/>
  <c r="G131" i="57" s="1"/>
  <c r="AA61" i="50"/>
  <c r="G131" i="54" s="1"/>
  <c r="I15" i="49"/>
  <c r="H113" i="51" s="1"/>
  <c r="I38" i="49"/>
  <c r="H112" i="53" s="1"/>
  <c r="Q60" i="49"/>
  <c r="P110" i="56" s="1"/>
  <c r="W84" i="49"/>
  <c r="C110" i="58" s="1"/>
  <c r="W60" i="49"/>
  <c r="C110" i="54" s="1"/>
  <c r="AQ60" i="49"/>
  <c r="C110" i="55" s="1"/>
  <c r="G61" i="49"/>
  <c r="F111" i="56" s="1"/>
  <c r="G85" i="49"/>
  <c r="F111" i="57" s="1"/>
  <c r="BO59" i="49"/>
  <c r="AU35" i="49"/>
  <c r="J61" i="49"/>
  <c r="I111" i="56" s="1"/>
  <c r="J85" i="49"/>
  <c r="I111" i="57" s="1"/>
  <c r="Q84" i="50"/>
  <c r="P130" i="57" s="1"/>
  <c r="BC57" i="50"/>
  <c r="AC84" i="50"/>
  <c r="I130" i="58" s="1"/>
  <c r="AC60" i="50"/>
  <c r="I130" i="54" s="1"/>
  <c r="AW60" i="50"/>
  <c r="I130" i="55" s="1"/>
  <c r="E15" i="49"/>
  <c r="D113" i="51" s="1"/>
  <c r="E38" i="49"/>
  <c r="D112" i="53" s="1"/>
  <c r="J38" i="50"/>
  <c r="I132" i="53" s="1"/>
  <c r="J15" i="50"/>
  <c r="I133" i="51" s="1"/>
  <c r="BR38" i="49"/>
  <c r="BR65" i="49" s="1"/>
  <c r="Q14" i="49"/>
  <c r="D15" i="49"/>
  <c r="C113" i="51" s="1"/>
  <c r="D38" i="49"/>
  <c r="C112" i="53" s="1"/>
  <c r="AS36" i="50"/>
  <c r="BP61" i="50" s="1"/>
  <c r="G38" i="49"/>
  <c r="F112" i="53" s="1"/>
  <c r="G15" i="49"/>
  <c r="F113" i="51" s="1"/>
  <c r="AB84" i="49"/>
  <c r="H110" i="58" s="1"/>
  <c r="AB60" i="49"/>
  <c r="H110" i="54" s="1"/>
  <c r="AV60" i="49"/>
  <c r="H110" i="55" s="1"/>
  <c r="M38" i="50"/>
  <c r="L132" i="53" s="1"/>
  <c r="M15" i="50"/>
  <c r="L133" i="51" s="1"/>
  <c r="AJ35" i="49"/>
  <c r="K85" i="50"/>
  <c r="J131" i="57" s="1"/>
  <c r="CA37" i="50"/>
  <c r="F85" i="49"/>
  <c r="E111" i="57" s="1"/>
  <c r="F61" i="49"/>
  <c r="E111" i="56" s="1"/>
  <c r="AJ59" i="50"/>
  <c r="P82" i="49"/>
  <c r="O108" i="57" s="1"/>
  <c r="AI34" i="49"/>
  <c r="P35" i="50"/>
  <c r="O129" i="53" s="1"/>
  <c r="AI11" i="50"/>
  <c r="O129" i="59" s="1"/>
  <c r="BO35" i="50"/>
  <c r="BO64" i="50" s="1"/>
  <c r="BU35" i="50"/>
  <c r="BO66" i="50" s="1"/>
  <c r="AF84" i="49"/>
  <c r="L110" i="58" s="1"/>
  <c r="AF60" i="49"/>
  <c r="L110" i="54" s="1"/>
  <c r="AZ60" i="49"/>
  <c r="L110" i="55" s="1"/>
  <c r="AJ83" i="49"/>
  <c r="P109" i="58" s="1"/>
  <c r="D85" i="49"/>
  <c r="C111" i="57" s="1"/>
  <c r="D61" i="49"/>
  <c r="C111" i="56" s="1"/>
  <c r="Q37" i="49"/>
  <c r="AA37" i="49" s="1"/>
  <c r="Z84" i="50"/>
  <c r="F130" i="58" s="1"/>
  <c r="Z60" i="50"/>
  <c r="F130" i="54" s="1"/>
  <c r="AT60" i="50"/>
  <c r="F130" i="55" s="1"/>
  <c r="AX60" i="49"/>
  <c r="J110" i="55" s="1"/>
  <c r="AD84" i="49"/>
  <c r="J110" i="58" s="1"/>
  <c r="AD60" i="49"/>
  <c r="J110" i="54" s="1"/>
  <c r="M85" i="50"/>
  <c r="L131" i="57" s="1"/>
  <c r="M61" i="50"/>
  <c r="L131" i="56" s="1"/>
  <c r="AJ83" i="50"/>
  <c r="P129" i="58" s="1"/>
  <c r="I38" i="50"/>
  <c r="H132" i="53" s="1"/>
  <c r="I15" i="50"/>
  <c r="H133" i="51" s="1"/>
  <c r="Y36" i="50"/>
  <c r="AJ59" i="49"/>
  <c r="AA61" i="49"/>
  <c r="G111" i="54" s="1"/>
  <c r="H85" i="49"/>
  <c r="G111" i="57" s="1"/>
  <c r="H61" i="49"/>
  <c r="G111" i="56" s="1"/>
  <c r="K38" i="49"/>
  <c r="K15" i="49"/>
  <c r="J113" i="51" s="1"/>
  <c r="AS60" i="49"/>
  <c r="E110" i="55" s="1"/>
  <c r="Y84" i="49"/>
  <c r="E110" i="58" s="1"/>
  <c r="Y60" i="49"/>
  <c r="E110" i="54" s="1"/>
  <c r="AJ10" i="50"/>
  <c r="P128" i="59" s="1"/>
  <c r="P35" i="49"/>
  <c r="O109" i="53" s="1"/>
  <c r="AI11" i="49"/>
  <c r="O109" i="59" s="1"/>
  <c r="BU35" i="49"/>
  <c r="BO66" i="49" s="1"/>
  <c r="BO35" i="49"/>
  <c r="BO64" i="49" s="1"/>
  <c r="AF84" i="50"/>
  <c r="L130" i="58" s="1"/>
  <c r="AF60" i="50"/>
  <c r="L130" i="54" s="1"/>
  <c r="AZ60" i="50"/>
  <c r="L130" i="55" s="1"/>
  <c r="I85" i="50"/>
  <c r="H131" i="57" s="1"/>
  <c r="I61" i="50"/>
  <c r="H131" i="56" s="1"/>
  <c r="X36" i="50"/>
  <c r="F38" i="50"/>
  <c r="E132" i="53" s="1"/>
  <c r="F15" i="50"/>
  <c r="E133" i="51" s="1"/>
  <c r="Y60" i="50"/>
  <c r="E130" i="54" s="1"/>
  <c r="Y84" i="50"/>
  <c r="E130" i="58" s="1"/>
  <c r="AS60" i="50"/>
  <c r="E130" i="55" s="1"/>
  <c r="X84" i="49"/>
  <c r="D110" i="58" s="1"/>
  <c r="X60" i="49"/>
  <c r="D110" i="54" s="1"/>
  <c r="AR60" i="49"/>
  <c r="D110" i="55" s="1"/>
  <c r="I85" i="49"/>
  <c r="H111" i="57" s="1"/>
  <c r="I61" i="49"/>
  <c r="H111" i="56" s="1"/>
  <c r="AJ10" i="49"/>
  <c r="P108" i="59" s="1"/>
  <c r="BC58" i="49"/>
  <c r="AD84" i="50"/>
  <c r="J130" i="58" s="1"/>
  <c r="AD60" i="50"/>
  <c r="J130" i="54" s="1"/>
  <c r="AX60" i="50"/>
  <c r="J130" i="55" s="1"/>
  <c r="K85" i="49"/>
  <c r="J111" i="57" s="1"/>
  <c r="CA37" i="49"/>
  <c r="P82" i="50"/>
  <c r="O128" i="57" s="1"/>
  <c r="AI34" i="50"/>
  <c r="AA84" i="49"/>
  <c r="G110" i="58" s="1"/>
  <c r="AU60" i="49"/>
  <c r="G110" i="55" s="1"/>
  <c r="AC60" i="49"/>
  <c r="I110" i="54" s="1"/>
  <c r="AC84" i="49"/>
  <c r="I110" i="58" s="1"/>
  <c r="AW60" i="49"/>
  <c r="I110" i="55" s="1"/>
  <c r="AB84" i="50"/>
  <c r="H130" i="58" s="1"/>
  <c r="AB60" i="50"/>
  <c r="H130" i="54" s="1"/>
  <c r="AV60" i="50"/>
  <c r="H130" i="55" s="1"/>
  <c r="AQ36" i="50"/>
  <c r="X60" i="50"/>
  <c r="D130" i="54" s="1"/>
  <c r="AR60" i="50"/>
  <c r="D130" i="55" s="1"/>
  <c r="X84" i="50"/>
  <c r="D130" i="58" s="1"/>
  <c r="D38" i="50"/>
  <c r="C132" i="53" s="1"/>
  <c r="D15" i="50"/>
  <c r="C133" i="51" s="1"/>
  <c r="BR38" i="50"/>
  <c r="BR65" i="50" s="1"/>
  <c r="Q14" i="50"/>
  <c r="F61" i="50"/>
  <c r="E131" i="56" s="1"/>
  <c r="F85" i="50"/>
  <c r="E131" i="57" s="1"/>
  <c r="E38" i="50"/>
  <c r="D132" i="53" s="1"/>
  <c r="E15" i="50"/>
  <c r="D133" i="51" s="1"/>
  <c r="G38" i="50"/>
  <c r="F132" i="53" s="1"/>
  <c r="G15" i="50"/>
  <c r="F133" i="51" s="1"/>
  <c r="M85" i="49"/>
  <c r="L111" i="57" s="1"/>
  <c r="M61" i="49"/>
  <c r="L111" i="56" s="1"/>
  <c r="AD36" i="50"/>
  <c r="AE36" i="50"/>
  <c r="AR36" i="50"/>
  <c r="BP60" i="50" s="1"/>
  <c r="BP68" i="50"/>
  <c r="AH36" i="50"/>
  <c r="BP69" i="50"/>
  <c r="AT36" i="50"/>
  <c r="BP62" i="50" s="1"/>
  <c r="BJ12" i="50"/>
  <c r="BK12" i="50" s="1"/>
  <c r="BL12" i="50" s="1"/>
  <c r="P12" i="50" s="1"/>
  <c r="O130" i="51" s="1"/>
  <c r="AG36" i="50"/>
  <c r="AA84" i="50"/>
  <c r="G130" i="58" s="1"/>
  <c r="AU60" i="50"/>
  <c r="G130" i="55" s="1"/>
  <c r="D61" i="50"/>
  <c r="C131" i="56" s="1"/>
  <c r="D85" i="50"/>
  <c r="C131" i="57" s="1"/>
  <c r="Q37" i="50"/>
  <c r="Y37" i="50" s="1"/>
  <c r="E85" i="50"/>
  <c r="D131" i="57" s="1"/>
  <c r="E61" i="50"/>
  <c r="D131" i="56" s="1"/>
  <c r="G61" i="50"/>
  <c r="F131" i="56" s="1"/>
  <c r="G85" i="50"/>
  <c r="F131" i="57" s="1"/>
  <c r="H15" i="50"/>
  <c r="G133" i="51" s="1"/>
  <c r="H38" i="50"/>
  <c r="G132" i="53" s="1"/>
  <c r="BW38" i="50"/>
  <c r="BR67" i="50" s="1"/>
  <c r="AT60" i="49"/>
  <c r="F110" i="55" s="1"/>
  <c r="Z84" i="49"/>
  <c r="F110" i="58" s="1"/>
  <c r="Z60" i="49"/>
  <c r="F110" i="54" s="1"/>
  <c r="AQ36" i="49"/>
  <c r="AT36" i="49"/>
  <c r="BP62" i="49" s="1"/>
  <c r="BP69" i="49"/>
  <c r="AR36" i="49"/>
  <c r="BP60" i="49" s="1"/>
  <c r="BJ12" i="49"/>
  <c r="BK12" i="49" s="1"/>
  <c r="BL12" i="49" s="1"/>
  <c r="P12" i="49" s="1"/>
  <c r="O110" i="51" s="1"/>
  <c r="AE36" i="49"/>
  <c r="AH36" i="49"/>
  <c r="AG36" i="49"/>
  <c r="BP68" i="49"/>
  <c r="M38" i="49"/>
  <c r="L112" i="53" s="1"/>
  <c r="M15" i="49"/>
  <c r="L113" i="51" s="1"/>
  <c r="J38" i="49"/>
  <c r="I112" i="53" s="1"/>
  <c r="J15" i="49"/>
  <c r="I113" i="51" s="1"/>
  <c r="W84" i="50"/>
  <c r="C130" i="58" s="1"/>
  <c r="W60" i="50"/>
  <c r="C130" i="54" s="1"/>
  <c r="Q60" i="50"/>
  <c r="P130" i="56" s="1"/>
  <c r="AQ60" i="50"/>
  <c r="C130" i="55" s="1"/>
  <c r="AC36" i="50"/>
  <c r="E85" i="49"/>
  <c r="D111" i="57" s="1"/>
  <c r="E61" i="49"/>
  <c r="D111" i="56" s="1"/>
  <c r="J85" i="50"/>
  <c r="I131" i="57" s="1"/>
  <c r="J61" i="50"/>
  <c r="I131" i="56" s="1"/>
  <c r="BX30" i="43"/>
  <c r="BO35" i="48"/>
  <c r="BO64" i="48" s="1"/>
  <c r="BP69" i="48"/>
  <c r="Z36" i="48"/>
  <c r="AI11" i="48"/>
  <c r="P35" i="48"/>
  <c r="AJ35" i="48"/>
  <c r="AU35" i="48"/>
  <c r="Q37" i="48"/>
  <c r="AB36" i="48"/>
  <c r="AQ36" i="48"/>
  <c r="BP59" i="48" s="1"/>
  <c r="AF36" i="48"/>
  <c r="AH36" i="48"/>
  <c r="AC36" i="48"/>
  <c r="AG36" i="48"/>
  <c r="AI34" i="48"/>
  <c r="Y36" i="48"/>
  <c r="AT36" i="48"/>
  <c r="BP62" i="48" s="1"/>
  <c r="X36" i="48"/>
  <c r="AA36" i="48"/>
  <c r="BJ12" i="48"/>
  <c r="BK12" i="48" s="1"/>
  <c r="BL12" i="48" s="1"/>
  <c r="P12" i="48" s="1"/>
  <c r="W36" i="48"/>
  <c r="AS36" i="48"/>
  <c r="BP61" i="48" s="1"/>
  <c r="AR36" i="48"/>
  <c r="BP60" i="48" s="1"/>
  <c r="AD36" i="48"/>
  <c r="BP68" i="48"/>
  <c r="AJ59" i="48"/>
  <c r="Q84" i="48"/>
  <c r="P90" i="57" s="1"/>
  <c r="AJ83" i="48"/>
  <c r="P89" i="58" s="1"/>
  <c r="Y29" i="44"/>
  <c r="BA38" i="50"/>
  <c r="AG88" i="50"/>
  <c r="M134" i="58" s="1"/>
  <c r="AG64" i="50"/>
  <c r="BA64" i="50"/>
  <c r="M134" i="55" s="1"/>
  <c r="B66" i="50"/>
  <c r="B42" i="50"/>
  <c r="A136" i="53" s="1"/>
  <c r="B19" i="50"/>
  <c r="A137" i="51" s="1"/>
  <c r="U18" i="50"/>
  <c r="AO18" i="50" s="1"/>
  <c r="AZ39" i="50"/>
  <c r="AX39" i="50"/>
  <c r="AW39" i="50"/>
  <c r="AP40" i="50"/>
  <c r="AH88" i="50"/>
  <c r="N134" i="58" s="1"/>
  <c r="AH64" i="50"/>
  <c r="BB64" i="50"/>
  <c r="N134" i="55" s="1"/>
  <c r="B89" i="50"/>
  <c r="A135" i="57" s="1"/>
  <c r="U41" i="50"/>
  <c r="U89" i="50" s="1"/>
  <c r="A135" i="58" s="1"/>
  <c r="C65" i="50"/>
  <c r="C41" i="50"/>
  <c r="B135" i="53" s="1"/>
  <c r="V17" i="50"/>
  <c r="AP17" i="50" s="1"/>
  <c r="C18" i="50"/>
  <c r="B136" i="51" s="1"/>
  <c r="O42" i="50"/>
  <c r="N136" i="53" s="1"/>
  <c r="O19" i="50"/>
  <c r="N137" i="51" s="1"/>
  <c r="BX42" i="50"/>
  <c r="N42" i="50"/>
  <c r="N19" i="50"/>
  <c r="M137" i="51" s="1"/>
  <c r="O89" i="50"/>
  <c r="N135" i="57" s="1"/>
  <c r="O65" i="50"/>
  <c r="N135" i="56" s="1"/>
  <c r="C88" i="50"/>
  <c r="B134" i="57" s="1"/>
  <c r="V40" i="50"/>
  <c r="V88" i="50" s="1"/>
  <c r="B134" i="58" s="1"/>
  <c r="AE89" i="50"/>
  <c r="K135" i="58" s="1"/>
  <c r="AE65" i="50"/>
  <c r="AY65" i="50"/>
  <c r="K135" i="55" s="1"/>
  <c r="N89" i="50"/>
  <c r="M135" i="57" s="1"/>
  <c r="L43" i="50"/>
  <c r="L20" i="50"/>
  <c r="K138" i="51" s="1"/>
  <c r="AU19" i="50"/>
  <c r="C137" i="52" s="1"/>
  <c r="L90" i="50"/>
  <c r="K136" i="57" s="1"/>
  <c r="C66" i="49"/>
  <c r="C42" i="49"/>
  <c r="B116" i="53" s="1"/>
  <c r="C19" i="49"/>
  <c r="B117" i="51" s="1"/>
  <c r="V18" i="49"/>
  <c r="AP18" i="49" s="1"/>
  <c r="N41" i="49"/>
  <c r="BX41" i="49"/>
  <c r="N18" i="49"/>
  <c r="M116" i="51" s="1"/>
  <c r="AH87" i="49"/>
  <c r="N113" i="58" s="1"/>
  <c r="AH63" i="49"/>
  <c r="BB63" i="49"/>
  <c r="N113" i="55" s="1"/>
  <c r="C89" i="49"/>
  <c r="B115" i="57" s="1"/>
  <c r="V41" i="49"/>
  <c r="V89" i="49" s="1"/>
  <c r="B115" i="58" s="1"/>
  <c r="L88" i="49"/>
  <c r="K114" i="57" s="1"/>
  <c r="N88" i="49"/>
  <c r="M114" i="57" s="1"/>
  <c r="BD20" i="49"/>
  <c r="J118" i="52" s="1"/>
  <c r="O88" i="49"/>
  <c r="N114" i="57" s="1"/>
  <c r="O64" i="49"/>
  <c r="N114" i="56" s="1"/>
  <c r="L41" i="49"/>
  <c r="L18" i="49"/>
  <c r="K116" i="51" s="1"/>
  <c r="BA38" i="49"/>
  <c r="B66" i="49"/>
  <c r="B42" i="49"/>
  <c r="A116" i="53" s="1"/>
  <c r="B19" i="49"/>
  <c r="A117" i="51" s="1"/>
  <c r="U18" i="49"/>
  <c r="AO18" i="49" s="1"/>
  <c r="O41" i="49"/>
  <c r="N115" i="53" s="1"/>
  <c r="O18" i="49"/>
  <c r="N116" i="51" s="1"/>
  <c r="AW39" i="49"/>
  <c r="AX39" i="49"/>
  <c r="AZ39" i="49"/>
  <c r="AP40" i="49"/>
  <c r="AE87" i="49"/>
  <c r="K113" i="58" s="1"/>
  <c r="AE63" i="49"/>
  <c r="AY63" i="49"/>
  <c r="K113" i="55" s="1"/>
  <c r="AG87" i="49"/>
  <c r="M113" i="58" s="1"/>
  <c r="AG63" i="49"/>
  <c r="BA63" i="49"/>
  <c r="M113" i="55" s="1"/>
  <c r="B89" i="49"/>
  <c r="A115" i="57" s="1"/>
  <c r="U41" i="49"/>
  <c r="U89" i="49" s="1"/>
  <c r="A115" i="58" s="1"/>
  <c r="AF84" i="48"/>
  <c r="L90" i="58" s="1"/>
  <c r="AZ60" i="48"/>
  <c r="L90" i="55" s="1"/>
  <c r="AF60" i="48"/>
  <c r="L90" i="54" s="1"/>
  <c r="Z84" i="48"/>
  <c r="F90" i="58" s="1"/>
  <c r="AT60" i="48"/>
  <c r="F90" i="55" s="1"/>
  <c r="Z60" i="48"/>
  <c r="F90" i="54" s="1"/>
  <c r="F85" i="48"/>
  <c r="E91" i="57" s="1"/>
  <c r="F61" i="48"/>
  <c r="E91" i="56" s="1"/>
  <c r="F38" i="48"/>
  <c r="E92" i="53" s="1"/>
  <c r="F15" i="48"/>
  <c r="E93" i="51" s="1"/>
  <c r="G61" i="48"/>
  <c r="F91" i="56" s="1"/>
  <c r="G85" i="48"/>
  <c r="F91" i="57" s="1"/>
  <c r="Y84" i="48"/>
  <c r="E90" i="58" s="1"/>
  <c r="Y60" i="48"/>
  <c r="E90" i="54" s="1"/>
  <c r="AS60" i="48"/>
  <c r="E90" i="55" s="1"/>
  <c r="Q14" i="48"/>
  <c r="Q60" i="48"/>
  <c r="P90" i="56" s="1"/>
  <c r="M85" i="48"/>
  <c r="L91" i="57" s="1"/>
  <c r="M61" i="48"/>
  <c r="L91" i="56" s="1"/>
  <c r="G15" i="48"/>
  <c r="F93" i="51" s="1"/>
  <c r="G38" i="48"/>
  <c r="F92" i="53" s="1"/>
  <c r="BR38" i="48"/>
  <c r="BR65" i="48" s="1"/>
  <c r="M38" i="48"/>
  <c r="L92" i="53" s="1"/>
  <c r="M15" i="48"/>
  <c r="BA36" i="48"/>
  <c r="BX40" i="48"/>
  <c r="N40" i="48"/>
  <c r="N17" i="48"/>
  <c r="M95" i="51" s="1"/>
  <c r="AU16" i="48"/>
  <c r="C94" i="52" s="1"/>
  <c r="BD15" i="48"/>
  <c r="J93" i="52" s="1"/>
  <c r="AG86" i="48"/>
  <c r="M92" i="58" s="1"/>
  <c r="AG62" i="48"/>
  <c r="M92" i="54" s="1"/>
  <c r="BA62" i="48"/>
  <c r="M92" i="55" s="1"/>
  <c r="N87" i="48"/>
  <c r="M93" i="57" s="1"/>
  <c r="O88" i="48"/>
  <c r="N94" i="57" s="1"/>
  <c r="O64" i="48"/>
  <c r="N94" i="56" s="1"/>
  <c r="C63" i="48"/>
  <c r="C39" i="48"/>
  <c r="B93" i="53" s="1"/>
  <c r="C16" i="48"/>
  <c r="B94" i="51" s="1"/>
  <c r="V15" i="48"/>
  <c r="AP15" i="48" s="1"/>
  <c r="O41" i="48"/>
  <c r="N95" i="53" s="1"/>
  <c r="O18" i="48"/>
  <c r="N96" i="51" s="1"/>
  <c r="AZ37" i="48"/>
  <c r="AP38" i="48"/>
  <c r="AX37" i="48"/>
  <c r="AW37" i="48"/>
  <c r="B64" i="48"/>
  <c r="B40" i="48"/>
  <c r="A94" i="53" s="1"/>
  <c r="B17" i="48"/>
  <c r="A95" i="51" s="1"/>
  <c r="U16" i="48"/>
  <c r="AO16" i="48" s="1"/>
  <c r="C86" i="48"/>
  <c r="B92" i="57" s="1"/>
  <c r="V38" i="48"/>
  <c r="V86" i="48" s="1"/>
  <c r="B92" i="58" s="1"/>
  <c r="L39" i="48"/>
  <c r="L16" i="48"/>
  <c r="K94" i="51" s="1"/>
  <c r="B87" i="48"/>
  <c r="A93" i="57" s="1"/>
  <c r="U39" i="48"/>
  <c r="U87" i="48" s="1"/>
  <c r="A93" i="58" s="1"/>
  <c r="L86" i="48"/>
  <c r="K92" i="57" s="1"/>
  <c r="AE85" i="48"/>
  <c r="K91" i="58" s="1"/>
  <c r="AE61" i="48"/>
  <c r="K91" i="54" s="1"/>
  <c r="AY61" i="48"/>
  <c r="K91" i="55" s="1"/>
  <c r="BC58" i="48"/>
  <c r="AH87" i="48"/>
  <c r="N93" i="58" s="1"/>
  <c r="AH63" i="48"/>
  <c r="N93" i="54" s="1"/>
  <c r="BB63" i="48"/>
  <c r="N93" i="55" s="1"/>
  <c r="AT29" i="47"/>
  <c r="BI62" i="47" s="1"/>
  <c r="AU28" i="47"/>
  <c r="AA29" i="47"/>
  <c r="AC29" i="47"/>
  <c r="AU28" i="46"/>
  <c r="AS29" i="46"/>
  <c r="BI61" i="46" s="1"/>
  <c r="Z29" i="46"/>
  <c r="AJ52" i="44"/>
  <c r="P22" i="54" s="1"/>
  <c r="AB29" i="46"/>
  <c r="BJ5" i="46"/>
  <c r="BK5" i="46" s="1"/>
  <c r="BL5" i="46" s="1"/>
  <c r="P5" i="46" s="1"/>
  <c r="AA29" i="46"/>
  <c r="AR29" i="47"/>
  <c r="BI60" i="47" s="1"/>
  <c r="BD52" i="47"/>
  <c r="P62" i="55" s="1"/>
  <c r="AJ28" i="47"/>
  <c r="BD52" i="46"/>
  <c r="X29" i="47"/>
  <c r="AS29" i="47"/>
  <c r="BI61" i="47" s="1"/>
  <c r="AB29" i="47"/>
  <c r="AS29" i="44"/>
  <c r="BI61" i="44" s="1"/>
  <c r="X29" i="44"/>
  <c r="Z29" i="44"/>
  <c r="AQ29" i="44"/>
  <c r="AU28" i="44"/>
  <c r="BA35" i="44"/>
  <c r="AF29" i="44"/>
  <c r="W29" i="44"/>
  <c r="AB29" i="44"/>
  <c r="AR29" i="44"/>
  <c r="BI60" i="44" s="1"/>
  <c r="AJ52" i="47"/>
  <c r="P62" i="54" s="1"/>
  <c r="AD29" i="46"/>
  <c r="X29" i="46"/>
  <c r="AQ29" i="46"/>
  <c r="AC29" i="46"/>
  <c r="AT29" i="46"/>
  <c r="BI62" i="46" s="1"/>
  <c r="W29" i="46"/>
  <c r="AF29" i="46"/>
  <c r="AA29" i="44"/>
  <c r="AD29" i="44"/>
  <c r="AG77" i="43"/>
  <c r="N77" i="43"/>
  <c r="M31" i="46"/>
  <c r="L45" i="53" s="1"/>
  <c r="M8" i="46"/>
  <c r="L46" i="51" s="1"/>
  <c r="AE77" i="43"/>
  <c r="L77" i="43"/>
  <c r="G31" i="44"/>
  <c r="G8" i="44"/>
  <c r="F26" i="51" s="1"/>
  <c r="G31" i="46"/>
  <c r="F45" i="53" s="1"/>
  <c r="G8" i="46"/>
  <c r="F46" i="51" s="1"/>
  <c r="J8" i="44"/>
  <c r="I26" i="51" s="1"/>
  <c r="J31" i="44"/>
  <c r="W53" i="47"/>
  <c r="C63" i="54" s="1"/>
  <c r="Q53" i="47"/>
  <c r="P63" i="56" s="1"/>
  <c r="W77" i="47"/>
  <c r="C63" i="58" s="1"/>
  <c r="AQ53" i="47"/>
  <c r="C63" i="55" s="1"/>
  <c r="AB77" i="46"/>
  <c r="H43" i="58" s="1"/>
  <c r="AB53" i="46"/>
  <c r="H43" i="54" s="1"/>
  <c r="AV53" i="46"/>
  <c r="AA77" i="47"/>
  <c r="G63" i="58" s="1"/>
  <c r="AU53" i="47"/>
  <c r="G63" i="55" s="1"/>
  <c r="AJ28" i="44"/>
  <c r="G52" i="43"/>
  <c r="Z76" i="43" s="1"/>
  <c r="G76" i="43"/>
  <c r="K78" i="47"/>
  <c r="J64" i="57" s="1"/>
  <c r="CA30" i="47"/>
  <c r="E31" i="47"/>
  <c r="D65" i="53" s="1"/>
  <c r="E8" i="47"/>
  <c r="D66" i="51" s="1"/>
  <c r="K31" i="46"/>
  <c r="K8" i="46"/>
  <c r="J46" i="51" s="1"/>
  <c r="J52" i="43"/>
  <c r="AC76" i="43" s="1"/>
  <c r="J76" i="43"/>
  <c r="AB77" i="44"/>
  <c r="H23" i="58" s="1"/>
  <c r="AB53" i="44"/>
  <c r="H23" i="54" s="1"/>
  <c r="AV53" i="44"/>
  <c r="H23" i="55" s="1"/>
  <c r="D78" i="44"/>
  <c r="C24" i="57" s="1"/>
  <c r="Q30" i="44"/>
  <c r="I78" i="44"/>
  <c r="H24" i="57" s="1"/>
  <c r="H78" i="44"/>
  <c r="G24" i="57" s="1"/>
  <c r="AA54" i="44"/>
  <c r="G24" i="54" s="1"/>
  <c r="F52" i="43"/>
  <c r="Y76" i="43" s="1"/>
  <c r="F76" i="43"/>
  <c r="BR31" i="44"/>
  <c r="BK65" i="44" s="1"/>
  <c r="Q7" i="44"/>
  <c r="D31" i="44"/>
  <c r="D8" i="44"/>
  <c r="C26" i="51" s="1"/>
  <c r="F8" i="44"/>
  <c r="E26" i="51" s="1"/>
  <c r="F31" i="44"/>
  <c r="BR31" i="47"/>
  <c r="BK65" i="47" s="1"/>
  <c r="D8" i="47"/>
  <c r="C66" i="51" s="1"/>
  <c r="D31" i="47"/>
  <c r="C65" i="53" s="1"/>
  <c r="Q7" i="47"/>
  <c r="AC53" i="44"/>
  <c r="I23" i="54" s="1"/>
  <c r="AC77" i="44"/>
  <c r="I23" i="58" s="1"/>
  <c r="AW53" i="44"/>
  <c r="I23" i="55" s="1"/>
  <c r="AF77" i="47"/>
  <c r="L63" i="58" s="1"/>
  <c r="AF53" i="47"/>
  <c r="L63" i="54" s="1"/>
  <c r="AZ53" i="47"/>
  <c r="L63" i="55" s="1"/>
  <c r="G31" i="47"/>
  <c r="F65" i="53" s="1"/>
  <c r="G8" i="47"/>
  <c r="F66" i="51" s="1"/>
  <c r="I52" i="43"/>
  <c r="AB76" i="43" s="1"/>
  <c r="I76" i="43"/>
  <c r="AC77" i="46"/>
  <c r="I43" i="58" s="1"/>
  <c r="AC53" i="46"/>
  <c r="I43" i="54" s="1"/>
  <c r="AW53" i="46"/>
  <c r="X77" i="47"/>
  <c r="D63" i="58" s="1"/>
  <c r="X53" i="47"/>
  <c r="D63" i="54" s="1"/>
  <c r="AR53" i="47"/>
  <c r="D63" i="55" s="1"/>
  <c r="AQ29" i="47"/>
  <c r="X53" i="44"/>
  <c r="D23" i="54" s="1"/>
  <c r="X77" i="44"/>
  <c r="D23" i="58" s="1"/>
  <c r="AR53" i="44"/>
  <c r="D23" i="55" s="1"/>
  <c r="H31" i="46"/>
  <c r="BW31" i="46"/>
  <c r="BK67" i="46" s="1"/>
  <c r="H8" i="46"/>
  <c r="G46" i="51" s="1"/>
  <c r="F31" i="46"/>
  <c r="E45" i="53" s="1"/>
  <c r="F8" i="46"/>
  <c r="E46" i="51" s="1"/>
  <c r="AZ53" i="46"/>
  <c r="AF77" i="46"/>
  <c r="L43" i="58" s="1"/>
  <c r="AF53" i="46"/>
  <c r="L43" i="54" s="1"/>
  <c r="Q30" i="46"/>
  <c r="D54" i="46"/>
  <c r="C44" i="56" s="1"/>
  <c r="D78" i="46"/>
  <c r="C44" i="57" s="1"/>
  <c r="E31" i="46"/>
  <c r="D45" i="53" s="1"/>
  <c r="E8" i="46"/>
  <c r="D46" i="51" s="1"/>
  <c r="K8" i="44"/>
  <c r="J26" i="51" s="1"/>
  <c r="K31" i="44"/>
  <c r="M31" i="47"/>
  <c r="L65" i="53" s="1"/>
  <c r="M8" i="47"/>
  <c r="L66" i="51" s="1"/>
  <c r="E52" i="43"/>
  <c r="X76" i="43" s="1"/>
  <c r="E76" i="43"/>
  <c r="J78" i="47"/>
  <c r="I64" i="57" s="1"/>
  <c r="J54" i="47"/>
  <c r="I64" i="56" s="1"/>
  <c r="E31" i="44"/>
  <c r="E8" i="44"/>
  <c r="D26" i="51" s="1"/>
  <c r="Q77" i="47"/>
  <c r="P63" i="57" s="1"/>
  <c r="W77" i="44"/>
  <c r="C23" i="58" s="1"/>
  <c r="AQ53" i="44"/>
  <c r="C23" i="55" s="1"/>
  <c r="F78" i="46"/>
  <c r="E44" i="57" s="1"/>
  <c r="F54" i="46"/>
  <c r="E44" i="56" s="1"/>
  <c r="D31" i="46"/>
  <c r="C45" i="53" s="1"/>
  <c r="D8" i="46"/>
  <c r="C46" i="51" s="1"/>
  <c r="Q7" i="46"/>
  <c r="BR31" i="46"/>
  <c r="BK65" i="46" s="1"/>
  <c r="M52" i="43"/>
  <c r="AF76" i="43" s="1"/>
  <c r="M76" i="43"/>
  <c r="O53" i="43"/>
  <c r="AH77" i="43" s="1"/>
  <c r="O77" i="43"/>
  <c r="AF77" i="44"/>
  <c r="L23" i="58" s="1"/>
  <c r="AF53" i="44"/>
  <c r="L23" i="54" s="1"/>
  <c r="AZ53" i="44"/>
  <c r="L23" i="55" s="1"/>
  <c r="J31" i="47"/>
  <c r="I65" i="53" s="1"/>
  <c r="J8" i="47"/>
  <c r="I66" i="51" s="1"/>
  <c r="AJ76" i="44"/>
  <c r="P22" i="58" s="1"/>
  <c r="F78" i="44"/>
  <c r="E24" i="57" s="1"/>
  <c r="I31" i="44"/>
  <c r="I8" i="44"/>
  <c r="H26" i="51" s="1"/>
  <c r="W29" i="47"/>
  <c r="AE29" i="47"/>
  <c r="AH29" i="47"/>
  <c r="BI69" i="47"/>
  <c r="BI68" i="47"/>
  <c r="AG29" i="47"/>
  <c r="Z77" i="44"/>
  <c r="F23" i="58" s="1"/>
  <c r="Z53" i="44"/>
  <c r="F23" i="54" s="1"/>
  <c r="AT53" i="44"/>
  <c r="F23" i="55" s="1"/>
  <c r="AA54" i="46"/>
  <c r="G44" i="54" s="1"/>
  <c r="H78" i="46"/>
  <c r="G44" i="57" s="1"/>
  <c r="Y29" i="47"/>
  <c r="AA77" i="44"/>
  <c r="G23" i="58" s="1"/>
  <c r="AU53" i="44"/>
  <c r="G23" i="55" s="1"/>
  <c r="E78" i="46"/>
  <c r="D44" i="57" s="1"/>
  <c r="E54" i="46"/>
  <c r="D44" i="56" s="1"/>
  <c r="H31" i="44"/>
  <c r="H8" i="44"/>
  <c r="G26" i="51" s="1"/>
  <c r="BW31" i="44"/>
  <c r="BK67" i="44" s="1"/>
  <c r="K78" i="44"/>
  <c r="J24" i="57" s="1"/>
  <c r="CA30" i="44"/>
  <c r="K31" i="47"/>
  <c r="K8" i="47"/>
  <c r="J66" i="51" s="1"/>
  <c r="M54" i="47"/>
  <c r="L64" i="56" s="1"/>
  <c r="M78" i="47"/>
  <c r="L64" i="57" s="1"/>
  <c r="AD53" i="47"/>
  <c r="J63" i="54" s="1"/>
  <c r="AD77" i="47"/>
  <c r="J63" i="58" s="1"/>
  <c r="AX53" i="47"/>
  <c r="J63" i="55" s="1"/>
  <c r="J78" i="44"/>
  <c r="I24" i="57" s="1"/>
  <c r="AW28" i="46"/>
  <c r="BA28" i="46" s="1"/>
  <c r="BH29" i="46"/>
  <c r="AW30" i="46"/>
  <c r="BA30" i="46" s="1"/>
  <c r="AW29" i="46"/>
  <c r="BA29" i="46" s="1"/>
  <c r="AW31" i="46"/>
  <c r="BA31" i="46" s="1"/>
  <c r="AW32" i="46"/>
  <c r="BA32" i="46" s="1"/>
  <c r="AW33" i="46"/>
  <c r="BA33" i="46" s="1"/>
  <c r="AJ76" i="47"/>
  <c r="P62" i="58" s="1"/>
  <c r="Y77" i="47"/>
  <c r="E63" i="58" s="1"/>
  <c r="Y53" i="47"/>
  <c r="E63" i="54" s="1"/>
  <c r="AS53" i="47"/>
  <c r="E63" i="55" s="1"/>
  <c r="M78" i="46"/>
  <c r="L44" i="57" s="1"/>
  <c r="M54" i="46"/>
  <c r="L44" i="56" s="1"/>
  <c r="Z29" i="47"/>
  <c r="H54" i="47"/>
  <c r="G64" i="56" s="1"/>
  <c r="H78" i="47"/>
  <c r="G64" i="57" s="1"/>
  <c r="AA54" i="47"/>
  <c r="G64" i="54" s="1"/>
  <c r="AD53" i="44"/>
  <c r="J23" i="54" s="1"/>
  <c r="AD77" i="44"/>
  <c r="J23" i="58" s="1"/>
  <c r="AX53" i="44"/>
  <c r="J23" i="55" s="1"/>
  <c r="J78" i="46"/>
  <c r="I44" i="57" s="1"/>
  <c r="J54" i="46"/>
  <c r="I44" i="56" s="1"/>
  <c r="AB77" i="47"/>
  <c r="H63" i="58" s="1"/>
  <c r="AB53" i="47"/>
  <c r="H63" i="54" s="1"/>
  <c r="AV53" i="47"/>
  <c r="H63" i="55" s="1"/>
  <c r="G78" i="46"/>
  <c r="F44" i="57" s="1"/>
  <c r="G54" i="46"/>
  <c r="F44" i="56" s="1"/>
  <c r="AD77" i="46"/>
  <c r="J43" i="58" s="1"/>
  <c r="AD53" i="46"/>
  <c r="J43" i="54" s="1"/>
  <c r="AX53" i="46"/>
  <c r="G78" i="44"/>
  <c r="F24" i="57" s="1"/>
  <c r="AA77" i="46"/>
  <c r="G43" i="58" s="1"/>
  <c r="AU53" i="46"/>
  <c r="AG29" i="46"/>
  <c r="BI69" i="46"/>
  <c r="BI68" i="46"/>
  <c r="AE29" i="46"/>
  <c r="AH29" i="46"/>
  <c r="D78" i="47"/>
  <c r="C64" i="57" s="1"/>
  <c r="Q30" i="47"/>
  <c r="D54" i="47"/>
  <c r="C64" i="56" s="1"/>
  <c r="Y29" i="46"/>
  <c r="X53" i="46"/>
  <c r="D43" i="54" s="1"/>
  <c r="X77" i="46"/>
  <c r="D43" i="58" s="1"/>
  <c r="AR53" i="46"/>
  <c r="AJ52" i="46"/>
  <c r="Z53" i="47"/>
  <c r="F63" i="54" s="1"/>
  <c r="Z77" i="47"/>
  <c r="F63" i="58" s="1"/>
  <c r="AT53" i="47"/>
  <c r="F63" i="55" s="1"/>
  <c r="I8" i="46"/>
  <c r="H46" i="51" s="1"/>
  <c r="I31" i="46"/>
  <c r="H45" i="53" s="1"/>
  <c r="H31" i="47"/>
  <c r="G65" i="53" s="1"/>
  <c r="H8" i="47"/>
  <c r="G66" i="51" s="1"/>
  <c r="BW31" i="47"/>
  <c r="BK67" i="47" s="1"/>
  <c r="J31" i="46"/>
  <c r="I45" i="53" s="1"/>
  <c r="J8" i="46"/>
  <c r="I46" i="51" s="1"/>
  <c r="E78" i="47"/>
  <c r="D64" i="57" s="1"/>
  <c r="E54" i="47"/>
  <c r="D64" i="56" s="1"/>
  <c r="K78" i="46"/>
  <c r="J44" i="57" s="1"/>
  <c r="CA30" i="46"/>
  <c r="AC53" i="47"/>
  <c r="I63" i="54" s="1"/>
  <c r="AC77" i="47"/>
  <c r="I63" i="58" s="1"/>
  <c r="AW53" i="47"/>
  <c r="I63" i="55" s="1"/>
  <c r="AJ28" i="46"/>
  <c r="W77" i="46"/>
  <c r="C43" i="58" s="1"/>
  <c r="Q53" i="46"/>
  <c r="P43" i="56" s="1"/>
  <c r="W53" i="46"/>
  <c r="C43" i="54" s="1"/>
  <c r="AQ53" i="46"/>
  <c r="AS53" i="44"/>
  <c r="E23" i="55" s="1"/>
  <c r="Y77" i="44"/>
  <c r="E23" i="58" s="1"/>
  <c r="Y53" i="44"/>
  <c r="E23" i="54" s="1"/>
  <c r="BH29" i="44"/>
  <c r="AW28" i="44"/>
  <c r="BA28" i="44" s="1"/>
  <c r="AW29" i="44"/>
  <c r="BA29" i="44" s="1"/>
  <c r="AW30" i="44"/>
  <c r="BA30" i="44" s="1"/>
  <c r="AW32" i="44"/>
  <c r="BA32" i="44" s="1"/>
  <c r="AW31" i="44"/>
  <c r="BA31" i="44" s="1"/>
  <c r="AW33" i="44"/>
  <c r="BA33" i="44" s="1"/>
  <c r="AW34" i="44"/>
  <c r="BA34" i="44" s="1"/>
  <c r="Q77" i="44"/>
  <c r="P23" i="57" s="1"/>
  <c r="Y77" i="46"/>
  <c r="E43" i="58" s="1"/>
  <c r="Y53" i="46"/>
  <c r="E43" i="54" s="1"/>
  <c r="AS53" i="46"/>
  <c r="AJ76" i="46"/>
  <c r="P42" i="58" s="1"/>
  <c r="F78" i="47"/>
  <c r="E64" i="57" s="1"/>
  <c r="F54" i="47"/>
  <c r="E64" i="56" s="1"/>
  <c r="I78" i="46"/>
  <c r="H44" i="57" s="1"/>
  <c r="I54" i="46"/>
  <c r="H44" i="56" s="1"/>
  <c r="I78" i="47"/>
  <c r="H64" i="57" s="1"/>
  <c r="I54" i="47"/>
  <c r="H64" i="56" s="1"/>
  <c r="M78" i="44"/>
  <c r="L24" i="57" s="1"/>
  <c r="BJ5" i="47"/>
  <c r="BK5" i="47" s="1"/>
  <c r="BL5" i="47" s="1"/>
  <c r="P5" i="47" s="1"/>
  <c r="O63" i="51" s="1"/>
  <c r="D52" i="43"/>
  <c r="W76" i="43" s="1"/>
  <c r="D76" i="43"/>
  <c r="BD52" i="44"/>
  <c r="P22" i="55" s="1"/>
  <c r="AT53" i="46"/>
  <c r="Z77" i="46"/>
  <c r="F43" i="58" s="1"/>
  <c r="Z53" i="46"/>
  <c r="F43" i="54" s="1"/>
  <c r="E78" i="44"/>
  <c r="D24" i="57" s="1"/>
  <c r="Q77" i="46"/>
  <c r="P43" i="57" s="1"/>
  <c r="BI68" i="44"/>
  <c r="BI69" i="44"/>
  <c r="AG29" i="44"/>
  <c r="AH29" i="44"/>
  <c r="AE29" i="44"/>
  <c r="AC29" i="44"/>
  <c r="AT29" i="44"/>
  <c r="BI62" i="44" s="1"/>
  <c r="AF29" i="47"/>
  <c r="F31" i="47"/>
  <c r="E65" i="53" s="1"/>
  <c r="F8" i="47"/>
  <c r="E66" i="51" s="1"/>
  <c r="G78" i="47"/>
  <c r="F64" i="57" s="1"/>
  <c r="G54" i="47"/>
  <c r="F64" i="56" s="1"/>
  <c r="I31" i="47"/>
  <c r="H65" i="53" s="1"/>
  <c r="I8" i="47"/>
  <c r="H66" i="51" s="1"/>
  <c r="M31" i="44"/>
  <c r="M8" i="44"/>
  <c r="L26" i="51" s="1"/>
  <c r="AW31" i="47"/>
  <c r="BA31" i="47" s="1"/>
  <c r="AW29" i="47"/>
  <c r="BA29" i="47" s="1"/>
  <c r="BH29" i="47"/>
  <c r="AW30" i="47"/>
  <c r="BA30" i="47" s="1"/>
  <c r="AW28" i="47"/>
  <c r="BA28" i="47" s="1"/>
  <c r="AW32" i="47"/>
  <c r="BA32" i="47" s="1"/>
  <c r="AW33" i="47"/>
  <c r="BA33" i="47" s="1"/>
  <c r="BA34" i="47"/>
  <c r="AP36" i="47"/>
  <c r="AZ35" i="47"/>
  <c r="AX35" i="47"/>
  <c r="AW35" i="47"/>
  <c r="O84" i="47"/>
  <c r="N70" i="57" s="1"/>
  <c r="N10" i="57" s="1"/>
  <c r="O60" i="47"/>
  <c r="N70" i="56" s="1"/>
  <c r="N10" i="56" s="1"/>
  <c r="N84" i="47"/>
  <c r="M70" i="57" s="1"/>
  <c r="C86" i="47"/>
  <c r="B72" i="57" s="1"/>
  <c r="V38" i="47"/>
  <c r="V86" i="47" s="1"/>
  <c r="B72" i="58" s="1"/>
  <c r="AU15" i="47"/>
  <c r="C73" i="52" s="1"/>
  <c r="B63" i="47"/>
  <c r="B39" i="47"/>
  <c r="A73" i="53" s="1"/>
  <c r="B16" i="47"/>
  <c r="A74" i="51" s="1"/>
  <c r="U15" i="47"/>
  <c r="AO15" i="47" s="1"/>
  <c r="L37" i="47"/>
  <c r="L14" i="47"/>
  <c r="K72" i="51" s="1"/>
  <c r="AH83" i="47"/>
  <c r="N69" i="58" s="1"/>
  <c r="N9" i="58" s="1"/>
  <c r="AH59" i="47"/>
  <c r="BB59" i="47"/>
  <c r="N69" i="55" s="1"/>
  <c r="AE83" i="47"/>
  <c r="K69" i="58" s="1"/>
  <c r="AE59" i="47"/>
  <c r="AY59" i="47"/>
  <c r="K69" i="55" s="1"/>
  <c r="L84" i="47"/>
  <c r="K70" i="57" s="1"/>
  <c r="B86" i="47"/>
  <c r="A72" i="57" s="1"/>
  <c r="U38" i="47"/>
  <c r="U86" i="47" s="1"/>
  <c r="A72" i="58" s="1"/>
  <c r="AG83" i="47"/>
  <c r="M69" i="58" s="1"/>
  <c r="AG59" i="47"/>
  <c r="BA59" i="47"/>
  <c r="M69" i="55" s="1"/>
  <c r="BX37" i="47"/>
  <c r="N37" i="47"/>
  <c r="N14" i="47"/>
  <c r="M72" i="51" s="1"/>
  <c r="C63" i="47"/>
  <c r="C39" i="47"/>
  <c r="B73" i="53" s="1"/>
  <c r="C16" i="47"/>
  <c r="B74" i="51" s="1"/>
  <c r="V15" i="47"/>
  <c r="AP15" i="47" s="1"/>
  <c r="O37" i="47"/>
  <c r="N71" i="53" s="1"/>
  <c r="O14" i="47"/>
  <c r="N72" i="51" s="1"/>
  <c r="N12" i="51" s="1"/>
  <c r="BA34" i="46"/>
  <c r="C85" i="46"/>
  <c r="B51" i="57" s="1"/>
  <c r="V37" i="46"/>
  <c r="V85" i="46" s="1"/>
  <c r="B51" i="58" s="1"/>
  <c r="L85" i="46"/>
  <c r="K51" i="57" s="1"/>
  <c r="AE84" i="46"/>
  <c r="K50" i="58" s="1"/>
  <c r="AE60" i="46"/>
  <c r="AY60" i="46"/>
  <c r="AX35" i="46"/>
  <c r="AW35" i="46"/>
  <c r="AZ35" i="46"/>
  <c r="AP36" i="46"/>
  <c r="B84" i="46"/>
  <c r="A50" i="57" s="1"/>
  <c r="U36" i="46"/>
  <c r="U84" i="46" s="1"/>
  <c r="A50" i="58" s="1"/>
  <c r="O38" i="46"/>
  <c r="N52" i="53" s="1"/>
  <c r="O15" i="46"/>
  <c r="N53" i="51" s="1"/>
  <c r="L38" i="46"/>
  <c r="L15" i="46"/>
  <c r="K53" i="51" s="1"/>
  <c r="AG83" i="46"/>
  <c r="M49" i="58" s="1"/>
  <c r="AG59" i="46"/>
  <c r="BA59" i="46"/>
  <c r="B61" i="46"/>
  <c r="B37" i="46"/>
  <c r="A51" i="53" s="1"/>
  <c r="B14" i="46"/>
  <c r="A52" i="51" s="1"/>
  <c r="U13" i="46"/>
  <c r="AO13" i="46" s="1"/>
  <c r="O85" i="46"/>
  <c r="N51" i="57" s="1"/>
  <c r="O61" i="46"/>
  <c r="N51" i="56" s="1"/>
  <c r="C62" i="46"/>
  <c r="C38" i="46"/>
  <c r="B52" i="53" s="1"/>
  <c r="V14" i="46"/>
  <c r="AP14" i="46" s="1"/>
  <c r="C15" i="46"/>
  <c r="B53" i="51" s="1"/>
  <c r="BX37" i="46"/>
  <c r="N37" i="46"/>
  <c r="N14" i="46"/>
  <c r="M52" i="51" s="1"/>
  <c r="AH84" i="46"/>
  <c r="N50" i="58" s="1"/>
  <c r="AH60" i="46"/>
  <c r="BB60" i="46"/>
  <c r="BL37" i="46"/>
  <c r="BN36" i="46"/>
  <c r="AU14" i="46"/>
  <c r="C52" i="52" s="1"/>
  <c r="C12" i="52" s="1"/>
  <c r="BD13" i="46"/>
  <c r="J51" i="52" s="1"/>
  <c r="J11" i="52" s="1"/>
  <c r="N84" i="46"/>
  <c r="M50" i="57" s="1"/>
  <c r="BQ35" i="46"/>
  <c r="BT35" i="46"/>
  <c r="BA36" i="44"/>
  <c r="AG85" i="44"/>
  <c r="M31" i="58" s="1"/>
  <c r="AG61" i="44"/>
  <c r="M31" i="54" s="1"/>
  <c r="BA61" i="44"/>
  <c r="M31" i="55" s="1"/>
  <c r="AE83" i="44"/>
  <c r="K29" i="58" s="1"/>
  <c r="AE59" i="44"/>
  <c r="K29" i="54" s="1"/>
  <c r="AY59" i="44"/>
  <c r="K29" i="55" s="1"/>
  <c r="O38" i="44"/>
  <c r="O15" i="44"/>
  <c r="N33" i="51" s="1"/>
  <c r="O85" i="44"/>
  <c r="N31" i="57" s="1"/>
  <c r="C33" i="52"/>
  <c r="L37" i="44"/>
  <c r="L14" i="44"/>
  <c r="K32" i="51" s="1"/>
  <c r="AW37" i="44"/>
  <c r="AP38" i="44"/>
  <c r="AZ37" i="44"/>
  <c r="AX37" i="44"/>
  <c r="L84" i="44"/>
  <c r="K30" i="57" s="1"/>
  <c r="AH84" i="44"/>
  <c r="N30" i="58" s="1"/>
  <c r="AH60" i="44"/>
  <c r="N30" i="54" s="1"/>
  <c r="BB60" i="44"/>
  <c r="N30" i="55" s="1"/>
  <c r="BL37" i="44"/>
  <c r="BM37" i="44" s="1"/>
  <c r="BN36" i="44"/>
  <c r="BQ35" i="44"/>
  <c r="BT35" i="44"/>
  <c r="CA28" i="43"/>
  <c r="BW29" i="43"/>
  <c r="BI67" i="43" s="1"/>
  <c r="AA52" i="43"/>
  <c r="E6" i="43"/>
  <c r="E29" i="43"/>
  <c r="BQ33" i="43"/>
  <c r="BT33" i="43"/>
  <c r="M6" i="43"/>
  <c r="M29" i="43"/>
  <c r="H6" i="43"/>
  <c r="H29" i="43"/>
  <c r="I6" i="43"/>
  <c r="I29" i="43"/>
  <c r="J6" i="43"/>
  <c r="J29" i="43"/>
  <c r="K6" i="43"/>
  <c r="K29" i="43"/>
  <c r="K53" i="43" s="1"/>
  <c r="O7" i="43"/>
  <c r="O30" i="43"/>
  <c r="G6" i="43"/>
  <c r="G29" i="43"/>
  <c r="F6" i="43"/>
  <c r="F29" i="43"/>
  <c r="L7" i="43"/>
  <c r="L30" i="43"/>
  <c r="L54" i="43" s="1"/>
  <c r="N7" i="43"/>
  <c r="N30" i="43"/>
  <c r="N54" i="43" s="1"/>
  <c r="AY5" i="43"/>
  <c r="BL35" i="43"/>
  <c r="BM35" i="43" s="1"/>
  <c r="BN34" i="43"/>
  <c r="AX5" i="43"/>
  <c r="AZ5" i="43"/>
  <c r="BA5" i="43"/>
  <c r="AW5" i="43"/>
  <c r="AV5" i="43"/>
  <c r="BD4" i="43"/>
  <c r="AZ36" i="43"/>
  <c r="AP37" i="43"/>
  <c r="AW37" i="43" s="1"/>
  <c r="AX36" i="43"/>
  <c r="G13" i="27"/>
  <c r="N4" i="27"/>
  <c r="N3" i="27" s="1"/>
  <c r="M4" i="27"/>
  <c r="M15" i="27"/>
  <c r="N15" i="27"/>
  <c r="L15" i="27"/>
  <c r="L14" i="27"/>
  <c r="N5" i="27"/>
  <c r="M5" i="27"/>
  <c r="L5" i="27"/>
  <c r="N13" i="27"/>
  <c r="M13" i="27"/>
  <c r="L13" i="27"/>
  <c r="N11" i="27"/>
  <c r="M11" i="27"/>
  <c r="L11" i="27"/>
  <c r="L4" i="27"/>
  <c r="N2" i="27"/>
  <c r="M3" i="27"/>
  <c r="L3" i="27"/>
  <c r="M2" i="27"/>
  <c r="L9" i="27"/>
  <c r="L2" i="27"/>
  <c r="N12" i="27"/>
  <c r="M12" i="27"/>
  <c r="L12" i="27"/>
  <c r="M10" i="27"/>
  <c r="L10" i="27"/>
  <c r="M9" i="27"/>
  <c r="L6" i="27"/>
  <c r="N8" i="27"/>
  <c r="M8" i="27"/>
  <c r="L8" i="27"/>
  <c r="N7" i="27"/>
  <c r="M7" i="27"/>
  <c r="L7" i="27"/>
  <c r="N6" i="27"/>
  <c r="M6" i="27"/>
  <c r="B14" i="21"/>
  <c r="B15" i="21"/>
  <c r="B16" i="21"/>
  <c r="B17" i="21"/>
  <c r="H9" i="27"/>
  <c r="H12" i="27"/>
  <c r="B10" i="21"/>
  <c r="I2" i="27"/>
  <c r="J15" i="27"/>
  <c r="I15" i="27"/>
  <c r="E15" i="27"/>
  <c r="F15" i="27"/>
  <c r="J14" i="27"/>
  <c r="H14" i="27" s="1"/>
  <c r="J5" i="27"/>
  <c r="E5" i="27"/>
  <c r="J13" i="27"/>
  <c r="F13" i="27"/>
  <c r="E13" i="27"/>
  <c r="J11" i="27"/>
  <c r="J4" i="27"/>
  <c r="E4" i="27"/>
  <c r="J3" i="27"/>
  <c r="E3" i="27"/>
  <c r="J10" i="27"/>
  <c r="J8" i="27"/>
  <c r="H8" i="27" s="1"/>
  <c r="J7" i="27"/>
  <c r="J6" i="27"/>
  <c r="J2" i="27"/>
  <c r="B12" i="21"/>
  <c r="F2" i="27"/>
  <c r="E2" i="27"/>
  <c r="I6" i="27"/>
  <c r="G6" i="27"/>
  <c r="F6" i="27"/>
  <c r="E6" i="27"/>
  <c r="G12" i="27"/>
  <c r="F12" i="27"/>
  <c r="E12" i="27"/>
  <c r="I10" i="27"/>
  <c r="G10" i="27"/>
  <c r="G9" i="27"/>
  <c r="I7" i="27"/>
  <c r="H7" i="27" s="1"/>
  <c r="G7" i="27"/>
  <c r="F7" i="27"/>
  <c r="E7" i="27"/>
  <c r="AL64" i="43" l="1"/>
  <c r="E13" i="60"/>
  <c r="AA85" i="48"/>
  <c r="G91" i="58" s="1"/>
  <c r="J2" i="60"/>
  <c r="D2" i="60"/>
  <c r="L2" i="60"/>
  <c r="H2" i="60"/>
  <c r="P4" i="51"/>
  <c r="P65" i="51"/>
  <c r="P25" i="51"/>
  <c r="P25" i="59"/>
  <c r="AJ11" i="48"/>
  <c r="P89" i="59" s="1"/>
  <c r="O89" i="59"/>
  <c r="P45" i="51"/>
  <c r="P92" i="51"/>
  <c r="P132" i="51"/>
  <c r="P112" i="51"/>
  <c r="AU61" i="48"/>
  <c r="G91" i="55" s="1"/>
  <c r="N9" i="55"/>
  <c r="AV19" i="50"/>
  <c r="BD19" i="50" s="1"/>
  <c r="J137" i="52" s="1"/>
  <c r="D136" i="52"/>
  <c r="BL55" i="49"/>
  <c r="H62" i="48"/>
  <c r="G92" i="56" s="1"/>
  <c r="AA62" i="48"/>
  <c r="G92" i="54" s="1"/>
  <c r="H86" i="48"/>
  <c r="G92" i="57" s="1"/>
  <c r="H16" i="48"/>
  <c r="G94" i="51" s="1"/>
  <c r="H39" i="48"/>
  <c r="G93" i="53" s="1"/>
  <c r="AB85" i="48"/>
  <c r="H91" i="58" s="1"/>
  <c r="J39" i="48"/>
  <c r="I93" i="53" s="1"/>
  <c r="AQ61" i="48"/>
  <c r="C91" i="55" s="1"/>
  <c r="W61" i="48"/>
  <c r="C91" i="54" s="1"/>
  <c r="W85" i="48"/>
  <c r="C91" i="58" s="1"/>
  <c r="J16" i="48"/>
  <c r="I94" i="51" s="1"/>
  <c r="D62" i="48"/>
  <c r="C92" i="56" s="1"/>
  <c r="AB61" i="48"/>
  <c r="H91" i="54" s="1"/>
  <c r="D39" i="48"/>
  <c r="C93" i="53" s="1"/>
  <c r="AW61" i="48"/>
  <c r="I91" i="55" s="1"/>
  <c r="AC61" i="48"/>
  <c r="I91" i="54" s="1"/>
  <c r="AV61" i="48"/>
  <c r="H91" i="55" s="1"/>
  <c r="D86" i="48"/>
  <c r="C92" i="57" s="1"/>
  <c r="J62" i="48"/>
  <c r="I92" i="56" s="1"/>
  <c r="AC85" i="48"/>
  <c r="I91" i="58" s="1"/>
  <c r="J86" i="48"/>
  <c r="I92" i="57" s="1"/>
  <c r="D16" i="48"/>
  <c r="C94" i="51" s="1"/>
  <c r="I16" i="48"/>
  <c r="H94" i="51" s="1"/>
  <c r="I86" i="48"/>
  <c r="H92" i="57" s="1"/>
  <c r="I39" i="48"/>
  <c r="H93" i="53" s="1"/>
  <c r="I62" i="48"/>
  <c r="H92" i="56" s="1"/>
  <c r="BA18" i="48"/>
  <c r="I95" i="52"/>
  <c r="AZ18" i="48"/>
  <c r="H95" i="52"/>
  <c r="AV18" i="48"/>
  <c r="D95" i="52"/>
  <c r="AX18" i="48"/>
  <c r="F95" i="52"/>
  <c r="AY18" i="48"/>
  <c r="G95" i="52"/>
  <c r="AW18" i="48"/>
  <c r="E95" i="52"/>
  <c r="M10" i="57"/>
  <c r="K12" i="51"/>
  <c r="M10" i="53"/>
  <c r="K10" i="53"/>
  <c r="M12" i="51"/>
  <c r="K10" i="57"/>
  <c r="AW16" i="47"/>
  <c r="E73" i="52"/>
  <c r="BA16" i="47"/>
  <c r="I73" i="52"/>
  <c r="AX16" i="47"/>
  <c r="F73" i="52"/>
  <c r="AY16" i="47"/>
  <c r="G73" i="52"/>
  <c r="M10" i="56"/>
  <c r="AZ15" i="47"/>
  <c r="BD15" i="47" s="1"/>
  <c r="J73" i="52" s="1"/>
  <c r="H72" i="52"/>
  <c r="H12" i="52" s="1"/>
  <c r="AV16" i="47"/>
  <c r="D73" i="52"/>
  <c r="K9" i="54"/>
  <c r="D12" i="52"/>
  <c r="G12" i="52"/>
  <c r="AW16" i="46"/>
  <c r="E53" i="52"/>
  <c r="AV16" i="46"/>
  <c r="D53" i="52"/>
  <c r="BA16" i="46"/>
  <c r="I53" i="52"/>
  <c r="AY16" i="46"/>
  <c r="G53" i="52"/>
  <c r="I12" i="52"/>
  <c r="AZ16" i="46"/>
  <c r="H53" i="52"/>
  <c r="AX16" i="46"/>
  <c r="F53" i="52"/>
  <c r="F12" i="52"/>
  <c r="N16" i="44"/>
  <c r="M34" i="51" s="1"/>
  <c r="N39" i="44"/>
  <c r="N63" i="44" s="1"/>
  <c r="M33" i="56" s="1"/>
  <c r="M32" i="53"/>
  <c r="BX39" i="44"/>
  <c r="N86" i="44"/>
  <c r="M32" i="57" s="1"/>
  <c r="AX16" i="44"/>
  <c r="F33" i="52"/>
  <c r="AZ16" i="44"/>
  <c r="H33" i="52"/>
  <c r="AW15" i="44"/>
  <c r="BD15" i="44" s="1"/>
  <c r="J33" i="52" s="1"/>
  <c r="E32" i="52"/>
  <c r="E12" i="52" s="1"/>
  <c r="AY16" i="44"/>
  <c r="G33" i="52"/>
  <c r="BA16" i="44"/>
  <c r="I33" i="52"/>
  <c r="AV16" i="44"/>
  <c r="D33" i="52"/>
  <c r="BL63" i="49"/>
  <c r="H53" i="43"/>
  <c r="AA77" i="43" s="1"/>
  <c r="AP61" i="44"/>
  <c r="B31" i="55" s="1"/>
  <c r="BI14" i="46"/>
  <c r="B52" i="52"/>
  <c r="U61" i="46"/>
  <c r="AO61" i="46" s="1"/>
  <c r="A51" i="56"/>
  <c r="U64" i="48"/>
  <c r="A94" i="56"/>
  <c r="BH18" i="49"/>
  <c r="A116" i="52"/>
  <c r="A33" i="51"/>
  <c r="B39" i="44"/>
  <c r="U15" i="44"/>
  <c r="AO15" i="44" s="1"/>
  <c r="B16" i="44"/>
  <c r="B63" i="44"/>
  <c r="AP65" i="49"/>
  <c r="B115" i="55" s="1"/>
  <c r="B115" i="54"/>
  <c r="BI14" i="44"/>
  <c r="B32" i="52"/>
  <c r="AP62" i="47"/>
  <c r="B72" i="55" s="1"/>
  <c r="B72" i="54"/>
  <c r="B33" i="51"/>
  <c r="C39" i="44"/>
  <c r="C16" i="44"/>
  <c r="C63" i="44"/>
  <c r="V15" i="44"/>
  <c r="AP15" i="44" s="1"/>
  <c r="U66" i="50"/>
  <c r="A136" i="56"/>
  <c r="B51" i="54"/>
  <c r="B51" i="55"/>
  <c r="B32" i="56"/>
  <c r="V62" i="44"/>
  <c r="B32" i="54" s="1"/>
  <c r="AO62" i="47"/>
  <c r="A72" i="55" s="1"/>
  <c r="A72" i="54"/>
  <c r="BQ47" i="47"/>
  <c r="BT47" i="47"/>
  <c r="V63" i="47"/>
  <c r="B73" i="56"/>
  <c r="A32" i="53"/>
  <c r="U38" i="44"/>
  <c r="U86" i="44" s="1"/>
  <c r="A32" i="58" s="1"/>
  <c r="B86" i="44"/>
  <c r="A32" i="57" s="1"/>
  <c r="BH15" i="47"/>
  <c r="A73" i="52"/>
  <c r="BI15" i="48"/>
  <c r="B93" i="52"/>
  <c r="U66" i="49"/>
  <c r="A116" i="56"/>
  <c r="BI17" i="50"/>
  <c r="B135" i="52"/>
  <c r="G121" i="31"/>
  <c r="BM47" i="49"/>
  <c r="BN47" i="49" s="1"/>
  <c r="B32" i="53"/>
  <c r="V38" i="44"/>
  <c r="V86" i="44" s="1"/>
  <c r="B32" i="58" s="1"/>
  <c r="C86" i="44"/>
  <c r="B32" i="57" s="1"/>
  <c r="BH13" i="46"/>
  <c r="A51" i="52"/>
  <c r="BI18" i="49"/>
  <c r="B116" i="52"/>
  <c r="BA39" i="50"/>
  <c r="AP64" i="50"/>
  <c r="B134" i="55" s="1"/>
  <c r="B134" i="54"/>
  <c r="AO65" i="50"/>
  <c r="A135" i="55" s="1"/>
  <c r="A135" i="54"/>
  <c r="BT46" i="49"/>
  <c r="BQ46" i="49"/>
  <c r="G101" i="31"/>
  <c r="BM47" i="48"/>
  <c r="BN47" i="48" s="1"/>
  <c r="A50" i="55"/>
  <c r="A50" i="54"/>
  <c r="V62" i="46"/>
  <c r="AP62" i="46" s="1"/>
  <c r="B52" i="56"/>
  <c r="AO63" i="48"/>
  <c r="A93" i="55" s="1"/>
  <c r="A93" i="54"/>
  <c r="BH16" i="48"/>
  <c r="A94" i="52"/>
  <c r="V65" i="50"/>
  <c r="B135" i="56"/>
  <c r="BT46" i="48"/>
  <c r="BQ46" i="48"/>
  <c r="BQ46" i="50"/>
  <c r="BT46" i="50"/>
  <c r="V63" i="48"/>
  <c r="B93" i="56"/>
  <c r="BH14" i="44"/>
  <c r="A32" i="52"/>
  <c r="AP62" i="48"/>
  <c r="B92" i="55" s="1"/>
  <c r="B92" i="54"/>
  <c r="BM47" i="50"/>
  <c r="BN47" i="50" s="1"/>
  <c r="G141" i="31"/>
  <c r="BI15" i="47"/>
  <c r="B73" i="52"/>
  <c r="U63" i="47"/>
  <c r="A73" i="56"/>
  <c r="V66" i="49"/>
  <c r="B116" i="56"/>
  <c r="BH18" i="50"/>
  <c r="A136" i="52"/>
  <c r="A32" i="56"/>
  <c r="U62" i="44"/>
  <c r="A32" i="54" s="1"/>
  <c r="AO61" i="44"/>
  <c r="A31" i="55" s="1"/>
  <c r="AO65" i="49"/>
  <c r="A115" i="55" s="1"/>
  <c r="A115" i="54"/>
  <c r="N9" i="54"/>
  <c r="K9" i="58"/>
  <c r="J4" i="56"/>
  <c r="BM55" i="49"/>
  <c r="BM63" i="49"/>
  <c r="AS37" i="50"/>
  <c r="BQ61" i="50" s="1"/>
  <c r="K9" i="55"/>
  <c r="M9" i="58"/>
  <c r="K71" i="53"/>
  <c r="L61" i="47"/>
  <c r="K71" i="56" s="1"/>
  <c r="BM63" i="48"/>
  <c r="K52" i="53"/>
  <c r="L62" i="46"/>
  <c r="K52" i="56" s="1"/>
  <c r="K50" i="55"/>
  <c r="M115" i="53"/>
  <c r="N65" i="49"/>
  <c r="M115" i="56" s="1"/>
  <c r="M51" i="53"/>
  <c r="N61" i="46"/>
  <c r="M51" i="56" s="1"/>
  <c r="O62" i="44"/>
  <c r="N32" i="56" s="1"/>
  <c r="N32" i="53"/>
  <c r="K137" i="53"/>
  <c r="L67" i="50"/>
  <c r="K137" i="56" s="1"/>
  <c r="N11" i="53"/>
  <c r="M71" i="53"/>
  <c r="N61" i="47"/>
  <c r="M71" i="56" s="1"/>
  <c r="K93" i="53"/>
  <c r="L63" i="48"/>
  <c r="K93" i="56" s="1"/>
  <c r="K31" i="53"/>
  <c r="L61" i="44"/>
  <c r="K31" i="56" s="1"/>
  <c r="N50" i="55"/>
  <c r="M49" i="55"/>
  <c r="M9" i="55" s="1"/>
  <c r="M9" i="54"/>
  <c r="K115" i="53"/>
  <c r="L65" i="49"/>
  <c r="K115" i="56" s="1"/>
  <c r="M136" i="53"/>
  <c r="N66" i="50"/>
  <c r="M136" i="56" s="1"/>
  <c r="K10" i="56"/>
  <c r="BM55" i="48"/>
  <c r="M94" i="53"/>
  <c r="N64" i="48"/>
  <c r="M94" i="56" s="1"/>
  <c r="Z37" i="50"/>
  <c r="G4" i="56"/>
  <c r="P3" i="57"/>
  <c r="I4" i="57"/>
  <c r="J4" i="57"/>
  <c r="C3" i="58"/>
  <c r="W54" i="44"/>
  <c r="C24" i="54" s="1"/>
  <c r="E3" i="58"/>
  <c r="D6" i="51"/>
  <c r="AQ37" i="50"/>
  <c r="BQ59" i="50" s="1"/>
  <c r="I4" i="56"/>
  <c r="H3" i="58"/>
  <c r="W37" i="49"/>
  <c r="P111" i="53"/>
  <c r="J43" i="55"/>
  <c r="J3" i="55" s="1"/>
  <c r="J3" i="54"/>
  <c r="F55" i="44"/>
  <c r="E25" i="56" s="1"/>
  <c r="E25" i="53"/>
  <c r="E5" i="53" s="1"/>
  <c r="BO29" i="44"/>
  <c r="BI64" i="44" s="1"/>
  <c r="J55" i="44"/>
  <c r="I25" i="56" s="1"/>
  <c r="I25" i="53"/>
  <c r="I5" i="53" s="1"/>
  <c r="AI5" i="46"/>
  <c r="O43" i="51"/>
  <c r="O3" i="51" s="1"/>
  <c r="D91" i="56"/>
  <c r="AR61" i="48"/>
  <c r="D91" i="55" s="1"/>
  <c r="X85" i="48"/>
  <c r="D91" i="58" s="1"/>
  <c r="X61" i="48"/>
  <c r="D91" i="54" s="1"/>
  <c r="D92" i="53"/>
  <c r="E86" i="48"/>
  <c r="D92" i="57" s="1"/>
  <c r="E62" i="48"/>
  <c r="P3" i="56"/>
  <c r="AC37" i="49"/>
  <c r="D93" i="51"/>
  <c r="E39" i="48"/>
  <c r="E16" i="48"/>
  <c r="G6" i="51"/>
  <c r="K55" i="44"/>
  <c r="J25" i="56" s="1"/>
  <c r="J25" i="53"/>
  <c r="D3" i="58"/>
  <c r="E6" i="51"/>
  <c r="G4" i="57"/>
  <c r="BU29" i="44"/>
  <c r="BI66" i="44" s="1"/>
  <c r="H43" i="55"/>
  <c r="H3" i="55" s="1"/>
  <c r="H3" i="54"/>
  <c r="I6" i="51"/>
  <c r="BD58" i="48"/>
  <c r="P88" i="55" s="1"/>
  <c r="O88" i="55"/>
  <c r="BD58" i="49"/>
  <c r="P108" i="55" s="1"/>
  <c r="O108" i="55"/>
  <c r="E4" i="56"/>
  <c r="C4" i="56"/>
  <c r="F3" i="54"/>
  <c r="F43" i="55"/>
  <c r="F3" i="55" s="1"/>
  <c r="P2" i="58"/>
  <c r="F4" i="57"/>
  <c r="K55" i="46"/>
  <c r="J45" i="56" s="1"/>
  <c r="J45" i="53"/>
  <c r="H55" i="44"/>
  <c r="G25" i="56" s="1"/>
  <c r="G25" i="53"/>
  <c r="E55" i="44"/>
  <c r="D25" i="56" s="1"/>
  <c r="D25" i="53"/>
  <c r="D5" i="53" s="1"/>
  <c r="J6" i="51"/>
  <c r="L43" i="55"/>
  <c r="L3" i="55" s="1"/>
  <c r="L3" i="54"/>
  <c r="I3" i="58"/>
  <c r="C6" i="51"/>
  <c r="H4" i="57"/>
  <c r="AI5" i="44"/>
  <c r="P83" i="48"/>
  <c r="O89" i="57" s="1"/>
  <c r="O89" i="53"/>
  <c r="X37" i="49"/>
  <c r="AK59" i="49"/>
  <c r="BO58" i="49" s="1"/>
  <c r="P109" i="54"/>
  <c r="D4" i="56"/>
  <c r="J91" i="56"/>
  <c r="AX61" i="48"/>
  <c r="J91" i="55" s="1"/>
  <c r="AD85" i="48"/>
  <c r="J91" i="58" s="1"/>
  <c r="AD61" i="48"/>
  <c r="J91" i="54" s="1"/>
  <c r="AQ30" i="47"/>
  <c r="BJ59" i="47" s="1"/>
  <c r="P64" i="53"/>
  <c r="G3" i="58"/>
  <c r="H55" i="46"/>
  <c r="G45" i="56" s="1"/>
  <c r="G45" i="53"/>
  <c r="D43" i="55"/>
  <c r="D3" i="55" s="1"/>
  <c r="D3" i="54"/>
  <c r="D4" i="57"/>
  <c r="E43" i="55"/>
  <c r="E3" i="55" s="1"/>
  <c r="E3" i="54"/>
  <c r="J3" i="58"/>
  <c r="H6" i="51"/>
  <c r="L3" i="58"/>
  <c r="D55" i="44"/>
  <c r="C25" i="56" s="1"/>
  <c r="C25" i="53"/>
  <c r="C5" i="53" s="1"/>
  <c r="AB30" i="44"/>
  <c r="P24" i="53"/>
  <c r="P29" i="44"/>
  <c r="O23" i="53" s="1"/>
  <c r="P42" i="55"/>
  <c r="P2" i="55" s="1"/>
  <c r="P42" i="54"/>
  <c r="P2" i="54" s="1"/>
  <c r="BU36" i="48"/>
  <c r="BP66" i="48" s="1"/>
  <c r="O90" i="51"/>
  <c r="AF37" i="49"/>
  <c r="AD37" i="49"/>
  <c r="AB37" i="49"/>
  <c r="F4" i="56"/>
  <c r="J93" i="51"/>
  <c r="K39" i="48"/>
  <c r="K16" i="48"/>
  <c r="AC30" i="46"/>
  <c r="P44" i="53"/>
  <c r="H4" i="56"/>
  <c r="L6" i="51"/>
  <c r="C43" i="55"/>
  <c r="C3" i="55" s="1"/>
  <c r="C3" i="54"/>
  <c r="M55" i="44"/>
  <c r="L25" i="56" s="1"/>
  <c r="L25" i="53"/>
  <c r="L5" i="53" s="1"/>
  <c r="L4" i="57"/>
  <c r="F3" i="58"/>
  <c r="I55" i="44"/>
  <c r="H25" i="56" s="1"/>
  <c r="H25" i="53"/>
  <c r="H5" i="53" s="1"/>
  <c r="C4" i="57"/>
  <c r="F6" i="51"/>
  <c r="W37" i="50"/>
  <c r="AK59" i="50"/>
  <c r="BO58" i="50" s="1"/>
  <c r="P129" i="54"/>
  <c r="L4" i="56"/>
  <c r="K62" i="48"/>
  <c r="J92" i="53"/>
  <c r="K86" i="48"/>
  <c r="J92" i="57" s="1"/>
  <c r="I43" i="55"/>
  <c r="I3" i="55" s="1"/>
  <c r="I3" i="54"/>
  <c r="AC37" i="48"/>
  <c r="P91" i="53"/>
  <c r="Q54" i="44"/>
  <c r="P24" i="56" s="1"/>
  <c r="G43" i="55"/>
  <c r="G3" i="55" s="1"/>
  <c r="G3" i="54"/>
  <c r="K55" i="47"/>
  <c r="J65" i="56" s="1"/>
  <c r="J65" i="53"/>
  <c r="E4" i="57"/>
  <c r="G55" i="44"/>
  <c r="F25" i="56" s="1"/>
  <c r="F25" i="53"/>
  <c r="F5" i="53" s="1"/>
  <c r="BW39" i="48"/>
  <c r="BS67" i="48" s="1"/>
  <c r="L93" i="51"/>
  <c r="AK59" i="48"/>
  <c r="BO58" i="48" s="1"/>
  <c r="P89" i="54"/>
  <c r="AA37" i="50"/>
  <c r="P131" i="53"/>
  <c r="K62" i="49"/>
  <c r="J112" i="56" s="1"/>
  <c r="J112" i="53"/>
  <c r="BD57" i="50"/>
  <c r="P127" i="55" s="1"/>
  <c r="O127" i="55"/>
  <c r="K62" i="50"/>
  <c r="J132" i="56" s="1"/>
  <c r="J132" i="53"/>
  <c r="G4" i="53"/>
  <c r="P3" i="53"/>
  <c r="J4" i="53"/>
  <c r="AJ36" i="50"/>
  <c r="AC37" i="50"/>
  <c r="AF37" i="50"/>
  <c r="Y37" i="49"/>
  <c r="AJ84" i="50"/>
  <c r="P130" i="58" s="1"/>
  <c r="AJ36" i="49"/>
  <c r="AD37" i="50"/>
  <c r="AC85" i="50"/>
  <c r="I131" i="58" s="1"/>
  <c r="AC61" i="50"/>
  <c r="I131" i="54" s="1"/>
  <c r="AW61" i="50"/>
  <c r="I131" i="55" s="1"/>
  <c r="AJ60" i="50"/>
  <c r="Q85" i="50"/>
  <c r="P131" i="57" s="1"/>
  <c r="E86" i="50"/>
  <c r="D132" i="57" s="1"/>
  <c r="E62" i="50"/>
  <c r="D132" i="56" s="1"/>
  <c r="D86" i="50"/>
  <c r="C132" i="57" s="1"/>
  <c r="D62" i="50"/>
  <c r="C132" i="56" s="1"/>
  <c r="Q38" i="50"/>
  <c r="W38" i="50" s="1"/>
  <c r="AB85" i="50"/>
  <c r="H131" i="58" s="1"/>
  <c r="AB61" i="50"/>
  <c r="H131" i="54" s="1"/>
  <c r="AV61" i="50"/>
  <c r="H131" i="55" s="1"/>
  <c r="AJ11" i="49"/>
  <c r="P109" i="59" s="1"/>
  <c r="BC59" i="49"/>
  <c r="K86" i="49"/>
  <c r="J112" i="57" s="1"/>
  <c r="CA38" i="49"/>
  <c r="Z37" i="49"/>
  <c r="BQ69" i="49"/>
  <c r="BQ68" i="49"/>
  <c r="AE37" i="49"/>
  <c r="AT37" i="49"/>
  <c r="BQ62" i="49" s="1"/>
  <c r="AR37" i="49"/>
  <c r="BQ60" i="49" s="1"/>
  <c r="AH37" i="49"/>
  <c r="BJ13" i="49"/>
  <c r="BK13" i="49" s="1"/>
  <c r="BL13" i="49" s="1"/>
  <c r="P13" i="49" s="1"/>
  <c r="O111" i="51" s="1"/>
  <c r="AG37" i="49"/>
  <c r="M86" i="50"/>
  <c r="L132" i="57" s="1"/>
  <c r="M62" i="50"/>
  <c r="L132" i="56" s="1"/>
  <c r="Q15" i="49"/>
  <c r="BR39" i="49"/>
  <c r="BS65" i="49" s="1"/>
  <c r="D16" i="49"/>
  <c r="C114" i="51" s="1"/>
  <c r="D39" i="49"/>
  <c r="C113" i="53" s="1"/>
  <c r="AI35" i="49"/>
  <c r="P83" i="49"/>
  <c r="O109" i="57" s="1"/>
  <c r="Z85" i="50"/>
  <c r="F131" i="58" s="1"/>
  <c r="Z61" i="50"/>
  <c r="F131" i="54" s="1"/>
  <c r="AT61" i="50"/>
  <c r="F131" i="55" s="1"/>
  <c r="BC58" i="50"/>
  <c r="I39" i="50"/>
  <c r="H133" i="53" s="1"/>
  <c r="I16" i="50"/>
  <c r="H134" i="51" s="1"/>
  <c r="Q85" i="49"/>
  <c r="P111" i="57" s="1"/>
  <c r="P83" i="50"/>
  <c r="O129" i="57" s="1"/>
  <c r="AI35" i="50"/>
  <c r="AS37" i="49"/>
  <c r="BQ61" i="49" s="1"/>
  <c r="I86" i="49"/>
  <c r="H112" i="57" s="1"/>
  <c r="I62" i="49"/>
  <c r="H112" i="56" s="1"/>
  <c r="H39" i="49"/>
  <c r="G113" i="53" s="1"/>
  <c r="H16" i="49"/>
  <c r="G114" i="51" s="1"/>
  <c r="BW39" i="49"/>
  <c r="BS67" i="49" s="1"/>
  <c r="X85" i="49"/>
  <c r="D111" i="58" s="1"/>
  <c r="X61" i="49"/>
  <c r="D111" i="54" s="1"/>
  <c r="AR61" i="49"/>
  <c r="D111" i="55" s="1"/>
  <c r="J39" i="49"/>
  <c r="I113" i="53" s="1"/>
  <c r="J16" i="49"/>
  <c r="I114" i="51" s="1"/>
  <c r="AI12" i="49"/>
  <c r="O110" i="59" s="1"/>
  <c r="P36" i="49"/>
  <c r="O110" i="53" s="1"/>
  <c r="BO36" i="49"/>
  <c r="BP64" i="49" s="1"/>
  <c r="BU36" i="49"/>
  <c r="BP66" i="49" s="1"/>
  <c r="X85" i="50"/>
  <c r="D131" i="58" s="1"/>
  <c r="X61" i="50"/>
  <c r="D131" i="54" s="1"/>
  <c r="AR61" i="50"/>
  <c r="D131" i="55" s="1"/>
  <c r="Y61" i="50"/>
  <c r="E131" i="54" s="1"/>
  <c r="Y85" i="50"/>
  <c r="E131" i="58" s="1"/>
  <c r="AS61" i="50"/>
  <c r="E131" i="55" s="1"/>
  <c r="AD61" i="49"/>
  <c r="J111" i="54" s="1"/>
  <c r="AX61" i="49"/>
  <c r="J111" i="55" s="1"/>
  <c r="AD85" i="49"/>
  <c r="J111" i="58" s="1"/>
  <c r="AB85" i="49"/>
  <c r="H111" i="58" s="1"/>
  <c r="AB61" i="49"/>
  <c r="H111" i="54" s="1"/>
  <c r="AV61" i="49"/>
  <c r="H111" i="55" s="1"/>
  <c r="I86" i="50"/>
  <c r="H132" i="57" s="1"/>
  <c r="I62" i="50"/>
  <c r="H132" i="56" s="1"/>
  <c r="J39" i="50"/>
  <c r="I133" i="53" s="1"/>
  <c r="J16" i="50"/>
  <c r="I134" i="51" s="1"/>
  <c r="I39" i="49"/>
  <c r="H113" i="53" s="1"/>
  <c r="I16" i="49"/>
  <c r="H114" i="51" s="1"/>
  <c r="H86" i="49"/>
  <c r="G112" i="57" s="1"/>
  <c r="AA62" i="49"/>
  <c r="G112" i="54" s="1"/>
  <c r="H62" i="49"/>
  <c r="G112" i="56" s="1"/>
  <c r="W61" i="50"/>
  <c r="C131" i="54" s="1"/>
  <c r="W85" i="50"/>
  <c r="C131" i="58" s="1"/>
  <c r="Q61" i="50"/>
  <c r="P131" i="56" s="1"/>
  <c r="AQ61" i="50"/>
  <c r="C131" i="55" s="1"/>
  <c r="AJ11" i="50"/>
  <c r="P129" i="59" s="1"/>
  <c r="BC59" i="50"/>
  <c r="J86" i="49"/>
  <c r="I112" i="57" s="1"/>
  <c r="J62" i="49"/>
  <c r="I112" i="56" s="1"/>
  <c r="BP59" i="50"/>
  <c r="AU36" i="50"/>
  <c r="F39" i="50"/>
  <c r="E133" i="53" s="1"/>
  <c r="F16" i="50"/>
  <c r="E134" i="51" s="1"/>
  <c r="AA85" i="49"/>
  <c r="G111" i="58" s="1"/>
  <c r="AU61" i="49"/>
  <c r="G111" i="55" s="1"/>
  <c r="AD85" i="50"/>
  <c r="J131" i="58" s="1"/>
  <c r="AD61" i="50"/>
  <c r="J131" i="54" s="1"/>
  <c r="AX61" i="50"/>
  <c r="J131" i="55" s="1"/>
  <c r="G39" i="49"/>
  <c r="F113" i="53" s="1"/>
  <c r="G16" i="49"/>
  <c r="F114" i="51" s="1"/>
  <c r="J86" i="50"/>
  <c r="I132" i="57" s="1"/>
  <c r="J62" i="50"/>
  <c r="I132" i="56" s="1"/>
  <c r="Z85" i="49"/>
  <c r="F111" i="58" s="1"/>
  <c r="Z61" i="49"/>
  <c r="F111" i="54" s="1"/>
  <c r="AT61" i="49"/>
  <c r="F111" i="55" s="1"/>
  <c r="F86" i="49"/>
  <c r="E112" i="57" s="1"/>
  <c r="F62" i="49"/>
  <c r="E112" i="56" s="1"/>
  <c r="Q61" i="49"/>
  <c r="P111" i="56" s="1"/>
  <c r="AQ61" i="49"/>
  <c r="C111" i="55" s="1"/>
  <c r="W61" i="49"/>
  <c r="C111" i="54" s="1"/>
  <c r="W85" i="49"/>
  <c r="C111" i="58" s="1"/>
  <c r="M16" i="49"/>
  <c r="L114" i="51" s="1"/>
  <c r="M39" i="49"/>
  <c r="L113" i="53" s="1"/>
  <c r="AA62" i="50"/>
  <c r="G132" i="54" s="1"/>
  <c r="H62" i="50"/>
  <c r="G132" i="56" s="1"/>
  <c r="H86" i="50"/>
  <c r="G132" i="57" s="1"/>
  <c r="BO36" i="50"/>
  <c r="BP64" i="50" s="1"/>
  <c r="BU36" i="50"/>
  <c r="BP66" i="50" s="1"/>
  <c r="P36" i="50"/>
  <c r="O130" i="53" s="1"/>
  <c r="AI12" i="50"/>
  <c r="O130" i="59" s="1"/>
  <c r="G39" i="50"/>
  <c r="F133" i="53" s="1"/>
  <c r="G16" i="50"/>
  <c r="F134" i="51" s="1"/>
  <c r="F86" i="50"/>
  <c r="E132" i="57" s="1"/>
  <c r="F62" i="50"/>
  <c r="E132" i="56" s="1"/>
  <c r="G86" i="49"/>
  <c r="F112" i="57" s="1"/>
  <c r="G62" i="49"/>
  <c r="F112" i="56" s="1"/>
  <c r="F39" i="49"/>
  <c r="E113" i="53" s="1"/>
  <c r="F16" i="49"/>
  <c r="E114" i="51" s="1"/>
  <c r="M62" i="49"/>
  <c r="L112" i="56" s="1"/>
  <c r="M86" i="49"/>
  <c r="L112" i="57" s="1"/>
  <c r="H39" i="50"/>
  <c r="G133" i="53" s="1"/>
  <c r="H16" i="50"/>
  <c r="G134" i="51" s="1"/>
  <c r="BW39" i="50"/>
  <c r="BS67" i="50" s="1"/>
  <c r="AF61" i="49"/>
  <c r="L111" i="54" s="1"/>
  <c r="AZ61" i="49"/>
  <c r="L111" i="55" s="1"/>
  <c r="AF85" i="49"/>
  <c r="L111" i="58" s="1"/>
  <c r="G62" i="50"/>
  <c r="F132" i="56" s="1"/>
  <c r="G86" i="50"/>
  <c r="F132" i="57" s="1"/>
  <c r="AF85" i="50"/>
  <c r="L131" i="58" s="1"/>
  <c r="AF61" i="50"/>
  <c r="L131" i="54" s="1"/>
  <c r="AZ61" i="50"/>
  <c r="L131" i="55" s="1"/>
  <c r="E86" i="49"/>
  <c r="D112" i="57" s="1"/>
  <c r="E62" i="49"/>
  <c r="D112" i="56" s="1"/>
  <c r="AJ60" i="49"/>
  <c r="K39" i="50"/>
  <c r="K16" i="50"/>
  <c r="J134" i="51" s="1"/>
  <c r="AU36" i="49"/>
  <c r="BP59" i="49"/>
  <c r="X37" i="50"/>
  <c r="AR37" i="50"/>
  <c r="BQ60" i="50" s="1"/>
  <c r="AG37" i="50"/>
  <c r="BJ13" i="50"/>
  <c r="BK13" i="50" s="1"/>
  <c r="BL13" i="50" s="1"/>
  <c r="P13" i="50" s="1"/>
  <c r="O131" i="51" s="1"/>
  <c r="AT37" i="50"/>
  <c r="BQ62" i="50" s="1"/>
  <c r="AE37" i="50"/>
  <c r="BQ68" i="50"/>
  <c r="BQ69" i="50"/>
  <c r="AH37" i="50"/>
  <c r="E39" i="50"/>
  <c r="D133" i="53" s="1"/>
  <c r="E16" i="50"/>
  <c r="D134" i="51" s="1"/>
  <c r="D39" i="50"/>
  <c r="C133" i="53" s="1"/>
  <c r="D16" i="50"/>
  <c r="C134" i="51" s="1"/>
  <c r="BR39" i="50"/>
  <c r="BS65" i="50" s="1"/>
  <c r="Q15" i="50"/>
  <c r="AB37" i="50"/>
  <c r="K16" i="49"/>
  <c r="J114" i="51" s="1"/>
  <c r="K39" i="49"/>
  <c r="AQ37" i="49"/>
  <c r="Y85" i="49"/>
  <c r="E111" i="58" s="1"/>
  <c r="Y61" i="49"/>
  <c r="E111" i="54" s="1"/>
  <c r="AS61" i="49"/>
  <c r="E111" i="55" s="1"/>
  <c r="M39" i="50"/>
  <c r="L133" i="53" s="1"/>
  <c r="M16" i="50"/>
  <c r="L134" i="51" s="1"/>
  <c r="D86" i="49"/>
  <c r="C112" i="57" s="1"/>
  <c r="D62" i="49"/>
  <c r="C112" i="56" s="1"/>
  <c r="Q38" i="49"/>
  <c r="W38" i="49" s="1"/>
  <c r="E39" i="49"/>
  <c r="D113" i="53" s="1"/>
  <c r="E16" i="49"/>
  <c r="D114" i="51" s="1"/>
  <c r="AC61" i="49"/>
  <c r="I111" i="54" s="1"/>
  <c r="AC85" i="49"/>
  <c r="I111" i="58" s="1"/>
  <c r="AW61" i="49"/>
  <c r="I111" i="55" s="1"/>
  <c r="AJ84" i="49"/>
  <c r="P110" i="58" s="1"/>
  <c r="AA85" i="50"/>
  <c r="G131" i="58" s="1"/>
  <c r="AU61" i="50"/>
  <c r="G131" i="55" s="1"/>
  <c r="CA38" i="50"/>
  <c r="K86" i="50"/>
  <c r="J132" i="57" s="1"/>
  <c r="H77" i="43"/>
  <c r="BX31" i="43"/>
  <c r="K77" i="43"/>
  <c r="AI35" i="48"/>
  <c r="X37" i="48"/>
  <c r="BQ69" i="48"/>
  <c r="BQ68" i="48"/>
  <c r="AS37" i="48"/>
  <c r="BQ61" i="48" s="1"/>
  <c r="W37" i="48"/>
  <c r="AD37" i="48"/>
  <c r="AQ37" i="48"/>
  <c r="BQ59" i="48" s="1"/>
  <c r="AR37" i="48"/>
  <c r="BQ60" i="48" s="1"/>
  <c r="AG37" i="48"/>
  <c r="Z37" i="48"/>
  <c r="AE37" i="48"/>
  <c r="AB37" i="48"/>
  <c r="AF37" i="48"/>
  <c r="AT37" i="48"/>
  <c r="BQ62" i="48" s="1"/>
  <c r="AH37" i="48"/>
  <c r="Y37" i="48"/>
  <c r="BJ13" i="48"/>
  <c r="BK13" i="48" s="1"/>
  <c r="BL13" i="48" s="1"/>
  <c r="P13" i="48" s="1"/>
  <c r="AJ60" i="48"/>
  <c r="AA37" i="48"/>
  <c r="BR39" i="48"/>
  <c r="BS65" i="48" s="1"/>
  <c r="AU36" i="48"/>
  <c r="AJ36" i="48"/>
  <c r="AI12" i="48"/>
  <c r="P36" i="48"/>
  <c r="BO36" i="48"/>
  <c r="BP64" i="48" s="1"/>
  <c r="Q38" i="48"/>
  <c r="Q15" i="48"/>
  <c r="Q85" i="48"/>
  <c r="P91" i="57" s="1"/>
  <c r="Q61" i="48"/>
  <c r="P91" i="56" s="1"/>
  <c r="AJ84" i="48"/>
  <c r="P90" i="58" s="1"/>
  <c r="N90" i="50"/>
  <c r="M136" i="57" s="1"/>
  <c r="B67" i="50"/>
  <c r="B43" i="50"/>
  <c r="A137" i="53" s="1"/>
  <c r="U19" i="50"/>
  <c r="AO19" i="50" s="1"/>
  <c r="B20" i="50"/>
  <c r="A138" i="51" s="1"/>
  <c r="AE90" i="50"/>
  <c r="K136" i="58" s="1"/>
  <c r="AE66" i="50"/>
  <c r="AY66" i="50"/>
  <c r="K136" i="55" s="1"/>
  <c r="BX43" i="50"/>
  <c r="N20" i="50"/>
  <c r="M138" i="51" s="1"/>
  <c r="N43" i="50"/>
  <c r="C89" i="50"/>
  <c r="B135" i="57" s="1"/>
  <c r="V41" i="50"/>
  <c r="V89" i="50" s="1"/>
  <c r="B135" i="58" s="1"/>
  <c r="B90" i="50"/>
  <c r="A136" i="57" s="1"/>
  <c r="U42" i="50"/>
  <c r="U90" i="50" s="1"/>
  <c r="A136" i="58" s="1"/>
  <c r="AG89" i="50"/>
  <c r="M135" i="58" s="1"/>
  <c r="AG65" i="50"/>
  <c r="BA65" i="50"/>
  <c r="M135" i="55" s="1"/>
  <c r="AP41" i="50"/>
  <c r="AZ40" i="50"/>
  <c r="AW40" i="50"/>
  <c r="AX40" i="50"/>
  <c r="AU20" i="50"/>
  <c r="C138" i="52" s="1"/>
  <c r="O43" i="50"/>
  <c r="N137" i="53" s="1"/>
  <c r="O20" i="50"/>
  <c r="N138" i="51" s="1"/>
  <c r="L91" i="50"/>
  <c r="K137" i="57" s="1"/>
  <c r="O90" i="50"/>
  <c r="N136" i="57" s="1"/>
  <c r="O66" i="50"/>
  <c r="N136" i="56" s="1"/>
  <c r="C66" i="50"/>
  <c r="C42" i="50"/>
  <c r="B136" i="53" s="1"/>
  <c r="C19" i="50"/>
  <c r="B137" i="51" s="1"/>
  <c r="V18" i="50"/>
  <c r="AP18" i="50" s="1"/>
  <c r="L44" i="50"/>
  <c r="L21" i="50"/>
  <c r="K139" i="51" s="1"/>
  <c r="AH89" i="50"/>
  <c r="N135" i="58" s="1"/>
  <c r="AH65" i="50"/>
  <c r="BB65" i="50"/>
  <c r="N135" i="55" s="1"/>
  <c r="B67" i="49"/>
  <c r="B43" i="49"/>
  <c r="A117" i="53" s="1"/>
  <c r="B20" i="49"/>
  <c r="A118" i="51" s="1"/>
  <c r="U19" i="49"/>
  <c r="AO19" i="49" s="1"/>
  <c r="L42" i="49"/>
  <c r="L19" i="49"/>
  <c r="K117" i="51" s="1"/>
  <c r="BD21" i="49"/>
  <c r="J119" i="52" s="1"/>
  <c r="N89" i="49"/>
  <c r="M115" i="57" s="1"/>
  <c r="AW40" i="49"/>
  <c r="AP41" i="49"/>
  <c r="AZ40" i="49"/>
  <c r="AX40" i="49"/>
  <c r="B90" i="49"/>
  <c r="A116" i="57" s="1"/>
  <c r="U42" i="49"/>
  <c r="U90" i="49" s="1"/>
  <c r="A116" i="58" s="1"/>
  <c r="L89" i="49"/>
  <c r="K115" i="57" s="1"/>
  <c r="AG88" i="49"/>
  <c r="M114" i="58" s="1"/>
  <c r="AG64" i="49"/>
  <c r="BA64" i="49"/>
  <c r="M114" i="55" s="1"/>
  <c r="AE88" i="49"/>
  <c r="K114" i="58" s="1"/>
  <c r="AE64" i="49"/>
  <c r="AY64" i="49"/>
  <c r="K114" i="55" s="1"/>
  <c r="AH88" i="49"/>
  <c r="N114" i="58" s="1"/>
  <c r="AH64" i="49"/>
  <c r="BB64" i="49"/>
  <c r="N114" i="55" s="1"/>
  <c r="BA39" i="49"/>
  <c r="C67" i="49"/>
  <c r="C43" i="49"/>
  <c r="B117" i="53" s="1"/>
  <c r="C20" i="49"/>
  <c r="B118" i="51" s="1"/>
  <c r="V19" i="49"/>
  <c r="AP19" i="49" s="1"/>
  <c r="O42" i="49"/>
  <c r="N116" i="53" s="1"/>
  <c r="O19" i="49"/>
  <c r="N117" i="51" s="1"/>
  <c r="C90" i="49"/>
  <c r="B116" i="57" s="1"/>
  <c r="V42" i="49"/>
  <c r="V90" i="49" s="1"/>
  <c r="B116" i="58" s="1"/>
  <c r="O89" i="49"/>
  <c r="N115" i="57" s="1"/>
  <c r="O65" i="49"/>
  <c r="N115" i="56" s="1"/>
  <c r="N42" i="49"/>
  <c r="BX42" i="49"/>
  <c r="N19" i="49"/>
  <c r="M117" i="51" s="1"/>
  <c r="M86" i="48"/>
  <c r="L92" i="57" s="1"/>
  <c r="M62" i="48"/>
  <c r="L92" i="56" s="1"/>
  <c r="Y85" i="48"/>
  <c r="E91" i="58" s="1"/>
  <c r="Y61" i="48"/>
  <c r="E91" i="54" s="1"/>
  <c r="AS61" i="48"/>
  <c r="E91" i="55" s="1"/>
  <c r="G86" i="48"/>
  <c r="F92" i="57" s="1"/>
  <c r="G62" i="48"/>
  <c r="F92" i="56" s="1"/>
  <c r="AF85" i="48"/>
  <c r="L91" i="58" s="1"/>
  <c r="AF61" i="48"/>
  <c r="L91" i="54" s="1"/>
  <c r="AZ61" i="48"/>
  <c r="L91" i="55" s="1"/>
  <c r="Z61" i="48"/>
  <c r="F91" i="54" s="1"/>
  <c r="AT61" i="48"/>
  <c r="F91" i="55" s="1"/>
  <c r="Z85" i="48"/>
  <c r="F91" i="58" s="1"/>
  <c r="CA38" i="48"/>
  <c r="F16" i="48"/>
  <c r="E94" i="51" s="1"/>
  <c r="F39" i="48"/>
  <c r="E93" i="53" s="1"/>
  <c r="G16" i="48"/>
  <c r="F94" i="51" s="1"/>
  <c r="G39" i="48"/>
  <c r="F93" i="53" s="1"/>
  <c r="M16" i="48"/>
  <c r="M39" i="48"/>
  <c r="F86" i="48"/>
  <c r="E92" i="57" s="1"/>
  <c r="F62" i="48"/>
  <c r="E92" i="56" s="1"/>
  <c r="L17" i="48"/>
  <c r="K95" i="51" s="1"/>
  <c r="L40" i="48"/>
  <c r="L87" i="48"/>
  <c r="K93" i="57" s="1"/>
  <c r="B65" i="48"/>
  <c r="B41" i="48"/>
  <c r="A95" i="53" s="1"/>
  <c r="U17" i="48"/>
  <c r="AO17" i="48" s="1"/>
  <c r="B18" i="48"/>
  <c r="A96" i="51" s="1"/>
  <c r="BC59" i="48"/>
  <c r="AE86" i="48"/>
  <c r="K92" i="58" s="1"/>
  <c r="AE62" i="48"/>
  <c r="K92" i="54" s="1"/>
  <c r="AY62" i="48"/>
  <c r="K92" i="55" s="1"/>
  <c r="B88" i="48"/>
  <c r="A94" i="57" s="1"/>
  <c r="U40" i="48"/>
  <c r="U88" i="48" s="1"/>
  <c r="A94" i="58" s="1"/>
  <c r="AG87" i="48"/>
  <c r="M93" i="58" s="1"/>
  <c r="AG63" i="48"/>
  <c r="M93" i="54" s="1"/>
  <c r="BA63" i="48"/>
  <c r="M93" i="55" s="1"/>
  <c r="BA37" i="48"/>
  <c r="C64" i="48"/>
  <c r="C40" i="48"/>
  <c r="B94" i="53" s="1"/>
  <c r="V16" i="48"/>
  <c r="AP16" i="48" s="1"/>
  <c r="C17" i="48"/>
  <c r="B95" i="51" s="1"/>
  <c r="AH88" i="48"/>
  <c r="N94" i="58" s="1"/>
  <c r="AH64" i="48"/>
  <c r="N94" i="54" s="1"/>
  <c r="BB64" i="48"/>
  <c r="N94" i="55" s="1"/>
  <c r="BD16" i="48"/>
  <c r="J94" i="52" s="1"/>
  <c r="AU17" i="48"/>
  <c r="C95" i="52" s="1"/>
  <c r="N41" i="48"/>
  <c r="BX41" i="48"/>
  <c r="N18" i="48"/>
  <c r="M96" i="51" s="1"/>
  <c r="O42" i="48"/>
  <c r="N96" i="53" s="1"/>
  <c r="O19" i="48"/>
  <c r="N97" i="51" s="1"/>
  <c r="C87" i="48"/>
  <c r="B93" i="57" s="1"/>
  <c r="V39" i="48"/>
  <c r="V87" i="48" s="1"/>
  <c r="B93" i="58" s="1"/>
  <c r="N88" i="48"/>
  <c r="M94" i="57" s="1"/>
  <c r="AX38" i="48"/>
  <c r="AW38" i="48"/>
  <c r="AP39" i="48"/>
  <c r="AZ38" i="48"/>
  <c r="O89" i="48"/>
  <c r="N95" i="57" s="1"/>
  <c r="O65" i="48"/>
  <c r="N95" i="56" s="1"/>
  <c r="AU29" i="46"/>
  <c r="BO29" i="46"/>
  <c r="BI64" i="46" s="1"/>
  <c r="P29" i="46"/>
  <c r="BU29" i="46"/>
  <c r="BI66" i="46" s="1"/>
  <c r="AR30" i="44"/>
  <c r="BJ60" i="44" s="1"/>
  <c r="AT30" i="44"/>
  <c r="BJ62" i="44" s="1"/>
  <c r="W30" i="47"/>
  <c r="Y30" i="46"/>
  <c r="AS30" i="46"/>
  <c r="BJ61" i="46" s="1"/>
  <c r="AF30" i="46"/>
  <c r="AD30" i="46"/>
  <c r="AT30" i="46"/>
  <c r="BJ62" i="46" s="1"/>
  <c r="W30" i="46"/>
  <c r="Z30" i="46"/>
  <c r="AR30" i="46"/>
  <c r="BJ60" i="46" s="1"/>
  <c r="AA30" i="46"/>
  <c r="AB30" i="46"/>
  <c r="X30" i="46"/>
  <c r="AC30" i="44"/>
  <c r="AQ30" i="44"/>
  <c r="BJ59" i="44" s="1"/>
  <c r="AR30" i="47"/>
  <c r="BJ60" i="47" s="1"/>
  <c r="AT30" i="47"/>
  <c r="BJ62" i="47" s="1"/>
  <c r="AJ29" i="47"/>
  <c r="Y30" i="47"/>
  <c r="X30" i="47"/>
  <c r="AA30" i="47"/>
  <c r="AC30" i="47"/>
  <c r="AS30" i="47"/>
  <c r="BJ61" i="47" s="1"/>
  <c r="AJ29" i="46"/>
  <c r="BJ6" i="46"/>
  <c r="BK6" i="46" s="1"/>
  <c r="BL6" i="46" s="1"/>
  <c r="P6" i="46" s="1"/>
  <c r="AJ29" i="44"/>
  <c r="I32" i="46"/>
  <c r="H46" i="53" s="1"/>
  <c r="I9" i="46"/>
  <c r="H47" i="51" s="1"/>
  <c r="AA78" i="46"/>
  <c r="G44" i="58" s="1"/>
  <c r="AU54" i="46"/>
  <c r="E9" i="44"/>
  <c r="D27" i="51" s="1"/>
  <c r="E32" i="44"/>
  <c r="E32" i="46"/>
  <c r="D46" i="53" s="1"/>
  <c r="E9" i="46"/>
  <c r="D47" i="51" s="1"/>
  <c r="AI5" i="47"/>
  <c r="O63" i="59" s="1"/>
  <c r="P29" i="47"/>
  <c r="O63" i="53" s="1"/>
  <c r="BU29" i="47"/>
  <c r="BI66" i="47" s="1"/>
  <c r="BO29" i="47"/>
  <c r="BI64" i="47" s="1"/>
  <c r="J55" i="46"/>
  <c r="I45" i="56" s="1"/>
  <c r="J79" i="46"/>
  <c r="I45" i="57" s="1"/>
  <c r="M32" i="47"/>
  <c r="L66" i="53" s="1"/>
  <c r="M9" i="47"/>
  <c r="L67" i="51" s="1"/>
  <c r="J9" i="44"/>
  <c r="I27" i="51" s="1"/>
  <c r="J32" i="44"/>
  <c r="Z78" i="47"/>
  <c r="F64" i="58" s="1"/>
  <c r="Z54" i="47"/>
  <c r="F64" i="54" s="1"/>
  <c r="AT54" i="47"/>
  <c r="F64" i="55" s="1"/>
  <c r="X78" i="44"/>
  <c r="D24" i="58" s="1"/>
  <c r="X54" i="44"/>
  <c r="D24" i="54" s="1"/>
  <c r="AR54" i="44"/>
  <c r="D24" i="55" s="1"/>
  <c r="AF30" i="44"/>
  <c r="AC78" i="44"/>
  <c r="I24" i="58" s="1"/>
  <c r="AC54" i="44"/>
  <c r="I24" i="54" s="1"/>
  <c r="AW54" i="44"/>
  <c r="I24" i="55" s="1"/>
  <c r="AJ77" i="44"/>
  <c r="P23" i="58" s="1"/>
  <c r="M79" i="47"/>
  <c r="L65" i="57" s="1"/>
  <c r="M55" i="47"/>
  <c r="L65" i="56" s="1"/>
  <c r="F9" i="46"/>
  <c r="E47" i="51" s="1"/>
  <c r="F32" i="46"/>
  <c r="E46" i="53" s="1"/>
  <c r="Q8" i="47"/>
  <c r="D32" i="47"/>
  <c r="C66" i="53" s="1"/>
  <c r="BR32" i="47"/>
  <c r="BL65" i="47" s="1"/>
  <c r="D9" i="47"/>
  <c r="C67" i="51" s="1"/>
  <c r="Q31" i="44"/>
  <c r="D79" i="44"/>
  <c r="C25" i="57" s="1"/>
  <c r="W78" i="44"/>
  <c r="C24" i="58" s="1"/>
  <c r="AQ54" i="44"/>
  <c r="C24" i="55" s="1"/>
  <c r="P77" i="44"/>
  <c r="O23" i="57" s="1"/>
  <c r="E32" i="47"/>
  <c r="D66" i="53" s="1"/>
  <c r="E9" i="47"/>
  <c r="D67" i="51" s="1"/>
  <c r="I55" i="47"/>
  <c r="H65" i="56" s="1"/>
  <c r="I79" i="47"/>
  <c r="H65" i="57" s="1"/>
  <c r="AD78" i="44"/>
  <c r="J24" i="58" s="1"/>
  <c r="AD54" i="44"/>
  <c r="J24" i="54" s="1"/>
  <c r="AX54" i="44"/>
  <c r="J24" i="55" s="1"/>
  <c r="J53" i="43"/>
  <c r="AC77" i="43" s="1"/>
  <c r="J77" i="43"/>
  <c r="I53" i="43"/>
  <c r="AB77" i="43" s="1"/>
  <c r="I77" i="43"/>
  <c r="M32" i="44"/>
  <c r="M9" i="44"/>
  <c r="L27" i="51" s="1"/>
  <c r="AF54" i="44"/>
  <c r="L24" i="54" s="1"/>
  <c r="AF78" i="44"/>
  <c r="L24" i="58" s="1"/>
  <c r="AZ54" i="44"/>
  <c r="L24" i="55" s="1"/>
  <c r="Y78" i="47"/>
  <c r="E64" i="58" s="1"/>
  <c r="Y54" i="47"/>
  <c r="E64" i="54" s="1"/>
  <c r="AS54" i="47"/>
  <c r="E64" i="55" s="1"/>
  <c r="H32" i="47"/>
  <c r="G66" i="53" s="1"/>
  <c r="H9" i="47"/>
  <c r="G67" i="51" s="1"/>
  <c r="BW32" i="47"/>
  <c r="BL67" i="47" s="1"/>
  <c r="Z30" i="47"/>
  <c r="AG30" i="47"/>
  <c r="BJ68" i="47"/>
  <c r="BJ69" i="47"/>
  <c r="AH30" i="47"/>
  <c r="AE30" i="47"/>
  <c r="CA31" i="47"/>
  <c r="K79" i="47"/>
  <c r="J65" i="57" s="1"/>
  <c r="H32" i="44"/>
  <c r="H9" i="44"/>
  <c r="G27" i="51" s="1"/>
  <c r="BW32" i="44"/>
  <c r="BL67" i="44" s="1"/>
  <c r="I9" i="44"/>
  <c r="H27" i="51" s="1"/>
  <c r="I32" i="44"/>
  <c r="BR32" i="46"/>
  <c r="BL65" i="46" s="1"/>
  <c r="D32" i="46"/>
  <c r="C46" i="53" s="1"/>
  <c r="Q8" i="46"/>
  <c r="D9" i="46"/>
  <c r="C47" i="51" s="1"/>
  <c r="AJ53" i="44"/>
  <c r="AC78" i="47"/>
  <c r="I64" i="58" s="1"/>
  <c r="AC54" i="47"/>
  <c r="I64" i="54" s="1"/>
  <c r="AW54" i="47"/>
  <c r="I64" i="55" s="1"/>
  <c r="K79" i="44"/>
  <c r="J25" i="57" s="1"/>
  <c r="CA31" i="44"/>
  <c r="W78" i="46"/>
  <c r="C44" i="58" s="1"/>
  <c r="Q54" i="46"/>
  <c r="P44" i="56" s="1"/>
  <c r="W54" i="46"/>
  <c r="C44" i="54" s="1"/>
  <c r="AQ54" i="46"/>
  <c r="BJ6" i="47"/>
  <c r="BK6" i="47" s="1"/>
  <c r="BL6" i="47" s="1"/>
  <c r="P6" i="47" s="1"/>
  <c r="O64" i="51" s="1"/>
  <c r="BI59" i="46"/>
  <c r="AJ77" i="47"/>
  <c r="P63" i="58" s="1"/>
  <c r="G79" i="46"/>
  <c r="F45" i="57" s="1"/>
  <c r="G55" i="46"/>
  <c r="F45" i="56" s="1"/>
  <c r="M79" i="46"/>
  <c r="L45" i="57" s="1"/>
  <c r="M55" i="46"/>
  <c r="L45" i="56" s="1"/>
  <c r="Z78" i="44"/>
  <c r="F24" i="58" s="1"/>
  <c r="Z54" i="44"/>
  <c r="F24" i="54" s="1"/>
  <c r="AT54" i="44"/>
  <c r="F24" i="55" s="1"/>
  <c r="J79" i="47"/>
  <c r="I65" i="57" s="1"/>
  <c r="J55" i="47"/>
  <c r="I65" i="56" s="1"/>
  <c r="F53" i="43"/>
  <c r="Y77" i="43" s="1"/>
  <c r="F77" i="43"/>
  <c r="AJ77" i="46"/>
  <c r="P43" i="58" s="1"/>
  <c r="D79" i="47"/>
  <c r="C65" i="57" s="1"/>
  <c r="D55" i="47"/>
  <c r="C65" i="56" s="1"/>
  <c r="Q31" i="47"/>
  <c r="D32" i="44"/>
  <c r="BR32" i="44"/>
  <c r="BL65" i="44" s="1"/>
  <c r="Q8" i="44"/>
  <c r="D9" i="44"/>
  <c r="C27" i="51" s="1"/>
  <c r="X30" i="44"/>
  <c r="AH30" i="44"/>
  <c r="AE30" i="44"/>
  <c r="AG30" i="44"/>
  <c r="BJ68" i="44"/>
  <c r="BJ69" i="44"/>
  <c r="G53" i="43"/>
  <c r="Z77" i="43" s="1"/>
  <c r="G77" i="43"/>
  <c r="K9" i="47"/>
  <c r="J67" i="51" s="1"/>
  <c r="K32" i="47"/>
  <c r="F79" i="46"/>
  <c r="E45" i="57" s="1"/>
  <c r="F55" i="46"/>
  <c r="E45" i="56" s="1"/>
  <c r="AU29" i="47"/>
  <c r="BI59" i="47"/>
  <c r="E79" i="47"/>
  <c r="D65" i="57" s="1"/>
  <c r="E55" i="47"/>
  <c r="D65" i="56" s="1"/>
  <c r="G9" i="46"/>
  <c r="F47" i="51" s="1"/>
  <c r="G32" i="46"/>
  <c r="F46" i="53" s="1"/>
  <c r="AG78" i="43"/>
  <c r="N78" i="43"/>
  <c r="Q76" i="43"/>
  <c r="AA76" i="43"/>
  <c r="AJ76" i="43" s="1"/>
  <c r="M79" i="44"/>
  <c r="L25" i="57" s="1"/>
  <c r="F32" i="47"/>
  <c r="E66" i="53" s="1"/>
  <c r="F9" i="47"/>
  <c r="E67" i="51" s="1"/>
  <c r="AB30" i="47"/>
  <c r="X78" i="47"/>
  <c r="D64" i="58" s="1"/>
  <c r="X54" i="47"/>
  <c r="D64" i="54" s="1"/>
  <c r="AR54" i="47"/>
  <c r="D64" i="55" s="1"/>
  <c r="H79" i="47"/>
  <c r="G65" i="57" s="1"/>
  <c r="AA55" i="47"/>
  <c r="G65" i="54" s="1"/>
  <c r="H55" i="47"/>
  <c r="G65" i="56" s="1"/>
  <c r="Q78" i="47"/>
  <c r="P64" i="57" s="1"/>
  <c r="AC78" i="46"/>
  <c r="I44" i="58" s="1"/>
  <c r="AC54" i="46"/>
  <c r="I44" i="54" s="1"/>
  <c r="AW54" i="46"/>
  <c r="AD30" i="44"/>
  <c r="H79" i="44"/>
  <c r="G25" i="57" s="1"/>
  <c r="AA55" i="44"/>
  <c r="G25" i="54" s="1"/>
  <c r="I79" i="44"/>
  <c r="H25" i="57" s="1"/>
  <c r="D55" i="46"/>
  <c r="C45" i="56" s="1"/>
  <c r="Q31" i="46"/>
  <c r="D79" i="46"/>
  <c r="C45" i="57" s="1"/>
  <c r="K32" i="44"/>
  <c r="K9" i="44"/>
  <c r="J27" i="51" s="1"/>
  <c r="AQ30" i="46"/>
  <c r="BJ59" i="46" s="1"/>
  <c r="BJ69" i="46"/>
  <c r="AG30" i="46"/>
  <c r="AH30" i="46"/>
  <c r="BJ68" i="46"/>
  <c r="AE30" i="46"/>
  <c r="BW32" i="46"/>
  <c r="BL67" i="46" s="1"/>
  <c r="H9" i="46"/>
  <c r="G47" i="51" s="1"/>
  <c r="H32" i="46"/>
  <c r="G32" i="47"/>
  <c r="F66" i="53" s="1"/>
  <c r="G9" i="47"/>
  <c r="F67" i="51" s="1"/>
  <c r="F79" i="44"/>
  <c r="E25" i="57" s="1"/>
  <c r="AB78" i="44"/>
  <c r="H24" i="58" s="1"/>
  <c r="AB54" i="44"/>
  <c r="H24" i="54" s="1"/>
  <c r="AV54" i="44"/>
  <c r="H24" i="55" s="1"/>
  <c r="AD30" i="47"/>
  <c r="J32" i="46"/>
  <c r="I46" i="53" s="1"/>
  <c r="J9" i="46"/>
  <c r="I47" i="51" s="1"/>
  <c r="AB78" i="46"/>
  <c r="H44" i="58" s="1"/>
  <c r="AB54" i="46"/>
  <c r="H44" i="54" s="1"/>
  <c r="AV54" i="46"/>
  <c r="AD78" i="46"/>
  <c r="J44" i="58" s="1"/>
  <c r="AD54" i="46"/>
  <c r="J44" i="54" s="1"/>
  <c r="AX54" i="46"/>
  <c r="AF54" i="46"/>
  <c r="L44" i="54" s="1"/>
  <c r="AF78" i="46"/>
  <c r="L44" i="58" s="1"/>
  <c r="AZ54" i="46"/>
  <c r="E79" i="46"/>
  <c r="D45" i="57" s="1"/>
  <c r="E55" i="46"/>
  <c r="D45" i="56" s="1"/>
  <c r="AA78" i="44"/>
  <c r="G24" i="58" s="1"/>
  <c r="AU54" i="44"/>
  <c r="G24" i="55" s="1"/>
  <c r="E53" i="43"/>
  <c r="X77" i="43" s="1"/>
  <c r="E77" i="43"/>
  <c r="W78" i="47"/>
  <c r="C64" i="58" s="1"/>
  <c r="W54" i="47"/>
  <c r="C64" i="54" s="1"/>
  <c r="Q54" i="47"/>
  <c r="P64" i="56" s="1"/>
  <c r="AQ54" i="47"/>
  <c r="C64" i="55" s="1"/>
  <c r="Q78" i="46"/>
  <c r="P44" i="57" s="1"/>
  <c r="Q78" i="44"/>
  <c r="P24" i="57" s="1"/>
  <c r="M32" i="46"/>
  <c r="L46" i="53" s="1"/>
  <c r="M9" i="46"/>
  <c r="L47" i="51" s="1"/>
  <c r="O54" i="43"/>
  <c r="AH78" i="43" s="1"/>
  <c r="O78" i="43"/>
  <c r="F55" i="47"/>
  <c r="E65" i="56" s="1"/>
  <c r="F79" i="47"/>
  <c r="E65" i="57" s="1"/>
  <c r="AV54" i="47"/>
  <c r="H64" i="55" s="1"/>
  <c r="AB78" i="47"/>
  <c r="H64" i="58" s="1"/>
  <c r="AB54" i="47"/>
  <c r="H64" i="54" s="1"/>
  <c r="Z30" i="44"/>
  <c r="AA78" i="47"/>
  <c r="G64" i="58" s="1"/>
  <c r="AU54" i="47"/>
  <c r="G64" i="55" s="1"/>
  <c r="BI59" i="44"/>
  <c r="BJ6" i="44"/>
  <c r="BK6" i="44" s="1"/>
  <c r="BL6" i="44" s="1"/>
  <c r="P6" i="44" s="1"/>
  <c r="O24" i="51" s="1"/>
  <c r="Y30" i="44"/>
  <c r="G55" i="47"/>
  <c r="F65" i="56" s="1"/>
  <c r="G79" i="47"/>
  <c r="F65" i="57" s="1"/>
  <c r="F9" i="44"/>
  <c r="E27" i="51" s="1"/>
  <c r="F32" i="44"/>
  <c r="K32" i="46"/>
  <c r="K9" i="46"/>
  <c r="J47" i="51" s="1"/>
  <c r="AJ53" i="47"/>
  <c r="G9" i="44"/>
  <c r="F27" i="51" s="1"/>
  <c r="G32" i="44"/>
  <c r="X78" i="46"/>
  <c r="D44" i="58" s="1"/>
  <c r="X54" i="46"/>
  <c r="D44" i="54" s="1"/>
  <c r="AR54" i="46"/>
  <c r="J79" i="44"/>
  <c r="I25" i="57" s="1"/>
  <c r="AF78" i="47"/>
  <c r="L64" i="58" s="1"/>
  <c r="AF54" i="47"/>
  <c r="L64" i="54" s="1"/>
  <c r="AZ54" i="47"/>
  <c r="L64" i="55" s="1"/>
  <c r="E79" i="44"/>
  <c r="D25" i="57" s="1"/>
  <c r="AE78" i="43"/>
  <c r="L78" i="43"/>
  <c r="M53" i="43"/>
  <c r="AF77" i="43" s="1"/>
  <c r="M77" i="43"/>
  <c r="I32" i="47"/>
  <c r="H66" i="53" s="1"/>
  <c r="I9" i="47"/>
  <c r="H67" i="51" s="1"/>
  <c r="AJ53" i="46"/>
  <c r="AK53" i="46" s="1"/>
  <c r="BI58" i="46" s="1"/>
  <c r="I79" i="46"/>
  <c r="H45" i="57" s="1"/>
  <c r="I55" i="46"/>
  <c r="H45" i="56" s="1"/>
  <c r="AS30" i="44"/>
  <c r="BJ61" i="44" s="1"/>
  <c r="Z78" i="46"/>
  <c r="F44" i="58" s="1"/>
  <c r="Z54" i="46"/>
  <c r="F44" i="54" s="1"/>
  <c r="AT54" i="46"/>
  <c r="AU29" i="44"/>
  <c r="AF30" i="47"/>
  <c r="AS54" i="44"/>
  <c r="E24" i="55" s="1"/>
  <c r="Y78" i="44"/>
  <c r="E24" i="58" s="1"/>
  <c r="Y54" i="44"/>
  <c r="E24" i="54" s="1"/>
  <c r="J32" i="47"/>
  <c r="I66" i="53" s="1"/>
  <c r="J9" i="47"/>
  <c r="I67" i="51" s="1"/>
  <c r="Y78" i="46"/>
  <c r="E44" i="58" s="1"/>
  <c r="Y54" i="46"/>
  <c r="E44" i="54" s="1"/>
  <c r="AS54" i="46"/>
  <c r="H79" i="46"/>
  <c r="G45" i="57" s="1"/>
  <c r="AA55" i="46"/>
  <c r="G45" i="54" s="1"/>
  <c r="AA30" i="44"/>
  <c r="W30" i="44"/>
  <c r="K79" i="46"/>
  <c r="J45" i="57" s="1"/>
  <c r="CA31" i="46"/>
  <c r="AD78" i="47"/>
  <c r="J64" i="58" s="1"/>
  <c r="AD54" i="47"/>
  <c r="J64" i="54" s="1"/>
  <c r="AX54" i="47"/>
  <c r="J64" i="55" s="1"/>
  <c r="G79" i="44"/>
  <c r="F25" i="57" s="1"/>
  <c r="N85" i="47"/>
  <c r="M71" i="57" s="1"/>
  <c r="C87" i="47"/>
  <c r="B73" i="57" s="1"/>
  <c r="V39" i="47"/>
  <c r="V87" i="47" s="1"/>
  <c r="B73" i="58" s="1"/>
  <c r="L38" i="47"/>
  <c r="L15" i="47"/>
  <c r="K73" i="51" s="1"/>
  <c r="AH84" i="47"/>
  <c r="N70" i="58" s="1"/>
  <c r="N10" i="58" s="1"/>
  <c r="AH60" i="47"/>
  <c r="BB60" i="47"/>
  <c r="N70" i="55" s="1"/>
  <c r="BA35" i="47"/>
  <c r="C64" i="47"/>
  <c r="C40" i="47"/>
  <c r="B74" i="53" s="1"/>
  <c r="V16" i="47"/>
  <c r="AP16" i="47" s="1"/>
  <c r="C17" i="47"/>
  <c r="B75" i="51" s="1"/>
  <c r="AE84" i="47"/>
  <c r="K70" i="58" s="1"/>
  <c r="AE60" i="47"/>
  <c r="AY60" i="47"/>
  <c r="K70" i="55" s="1"/>
  <c r="L85" i="47"/>
  <c r="K71" i="57" s="1"/>
  <c r="O38" i="47"/>
  <c r="N72" i="53" s="1"/>
  <c r="O15" i="47"/>
  <c r="N73" i="51" s="1"/>
  <c r="N13" i="51" s="1"/>
  <c r="O85" i="47"/>
  <c r="N71" i="57" s="1"/>
  <c r="N11" i="57" s="1"/>
  <c r="O61" i="47"/>
  <c r="N71" i="56" s="1"/>
  <c r="N11" i="56" s="1"/>
  <c r="B64" i="47"/>
  <c r="B40" i="47"/>
  <c r="A74" i="53" s="1"/>
  <c r="U16" i="47"/>
  <c r="AO16" i="47" s="1"/>
  <c r="B17" i="47"/>
  <c r="A75" i="51" s="1"/>
  <c r="AX36" i="47"/>
  <c r="AP37" i="47"/>
  <c r="AZ36" i="47"/>
  <c r="AW36" i="47"/>
  <c r="B87" i="47"/>
  <c r="A73" i="57" s="1"/>
  <c r="U39" i="47"/>
  <c r="U87" i="47" s="1"/>
  <c r="A73" i="58" s="1"/>
  <c r="AG84" i="47"/>
  <c r="M70" i="58" s="1"/>
  <c r="AG60" i="47"/>
  <c r="BA60" i="47"/>
  <c r="M70" i="55" s="1"/>
  <c r="N38" i="47"/>
  <c r="BX38" i="47"/>
  <c r="N15" i="47"/>
  <c r="M73" i="51" s="1"/>
  <c r="AU16" i="47"/>
  <c r="C74" i="52" s="1"/>
  <c r="L39" i="46"/>
  <c r="L16" i="46"/>
  <c r="K54" i="51" s="1"/>
  <c r="B62" i="46"/>
  <c r="B38" i="46"/>
  <c r="A52" i="53" s="1"/>
  <c r="U14" i="46"/>
  <c r="AO14" i="46" s="1"/>
  <c r="B15" i="46"/>
  <c r="A53" i="51" s="1"/>
  <c r="L86" i="46"/>
  <c r="K52" i="57" s="1"/>
  <c r="BL38" i="46"/>
  <c r="BN37" i="46"/>
  <c r="BX38" i="46"/>
  <c r="N38" i="46"/>
  <c r="N15" i="46"/>
  <c r="M53" i="51" s="1"/>
  <c r="BA35" i="46"/>
  <c r="AG84" i="46"/>
  <c r="M50" i="58" s="1"/>
  <c r="AG60" i="46"/>
  <c r="BA60" i="46"/>
  <c r="C63" i="46"/>
  <c r="C16" i="46"/>
  <c r="B54" i="51" s="1"/>
  <c r="C39" i="46"/>
  <c r="B53" i="53" s="1"/>
  <c r="V15" i="46"/>
  <c r="AP15" i="46" s="1"/>
  <c r="B85" i="46"/>
  <c r="A51" i="57" s="1"/>
  <c r="U37" i="46"/>
  <c r="U85" i="46" s="1"/>
  <c r="A51" i="58" s="1"/>
  <c r="AE85" i="46"/>
  <c r="K51" i="58" s="1"/>
  <c r="AE61" i="46"/>
  <c r="AY61" i="46"/>
  <c r="AH85" i="46"/>
  <c r="N51" i="58" s="1"/>
  <c r="AH61" i="46"/>
  <c r="BB61" i="46"/>
  <c r="O39" i="46"/>
  <c r="N53" i="53" s="1"/>
  <c r="O16" i="46"/>
  <c r="N54" i="51" s="1"/>
  <c r="BT36" i="46"/>
  <c r="BQ36" i="46"/>
  <c r="C86" i="46"/>
  <c r="B52" i="57" s="1"/>
  <c r="V38" i="46"/>
  <c r="V86" i="46" s="1"/>
  <c r="B52" i="58" s="1"/>
  <c r="O86" i="46"/>
  <c r="N52" i="57" s="1"/>
  <c r="O62" i="46"/>
  <c r="N52" i="56" s="1"/>
  <c r="BD14" i="46"/>
  <c r="J52" i="52" s="1"/>
  <c r="J12" i="52" s="1"/>
  <c r="AU15" i="46"/>
  <c r="C53" i="52" s="1"/>
  <c r="C13" i="52" s="1"/>
  <c r="AP37" i="46"/>
  <c r="AZ36" i="46"/>
  <c r="AX36" i="46"/>
  <c r="AW36" i="46"/>
  <c r="N85" i="46"/>
  <c r="M51" i="57" s="1"/>
  <c r="BT36" i="44"/>
  <c r="BQ36" i="44"/>
  <c r="AE84" i="44"/>
  <c r="K30" i="58" s="1"/>
  <c r="AE60" i="44"/>
  <c r="K30" i="54" s="1"/>
  <c r="AY60" i="44"/>
  <c r="K30" i="55" s="1"/>
  <c r="BA37" i="44"/>
  <c r="L15" i="44"/>
  <c r="K33" i="51" s="1"/>
  <c r="L38" i="44"/>
  <c r="BN37" i="44"/>
  <c r="BL38" i="44"/>
  <c r="BM38" i="44" s="1"/>
  <c r="AX38" i="44"/>
  <c r="AP39" i="44"/>
  <c r="AZ38" i="44"/>
  <c r="AW38" i="44"/>
  <c r="AG86" i="44"/>
  <c r="M32" i="58" s="1"/>
  <c r="AG62" i="44"/>
  <c r="M32" i="54" s="1"/>
  <c r="BA62" i="44"/>
  <c r="M32" i="55" s="1"/>
  <c r="L85" i="44"/>
  <c r="K31" i="57" s="1"/>
  <c r="AH85" i="44"/>
  <c r="N31" i="58" s="1"/>
  <c r="AH61" i="44"/>
  <c r="N31" i="54" s="1"/>
  <c r="BB61" i="44"/>
  <c r="N31" i="55" s="1"/>
  <c r="O39" i="44"/>
  <c r="O16" i="44"/>
  <c r="N34" i="51" s="1"/>
  <c r="C34" i="52"/>
  <c r="O86" i="44"/>
  <c r="N32" i="57" s="1"/>
  <c r="BW30" i="43"/>
  <c r="BJ67" i="43" s="1"/>
  <c r="AD77" i="43"/>
  <c r="CA29" i="43"/>
  <c r="AA53" i="43"/>
  <c r="N8" i="43"/>
  <c r="N31" i="43"/>
  <c r="N55" i="43" s="1"/>
  <c r="L8" i="43"/>
  <c r="L31" i="43"/>
  <c r="L55" i="43" s="1"/>
  <c r="K7" i="43"/>
  <c r="K30" i="43"/>
  <c r="K54" i="43" s="1"/>
  <c r="M7" i="43"/>
  <c r="M30" i="43"/>
  <c r="H7" i="43"/>
  <c r="H30" i="43"/>
  <c r="F7" i="43"/>
  <c r="F30" i="43"/>
  <c r="J7" i="43"/>
  <c r="J30" i="43"/>
  <c r="O8" i="43"/>
  <c r="O31" i="43"/>
  <c r="BQ34" i="43"/>
  <c r="BT34" i="43"/>
  <c r="G7" i="43"/>
  <c r="G30" i="43"/>
  <c r="I7" i="43"/>
  <c r="I30" i="43"/>
  <c r="E7" i="43"/>
  <c r="E30" i="43"/>
  <c r="AU5" i="43"/>
  <c r="AY6" i="43"/>
  <c r="BA6" i="43"/>
  <c r="BL36" i="43"/>
  <c r="BM36" i="43" s="1"/>
  <c r="BN35" i="43"/>
  <c r="AX6" i="43"/>
  <c r="AW6" i="43"/>
  <c r="AV6" i="43"/>
  <c r="AZ6" i="43"/>
  <c r="AX37" i="43"/>
  <c r="AP38" i="43"/>
  <c r="AW38" i="43" s="1"/>
  <c r="AZ37" i="43"/>
  <c r="L1" i="27" a="1"/>
  <c r="L1" i="27" s="1"/>
  <c r="H15" i="27"/>
  <c r="H2" i="27"/>
  <c r="H13" i="27"/>
  <c r="H10" i="27"/>
  <c r="H6" i="27"/>
  <c r="H5" i="27"/>
  <c r="H4" i="27"/>
  <c r="H11" i="27"/>
  <c r="H3" i="27"/>
  <c r="AL65" i="43" l="1"/>
  <c r="E14" i="60"/>
  <c r="P5" i="51"/>
  <c r="J3" i="60"/>
  <c r="L3" i="60"/>
  <c r="D3" i="60"/>
  <c r="H3" i="60"/>
  <c r="P93" i="51"/>
  <c r="P113" i="51"/>
  <c r="P66" i="51"/>
  <c r="AJ5" i="46"/>
  <c r="P43" i="59" s="1"/>
  <c r="O43" i="59"/>
  <c r="AJ12" i="48"/>
  <c r="P90" i="59" s="1"/>
  <c r="O90" i="59"/>
  <c r="P26" i="51"/>
  <c r="P26" i="59"/>
  <c r="P46" i="51"/>
  <c r="P133" i="51"/>
  <c r="AJ5" i="44"/>
  <c r="O23" i="59"/>
  <c r="O3" i="59" s="1"/>
  <c r="H40" i="48"/>
  <c r="G94" i="53" s="1"/>
  <c r="BX40" i="44"/>
  <c r="AV20" i="50"/>
  <c r="BD20" i="50" s="1"/>
  <c r="J138" i="52" s="1"/>
  <c r="D137" i="52"/>
  <c r="BN55" i="49"/>
  <c r="AA86" i="48"/>
  <c r="G92" i="58" s="1"/>
  <c r="AU62" i="48"/>
  <c r="G92" i="55" s="1"/>
  <c r="H17" i="48"/>
  <c r="G95" i="51" s="1"/>
  <c r="H87" i="48"/>
  <c r="G93" i="57" s="1"/>
  <c r="H63" i="48"/>
  <c r="G93" i="56" s="1"/>
  <c r="AA63" i="48"/>
  <c r="G93" i="54" s="1"/>
  <c r="W62" i="48"/>
  <c r="C92" i="54" s="1"/>
  <c r="J63" i="48"/>
  <c r="I93" i="56" s="1"/>
  <c r="J87" i="48"/>
  <c r="I93" i="57" s="1"/>
  <c r="J17" i="48"/>
  <c r="I95" i="51" s="1"/>
  <c r="W86" i="48"/>
  <c r="C92" i="58" s="1"/>
  <c r="I40" i="48"/>
  <c r="H94" i="53" s="1"/>
  <c r="D63" i="48"/>
  <c r="C93" i="56" s="1"/>
  <c r="D87" i="48"/>
  <c r="C93" i="57" s="1"/>
  <c r="J40" i="48"/>
  <c r="I94" i="53" s="1"/>
  <c r="AW62" i="48"/>
  <c r="I92" i="55" s="1"/>
  <c r="AQ62" i="48"/>
  <c r="C92" i="55" s="1"/>
  <c r="I17" i="48"/>
  <c r="H95" i="51" s="1"/>
  <c r="AC62" i="48"/>
  <c r="I92" i="54" s="1"/>
  <c r="AC86" i="48"/>
  <c r="I92" i="58" s="1"/>
  <c r="AV62" i="48"/>
  <c r="H92" i="55" s="1"/>
  <c r="D17" i="48"/>
  <c r="C95" i="51" s="1"/>
  <c r="D40" i="48"/>
  <c r="C94" i="53" s="1"/>
  <c r="I63" i="48"/>
  <c r="H93" i="56" s="1"/>
  <c r="AB62" i="48"/>
  <c r="H92" i="54" s="1"/>
  <c r="AB86" i="48"/>
  <c r="H92" i="58" s="1"/>
  <c r="I87" i="48"/>
  <c r="H93" i="57" s="1"/>
  <c r="AX19" i="48"/>
  <c r="F96" i="52"/>
  <c r="AV19" i="48"/>
  <c r="D96" i="52"/>
  <c r="AW19" i="48"/>
  <c r="E96" i="52"/>
  <c r="AZ19" i="48"/>
  <c r="H96" i="52"/>
  <c r="AY19" i="48"/>
  <c r="G96" i="52"/>
  <c r="BA19" i="48"/>
  <c r="I96" i="52"/>
  <c r="M11" i="57"/>
  <c r="K11" i="57"/>
  <c r="K11" i="56"/>
  <c r="M13" i="51"/>
  <c r="K10" i="58"/>
  <c r="M10" i="58"/>
  <c r="AY17" i="47"/>
  <c r="G74" i="52"/>
  <c r="AX17" i="47"/>
  <c r="F74" i="52"/>
  <c r="K13" i="51"/>
  <c r="AV17" i="47"/>
  <c r="D74" i="52"/>
  <c r="BA17" i="47"/>
  <c r="I74" i="52"/>
  <c r="AZ16" i="47"/>
  <c r="BD16" i="47" s="1"/>
  <c r="J74" i="52" s="1"/>
  <c r="H73" i="52"/>
  <c r="H13" i="52" s="1"/>
  <c r="AW17" i="47"/>
  <c r="E74" i="52"/>
  <c r="F13" i="52"/>
  <c r="K10" i="55"/>
  <c r="G13" i="52"/>
  <c r="D13" i="52"/>
  <c r="AX17" i="46"/>
  <c r="F54" i="52"/>
  <c r="AZ17" i="46"/>
  <c r="H54" i="52"/>
  <c r="BA17" i="46"/>
  <c r="I54" i="52"/>
  <c r="AV17" i="46"/>
  <c r="D54" i="52"/>
  <c r="I13" i="52"/>
  <c r="AY17" i="46"/>
  <c r="G54" i="52"/>
  <c r="AW17" i="46"/>
  <c r="E54" i="52"/>
  <c r="N17" i="44"/>
  <c r="M35" i="51" s="1"/>
  <c r="N40" i="44"/>
  <c r="N64" i="44" s="1"/>
  <c r="M34" i="56" s="1"/>
  <c r="N87" i="44"/>
  <c r="M33" i="57" s="1"/>
  <c r="M33" i="53"/>
  <c r="AY17" i="44"/>
  <c r="G34" i="52"/>
  <c r="AW16" i="44"/>
  <c r="BD16" i="44" s="1"/>
  <c r="J34" i="52" s="1"/>
  <c r="E33" i="52"/>
  <c r="E13" i="52" s="1"/>
  <c r="AV17" i="44"/>
  <c r="D34" i="52"/>
  <c r="AZ17" i="44"/>
  <c r="H34" i="52"/>
  <c r="BA17" i="44"/>
  <c r="I34" i="52"/>
  <c r="AX17" i="44"/>
  <c r="F34" i="52"/>
  <c r="F5" i="57"/>
  <c r="H54" i="43"/>
  <c r="AA78" i="43" s="1"/>
  <c r="U62" i="46"/>
  <c r="AO62" i="46" s="1"/>
  <c r="A52" i="56"/>
  <c r="BH14" i="46"/>
  <c r="A52" i="52"/>
  <c r="BI15" i="46"/>
  <c r="B53" i="52"/>
  <c r="U67" i="49"/>
  <c r="A117" i="56"/>
  <c r="BI15" i="44"/>
  <c r="B33" i="52"/>
  <c r="V66" i="50"/>
  <c r="B136" i="56"/>
  <c r="B34" i="51"/>
  <c r="C40" i="44"/>
  <c r="V16" i="44"/>
  <c r="AP16" i="44" s="1"/>
  <c r="C17" i="44"/>
  <c r="C64" i="44"/>
  <c r="BQ47" i="50"/>
  <c r="BT47" i="50"/>
  <c r="V63" i="46"/>
  <c r="AP63" i="46" s="1"/>
  <c r="B53" i="56"/>
  <c r="BH16" i="47"/>
  <c r="A74" i="52"/>
  <c r="BI16" i="48"/>
  <c r="B94" i="52"/>
  <c r="BH19" i="50"/>
  <c r="A137" i="52"/>
  <c r="AP66" i="49"/>
  <c r="B116" i="55" s="1"/>
  <c r="B116" i="54"/>
  <c r="B52" i="55"/>
  <c r="B52" i="54"/>
  <c r="AO66" i="49"/>
  <c r="A116" i="55" s="1"/>
  <c r="A116" i="54"/>
  <c r="AP62" i="44"/>
  <c r="B32" i="55" s="1"/>
  <c r="V39" i="44"/>
  <c r="V87" i="44" s="1"/>
  <c r="B33" i="58" s="1"/>
  <c r="B33" i="53"/>
  <c r="C87" i="44"/>
  <c r="B33" i="57" s="1"/>
  <c r="A33" i="56"/>
  <c r="U63" i="44"/>
  <c r="A33" i="54" s="1"/>
  <c r="AO64" i="48"/>
  <c r="A94" i="55" s="1"/>
  <c r="A94" i="54"/>
  <c r="V64" i="47"/>
  <c r="B74" i="56"/>
  <c r="B33" i="56"/>
  <c r="V63" i="44"/>
  <c r="B33" i="54" s="1"/>
  <c r="BH17" i="48"/>
  <c r="A95" i="52"/>
  <c r="BI19" i="49"/>
  <c r="B117" i="52"/>
  <c r="AP63" i="47"/>
  <c r="B73" i="55" s="1"/>
  <c r="B73" i="54"/>
  <c r="A34" i="51"/>
  <c r="B40" i="44"/>
  <c r="B17" i="44"/>
  <c r="B64" i="44"/>
  <c r="U16" i="44"/>
  <c r="AO16" i="44" s="1"/>
  <c r="U64" i="47"/>
  <c r="A74" i="56"/>
  <c r="V64" i="48"/>
  <c r="B94" i="56"/>
  <c r="BH19" i="49"/>
  <c r="A117" i="52"/>
  <c r="U67" i="50"/>
  <c r="A137" i="56"/>
  <c r="AO63" i="47"/>
  <c r="A73" i="55" s="1"/>
  <c r="A73" i="54"/>
  <c r="AP65" i="50"/>
  <c r="B135" i="55" s="1"/>
  <c r="B135" i="54"/>
  <c r="BH15" i="44"/>
  <c r="A33" i="52"/>
  <c r="A51" i="54"/>
  <c r="A51" i="55"/>
  <c r="U65" i="48"/>
  <c r="A95" i="56"/>
  <c r="BI18" i="50"/>
  <c r="B136" i="52"/>
  <c r="BQ47" i="48"/>
  <c r="BT47" i="48"/>
  <c r="BQ47" i="49"/>
  <c r="BT47" i="49"/>
  <c r="A33" i="53"/>
  <c r="U39" i="44"/>
  <c r="U87" i="44" s="1"/>
  <c r="A33" i="58" s="1"/>
  <c r="B87" i="44"/>
  <c r="A33" i="57" s="1"/>
  <c r="BI16" i="47"/>
  <c r="B74" i="52"/>
  <c r="V67" i="49"/>
  <c r="B117" i="56"/>
  <c r="AO62" i="44"/>
  <c r="A32" i="55" s="1"/>
  <c r="AP63" i="48"/>
  <c r="B93" i="55" s="1"/>
  <c r="B93" i="54"/>
  <c r="AO66" i="50"/>
  <c r="A136" i="55" s="1"/>
  <c r="A136" i="54"/>
  <c r="L5" i="57"/>
  <c r="AD38" i="50"/>
  <c r="F7" i="51"/>
  <c r="C7" i="51"/>
  <c r="E4" i="58"/>
  <c r="P4" i="57"/>
  <c r="N10" i="54"/>
  <c r="N10" i="55"/>
  <c r="C5" i="56"/>
  <c r="AS38" i="50"/>
  <c r="BR61" i="50" s="1"/>
  <c r="BM55" i="50"/>
  <c r="J7" i="51"/>
  <c r="Z38" i="50"/>
  <c r="Y38" i="50"/>
  <c r="AC38" i="50"/>
  <c r="AA38" i="50"/>
  <c r="AF38" i="50"/>
  <c r="AI29" i="44"/>
  <c r="AS38" i="49"/>
  <c r="BR61" i="49" s="1"/>
  <c r="M50" i="55"/>
  <c r="M10" i="55" s="1"/>
  <c r="M10" i="54"/>
  <c r="O63" i="44"/>
  <c r="N33" i="56" s="1"/>
  <c r="N33" i="53"/>
  <c r="K72" i="53"/>
  <c r="L62" i="47"/>
  <c r="K72" i="56" s="1"/>
  <c r="M95" i="53"/>
  <c r="N65" i="48"/>
  <c r="M95" i="56" s="1"/>
  <c r="K116" i="53"/>
  <c r="L66" i="49"/>
  <c r="K116" i="56" s="1"/>
  <c r="M137" i="53"/>
  <c r="N67" i="50"/>
  <c r="M137" i="56" s="1"/>
  <c r="M11" i="56"/>
  <c r="K94" i="53"/>
  <c r="L64" i="48"/>
  <c r="K94" i="56" s="1"/>
  <c r="K11" i="53"/>
  <c r="M116" i="53"/>
  <c r="N66" i="49"/>
  <c r="M116" i="56" s="1"/>
  <c r="K51" i="55"/>
  <c r="L63" i="46"/>
  <c r="K53" i="56" s="1"/>
  <c r="K53" i="53"/>
  <c r="BN63" i="49"/>
  <c r="M72" i="53"/>
  <c r="N62" i="47"/>
  <c r="M72" i="56" s="1"/>
  <c r="M11" i="53"/>
  <c r="K32" i="53"/>
  <c r="L62" i="44"/>
  <c r="K32" i="56" s="1"/>
  <c r="N51" i="55"/>
  <c r="K138" i="53"/>
  <c r="L68" i="50"/>
  <c r="K138" i="56" s="1"/>
  <c r="M52" i="53"/>
  <c r="N62" i="46"/>
  <c r="M52" i="56" s="1"/>
  <c r="K10" i="54"/>
  <c r="N12" i="53"/>
  <c r="I7" i="51"/>
  <c r="AJ37" i="49"/>
  <c r="J5" i="56"/>
  <c r="BN55" i="48"/>
  <c r="AB38" i="50"/>
  <c r="BN63" i="48"/>
  <c r="G5" i="56"/>
  <c r="E7" i="51"/>
  <c r="G5" i="57"/>
  <c r="I4" i="58"/>
  <c r="E5" i="56"/>
  <c r="J44" i="55"/>
  <c r="J4" i="55" s="1"/>
  <c r="J4" i="54"/>
  <c r="I44" i="55"/>
  <c r="I4" i="55" s="1"/>
  <c r="D56" i="44"/>
  <c r="C26" i="56" s="1"/>
  <c r="C26" i="53"/>
  <c r="C6" i="53" s="1"/>
  <c r="J5" i="57"/>
  <c r="M56" i="44"/>
  <c r="L26" i="56" s="1"/>
  <c r="L26" i="53"/>
  <c r="L6" i="53" s="1"/>
  <c r="J4" i="58"/>
  <c r="C4" i="58"/>
  <c r="Q55" i="44"/>
  <c r="P25" i="56" s="1"/>
  <c r="F5" i="56"/>
  <c r="P4" i="56"/>
  <c r="H5" i="56"/>
  <c r="K63" i="48"/>
  <c r="J93" i="53"/>
  <c r="K87" i="48"/>
  <c r="J93" i="57" s="1"/>
  <c r="D92" i="56"/>
  <c r="X86" i="48"/>
  <c r="D92" i="58" s="1"/>
  <c r="X62" i="48"/>
  <c r="D92" i="54" s="1"/>
  <c r="AR62" i="48"/>
  <c r="D92" i="55" s="1"/>
  <c r="L7" i="51"/>
  <c r="BD59" i="48"/>
  <c r="P89" i="55" s="1"/>
  <c r="O89" i="55"/>
  <c r="J94" i="51"/>
  <c r="K17" i="48"/>
  <c r="K40" i="48"/>
  <c r="G56" i="44"/>
  <c r="F26" i="56" s="1"/>
  <c r="F26" i="53"/>
  <c r="F6" i="53" s="1"/>
  <c r="K56" i="44"/>
  <c r="J26" i="56" s="1"/>
  <c r="J26" i="53"/>
  <c r="E4" i="54"/>
  <c r="E44" i="55"/>
  <c r="E4" i="55" s="1"/>
  <c r="G4" i="58"/>
  <c r="Y31" i="47"/>
  <c r="P65" i="53"/>
  <c r="I56" i="44"/>
  <c r="H26" i="56" s="1"/>
  <c r="H26" i="53"/>
  <c r="H6" i="53" s="1"/>
  <c r="C5" i="57"/>
  <c r="AA38" i="48"/>
  <c r="P92" i="53"/>
  <c r="AK60" i="48"/>
  <c r="BP58" i="48" s="1"/>
  <c r="P90" i="54"/>
  <c r="K63" i="50"/>
  <c r="J133" i="56" s="1"/>
  <c r="J133" i="53"/>
  <c r="W55" i="44"/>
  <c r="C25" i="54" s="1"/>
  <c r="J56" i="44"/>
  <c r="I26" i="56" s="1"/>
  <c r="I26" i="53"/>
  <c r="I6" i="53" s="1"/>
  <c r="J92" i="56"/>
  <c r="AD86" i="48"/>
  <c r="J92" i="58" s="1"/>
  <c r="AD62" i="48"/>
  <c r="J92" i="54" s="1"/>
  <c r="AX62" i="48"/>
  <c r="J92" i="55" s="1"/>
  <c r="H44" i="55"/>
  <c r="H4" i="55" s="1"/>
  <c r="H4" i="54"/>
  <c r="H4" i="58"/>
  <c r="AD31" i="46"/>
  <c r="P45" i="53"/>
  <c r="K56" i="47"/>
  <c r="J66" i="56" s="1"/>
  <c r="J66" i="53"/>
  <c r="H7" i="51"/>
  <c r="AF31" i="44"/>
  <c r="P25" i="53"/>
  <c r="D4" i="58"/>
  <c r="P30" i="46"/>
  <c r="O44" i="53" s="1"/>
  <c r="O44" i="51"/>
  <c r="O4" i="51" s="1"/>
  <c r="P37" i="48"/>
  <c r="O91" i="53" s="1"/>
  <c r="O91" i="51"/>
  <c r="AK60" i="49"/>
  <c r="BP58" i="49" s="1"/>
  <c r="P110" i="54"/>
  <c r="D5" i="56"/>
  <c r="D94" i="51"/>
  <c r="E17" i="48"/>
  <c r="E40" i="48"/>
  <c r="BW40" i="48"/>
  <c r="BT67" i="48" s="1"/>
  <c r="L94" i="51"/>
  <c r="AK53" i="47"/>
  <c r="BI58" i="47" s="1"/>
  <c r="P63" i="54"/>
  <c r="F44" i="55"/>
  <c r="F4" i="55" s="1"/>
  <c r="F4" i="54"/>
  <c r="E5" i="57"/>
  <c r="F4" i="58"/>
  <c r="C44" i="55"/>
  <c r="C4" i="55" s="1"/>
  <c r="C4" i="54"/>
  <c r="P3" i="58"/>
  <c r="E56" i="44"/>
  <c r="D26" i="56" s="1"/>
  <c r="D26" i="53"/>
  <c r="D6" i="53" s="1"/>
  <c r="P84" i="48"/>
  <c r="O90" i="57" s="1"/>
  <c r="O90" i="53"/>
  <c r="AF38" i="49"/>
  <c r="P112" i="53"/>
  <c r="BD59" i="50"/>
  <c r="P129" i="55" s="1"/>
  <c r="O129" i="55"/>
  <c r="AK60" i="50"/>
  <c r="BP58" i="50" s="1"/>
  <c r="P130" i="54"/>
  <c r="P4" i="53"/>
  <c r="D93" i="53"/>
  <c r="E87" i="48"/>
  <c r="D93" i="57" s="1"/>
  <c r="E63" i="48"/>
  <c r="I5" i="56"/>
  <c r="H56" i="46"/>
  <c r="G46" i="56" s="1"/>
  <c r="G46" i="53"/>
  <c r="BM63" i="50"/>
  <c r="D5" i="57"/>
  <c r="I5" i="57"/>
  <c r="K56" i="46"/>
  <c r="J46" i="56" s="1"/>
  <c r="J46" i="53"/>
  <c r="L44" i="55"/>
  <c r="L4" i="55" s="1"/>
  <c r="L4" i="54"/>
  <c r="H5" i="57"/>
  <c r="AK53" i="44"/>
  <c r="BI58" i="44" s="1"/>
  <c r="P23" i="54"/>
  <c r="G7" i="51"/>
  <c r="D7" i="51"/>
  <c r="K63" i="49"/>
  <c r="J113" i="56" s="1"/>
  <c r="J113" i="53"/>
  <c r="D44" i="55"/>
  <c r="D4" i="55" s="1"/>
  <c r="D4" i="54"/>
  <c r="F56" i="44"/>
  <c r="E26" i="56" s="1"/>
  <c r="E26" i="53"/>
  <c r="E6" i="53" s="1"/>
  <c r="H56" i="44"/>
  <c r="G26" i="56" s="1"/>
  <c r="G26" i="53"/>
  <c r="L4" i="58"/>
  <c r="I4" i="54"/>
  <c r="G44" i="55"/>
  <c r="G4" i="55" s="1"/>
  <c r="G4" i="54"/>
  <c r="P77" i="46"/>
  <c r="O43" i="57" s="1"/>
  <c r="O43" i="53"/>
  <c r="O3" i="53" s="1"/>
  <c r="CA39" i="48"/>
  <c r="L93" i="53"/>
  <c r="BD58" i="50"/>
  <c r="P128" i="55" s="1"/>
  <c r="O128" i="55"/>
  <c r="BD59" i="49"/>
  <c r="P109" i="55" s="1"/>
  <c r="O109" i="55"/>
  <c r="AQ38" i="50"/>
  <c r="BR59" i="50" s="1"/>
  <c r="P132" i="53"/>
  <c r="L5" i="56"/>
  <c r="G5" i="53"/>
  <c r="J5" i="53"/>
  <c r="Q86" i="49"/>
  <c r="P112" i="57" s="1"/>
  <c r="AJ37" i="50"/>
  <c r="Y38" i="49"/>
  <c r="AD38" i="49"/>
  <c r="AB38" i="49"/>
  <c r="X38" i="49"/>
  <c r="AA38" i="49"/>
  <c r="J63" i="49"/>
  <c r="I113" i="56" s="1"/>
  <c r="J87" i="49"/>
  <c r="I113" i="57" s="1"/>
  <c r="W62" i="49"/>
  <c r="C112" i="54" s="1"/>
  <c r="W86" i="49"/>
  <c r="C112" i="58" s="1"/>
  <c r="Q62" i="49"/>
  <c r="P112" i="56" s="1"/>
  <c r="AQ62" i="49"/>
  <c r="C112" i="55" s="1"/>
  <c r="AU37" i="49"/>
  <c r="BQ59" i="49"/>
  <c r="D87" i="50"/>
  <c r="C133" i="57" s="1"/>
  <c r="D63" i="50"/>
  <c r="C133" i="56" s="1"/>
  <c r="Q39" i="50"/>
  <c r="AB39" i="50" s="1"/>
  <c r="P37" i="50"/>
  <c r="O131" i="53" s="1"/>
  <c r="AI13" i="50"/>
  <c r="O131" i="59" s="1"/>
  <c r="BO37" i="50"/>
  <c r="BQ64" i="50" s="1"/>
  <c r="BU37" i="50"/>
  <c r="BQ66" i="50" s="1"/>
  <c r="F87" i="49"/>
  <c r="E113" i="57" s="1"/>
  <c r="F63" i="49"/>
  <c r="E113" i="56" s="1"/>
  <c r="AJ61" i="49"/>
  <c r="AC38" i="49"/>
  <c r="AJ61" i="50"/>
  <c r="J40" i="49"/>
  <c r="I114" i="53" s="1"/>
  <c r="J17" i="49"/>
  <c r="I115" i="51" s="1"/>
  <c r="AA63" i="49"/>
  <c r="G113" i="54" s="1"/>
  <c r="H63" i="49"/>
  <c r="G113" i="56" s="1"/>
  <c r="H87" i="49"/>
  <c r="G113" i="57" s="1"/>
  <c r="Q86" i="50"/>
  <c r="P132" i="57" s="1"/>
  <c r="AC86" i="49"/>
  <c r="I112" i="58" s="1"/>
  <c r="AC62" i="49"/>
  <c r="I112" i="54" s="1"/>
  <c r="AW62" i="49"/>
  <c r="I112" i="55" s="1"/>
  <c r="D63" i="49"/>
  <c r="C113" i="56" s="1"/>
  <c r="D87" i="49"/>
  <c r="C113" i="57" s="1"/>
  <c r="Q39" i="49"/>
  <c r="AR62" i="50"/>
  <c r="D132" i="55" s="1"/>
  <c r="X62" i="50"/>
  <c r="D132" i="54" s="1"/>
  <c r="X86" i="50"/>
  <c r="D132" i="58" s="1"/>
  <c r="AD86" i="50"/>
  <c r="J132" i="58" s="1"/>
  <c r="AD62" i="50"/>
  <c r="J132" i="54" s="1"/>
  <c r="AX62" i="50"/>
  <c r="J132" i="55" s="1"/>
  <c r="K17" i="49"/>
  <c r="J115" i="51" s="1"/>
  <c r="K40" i="49"/>
  <c r="E87" i="50"/>
  <c r="D133" i="57" s="1"/>
  <c r="E63" i="50"/>
  <c r="D133" i="56" s="1"/>
  <c r="X86" i="49"/>
  <c r="D112" i="58" s="1"/>
  <c r="X62" i="49"/>
  <c r="D112" i="54" s="1"/>
  <c r="AR62" i="49"/>
  <c r="D112" i="55" s="1"/>
  <c r="H40" i="50"/>
  <c r="G134" i="53" s="1"/>
  <c r="H17" i="50"/>
  <c r="G135" i="51" s="1"/>
  <c r="BW40" i="50"/>
  <c r="BT67" i="50" s="1"/>
  <c r="Z38" i="49"/>
  <c r="G63" i="50"/>
  <c r="F133" i="56" s="1"/>
  <c r="G87" i="50"/>
  <c r="F133" i="57" s="1"/>
  <c r="AC86" i="50"/>
  <c r="I132" i="58" s="1"/>
  <c r="AC62" i="50"/>
  <c r="I132" i="54" s="1"/>
  <c r="AW62" i="50"/>
  <c r="I132" i="55" s="1"/>
  <c r="AA86" i="49"/>
  <c r="G112" i="58" s="1"/>
  <c r="AU62" i="49"/>
  <c r="G112" i="55" s="1"/>
  <c r="J40" i="50"/>
  <c r="I134" i="53" s="1"/>
  <c r="J17" i="50"/>
  <c r="I135" i="51" s="1"/>
  <c r="AB86" i="49"/>
  <c r="H112" i="58" s="1"/>
  <c r="AB62" i="49"/>
  <c r="H112" i="54" s="1"/>
  <c r="AV62" i="49"/>
  <c r="H112" i="55" s="1"/>
  <c r="I63" i="50"/>
  <c r="H133" i="56" s="1"/>
  <c r="I87" i="50"/>
  <c r="H133" i="57" s="1"/>
  <c r="BR40" i="49"/>
  <c r="BT65" i="49" s="1"/>
  <c r="D40" i="49"/>
  <c r="C114" i="53" s="1"/>
  <c r="D17" i="49"/>
  <c r="C115" i="51" s="1"/>
  <c r="Q16" i="49"/>
  <c r="G17" i="50"/>
  <c r="F135" i="51" s="1"/>
  <c r="G40" i="50"/>
  <c r="F134" i="53" s="1"/>
  <c r="I40" i="50"/>
  <c r="H134" i="53" s="1"/>
  <c r="I17" i="50"/>
  <c r="H135" i="51" s="1"/>
  <c r="M40" i="50"/>
  <c r="L134" i="53" s="1"/>
  <c r="M17" i="50"/>
  <c r="L135" i="51" s="1"/>
  <c r="Z62" i="50"/>
  <c r="F132" i="54" s="1"/>
  <c r="Z86" i="50"/>
  <c r="F132" i="58" s="1"/>
  <c r="AT62" i="50"/>
  <c r="F132" i="55" s="1"/>
  <c r="H87" i="50"/>
  <c r="G133" i="57" s="1"/>
  <c r="AA63" i="50"/>
  <c r="G133" i="54" s="1"/>
  <c r="H63" i="50"/>
  <c r="G133" i="56" s="1"/>
  <c r="Z86" i="49"/>
  <c r="F112" i="58" s="1"/>
  <c r="Z62" i="49"/>
  <c r="F112" i="54" s="1"/>
  <c r="AT62" i="49"/>
  <c r="F112" i="55" s="1"/>
  <c r="AJ12" i="50"/>
  <c r="P130" i="59" s="1"/>
  <c r="AA86" i="50"/>
  <c r="G132" i="58" s="1"/>
  <c r="AU62" i="50"/>
  <c r="G132" i="55" s="1"/>
  <c r="J87" i="50"/>
  <c r="I133" i="57" s="1"/>
  <c r="J63" i="50"/>
  <c r="I133" i="56" s="1"/>
  <c r="AD86" i="49"/>
  <c r="J112" i="58" s="1"/>
  <c r="AD62" i="49"/>
  <c r="J112" i="54" s="1"/>
  <c r="AX62" i="49"/>
  <c r="J112" i="55" s="1"/>
  <c r="E40" i="49"/>
  <c r="D114" i="53" s="1"/>
  <c r="E17" i="49"/>
  <c r="D115" i="51" s="1"/>
  <c r="M63" i="50"/>
  <c r="L133" i="56" s="1"/>
  <c r="M87" i="50"/>
  <c r="L133" i="57" s="1"/>
  <c r="P84" i="50"/>
  <c r="O130" i="57" s="1"/>
  <c r="AI36" i="50"/>
  <c r="Y62" i="49"/>
  <c r="E112" i="54" s="1"/>
  <c r="Y86" i="49"/>
  <c r="E112" i="58" s="1"/>
  <c r="AS62" i="49"/>
  <c r="E112" i="55" s="1"/>
  <c r="G40" i="49"/>
  <c r="F114" i="53" s="1"/>
  <c r="G17" i="49"/>
  <c r="F115" i="51" s="1"/>
  <c r="F17" i="50"/>
  <c r="E135" i="51" s="1"/>
  <c r="F40" i="50"/>
  <c r="E134" i="53" s="1"/>
  <c r="K87" i="49"/>
  <c r="J113" i="57" s="1"/>
  <c r="CA39" i="49"/>
  <c r="E63" i="49"/>
  <c r="D113" i="56" s="1"/>
  <c r="E87" i="49"/>
  <c r="D113" i="57" s="1"/>
  <c r="M87" i="49"/>
  <c r="L113" i="57" s="1"/>
  <c r="M63" i="49"/>
  <c r="L113" i="56" s="1"/>
  <c r="G87" i="49"/>
  <c r="F113" i="57" s="1"/>
  <c r="G63" i="49"/>
  <c r="F113" i="56" s="1"/>
  <c r="F87" i="50"/>
  <c r="E133" i="57" s="1"/>
  <c r="F63" i="50"/>
  <c r="E133" i="56" s="1"/>
  <c r="AB62" i="50"/>
  <c r="H132" i="54" s="1"/>
  <c r="AB86" i="50"/>
  <c r="H132" i="58" s="1"/>
  <c r="AV62" i="50"/>
  <c r="H132" i="55" s="1"/>
  <c r="P84" i="49"/>
  <c r="O110" i="57" s="1"/>
  <c r="AI36" i="49"/>
  <c r="E17" i="50"/>
  <c r="D135" i="51" s="1"/>
  <c r="E40" i="50"/>
  <c r="D134" i="53" s="1"/>
  <c r="AI13" i="49"/>
  <c r="O111" i="59" s="1"/>
  <c r="BO37" i="49"/>
  <c r="BQ64" i="49" s="1"/>
  <c r="BU37" i="49"/>
  <c r="BQ66" i="49" s="1"/>
  <c r="P37" i="49"/>
  <c r="O111" i="53" s="1"/>
  <c r="K40" i="50"/>
  <c r="K17" i="50"/>
  <c r="J135" i="51" s="1"/>
  <c r="AF62" i="49"/>
  <c r="L112" i="54" s="1"/>
  <c r="AZ62" i="49"/>
  <c r="L112" i="55" s="1"/>
  <c r="AF86" i="49"/>
  <c r="L112" i="58" s="1"/>
  <c r="Y86" i="50"/>
  <c r="E132" i="58" s="1"/>
  <c r="Y62" i="50"/>
  <c r="E132" i="54" s="1"/>
  <c r="AS62" i="50"/>
  <c r="E132" i="55" s="1"/>
  <c r="M17" i="49"/>
  <c r="L115" i="51" s="1"/>
  <c r="M40" i="49"/>
  <c r="L114" i="53" s="1"/>
  <c r="I40" i="49"/>
  <c r="H114" i="53" s="1"/>
  <c r="I17" i="49"/>
  <c r="H115" i="51" s="1"/>
  <c r="AJ12" i="49"/>
  <c r="P110" i="59" s="1"/>
  <c r="BC60" i="49"/>
  <c r="AF62" i="50"/>
  <c r="L132" i="54" s="1"/>
  <c r="AF86" i="50"/>
  <c r="L132" i="58" s="1"/>
  <c r="AZ62" i="50"/>
  <c r="L132" i="55" s="1"/>
  <c r="X38" i="50"/>
  <c r="BR68" i="50"/>
  <c r="AT38" i="50"/>
  <c r="BR62" i="50" s="1"/>
  <c r="BJ14" i="50"/>
  <c r="BK14" i="50" s="1"/>
  <c r="BL14" i="50" s="1"/>
  <c r="P14" i="50" s="1"/>
  <c r="O132" i="51" s="1"/>
  <c r="AH38" i="50"/>
  <c r="AR38" i="50"/>
  <c r="BR60" i="50" s="1"/>
  <c r="AE38" i="50"/>
  <c r="AG38" i="50"/>
  <c r="BR69" i="50"/>
  <c r="AQ38" i="49"/>
  <c r="BR68" i="49"/>
  <c r="BR69" i="49"/>
  <c r="AR38" i="49"/>
  <c r="BR60" i="49" s="1"/>
  <c r="AT38" i="49"/>
  <c r="BR62" i="49" s="1"/>
  <c r="BJ14" i="49"/>
  <c r="BK14" i="49" s="1"/>
  <c r="BL14" i="49" s="1"/>
  <c r="P14" i="49" s="1"/>
  <c r="O112" i="51" s="1"/>
  <c r="AE38" i="49"/>
  <c r="AH38" i="49"/>
  <c r="AG38" i="49"/>
  <c r="D17" i="50"/>
  <c r="C135" i="51" s="1"/>
  <c r="D40" i="50"/>
  <c r="C134" i="53" s="1"/>
  <c r="BR40" i="50"/>
  <c r="BT65" i="50" s="1"/>
  <c r="Q16" i="50"/>
  <c r="K87" i="50"/>
  <c r="J133" i="57" s="1"/>
  <c r="CA39" i="50"/>
  <c r="F40" i="49"/>
  <c r="E114" i="53" s="1"/>
  <c r="F17" i="49"/>
  <c r="E115" i="51" s="1"/>
  <c r="AU37" i="50"/>
  <c r="AJ85" i="49"/>
  <c r="P111" i="58" s="1"/>
  <c r="AJ85" i="50"/>
  <c r="P131" i="58" s="1"/>
  <c r="I87" i="49"/>
  <c r="H113" i="57" s="1"/>
  <c r="I63" i="49"/>
  <c r="H113" i="56" s="1"/>
  <c r="H40" i="49"/>
  <c r="G114" i="53" s="1"/>
  <c r="H17" i="49"/>
  <c r="G115" i="51" s="1"/>
  <c r="BW40" i="49"/>
  <c r="BT67" i="49" s="1"/>
  <c r="W86" i="50"/>
  <c r="C132" i="58" s="1"/>
  <c r="W62" i="50"/>
  <c r="C132" i="54" s="1"/>
  <c r="Q62" i="50"/>
  <c r="P132" i="56" s="1"/>
  <c r="AQ62" i="50"/>
  <c r="C132" i="55" s="1"/>
  <c r="H78" i="43"/>
  <c r="BI57" i="43" a="1"/>
  <c r="BI57" i="43" s="1"/>
  <c r="BX32" i="43"/>
  <c r="K78" i="43"/>
  <c r="AU37" i="48"/>
  <c r="AR38" i="48"/>
  <c r="BR60" i="48" s="1"/>
  <c r="AJ37" i="48"/>
  <c r="AI13" i="48"/>
  <c r="BO37" i="48"/>
  <c r="BQ64" i="48" s="1"/>
  <c r="BU37" i="48"/>
  <c r="BQ66" i="48" s="1"/>
  <c r="Q86" i="48"/>
  <c r="P92" i="57" s="1"/>
  <c r="AI36" i="48"/>
  <c r="X38" i="48"/>
  <c r="Y38" i="48"/>
  <c r="AT38" i="48"/>
  <c r="BR62" i="48" s="1"/>
  <c r="AG38" i="48"/>
  <c r="AF38" i="48"/>
  <c r="Z38" i="48"/>
  <c r="BR68" i="48"/>
  <c r="AS38" i="48"/>
  <c r="BR61" i="48" s="1"/>
  <c r="BR69" i="48"/>
  <c r="AQ38" i="48"/>
  <c r="BR59" i="48" s="1"/>
  <c r="AH38" i="48"/>
  <c r="AD38" i="48"/>
  <c r="BJ14" i="48"/>
  <c r="BK14" i="48" s="1"/>
  <c r="BL14" i="48" s="1"/>
  <c r="P14" i="48" s="1"/>
  <c r="W38" i="48"/>
  <c r="AB38" i="48"/>
  <c r="AC38" i="48"/>
  <c r="AE38" i="48"/>
  <c r="AJ85" i="48"/>
  <c r="P91" i="58" s="1"/>
  <c r="Q62" i="48"/>
  <c r="P92" i="56" s="1"/>
  <c r="AJ61" i="48"/>
  <c r="L92" i="50"/>
  <c r="K138" i="57" s="1"/>
  <c r="AX41" i="50"/>
  <c r="AP42" i="50"/>
  <c r="AZ41" i="50"/>
  <c r="AW41" i="50"/>
  <c r="AU21" i="50"/>
  <c r="C139" i="52" s="1"/>
  <c r="N91" i="50"/>
  <c r="M137" i="57" s="1"/>
  <c r="BX44" i="50"/>
  <c r="N44" i="50"/>
  <c r="N21" i="50"/>
  <c r="M139" i="51" s="1"/>
  <c r="B68" i="50"/>
  <c r="B44" i="50"/>
  <c r="A138" i="53" s="1"/>
  <c r="B21" i="50"/>
  <c r="A139" i="51" s="1"/>
  <c r="U20" i="50"/>
  <c r="AO20" i="50" s="1"/>
  <c r="O44" i="50"/>
  <c r="N138" i="53" s="1"/>
  <c r="O21" i="50"/>
  <c r="N139" i="51" s="1"/>
  <c r="B91" i="50"/>
  <c r="A137" i="57" s="1"/>
  <c r="U43" i="50"/>
  <c r="U91" i="50" s="1"/>
  <c r="A137" i="58" s="1"/>
  <c r="C67" i="50"/>
  <c r="C43" i="50"/>
  <c r="B137" i="53" s="1"/>
  <c r="C20" i="50"/>
  <c r="B138" i="51" s="1"/>
  <c r="V19" i="50"/>
  <c r="AP19" i="50" s="1"/>
  <c r="AH90" i="50"/>
  <c r="N136" i="58" s="1"/>
  <c r="AH66" i="50"/>
  <c r="BB66" i="50"/>
  <c r="N136" i="55" s="1"/>
  <c r="AE91" i="50"/>
  <c r="K137" i="58" s="1"/>
  <c r="AE67" i="50"/>
  <c r="AY67" i="50"/>
  <c r="K137" i="55" s="1"/>
  <c r="O91" i="50"/>
  <c r="N137" i="57" s="1"/>
  <c r="O67" i="50"/>
  <c r="N137" i="56" s="1"/>
  <c r="L45" i="50"/>
  <c r="L22" i="50"/>
  <c r="K140" i="51" s="1"/>
  <c r="C90" i="50"/>
  <c r="B136" i="57" s="1"/>
  <c r="V42" i="50"/>
  <c r="V90" i="50" s="1"/>
  <c r="B136" i="58" s="1"/>
  <c r="BA40" i="50"/>
  <c r="AG90" i="50"/>
  <c r="M136" i="58" s="1"/>
  <c r="AG66" i="50"/>
  <c r="BA66" i="50"/>
  <c r="M136" i="55" s="1"/>
  <c r="AE89" i="49"/>
  <c r="K115" i="58" s="1"/>
  <c r="AE65" i="49"/>
  <c r="AY65" i="49"/>
  <c r="K115" i="55" s="1"/>
  <c r="AG89" i="49"/>
  <c r="M115" i="58" s="1"/>
  <c r="AG65" i="49"/>
  <c r="BA65" i="49"/>
  <c r="M115" i="55" s="1"/>
  <c r="AH89" i="49"/>
  <c r="N115" i="58" s="1"/>
  <c r="AH65" i="49"/>
  <c r="BB65" i="49"/>
  <c r="N115" i="55" s="1"/>
  <c r="AP42" i="49"/>
  <c r="AX41" i="49"/>
  <c r="AZ41" i="49"/>
  <c r="AW41" i="49"/>
  <c r="C68" i="49"/>
  <c r="C44" i="49"/>
  <c r="B118" i="53" s="1"/>
  <c r="V20" i="49"/>
  <c r="AP20" i="49" s="1"/>
  <c r="C21" i="49"/>
  <c r="B119" i="51" s="1"/>
  <c r="BA40" i="49"/>
  <c r="B68" i="49"/>
  <c r="B44" i="49"/>
  <c r="A118" i="53" s="1"/>
  <c r="U20" i="49"/>
  <c r="AO20" i="49" s="1"/>
  <c r="B21" i="49"/>
  <c r="A119" i="51" s="1"/>
  <c r="C91" i="49"/>
  <c r="B117" i="57" s="1"/>
  <c r="V43" i="49"/>
  <c r="V91" i="49" s="1"/>
  <c r="B117" i="58" s="1"/>
  <c r="B91" i="49"/>
  <c r="A117" i="57" s="1"/>
  <c r="U43" i="49"/>
  <c r="U91" i="49" s="1"/>
  <c r="A117" i="58" s="1"/>
  <c r="O43" i="49"/>
  <c r="N117" i="53" s="1"/>
  <c r="O20" i="49"/>
  <c r="N118" i="51" s="1"/>
  <c r="L43" i="49"/>
  <c r="L20" i="49"/>
  <c r="K118" i="51" s="1"/>
  <c r="BX43" i="49"/>
  <c r="N43" i="49"/>
  <c r="N20" i="49"/>
  <c r="M118" i="51" s="1"/>
  <c r="O90" i="49"/>
  <c r="N116" i="57" s="1"/>
  <c r="O66" i="49"/>
  <c r="N116" i="56" s="1"/>
  <c r="BD23" i="49"/>
  <c r="J121" i="52" s="1"/>
  <c r="BD22" i="49"/>
  <c r="J120" i="52" s="1"/>
  <c r="L90" i="49"/>
  <c r="K116" i="57" s="1"/>
  <c r="N90" i="49"/>
  <c r="M116" i="57" s="1"/>
  <c r="Q16" i="48"/>
  <c r="M40" i="48"/>
  <c r="M17" i="48"/>
  <c r="Y86" i="48"/>
  <c r="E92" i="58" s="1"/>
  <c r="Y62" i="48"/>
  <c r="E92" i="54" s="1"/>
  <c r="AS62" i="48"/>
  <c r="E92" i="55" s="1"/>
  <c r="Z86" i="48"/>
  <c r="F92" i="58" s="1"/>
  <c r="Z62" i="48"/>
  <c r="F92" i="54" s="1"/>
  <c r="AT62" i="48"/>
  <c r="F92" i="55" s="1"/>
  <c r="AD31" i="44"/>
  <c r="M63" i="48"/>
  <c r="L93" i="56" s="1"/>
  <c r="M87" i="48"/>
  <c r="L93" i="57" s="1"/>
  <c r="G40" i="48"/>
  <c r="F94" i="53" s="1"/>
  <c r="G17" i="48"/>
  <c r="F95" i="51" s="1"/>
  <c r="BR40" i="48"/>
  <c r="BT65" i="48" s="1"/>
  <c r="F87" i="48"/>
  <c r="E93" i="57" s="1"/>
  <c r="F63" i="48"/>
  <c r="E93" i="56" s="1"/>
  <c r="AF86" i="48"/>
  <c r="L92" i="58" s="1"/>
  <c r="AF62" i="48"/>
  <c r="L92" i="54" s="1"/>
  <c r="AZ62" i="48"/>
  <c r="L92" i="55" s="1"/>
  <c r="G87" i="48"/>
  <c r="F93" i="57" s="1"/>
  <c r="G63" i="48"/>
  <c r="F93" i="56" s="1"/>
  <c r="Q39" i="48"/>
  <c r="F40" i="48"/>
  <c r="E94" i="53" s="1"/>
  <c r="F17" i="48"/>
  <c r="E95" i="51" s="1"/>
  <c r="AH89" i="48"/>
  <c r="N95" i="58" s="1"/>
  <c r="AH65" i="48"/>
  <c r="N95" i="54" s="1"/>
  <c r="BB65" i="48"/>
  <c r="N95" i="55" s="1"/>
  <c r="N89" i="48"/>
  <c r="M95" i="57" s="1"/>
  <c r="BC60" i="48"/>
  <c r="AG88" i="48"/>
  <c r="M94" i="58" s="1"/>
  <c r="AG64" i="48"/>
  <c r="M94" i="54" s="1"/>
  <c r="BA64" i="48"/>
  <c r="M94" i="55" s="1"/>
  <c r="B66" i="48"/>
  <c r="B42" i="48"/>
  <c r="A96" i="53" s="1"/>
  <c r="B19" i="48"/>
  <c r="A97" i="51" s="1"/>
  <c r="U18" i="48"/>
  <c r="AO18" i="48" s="1"/>
  <c r="AE87" i="48"/>
  <c r="K93" i="58" s="1"/>
  <c r="AE63" i="48"/>
  <c r="K93" i="54" s="1"/>
  <c r="AY63" i="48"/>
  <c r="K93" i="55" s="1"/>
  <c r="BD17" i="48"/>
  <c r="J95" i="52" s="1"/>
  <c r="AU18" i="48"/>
  <c r="C96" i="52" s="1"/>
  <c r="C88" i="48"/>
  <c r="B94" i="57" s="1"/>
  <c r="V40" i="48"/>
  <c r="V88" i="48" s="1"/>
  <c r="B94" i="58" s="1"/>
  <c r="O43" i="48"/>
  <c r="N97" i="53" s="1"/>
  <c r="O20" i="48"/>
  <c r="N98" i="51" s="1"/>
  <c r="O90" i="48"/>
  <c r="N96" i="57" s="1"/>
  <c r="O66" i="48"/>
  <c r="N96" i="56" s="1"/>
  <c r="AZ39" i="48"/>
  <c r="AX39" i="48"/>
  <c r="AW39" i="48"/>
  <c r="AP40" i="48"/>
  <c r="BX42" i="48"/>
  <c r="N42" i="48"/>
  <c r="N19" i="48"/>
  <c r="M97" i="51" s="1"/>
  <c r="B89" i="48"/>
  <c r="A95" i="57" s="1"/>
  <c r="U41" i="48"/>
  <c r="U89" i="48" s="1"/>
  <c r="A95" i="58" s="1"/>
  <c r="L88" i="48"/>
  <c r="K94" i="57" s="1"/>
  <c r="BA38" i="48"/>
  <c r="C65" i="48"/>
  <c r="C41" i="48"/>
  <c r="B95" i="53" s="1"/>
  <c r="C18" i="48"/>
  <c r="B96" i="51" s="1"/>
  <c r="V17" i="48"/>
  <c r="AP17" i="48" s="1"/>
  <c r="P85" i="48"/>
  <c r="O91" i="57" s="1"/>
  <c r="L41" i="48"/>
  <c r="L18" i="48"/>
  <c r="K96" i="51" s="1"/>
  <c r="X31" i="44"/>
  <c r="BC53" i="44"/>
  <c r="AI29" i="46"/>
  <c r="AJ30" i="46"/>
  <c r="AJ54" i="47"/>
  <c r="BU30" i="46"/>
  <c r="BJ66" i="46" s="1"/>
  <c r="AI6" i="46"/>
  <c r="BO30" i="46"/>
  <c r="BJ64" i="46" s="1"/>
  <c r="AJ30" i="47"/>
  <c r="AU30" i="47"/>
  <c r="BJ7" i="47"/>
  <c r="BK7" i="47" s="1"/>
  <c r="BL7" i="47" s="1"/>
  <c r="P7" i="47" s="1"/>
  <c r="AT31" i="47"/>
  <c r="BK62" i="47" s="1"/>
  <c r="AB31" i="47"/>
  <c r="AA31" i="46"/>
  <c r="AJ30" i="44"/>
  <c r="J54" i="43"/>
  <c r="AC78" i="43" s="1"/>
  <c r="J78" i="43"/>
  <c r="F10" i="44"/>
  <c r="E28" i="51" s="1"/>
  <c r="F33" i="44"/>
  <c r="X79" i="46"/>
  <c r="D45" i="58" s="1"/>
  <c r="X55" i="46"/>
  <c r="D45" i="54" s="1"/>
  <c r="AR55" i="46"/>
  <c r="AC31" i="46"/>
  <c r="BK68" i="46"/>
  <c r="AH31" i="46"/>
  <c r="BK69" i="46"/>
  <c r="AG31" i="46"/>
  <c r="AE31" i="46"/>
  <c r="K33" i="47"/>
  <c r="K10" i="47"/>
  <c r="J68" i="51" s="1"/>
  <c r="AQ31" i="44"/>
  <c r="BK69" i="44"/>
  <c r="AH31" i="44"/>
  <c r="AG31" i="44"/>
  <c r="AE31" i="44"/>
  <c r="BK68" i="44"/>
  <c r="AJ5" i="47"/>
  <c r="P63" i="59" s="1"/>
  <c r="AC31" i="44"/>
  <c r="Z31" i="47"/>
  <c r="AJ78" i="47"/>
  <c r="P64" i="58" s="1"/>
  <c r="H80" i="46"/>
  <c r="G46" i="57" s="1"/>
  <c r="AA56" i="46"/>
  <c r="G46" i="54" s="1"/>
  <c r="W55" i="46"/>
  <c r="C45" i="54" s="1"/>
  <c r="Q55" i="46"/>
  <c r="P45" i="56" s="1"/>
  <c r="W79" i="46"/>
  <c r="C45" i="58" s="1"/>
  <c r="AQ55" i="46"/>
  <c r="AA79" i="47"/>
  <c r="G65" i="58" s="1"/>
  <c r="AU55" i="47"/>
  <c r="G65" i="55" s="1"/>
  <c r="F33" i="47"/>
  <c r="E67" i="53" s="1"/>
  <c r="F10" i="47"/>
  <c r="E68" i="51" s="1"/>
  <c r="AQ31" i="47"/>
  <c r="AF31" i="46"/>
  <c r="I80" i="44"/>
  <c r="H26" i="57" s="1"/>
  <c r="F33" i="46"/>
  <c r="E47" i="53" s="1"/>
  <c r="F10" i="46"/>
  <c r="E48" i="51" s="1"/>
  <c r="AU30" i="44"/>
  <c r="E80" i="44"/>
  <c r="D26" i="57" s="1"/>
  <c r="P30" i="44"/>
  <c r="O24" i="53" s="1"/>
  <c r="AI6" i="44"/>
  <c r="O24" i="59" s="1"/>
  <c r="BU30" i="44"/>
  <c r="BJ66" i="44" s="1"/>
  <c r="BO30" i="44"/>
  <c r="BJ64" i="44" s="1"/>
  <c r="D80" i="44"/>
  <c r="C26" i="57" s="1"/>
  <c r="Q32" i="44"/>
  <c r="F56" i="46"/>
  <c r="E46" i="56" s="1"/>
  <c r="F80" i="46"/>
  <c r="E46" i="57" s="1"/>
  <c r="M80" i="47"/>
  <c r="L66" i="57" s="1"/>
  <c r="M56" i="47"/>
  <c r="L66" i="56" s="1"/>
  <c r="G33" i="44"/>
  <c r="G10" i="44"/>
  <c r="F28" i="51" s="1"/>
  <c r="G54" i="43"/>
  <c r="Z78" i="43" s="1"/>
  <c r="G78" i="43"/>
  <c r="F54" i="43"/>
  <c r="Y78" i="43" s="1"/>
  <c r="F78" i="43"/>
  <c r="AE79" i="43"/>
  <c r="L79" i="43"/>
  <c r="AT31" i="46"/>
  <c r="BK62" i="46" s="1"/>
  <c r="AR31" i="44"/>
  <c r="BK60" i="44" s="1"/>
  <c r="AC79" i="44"/>
  <c r="I25" i="58" s="1"/>
  <c r="AC55" i="44"/>
  <c r="I25" i="54" s="1"/>
  <c r="AW55" i="44"/>
  <c r="I25" i="55" s="1"/>
  <c r="AS31" i="47"/>
  <c r="BK61" i="47" s="1"/>
  <c r="M33" i="46"/>
  <c r="L47" i="53" s="1"/>
  <c r="M10" i="46"/>
  <c r="L48" i="51" s="1"/>
  <c r="Y31" i="44"/>
  <c r="H33" i="46"/>
  <c r="H10" i="46"/>
  <c r="G48" i="51" s="1"/>
  <c r="BW33" i="46"/>
  <c r="BM67" i="46" s="1"/>
  <c r="AB31" i="44"/>
  <c r="F80" i="47"/>
  <c r="E66" i="57" s="1"/>
  <c r="F56" i="47"/>
  <c r="E66" i="56" s="1"/>
  <c r="W31" i="47"/>
  <c r="AC31" i="47"/>
  <c r="AF79" i="46"/>
  <c r="L45" i="58" s="1"/>
  <c r="AF55" i="46"/>
  <c r="L45" i="54" s="1"/>
  <c r="AZ55" i="46"/>
  <c r="P30" i="47"/>
  <c r="O64" i="53" s="1"/>
  <c r="AI6" i="47"/>
  <c r="O64" i="59" s="1"/>
  <c r="BO30" i="47"/>
  <c r="BJ64" i="47" s="1"/>
  <c r="BU30" i="47"/>
  <c r="BJ66" i="47" s="1"/>
  <c r="AD55" i="44"/>
  <c r="J25" i="54" s="1"/>
  <c r="AD79" i="44"/>
  <c r="J25" i="58" s="1"/>
  <c r="AX55" i="44"/>
  <c r="J25" i="55" s="1"/>
  <c r="BR33" i="46"/>
  <c r="BM65" i="46" s="1"/>
  <c r="D33" i="46"/>
  <c r="C47" i="53" s="1"/>
  <c r="Q9" i="46"/>
  <c r="D10" i="46"/>
  <c r="C48" i="51" s="1"/>
  <c r="I33" i="44"/>
  <c r="I10" i="44"/>
  <c r="H28" i="51" s="1"/>
  <c r="AB55" i="47"/>
  <c r="H65" i="54" s="1"/>
  <c r="AB79" i="47"/>
  <c r="H65" i="58" s="1"/>
  <c r="AV55" i="47"/>
  <c r="H65" i="55" s="1"/>
  <c r="E10" i="44"/>
  <c r="D28" i="51" s="1"/>
  <c r="E33" i="44"/>
  <c r="AG79" i="43"/>
  <c r="N79" i="43"/>
  <c r="AS31" i="44"/>
  <c r="BK61" i="44" s="1"/>
  <c r="J80" i="47"/>
  <c r="I66" i="57" s="1"/>
  <c r="J56" i="47"/>
  <c r="I66" i="56" s="1"/>
  <c r="I80" i="47"/>
  <c r="H66" i="57" s="1"/>
  <c r="I56" i="47"/>
  <c r="H66" i="56" s="1"/>
  <c r="K33" i="46"/>
  <c r="K10" i="46"/>
  <c r="J48" i="51" s="1"/>
  <c r="Z79" i="47"/>
  <c r="F65" i="58" s="1"/>
  <c r="Z55" i="47"/>
  <c r="F65" i="54" s="1"/>
  <c r="AT55" i="47"/>
  <c r="F65" i="55" s="1"/>
  <c r="J33" i="46"/>
  <c r="I47" i="53" s="1"/>
  <c r="J10" i="46"/>
  <c r="I48" i="51" s="1"/>
  <c r="K80" i="44"/>
  <c r="J26" i="57" s="1"/>
  <c r="CA32" i="44"/>
  <c r="AB55" i="44"/>
  <c r="H25" i="54" s="1"/>
  <c r="AB79" i="44"/>
  <c r="H25" i="58" s="1"/>
  <c r="AV55" i="44"/>
  <c r="H25" i="55" s="1"/>
  <c r="AF79" i="44"/>
  <c r="L25" i="58" s="1"/>
  <c r="AF55" i="44"/>
  <c r="L25" i="54" s="1"/>
  <c r="AZ55" i="44"/>
  <c r="L25" i="55" s="1"/>
  <c r="G33" i="46"/>
  <c r="F47" i="53" s="1"/>
  <c r="G10" i="46"/>
  <c r="F48" i="51" s="1"/>
  <c r="Y79" i="46"/>
  <c r="E45" i="58" s="1"/>
  <c r="Y55" i="46"/>
  <c r="E45" i="54" s="1"/>
  <c r="AS55" i="46"/>
  <c r="W79" i="47"/>
  <c r="C65" i="58" s="1"/>
  <c r="Q55" i="47"/>
  <c r="P65" i="56" s="1"/>
  <c r="W55" i="47"/>
  <c r="C65" i="54" s="1"/>
  <c r="AQ55" i="47"/>
  <c r="C65" i="55" s="1"/>
  <c r="AS31" i="46"/>
  <c r="BK61" i="46" s="1"/>
  <c r="AJ54" i="46"/>
  <c r="AK54" i="46" s="1"/>
  <c r="BJ58" i="46" s="1"/>
  <c r="D80" i="46"/>
  <c r="C46" i="57" s="1"/>
  <c r="D56" i="46"/>
  <c r="C46" i="56" s="1"/>
  <c r="Q32" i="46"/>
  <c r="H33" i="47"/>
  <c r="G67" i="53" s="1"/>
  <c r="H10" i="47"/>
  <c r="G68" i="51" s="1"/>
  <c r="BW33" i="47"/>
  <c r="BM67" i="47" s="1"/>
  <c r="AJ78" i="44"/>
  <c r="P24" i="58" s="1"/>
  <c r="AF79" i="47"/>
  <c r="L65" i="58" s="1"/>
  <c r="AF55" i="47"/>
  <c r="L65" i="54" s="1"/>
  <c r="AZ55" i="47"/>
  <c r="L65" i="55" s="1"/>
  <c r="J80" i="44"/>
  <c r="I26" i="57" s="1"/>
  <c r="AC55" i="46"/>
  <c r="I45" i="54" s="1"/>
  <c r="AC79" i="46"/>
  <c r="I45" i="58" s="1"/>
  <c r="AW55" i="46"/>
  <c r="Y55" i="44"/>
  <c r="E25" i="54" s="1"/>
  <c r="Y79" i="44"/>
  <c r="E25" i="58" s="1"/>
  <c r="AS55" i="44"/>
  <c r="E25" i="55" s="1"/>
  <c r="K33" i="44"/>
  <c r="K10" i="44"/>
  <c r="J28" i="51" s="1"/>
  <c r="Y31" i="46"/>
  <c r="AH31" i="47"/>
  <c r="AG31" i="47"/>
  <c r="AE31" i="47"/>
  <c r="BK68" i="47"/>
  <c r="BK69" i="47"/>
  <c r="AJ54" i="44"/>
  <c r="D10" i="47"/>
  <c r="C68" i="51" s="1"/>
  <c r="Q9" i="47"/>
  <c r="BR33" i="47"/>
  <c r="BM65" i="47" s="1"/>
  <c r="D33" i="47"/>
  <c r="C67" i="53" s="1"/>
  <c r="BJ7" i="46"/>
  <c r="BK7" i="46" s="1"/>
  <c r="BL7" i="46" s="1"/>
  <c r="P7" i="46" s="1"/>
  <c r="O45" i="51" s="1"/>
  <c r="AA79" i="46"/>
  <c r="G45" i="58" s="1"/>
  <c r="AU55" i="46"/>
  <c r="Z31" i="44"/>
  <c r="X55" i="44"/>
  <c r="D25" i="54" s="1"/>
  <c r="X79" i="44"/>
  <c r="D25" i="58" s="1"/>
  <c r="AR55" i="44"/>
  <c r="D25" i="55" s="1"/>
  <c r="K80" i="46"/>
  <c r="J46" i="57" s="1"/>
  <c r="CA32" i="46"/>
  <c r="J56" i="46"/>
  <c r="I46" i="56" s="1"/>
  <c r="J80" i="46"/>
  <c r="I46" i="57" s="1"/>
  <c r="AQ31" i="46"/>
  <c r="AA31" i="44"/>
  <c r="AR31" i="47"/>
  <c r="BK60" i="47" s="1"/>
  <c r="D33" i="44"/>
  <c r="Q9" i="44"/>
  <c r="D10" i="44"/>
  <c r="C28" i="51" s="1"/>
  <c r="BR33" i="44"/>
  <c r="BM65" i="44" s="1"/>
  <c r="Q79" i="47"/>
  <c r="P65" i="57" s="1"/>
  <c r="Z31" i="46"/>
  <c r="H33" i="44"/>
  <c r="H10" i="44"/>
  <c r="G28" i="51" s="1"/>
  <c r="BW33" i="44"/>
  <c r="BM67" i="44" s="1"/>
  <c r="H80" i="47"/>
  <c r="G66" i="57" s="1"/>
  <c r="H56" i="47"/>
  <c r="G66" i="56" s="1"/>
  <c r="AA56" i="47"/>
  <c r="G66" i="54" s="1"/>
  <c r="M33" i="44"/>
  <c r="M10" i="44"/>
  <c r="L28" i="51" s="1"/>
  <c r="E33" i="47"/>
  <c r="D67" i="53" s="1"/>
  <c r="E10" i="47"/>
  <c r="D68" i="51" s="1"/>
  <c r="W31" i="44"/>
  <c r="D56" i="47"/>
  <c r="C66" i="56" s="1"/>
  <c r="Q32" i="47"/>
  <c r="D80" i="47"/>
  <c r="C66" i="57" s="1"/>
  <c r="J33" i="44"/>
  <c r="J10" i="44"/>
  <c r="I28" i="51" s="1"/>
  <c r="E33" i="46"/>
  <c r="D47" i="53" s="1"/>
  <c r="E10" i="46"/>
  <c r="D48" i="51" s="1"/>
  <c r="I54" i="43"/>
  <c r="AB78" i="43" s="1"/>
  <c r="I78" i="43"/>
  <c r="M80" i="46"/>
  <c r="L46" i="57" s="1"/>
  <c r="M56" i="46"/>
  <c r="L46" i="56" s="1"/>
  <c r="G80" i="46"/>
  <c r="F46" i="57" s="1"/>
  <c r="G56" i="46"/>
  <c r="F46" i="56" s="1"/>
  <c r="O55" i="43"/>
  <c r="AH79" i="43" s="1"/>
  <c r="O79" i="43"/>
  <c r="M54" i="43"/>
  <c r="AF78" i="43" s="1"/>
  <c r="M78" i="43"/>
  <c r="Z79" i="44"/>
  <c r="F25" i="58" s="1"/>
  <c r="Z55" i="44"/>
  <c r="F25" i="54" s="1"/>
  <c r="AT55" i="44"/>
  <c r="F25" i="55" s="1"/>
  <c r="AD79" i="46"/>
  <c r="J45" i="58" s="1"/>
  <c r="AD55" i="46"/>
  <c r="J45" i="54" s="1"/>
  <c r="AX55" i="46"/>
  <c r="AB31" i="46"/>
  <c r="Y79" i="47"/>
  <c r="E65" i="58" s="1"/>
  <c r="Y55" i="47"/>
  <c r="E65" i="54" s="1"/>
  <c r="AS55" i="47"/>
  <c r="E65" i="55" s="1"/>
  <c r="X31" i="46"/>
  <c r="G33" i="47"/>
  <c r="F67" i="53" s="1"/>
  <c r="G10" i="47"/>
  <c r="F68" i="51" s="1"/>
  <c r="W31" i="46"/>
  <c r="AT31" i="44"/>
  <c r="BK62" i="44" s="1"/>
  <c r="X31" i="47"/>
  <c r="Z79" i="46"/>
  <c r="F45" i="58" s="1"/>
  <c r="Z55" i="46"/>
  <c r="F45" i="54" s="1"/>
  <c r="AT55" i="46"/>
  <c r="AJ78" i="46"/>
  <c r="P44" i="58" s="1"/>
  <c r="H80" i="44"/>
  <c r="G26" i="57" s="1"/>
  <c r="AA56" i="44"/>
  <c r="G26" i="54" s="1"/>
  <c r="M80" i="44"/>
  <c r="L26" i="57" s="1"/>
  <c r="E56" i="47"/>
  <c r="D66" i="56" s="1"/>
  <c r="E80" i="47"/>
  <c r="D66" i="57" s="1"/>
  <c r="W79" i="44"/>
  <c r="C25" i="58" s="1"/>
  <c r="AQ55" i="44"/>
  <c r="C25" i="55" s="1"/>
  <c r="E56" i="46"/>
  <c r="D46" i="56" s="1"/>
  <c r="E80" i="46"/>
  <c r="D46" i="57" s="1"/>
  <c r="I33" i="46"/>
  <c r="H47" i="53" s="1"/>
  <c r="I10" i="46"/>
  <c r="H48" i="51" s="1"/>
  <c r="G80" i="44"/>
  <c r="F26" i="57" s="1"/>
  <c r="J33" i="47"/>
  <c r="I67" i="53" s="1"/>
  <c r="J10" i="47"/>
  <c r="I68" i="51" s="1"/>
  <c r="I33" i="47"/>
  <c r="H67" i="53" s="1"/>
  <c r="I10" i="47"/>
  <c r="H68" i="51" s="1"/>
  <c r="AC55" i="47"/>
  <c r="I65" i="54" s="1"/>
  <c r="AC79" i="47"/>
  <c r="I65" i="58" s="1"/>
  <c r="AW55" i="47"/>
  <c r="I65" i="55" s="1"/>
  <c r="AD79" i="47"/>
  <c r="J65" i="58" s="1"/>
  <c r="AD55" i="47"/>
  <c r="J65" i="54" s="1"/>
  <c r="AX55" i="47"/>
  <c r="J65" i="55" s="1"/>
  <c r="AF31" i="47"/>
  <c r="E54" i="43"/>
  <c r="X78" i="43" s="1"/>
  <c r="E78" i="43"/>
  <c r="AB79" i="46"/>
  <c r="H45" i="58" s="1"/>
  <c r="AB55" i="46"/>
  <c r="H45" i="54" s="1"/>
  <c r="AV55" i="46"/>
  <c r="F80" i="44"/>
  <c r="E26" i="57" s="1"/>
  <c r="E6" i="57" s="1"/>
  <c r="AU30" i="46"/>
  <c r="P78" i="46"/>
  <c r="O44" i="57" s="1"/>
  <c r="AR31" i="46"/>
  <c r="BK60" i="46" s="1"/>
  <c r="G80" i="47"/>
  <c r="F66" i="57" s="1"/>
  <c r="G56" i="47"/>
  <c r="F66" i="56" s="1"/>
  <c r="Q79" i="46"/>
  <c r="P45" i="57" s="1"/>
  <c r="AA79" i="44"/>
  <c r="G25" i="58" s="1"/>
  <c r="AU55" i="44"/>
  <c r="G25" i="55" s="1"/>
  <c r="AA31" i="47"/>
  <c r="X79" i="47"/>
  <c r="D65" i="58" s="1"/>
  <c r="X55" i="47"/>
  <c r="D65" i="54" s="1"/>
  <c r="AR55" i="47"/>
  <c r="D65" i="55" s="1"/>
  <c r="K80" i="47"/>
  <c r="J66" i="57" s="1"/>
  <c r="CA32" i="47"/>
  <c r="BJ7" i="44"/>
  <c r="BK7" i="44" s="1"/>
  <c r="BL7" i="44" s="1"/>
  <c r="P7" i="44" s="1"/>
  <c r="O25" i="51" s="1"/>
  <c r="AD31" i="47"/>
  <c r="BC53" i="46"/>
  <c r="Q79" i="44"/>
  <c r="P25" i="57" s="1"/>
  <c r="M33" i="47"/>
  <c r="L67" i="53" s="1"/>
  <c r="M10" i="47"/>
  <c r="L68" i="51" s="1"/>
  <c r="P53" i="47"/>
  <c r="AI29" i="47"/>
  <c r="I80" i="46"/>
  <c r="H46" i="57" s="1"/>
  <c r="I56" i="46"/>
  <c r="H46" i="56" s="1"/>
  <c r="AW37" i="47"/>
  <c r="AP38" i="47"/>
  <c r="AZ37" i="47"/>
  <c r="AX37" i="47"/>
  <c r="O39" i="47"/>
  <c r="N73" i="53" s="1"/>
  <c r="O16" i="47"/>
  <c r="N74" i="51" s="1"/>
  <c r="N14" i="51" s="1"/>
  <c r="N86" i="47"/>
  <c r="M72" i="57" s="1"/>
  <c r="O86" i="47"/>
  <c r="N72" i="57" s="1"/>
  <c r="N12" i="57" s="1"/>
  <c r="O62" i="47"/>
  <c r="N72" i="56" s="1"/>
  <c r="N12" i="56" s="1"/>
  <c r="AE85" i="47"/>
  <c r="K71" i="58" s="1"/>
  <c r="AE61" i="47"/>
  <c r="AY61" i="47"/>
  <c r="K71" i="55" s="1"/>
  <c r="B65" i="47"/>
  <c r="B41" i="47"/>
  <c r="A75" i="53" s="1"/>
  <c r="U17" i="47"/>
  <c r="AO17" i="47" s="1"/>
  <c r="B18" i="47"/>
  <c r="A76" i="51" s="1"/>
  <c r="AH85" i="47"/>
  <c r="N71" i="58" s="1"/>
  <c r="N11" i="58" s="1"/>
  <c r="AH61" i="47"/>
  <c r="BB61" i="47"/>
  <c r="N71" i="55" s="1"/>
  <c r="C65" i="47"/>
  <c r="C41" i="47"/>
  <c r="B75" i="53" s="1"/>
  <c r="V17" i="47"/>
  <c r="AP17" i="47" s="1"/>
  <c r="C18" i="47"/>
  <c r="B76" i="51" s="1"/>
  <c r="AU17" i="47"/>
  <c r="C75" i="52" s="1"/>
  <c r="BA36" i="47"/>
  <c r="B88" i="47"/>
  <c r="A74" i="57" s="1"/>
  <c r="U40" i="47"/>
  <c r="U88" i="47" s="1"/>
  <c r="A74" i="58" s="1"/>
  <c r="C88" i="47"/>
  <c r="B74" i="57" s="1"/>
  <c r="V40" i="47"/>
  <c r="V88" i="47" s="1"/>
  <c r="B74" i="58" s="1"/>
  <c r="L39" i="47"/>
  <c r="L16" i="47"/>
  <c r="K74" i="51" s="1"/>
  <c r="AG85" i="47"/>
  <c r="M71" i="58" s="1"/>
  <c r="AG61" i="47"/>
  <c r="BA61" i="47"/>
  <c r="M71" i="55" s="1"/>
  <c r="BX39" i="47"/>
  <c r="N39" i="47"/>
  <c r="N16" i="47"/>
  <c r="M74" i="51" s="1"/>
  <c r="L86" i="47"/>
  <c r="K72" i="57" s="1"/>
  <c r="BA36" i="46"/>
  <c r="BQ37" i="46"/>
  <c r="BT37" i="46"/>
  <c r="L87" i="46"/>
  <c r="K53" i="57" s="1"/>
  <c r="BL39" i="46"/>
  <c r="BN38" i="46"/>
  <c r="AZ37" i="46"/>
  <c r="AX37" i="46"/>
  <c r="AW37" i="46"/>
  <c r="AP38" i="46"/>
  <c r="AG85" i="46"/>
  <c r="M51" i="58" s="1"/>
  <c r="AG61" i="46"/>
  <c r="BA61" i="46"/>
  <c r="O40" i="46"/>
  <c r="N54" i="53" s="1"/>
  <c r="O17" i="46"/>
  <c r="N55" i="51" s="1"/>
  <c r="B63" i="46"/>
  <c r="B39" i="46"/>
  <c r="A53" i="53" s="1"/>
  <c r="B16" i="46"/>
  <c r="A54" i="51" s="1"/>
  <c r="U15" i="46"/>
  <c r="AO15" i="46" s="1"/>
  <c r="BD15" i="46"/>
  <c r="J53" i="52" s="1"/>
  <c r="J13" i="52" s="1"/>
  <c r="AU16" i="46"/>
  <c r="C54" i="52" s="1"/>
  <c r="C14" i="52" s="1"/>
  <c r="O87" i="46"/>
  <c r="N53" i="57" s="1"/>
  <c r="O63" i="46"/>
  <c r="N53" i="56" s="1"/>
  <c r="C87" i="46"/>
  <c r="B53" i="57" s="1"/>
  <c r="V39" i="46"/>
  <c r="V87" i="46" s="1"/>
  <c r="B53" i="58" s="1"/>
  <c r="BX39" i="46"/>
  <c r="N39" i="46"/>
  <c r="N16" i="46"/>
  <c r="M54" i="51" s="1"/>
  <c r="AH86" i="46"/>
  <c r="N52" i="58" s="1"/>
  <c r="AH62" i="46"/>
  <c r="BB62" i="46"/>
  <c r="C64" i="46"/>
  <c r="C40" i="46"/>
  <c r="B54" i="53" s="1"/>
  <c r="V16" i="46"/>
  <c r="AP16" i="46" s="1"/>
  <c r="C17" i="46"/>
  <c r="B55" i="51" s="1"/>
  <c r="N86" i="46"/>
  <c r="M52" i="57" s="1"/>
  <c r="B86" i="46"/>
  <c r="A52" i="57" s="1"/>
  <c r="U38" i="46"/>
  <c r="U86" i="46" s="1"/>
  <c r="A52" i="58" s="1"/>
  <c r="AE86" i="46"/>
  <c r="K52" i="58" s="1"/>
  <c r="AE62" i="46"/>
  <c r="AY62" i="46"/>
  <c r="L40" i="46"/>
  <c r="L17" i="46"/>
  <c r="K55" i="51" s="1"/>
  <c r="AZ39" i="44"/>
  <c r="AX39" i="44"/>
  <c r="AW39" i="44"/>
  <c r="AP40" i="44"/>
  <c r="L86" i="44"/>
  <c r="K32" i="57" s="1"/>
  <c r="AH86" i="44"/>
  <c r="N32" i="58" s="1"/>
  <c r="AH62" i="44"/>
  <c r="N32" i="54" s="1"/>
  <c r="BB62" i="44"/>
  <c r="N32" i="55" s="1"/>
  <c r="L39" i="44"/>
  <c r="L16" i="44"/>
  <c r="K34" i="51" s="1"/>
  <c r="AG87" i="44"/>
  <c r="M33" i="58" s="1"/>
  <c r="AG63" i="44"/>
  <c r="M33" i="54" s="1"/>
  <c r="BA63" i="44"/>
  <c r="M33" i="55" s="1"/>
  <c r="BL39" i="44"/>
  <c r="BM39" i="44" s="1"/>
  <c r="BN38" i="44"/>
  <c r="BT37" i="44"/>
  <c r="BQ37" i="44"/>
  <c r="AE85" i="44"/>
  <c r="K31" i="58" s="1"/>
  <c r="AE61" i="44"/>
  <c r="K31" i="54" s="1"/>
  <c r="AY61" i="44"/>
  <c r="K31" i="55" s="1"/>
  <c r="O40" i="44"/>
  <c r="O17" i="44"/>
  <c r="N35" i="51" s="1"/>
  <c r="C35" i="52"/>
  <c r="O87" i="44"/>
  <c r="N33" i="57" s="1"/>
  <c r="BA38" i="44"/>
  <c r="BW31" i="43"/>
  <c r="BK67" i="43" s="1"/>
  <c r="AD78" i="43"/>
  <c r="CA30" i="43"/>
  <c r="AA54" i="43"/>
  <c r="E8" i="43"/>
  <c r="E31" i="43"/>
  <c r="O9" i="43"/>
  <c r="O32" i="43"/>
  <c r="M8" i="43"/>
  <c r="M31" i="43"/>
  <c r="BQ35" i="43"/>
  <c r="BT35" i="43"/>
  <c r="I8" i="43"/>
  <c r="I31" i="43"/>
  <c r="J8" i="43"/>
  <c r="J31" i="43"/>
  <c r="K8" i="43"/>
  <c r="K31" i="43"/>
  <c r="K55" i="43" s="1"/>
  <c r="G8" i="43"/>
  <c r="G31" i="43"/>
  <c r="F8" i="43"/>
  <c r="F31" i="43"/>
  <c r="L9" i="43"/>
  <c r="L32" i="43"/>
  <c r="L56" i="43" s="1"/>
  <c r="H8" i="43"/>
  <c r="H31" i="43"/>
  <c r="N9" i="43"/>
  <c r="N32" i="43"/>
  <c r="N56" i="43" s="1"/>
  <c r="BD5" i="43"/>
  <c r="AU6" i="43"/>
  <c r="BA7" i="43"/>
  <c r="AY7" i="43"/>
  <c r="AW7" i="43"/>
  <c r="AZ7" i="43"/>
  <c r="AV7" i="43"/>
  <c r="AX7" i="43"/>
  <c r="BL37" i="43"/>
  <c r="BM37" i="43" s="1"/>
  <c r="BN36" i="43"/>
  <c r="AZ38" i="43"/>
  <c r="AX38" i="43"/>
  <c r="AP39" i="43"/>
  <c r="AW39" i="43" s="1"/>
  <c r="M1" i="27"/>
  <c r="N1" i="27"/>
  <c r="O1" i="27"/>
  <c r="B7" i="21"/>
  <c r="B8" i="21"/>
  <c r="B9" i="21"/>
  <c r="B11" i="21"/>
  <c r="B13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E116" i="21"/>
  <c r="E114" i="21"/>
  <c r="E113" i="21"/>
  <c r="E112" i="21"/>
  <c r="E111" i="21"/>
  <c r="E110" i="21"/>
  <c r="E109" i="21"/>
  <c r="E108" i="21"/>
  <c r="E107" i="21"/>
  <c r="E106" i="21"/>
  <c r="E105" i="21"/>
  <c r="E104" i="21"/>
  <c r="E103" i="21"/>
  <c r="E102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AL66" i="43" l="1"/>
  <c r="E15" i="60"/>
  <c r="P6" i="51"/>
  <c r="P3" i="59"/>
  <c r="J4" i="60"/>
  <c r="D4" i="60"/>
  <c r="L4" i="60"/>
  <c r="H4" i="60"/>
  <c r="P47" i="51"/>
  <c r="AJ13" i="48"/>
  <c r="P91" i="59" s="1"/>
  <c r="O91" i="59"/>
  <c r="P134" i="51"/>
  <c r="P114" i="51"/>
  <c r="P27" i="51"/>
  <c r="P27" i="59"/>
  <c r="AJ6" i="46"/>
  <c r="P44" i="59" s="1"/>
  <c r="O44" i="59"/>
  <c r="O4" i="59" s="1"/>
  <c r="P94" i="51"/>
  <c r="P67" i="51"/>
  <c r="H88" i="48"/>
  <c r="G94" i="57" s="1"/>
  <c r="H64" i="48"/>
  <c r="G94" i="56" s="1"/>
  <c r="AA64" i="48"/>
  <c r="G94" i="54" s="1"/>
  <c r="AV21" i="50"/>
  <c r="BD21" i="50" s="1"/>
  <c r="J139" i="52" s="1"/>
  <c r="D138" i="52"/>
  <c r="H18" i="48"/>
  <c r="G96" i="51" s="1"/>
  <c r="W87" i="48"/>
  <c r="C93" i="58" s="1"/>
  <c r="H41" i="48"/>
  <c r="G95" i="53" s="1"/>
  <c r="J88" i="48"/>
  <c r="I94" i="57" s="1"/>
  <c r="AA87" i="48"/>
  <c r="G93" i="58" s="1"/>
  <c r="I41" i="48"/>
  <c r="H95" i="53" s="1"/>
  <c r="AU63" i="48"/>
  <c r="G93" i="55" s="1"/>
  <c r="J64" i="48"/>
  <c r="I94" i="56" s="1"/>
  <c r="AQ63" i="48"/>
  <c r="C93" i="55" s="1"/>
  <c r="W63" i="48"/>
  <c r="C93" i="54" s="1"/>
  <c r="I18" i="48"/>
  <c r="H96" i="51" s="1"/>
  <c r="J18" i="48"/>
  <c r="I96" i="51" s="1"/>
  <c r="AC63" i="48"/>
  <c r="I93" i="54" s="1"/>
  <c r="D18" i="48"/>
  <c r="C96" i="51" s="1"/>
  <c r="D41" i="48"/>
  <c r="C95" i="53" s="1"/>
  <c r="J41" i="48"/>
  <c r="I95" i="53" s="1"/>
  <c r="I64" i="48"/>
  <c r="H94" i="56" s="1"/>
  <c r="BO63" i="48"/>
  <c r="AW63" i="48"/>
  <c r="I93" i="55" s="1"/>
  <c r="AC87" i="48"/>
  <c r="I93" i="58" s="1"/>
  <c r="AV63" i="48"/>
  <c r="H93" i="55" s="1"/>
  <c r="I88" i="48"/>
  <c r="H94" i="57" s="1"/>
  <c r="D88" i="48"/>
  <c r="C94" i="57" s="1"/>
  <c r="AB63" i="48"/>
  <c r="H93" i="54" s="1"/>
  <c r="D64" i="48"/>
  <c r="C94" i="56" s="1"/>
  <c r="AB87" i="48"/>
  <c r="H93" i="58" s="1"/>
  <c r="AI37" i="48"/>
  <c r="AZ20" i="48"/>
  <c r="H97" i="52"/>
  <c r="AW20" i="48"/>
  <c r="E97" i="52"/>
  <c r="BA20" i="48"/>
  <c r="I97" i="52"/>
  <c r="AV20" i="48"/>
  <c r="D97" i="52"/>
  <c r="AY20" i="48"/>
  <c r="G97" i="52"/>
  <c r="AX20" i="48"/>
  <c r="F97" i="52"/>
  <c r="K12" i="57"/>
  <c r="M12" i="53"/>
  <c r="M14" i="51"/>
  <c r="K14" i="51"/>
  <c r="K12" i="56"/>
  <c r="AV18" i="47"/>
  <c r="D75" i="52"/>
  <c r="AW18" i="47"/>
  <c r="E75" i="52"/>
  <c r="AX18" i="47"/>
  <c r="F75" i="52"/>
  <c r="AZ17" i="47"/>
  <c r="BD17" i="47" s="1"/>
  <c r="J75" i="52" s="1"/>
  <c r="H74" i="52"/>
  <c r="H14" i="52" s="1"/>
  <c r="AY18" i="47"/>
  <c r="G75" i="52"/>
  <c r="BA18" i="47"/>
  <c r="I75" i="52"/>
  <c r="M11" i="58"/>
  <c r="G14" i="52"/>
  <c r="K11" i="55"/>
  <c r="F14" i="52"/>
  <c r="D14" i="52"/>
  <c r="N11" i="54"/>
  <c r="I14" i="52"/>
  <c r="AY18" i="46"/>
  <c r="G55" i="52"/>
  <c r="BA18" i="46"/>
  <c r="I55" i="52"/>
  <c r="AZ18" i="46"/>
  <c r="H55" i="52"/>
  <c r="AV18" i="46"/>
  <c r="D55" i="52"/>
  <c r="AX18" i="46"/>
  <c r="F55" i="52"/>
  <c r="AW18" i="46"/>
  <c r="E55" i="52"/>
  <c r="N41" i="44"/>
  <c r="N89" i="44" s="1"/>
  <c r="M35" i="57" s="1"/>
  <c r="N88" i="44"/>
  <c r="M34" i="57" s="1"/>
  <c r="BX41" i="44"/>
  <c r="N18" i="44"/>
  <c r="M36" i="51" s="1"/>
  <c r="M34" i="53"/>
  <c r="AZ18" i="44"/>
  <c r="H35" i="52"/>
  <c r="AV18" i="44"/>
  <c r="D35" i="52"/>
  <c r="AX18" i="44"/>
  <c r="F35" i="52"/>
  <c r="AW17" i="44"/>
  <c r="BD17" i="44" s="1"/>
  <c r="J35" i="52" s="1"/>
  <c r="E34" i="52"/>
  <c r="E14" i="52" s="1"/>
  <c r="BA18" i="44"/>
  <c r="I35" i="52"/>
  <c r="AY18" i="44"/>
  <c r="G35" i="52"/>
  <c r="BO55" i="50"/>
  <c r="H55" i="43"/>
  <c r="AA79" i="43" s="1"/>
  <c r="AO63" i="44"/>
  <c r="A33" i="55" s="1"/>
  <c r="V64" i="46"/>
  <c r="AP64" i="46" s="1"/>
  <c r="B54" i="56"/>
  <c r="A34" i="53"/>
  <c r="U40" i="44"/>
  <c r="U88" i="44" s="1"/>
  <c r="A34" i="58" s="1"/>
  <c r="B88" i="44"/>
  <c r="A34" i="57" s="1"/>
  <c r="BH15" i="46"/>
  <c r="A53" i="52"/>
  <c r="BI16" i="46"/>
  <c r="B54" i="52"/>
  <c r="BA37" i="46"/>
  <c r="BI17" i="48"/>
  <c r="B95" i="52"/>
  <c r="BH18" i="48"/>
  <c r="A96" i="52"/>
  <c r="BI20" i="49"/>
  <c r="B118" i="52"/>
  <c r="BI19" i="50"/>
  <c r="B137" i="52"/>
  <c r="BH20" i="50"/>
  <c r="A138" i="52"/>
  <c r="AP67" i="49"/>
  <c r="B117" i="55" s="1"/>
  <c r="B117" i="54"/>
  <c r="A35" i="51"/>
  <c r="B41" i="44"/>
  <c r="U17" i="44"/>
  <c r="AO17" i="44" s="1"/>
  <c r="B18" i="44"/>
  <c r="B65" i="44"/>
  <c r="B35" i="51"/>
  <c r="C41" i="44"/>
  <c r="C18" i="44"/>
  <c r="V17" i="44"/>
  <c r="AP17" i="44" s="1"/>
  <c r="C65" i="44"/>
  <c r="U63" i="46"/>
  <c r="AO63" i="46" s="1"/>
  <c r="A53" i="56"/>
  <c r="BI16" i="44"/>
  <c r="B34" i="52"/>
  <c r="V68" i="49"/>
  <c r="B118" i="56"/>
  <c r="C88" i="44"/>
  <c r="B34" i="57" s="1"/>
  <c r="B34" i="53"/>
  <c r="V40" i="44"/>
  <c r="V88" i="44" s="1"/>
  <c r="B34" i="58" s="1"/>
  <c r="AO67" i="49"/>
  <c r="A117" i="55" s="1"/>
  <c r="A117" i="54"/>
  <c r="BI17" i="47"/>
  <c r="B75" i="52"/>
  <c r="U65" i="47"/>
  <c r="A75" i="56"/>
  <c r="V65" i="48"/>
  <c r="B95" i="56"/>
  <c r="U66" i="48"/>
  <c r="A96" i="56"/>
  <c r="BH20" i="49"/>
  <c r="A118" i="52"/>
  <c r="V67" i="50"/>
  <c r="B137" i="56"/>
  <c r="U68" i="50"/>
  <c r="A138" i="56"/>
  <c r="AP64" i="48"/>
  <c r="B94" i="55" s="1"/>
  <c r="B94" i="54"/>
  <c r="AP63" i="44"/>
  <c r="B33" i="55" s="1"/>
  <c r="BH17" i="47"/>
  <c r="A75" i="52"/>
  <c r="V65" i="47"/>
  <c r="B75" i="56"/>
  <c r="B53" i="55"/>
  <c r="B53" i="54"/>
  <c r="U68" i="49"/>
  <c r="A118" i="56"/>
  <c r="AO65" i="48"/>
  <c r="A95" i="55" s="1"/>
  <c r="A95" i="54"/>
  <c r="AO64" i="47"/>
  <c r="A74" i="55" s="1"/>
  <c r="A74" i="54"/>
  <c r="AP64" i="47"/>
  <c r="B74" i="55" s="1"/>
  <c r="B74" i="54"/>
  <c r="AP66" i="50"/>
  <c r="B136" i="55" s="1"/>
  <c r="B136" i="54"/>
  <c r="BH16" i="44"/>
  <c r="A34" i="52"/>
  <c r="AO67" i="50"/>
  <c r="A137" i="55" s="1"/>
  <c r="A137" i="54"/>
  <c r="AO64" i="44"/>
  <c r="A34" i="55" s="1"/>
  <c r="A34" i="56"/>
  <c r="U64" i="44"/>
  <c r="A34" i="54" s="1"/>
  <c r="B34" i="56"/>
  <c r="V64" i="44"/>
  <c r="B34" i="54" s="1"/>
  <c r="A52" i="55"/>
  <c r="A52" i="54"/>
  <c r="BO55" i="48"/>
  <c r="AC39" i="50"/>
  <c r="G6" i="53"/>
  <c r="N11" i="55"/>
  <c r="M12" i="57"/>
  <c r="C5" i="58"/>
  <c r="W56" i="44"/>
  <c r="C26" i="54" s="1"/>
  <c r="L63" i="47"/>
  <c r="K73" i="56" s="1"/>
  <c r="K73" i="53"/>
  <c r="M51" i="55"/>
  <c r="M11" i="55" s="1"/>
  <c r="M11" i="54"/>
  <c r="K117" i="53"/>
  <c r="L67" i="49"/>
  <c r="K117" i="56" s="1"/>
  <c r="N63" i="46"/>
  <c r="M53" i="56" s="1"/>
  <c r="M53" i="53"/>
  <c r="M138" i="53"/>
  <c r="N68" i="50"/>
  <c r="M138" i="56" s="1"/>
  <c r="N13" i="53"/>
  <c r="K11" i="54"/>
  <c r="K54" i="53"/>
  <c r="L64" i="46"/>
  <c r="K54" i="56" s="1"/>
  <c r="K11" i="58"/>
  <c r="K52" i="55"/>
  <c r="K139" i="53"/>
  <c r="L69" i="50"/>
  <c r="K139" i="56" s="1"/>
  <c r="BO63" i="50"/>
  <c r="N34" i="53"/>
  <c r="O64" i="44"/>
  <c r="N34" i="56" s="1"/>
  <c r="K95" i="53"/>
  <c r="L65" i="48"/>
  <c r="K95" i="56" s="1"/>
  <c r="K33" i="53"/>
  <c r="L63" i="44"/>
  <c r="K33" i="56" s="1"/>
  <c r="M117" i="53"/>
  <c r="N67" i="49"/>
  <c r="M117" i="56" s="1"/>
  <c r="K12" i="53"/>
  <c r="N52" i="55"/>
  <c r="M96" i="53"/>
  <c r="N66" i="48"/>
  <c r="M96" i="56" s="1"/>
  <c r="M12" i="56"/>
  <c r="M73" i="53"/>
  <c r="N63" i="47"/>
  <c r="M73" i="56" s="1"/>
  <c r="D5" i="58"/>
  <c r="G8" i="51"/>
  <c r="BN55" i="50"/>
  <c r="P5" i="53"/>
  <c r="P5" i="57"/>
  <c r="BN63" i="50"/>
  <c r="AI30" i="46"/>
  <c r="E5" i="58"/>
  <c r="O4" i="53"/>
  <c r="E8" i="51"/>
  <c r="F6" i="56"/>
  <c r="P4" i="58"/>
  <c r="AC39" i="49"/>
  <c r="P113" i="53"/>
  <c r="K57" i="46"/>
  <c r="J47" i="56" s="1"/>
  <c r="J47" i="53"/>
  <c r="D6" i="57"/>
  <c r="AQ39" i="48"/>
  <c r="BS59" i="48" s="1"/>
  <c r="P93" i="53"/>
  <c r="AF39" i="49"/>
  <c r="H45" i="55"/>
  <c r="H5" i="55" s="1"/>
  <c r="H5" i="54"/>
  <c r="F6" i="57"/>
  <c r="I45" i="55"/>
  <c r="I5" i="55" s="1"/>
  <c r="I5" i="54"/>
  <c r="J6" i="57"/>
  <c r="D8" i="51"/>
  <c r="I6" i="56"/>
  <c r="K64" i="48"/>
  <c r="J94" i="53"/>
  <c r="K88" i="48"/>
  <c r="J94" i="57" s="1"/>
  <c r="P5" i="56"/>
  <c r="C6" i="56"/>
  <c r="BD60" i="49"/>
  <c r="P110" i="55" s="1"/>
  <c r="O110" i="55"/>
  <c r="E6" i="56"/>
  <c r="P77" i="47"/>
  <c r="O63" i="57" s="1"/>
  <c r="O3" i="57" s="1"/>
  <c r="O63" i="56"/>
  <c r="O3" i="56" s="1"/>
  <c r="L6" i="57"/>
  <c r="D57" i="44"/>
  <c r="C27" i="56" s="1"/>
  <c r="C27" i="53"/>
  <c r="C7" i="53" s="1"/>
  <c r="L45" i="55"/>
  <c r="L5" i="55" s="1"/>
  <c r="L5" i="54"/>
  <c r="W32" i="44"/>
  <c r="P26" i="53"/>
  <c r="J95" i="51"/>
  <c r="K18" i="48"/>
  <c r="K41" i="48"/>
  <c r="G5" i="58"/>
  <c r="D45" i="55"/>
  <c r="D5" i="55" s="1"/>
  <c r="D5" i="54"/>
  <c r="AJ38" i="50"/>
  <c r="BO55" i="49"/>
  <c r="X39" i="49"/>
  <c r="D94" i="53"/>
  <c r="E88" i="48"/>
  <c r="D94" i="57" s="1"/>
  <c r="E64" i="48"/>
  <c r="BD53" i="44"/>
  <c r="BI55" i="44" s="1"/>
  <c r="O23" i="55"/>
  <c r="D93" i="56"/>
  <c r="X87" i="48"/>
  <c r="D93" i="58" s="1"/>
  <c r="X63" i="48"/>
  <c r="D93" i="54" s="1"/>
  <c r="AR63" i="48"/>
  <c r="D93" i="55" s="1"/>
  <c r="F5" i="58"/>
  <c r="AT32" i="47"/>
  <c r="BL62" i="47" s="1"/>
  <c r="P66" i="53"/>
  <c r="C8" i="51"/>
  <c r="E57" i="44"/>
  <c r="D27" i="56" s="1"/>
  <c r="D27" i="53"/>
  <c r="D7" i="53" s="1"/>
  <c r="I5" i="58"/>
  <c r="C6" i="57"/>
  <c r="C45" i="55"/>
  <c r="C5" i="55" s="1"/>
  <c r="C5" i="54"/>
  <c r="BD60" i="48"/>
  <c r="P90" i="55" s="1"/>
  <c r="O90" i="55"/>
  <c r="G6" i="57"/>
  <c r="H57" i="44"/>
  <c r="G27" i="56" s="1"/>
  <c r="G27" i="53"/>
  <c r="J8" i="51"/>
  <c r="I6" i="57"/>
  <c r="X32" i="46"/>
  <c r="P46" i="53"/>
  <c r="L5" i="58"/>
  <c r="J5" i="58"/>
  <c r="H57" i="46"/>
  <c r="G47" i="56" s="1"/>
  <c r="G47" i="53"/>
  <c r="F8" i="51"/>
  <c r="H6" i="57"/>
  <c r="K57" i="47"/>
  <c r="J67" i="56" s="1"/>
  <c r="J67" i="53"/>
  <c r="AK54" i="47"/>
  <c r="BJ58" i="47" s="1"/>
  <c r="P64" i="54"/>
  <c r="BW41" i="48"/>
  <c r="BU67" i="48" s="1"/>
  <c r="L95" i="51"/>
  <c r="P38" i="48"/>
  <c r="O92" i="53" s="1"/>
  <c r="O92" i="51"/>
  <c r="AB39" i="49"/>
  <c r="K64" i="50"/>
  <c r="J134" i="56" s="1"/>
  <c r="J134" i="53"/>
  <c r="BO63" i="49"/>
  <c r="Z39" i="49"/>
  <c r="AK61" i="50"/>
  <c r="BQ58" i="50" s="1"/>
  <c r="P131" i="54"/>
  <c r="Q56" i="44"/>
  <c r="P26" i="56" s="1"/>
  <c r="G6" i="56"/>
  <c r="D6" i="56"/>
  <c r="D95" i="51"/>
  <c r="E41" i="48"/>
  <c r="E18" i="48"/>
  <c r="H6" i="56"/>
  <c r="J6" i="53"/>
  <c r="J45" i="55"/>
  <c r="J5" i="55" s="1"/>
  <c r="J5" i="54"/>
  <c r="I8" i="51"/>
  <c r="L8" i="51"/>
  <c r="AK54" i="44"/>
  <c r="BJ58" i="44" s="1"/>
  <c r="P24" i="54"/>
  <c r="K57" i="44"/>
  <c r="J27" i="56" s="1"/>
  <c r="J27" i="53"/>
  <c r="E5" i="54"/>
  <c r="E45" i="55"/>
  <c r="E5" i="55" s="1"/>
  <c r="H8" i="51"/>
  <c r="G57" i="44"/>
  <c r="F27" i="56" s="1"/>
  <c r="F27" i="53"/>
  <c r="F7" i="53" s="1"/>
  <c r="CA40" i="48"/>
  <c r="L94" i="53"/>
  <c r="AK61" i="48"/>
  <c r="BQ58" i="48" s="1"/>
  <c r="P91" i="54"/>
  <c r="AS39" i="49"/>
  <c r="BS61" i="49" s="1"/>
  <c r="K64" i="49"/>
  <c r="J114" i="56" s="1"/>
  <c r="J114" i="53"/>
  <c r="AQ39" i="49"/>
  <c r="BS59" i="49" s="1"/>
  <c r="X39" i="50"/>
  <c r="P133" i="53"/>
  <c r="J6" i="56"/>
  <c r="J93" i="56"/>
  <c r="AX63" i="48"/>
  <c r="J93" i="55" s="1"/>
  <c r="AD63" i="48"/>
  <c r="J93" i="54" s="1"/>
  <c r="AD87" i="48"/>
  <c r="J93" i="58" s="1"/>
  <c r="BD53" i="46"/>
  <c r="BI63" i="46" s="1"/>
  <c r="O43" i="55"/>
  <c r="O3" i="54"/>
  <c r="F45" i="55"/>
  <c r="F5" i="55" s="1"/>
  <c r="F5" i="54"/>
  <c r="J57" i="44"/>
  <c r="I27" i="56" s="1"/>
  <c r="I27" i="53"/>
  <c r="I7" i="53" s="1"/>
  <c r="M57" i="44"/>
  <c r="L27" i="56" s="1"/>
  <c r="L27" i="53"/>
  <c r="L7" i="53" s="1"/>
  <c r="G45" i="55"/>
  <c r="G5" i="55" s="1"/>
  <c r="G5" i="54"/>
  <c r="H5" i="58"/>
  <c r="I57" i="44"/>
  <c r="H27" i="56" s="1"/>
  <c r="H27" i="53"/>
  <c r="H7" i="53" s="1"/>
  <c r="F57" i="44"/>
  <c r="E27" i="56" s="1"/>
  <c r="E27" i="53"/>
  <c r="E7" i="53" s="1"/>
  <c r="BU31" i="47"/>
  <c r="BK66" i="47" s="1"/>
  <c r="O65" i="51"/>
  <c r="O5" i="51" s="1"/>
  <c r="W39" i="49"/>
  <c r="AA39" i="49"/>
  <c r="AK61" i="49"/>
  <c r="BQ58" i="49" s="1"/>
  <c r="P111" i="54"/>
  <c r="L6" i="56"/>
  <c r="Y39" i="49"/>
  <c r="AJ38" i="49"/>
  <c r="AJ62" i="49"/>
  <c r="I41" i="49"/>
  <c r="H115" i="53" s="1"/>
  <c r="I18" i="49"/>
  <c r="H116" i="51" s="1"/>
  <c r="AJ13" i="49"/>
  <c r="P111" i="59" s="1"/>
  <c r="H88" i="49"/>
  <c r="G114" i="57" s="1"/>
  <c r="AA64" i="49"/>
  <c r="G114" i="54" s="1"/>
  <c r="H64" i="49"/>
  <c r="G114" i="56" s="1"/>
  <c r="F88" i="49"/>
  <c r="E114" i="57" s="1"/>
  <c r="F64" i="49"/>
  <c r="E114" i="56" s="1"/>
  <c r="D41" i="50"/>
  <c r="C135" i="53" s="1"/>
  <c r="D18" i="50"/>
  <c r="C136" i="51" s="1"/>
  <c r="BR41" i="50"/>
  <c r="BU65" i="50" s="1"/>
  <c r="Q17" i="50"/>
  <c r="X87" i="49"/>
  <c r="D113" i="58" s="1"/>
  <c r="X63" i="49"/>
  <c r="D113" i="54" s="1"/>
  <c r="AR63" i="49"/>
  <c r="D113" i="55" s="1"/>
  <c r="G88" i="49"/>
  <c r="F114" i="57" s="1"/>
  <c r="G64" i="49"/>
  <c r="F114" i="56" s="1"/>
  <c r="AF63" i="50"/>
  <c r="L133" i="54" s="1"/>
  <c r="AF87" i="50"/>
  <c r="L133" i="58" s="1"/>
  <c r="AZ63" i="50"/>
  <c r="L133" i="55" s="1"/>
  <c r="BC60" i="50"/>
  <c r="I18" i="50"/>
  <c r="H136" i="51" s="1"/>
  <c r="I41" i="50"/>
  <c r="H135" i="53" s="1"/>
  <c r="J88" i="50"/>
  <c r="I134" i="57" s="1"/>
  <c r="J64" i="50"/>
  <c r="I134" i="56" s="1"/>
  <c r="Q87" i="49"/>
  <c r="P113" i="57" s="1"/>
  <c r="AA87" i="49"/>
  <c r="G113" i="58" s="1"/>
  <c r="AU63" i="49"/>
  <c r="G113" i="55" s="1"/>
  <c r="AQ39" i="50"/>
  <c r="AJ86" i="49"/>
  <c r="P112" i="58" s="1"/>
  <c r="Q63" i="49"/>
  <c r="P113" i="56" s="1"/>
  <c r="AQ63" i="49"/>
  <c r="C113" i="55" s="1"/>
  <c r="W87" i="49"/>
  <c r="C113" i="58" s="1"/>
  <c r="W63" i="49"/>
  <c r="C113" i="54" s="1"/>
  <c r="AB87" i="49"/>
  <c r="H113" i="58" s="1"/>
  <c r="AB63" i="49"/>
  <c r="H113" i="54" s="1"/>
  <c r="AV63" i="49"/>
  <c r="H113" i="55" s="1"/>
  <c r="AD87" i="50"/>
  <c r="J133" i="58" s="1"/>
  <c r="AD63" i="50"/>
  <c r="J133" i="54" s="1"/>
  <c r="AX63" i="50"/>
  <c r="J133" i="55" s="1"/>
  <c r="I88" i="49"/>
  <c r="H114" i="57" s="1"/>
  <c r="I64" i="49"/>
  <c r="H114" i="56" s="1"/>
  <c r="E88" i="50"/>
  <c r="D134" i="57" s="1"/>
  <c r="E64" i="50"/>
  <c r="D134" i="56" s="1"/>
  <c r="AD63" i="49"/>
  <c r="J113" i="54" s="1"/>
  <c r="AX63" i="49"/>
  <c r="J113" i="55" s="1"/>
  <c r="AD87" i="49"/>
  <c r="J113" i="58" s="1"/>
  <c r="E41" i="49"/>
  <c r="D115" i="53" s="1"/>
  <c r="E18" i="49"/>
  <c r="D116" i="51" s="1"/>
  <c r="AC63" i="50"/>
  <c r="I133" i="54" s="1"/>
  <c r="AW63" i="50"/>
  <c r="I133" i="55" s="1"/>
  <c r="AC87" i="50"/>
  <c r="I133" i="58" s="1"/>
  <c r="W87" i="50"/>
  <c r="C133" i="58" s="1"/>
  <c r="W63" i="50"/>
  <c r="C133" i="54" s="1"/>
  <c r="Q63" i="50"/>
  <c r="P133" i="56" s="1"/>
  <c r="AQ63" i="50"/>
  <c r="C133" i="55" s="1"/>
  <c r="BR59" i="49"/>
  <c r="AU38" i="49"/>
  <c r="AJ62" i="50"/>
  <c r="M88" i="49"/>
  <c r="L114" i="57" s="1"/>
  <c r="M64" i="49"/>
  <c r="L114" i="56" s="1"/>
  <c r="K41" i="50"/>
  <c r="K18" i="50"/>
  <c r="J136" i="51" s="1"/>
  <c r="E18" i="50"/>
  <c r="D136" i="51" s="1"/>
  <c r="E41" i="50"/>
  <c r="D135" i="53" s="1"/>
  <c r="E88" i="49"/>
  <c r="D114" i="57" s="1"/>
  <c r="E64" i="49"/>
  <c r="D114" i="56" s="1"/>
  <c r="G88" i="50"/>
  <c r="F134" i="57" s="1"/>
  <c r="G64" i="50"/>
  <c r="F134" i="56" s="1"/>
  <c r="AB87" i="50"/>
  <c r="H133" i="58" s="1"/>
  <c r="AB63" i="50"/>
  <c r="H133" i="54" s="1"/>
  <c r="AV63" i="50"/>
  <c r="H133" i="55" s="1"/>
  <c r="X63" i="50"/>
  <c r="D133" i="54" s="1"/>
  <c r="AR63" i="50"/>
  <c r="D133" i="55" s="1"/>
  <c r="X87" i="50"/>
  <c r="D133" i="58" s="1"/>
  <c r="J41" i="49"/>
  <c r="I115" i="53" s="1"/>
  <c r="J18" i="49"/>
  <c r="I116" i="51" s="1"/>
  <c r="Q87" i="50"/>
  <c r="P133" i="57" s="1"/>
  <c r="I64" i="50"/>
  <c r="H134" i="56" s="1"/>
  <c r="I88" i="50"/>
  <c r="H134" i="57" s="1"/>
  <c r="AD39" i="50"/>
  <c r="AE39" i="50"/>
  <c r="AR39" i="50"/>
  <c r="BS60" i="50" s="1"/>
  <c r="BS69" i="50"/>
  <c r="AH39" i="50"/>
  <c r="BS68" i="50"/>
  <c r="AT39" i="50"/>
  <c r="BS62" i="50" s="1"/>
  <c r="BJ15" i="50"/>
  <c r="BK15" i="50" s="1"/>
  <c r="BL15" i="50" s="1"/>
  <c r="P15" i="50" s="1"/>
  <c r="O133" i="51" s="1"/>
  <c r="AG39" i="50"/>
  <c r="AJ86" i="50"/>
  <c r="P132" i="58" s="1"/>
  <c r="BO38" i="49"/>
  <c r="BR64" i="49" s="1"/>
  <c r="P38" i="49"/>
  <c r="O112" i="53" s="1"/>
  <c r="AI14" i="49"/>
  <c r="O112" i="59" s="1"/>
  <c r="BU38" i="49"/>
  <c r="BR66" i="49" s="1"/>
  <c r="M41" i="49"/>
  <c r="L115" i="53" s="1"/>
  <c r="M18" i="49"/>
  <c r="L116" i="51" s="1"/>
  <c r="K88" i="50"/>
  <c r="J134" i="57" s="1"/>
  <c r="CA40" i="50"/>
  <c r="Y39" i="50"/>
  <c r="AF87" i="49"/>
  <c r="L113" i="58" s="1"/>
  <c r="AZ63" i="49"/>
  <c r="L113" i="55" s="1"/>
  <c r="AF63" i="49"/>
  <c r="L113" i="54" s="1"/>
  <c r="G41" i="50"/>
  <c r="F135" i="53" s="1"/>
  <c r="G18" i="50"/>
  <c r="F136" i="51" s="1"/>
  <c r="J88" i="49"/>
  <c r="I114" i="57" s="1"/>
  <c r="J64" i="49"/>
  <c r="I114" i="56" s="1"/>
  <c r="AC87" i="49"/>
  <c r="I113" i="58" s="1"/>
  <c r="AC63" i="49"/>
  <c r="I113" i="54" s="1"/>
  <c r="AW63" i="49"/>
  <c r="I113" i="55" s="1"/>
  <c r="Z87" i="50"/>
  <c r="F133" i="58" s="1"/>
  <c r="Z63" i="50"/>
  <c r="F133" i="54" s="1"/>
  <c r="AT63" i="50"/>
  <c r="F133" i="55" s="1"/>
  <c r="Y87" i="50"/>
  <c r="E133" i="58" s="1"/>
  <c r="Y63" i="50"/>
  <c r="E133" i="54" s="1"/>
  <c r="AS63" i="50"/>
  <c r="E133" i="55" s="1"/>
  <c r="F88" i="50"/>
  <c r="E134" i="57" s="1"/>
  <c r="F64" i="50"/>
  <c r="E134" i="56" s="1"/>
  <c r="AA39" i="50"/>
  <c r="M41" i="50"/>
  <c r="L135" i="53" s="1"/>
  <c r="M18" i="50"/>
  <c r="L136" i="51" s="1"/>
  <c r="H41" i="50"/>
  <c r="G135" i="53" s="1"/>
  <c r="H18" i="50"/>
  <c r="G136" i="51" s="1"/>
  <c r="BW41" i="50"/>
  <c r="BU67" i="50" s="1"/>
  <c r="K88" i="49"/>
  <c r="J114" i="57" s="1"/>
  <c r="CA40" i="49"/>
  <c r="AJ13" i="50"/>
  <c r="P131" i="59" s="1"/>
  <c r="BC61" i="50"/>
  <c r="AU38" i="50"/>
  <c r="AI37" i="49"/>
  <c r="P85" i="49"/>
  <c r="O111" i="57" s="1"/>
  <c r="F41" i="50"/>
  <c r="E135" i="53" s="1"/>
  <c r="F18" i="50"/>
  <c r="E136" i="51" s="1"/>
  <c r="AF39" i="50"/>
  <c r="AA87" i="50"/>
  <c r="G133" i="58" s="1"/>
  <c r="AU63" i="50"/>
  <c r="G133" i="55" s="1"/>
  <c r="M88" i="50"/>
  <c r="L134" i="57" s="1"/>
  <c r="M64" i="50"/>
  <c r="L134" i="56" s="1"/>
  <c r="D41" i="49"/>
  <c r="C115" i="53" s="1"/>
  <c r="BR41" i="49"/>
  <c r="BU65" i="49" s="1"/>
  <c r="Q17" i="49"/>
  <c r="D18" i="49"/>
  <c r="C116" i="51" s="1"/>
  <c r="Z39" i="50"/>
  <c r="H88" i="50"/>
  <c r="G134" i="57" s="1"/>
  <c r="H64" i="50"/>
  <c r="G134" i="56" s="1"/>
  <c r="AA64" i="50"/>
  <c r="G134" i="54" s="1"/>
  <c r="K41" i="49"/>
  <c r="K18" i="49"/>
  <c r="J116" i="51" s="1"/>
  <c r="P85" i="50"/>
  <c r="O131" i="57" s="1"/>
  <c r="AI37" i="50"/>
  <c r="Z87" i="49"/>
  <c r="F113" i="58" s="1"/>
  <c r="Z63" i="49"/>
  <c r="F113" i="54" s="1"/>
  <c r="AT63" i="49"/>
  <c r="F113" i="55" s="1"/>
  <c r="Y63" i="49"/>
  <c r="E113" i="54" s="1"/>
  <c r="Y87" i="49"/>
  <c r="E113" i="58" s="1"/>
  <c r="AS63" i="49"/>
  <c r="E113" i="55" s="1"/>
  <c r="H41" i="49"/>
  <c r="G115" i="53" s="1"/>
  <c r="H18" i="49"/>
  <c r="G116" i="51" s="1"/>
  <c r="BW41" i="49"/>
  <c r="BU67" i="49" s="1"/>
  <c r="F41" i="49"/>
  <c r="E115" i="53" s="1"/>
  <c r="F18" i="49"/>
  <c r="E116" i="51" s="1"/>
  <c r="D88" i="50"/>
  <c r="C134" i="57" s="1"/>
  <c r="D64" i="50"/>
  <c r="C134" i="56" s="1"/>
  <c r="Q40" i="50"/>
  <c r="AQ40" i="50" s="1"/>
  <c r="BU38" i="50"/>
  <c r="BR66" i="50" s="1"/>
  <c r="P38" i="50"/>
  <c r="O132" i="53" s="1"/>
  <c r="AI14" i="50"/>
  <c r="O132" i="59" s="1"/>
  <c r="BO38" i="50"/>
  <c r="BR64" i="50" s="1"/>
  <c r="G18" i="49"/>
  <c r="F116" i="51" s="1"/>
  <c r="G41" i="49"/>
  <c r="F115" i="53" s="1"/>
  <c r="D64" i="49"/>
  <c r="C114" i="56" s="1"/>
  <c r="Q40" i="49"/>
  <c r="AQ40" i="49" s="1"/>
  <c r="D88" i="49"/>
  <c r="C114" i="57" s="1"/>
  <c r="J41" i="50"/>
  <c r="I135" i="53" s="1"/>
  <c r="J18" i="50"/>
  <c r="I136" i="51" s="1"/>
  <c r="AS39" i="50"/>
  <c r="BS61" i="50" s="1"/>
  <c r="AD39" i="49"/>
  <c r="AE39" i="49"/>
  <c r="BS68" i="49"/>
  <c r="BS69" i="49"/>
  <c r="AG39" i="49"/>
  <c r="AT39" i="49"/>
  <c r="BS62" i="49" s="1"/>
  <c r="BJ15" i="49"/>
  <c r="BK15" i="49" s="1"/>
  <c r="BL15" i="49" s="1"/>
  <c r="P15" i="49" s="1"/>
  <c r="O113" i="51" s="1"/>
  <c r="AH39" i="49"/>
  <c r="AR39" i="49"/>
  <c r="BS60" i="49" s="1"/>
  <c r="W39" i="50"/>
  <c r="BX33" i="43"/>
  <c r="H79" i="43"/>
  <c r="K79" i="43"/>
  <c r="BR41" i="48"/>
  <c r="BU65" i="48" s="1"/>
  <c r="Q63" i="48"/>
  <c r="P93" i="56" s="1"/>
  <c r="Q17" i="48"/>
  <c r="AU38" i="48"/>
  <c r="AJ38" i="48"/>
  <c r="AS39" i="48"/>
  <c r="BS61" i="48" s="1"/>
  <c r="AD39" i="48"/>
  <c r="AC39" i="48"/>
  <c r="BU38" i="48"/>
  <c r="BR66" i="48" s="1"/>
  <c r="AI14" i="48"/>
  <c r="BO38" i="48"/>
  <c r="BR64" i="48" s="1"/>
  <c r="AJ86" i="48"/>
  <c r="P92" i="58" s="1"/>
  <c r="AR39" i="48"/>
  <c r="BS60" i="48" s="1"/>
  <c r="BJ15" i="48"/>
  <c r="BK15" i="48" s="1"/>
  <c r="BL15" i="48" s="1"/>
  <c r="P15" i="48" s="1"/>
  <c r="AF39" i="48"/>
  <c r="Q87" i="48"/>
  <c r="P93" i="57" s="1"/>
  <c r="AA39" i="48"/>
  <c r="Q40" i="48"/>
  <c r="AJ62" i="48"/>
  <c r="Y32" i="44"/>
  <c r="AH91" i="50"/>
  <c r="N137" i="58" s="1"/>
  <c r="AH67" i="50"/>
  <c r="BB67" i="50"/>
  <c r="N137" i="55" s="1"/>
  <c r="C68" i="50"/>
  <c r="C21" i="50"/>
  <c r="B139" i="51" s="1"/>
  <c r="C44" i="50"/>
  <c r="B138" i="53" s="1"/>
  <c r="V20" i="50"/>
  <c r="AP20" i="50" s="1"/>
  <c r="N45" i="50"/>
  <c r="BX45" i="50"/>
  <c r="N22" i="50"/>
  <c r="M140" i="51" s="1"/>
  <c r="AZ42" i="50"/>
  <c r="AX42" i="50"/>
  <c r="AW42" i="50"/>
  <c r="AP43" i="50"/>
  <c r="C91" i="50"/>
  <c r="B137" i="57" s="1"/>
  <c r="V43" i="50"/>
  <c r="V91" i="50" s="1"/>
  <c r="B137" i="58" s="1"/>
  <c r="O45" i="50"/>
  <c r="N139" i="53" s="1"/>
  <c r="O22" i="50"/>
  <c r="N140" i="51" s="1"/>
  <c r="N92" i="50"/>
  <c r="M138" i="57" s="1"/>
  <c r="O92" i="50"/>
  <c r="N138" i="57" s="1"/>
  <c r="O68" i="50"/>
  <c r="N138" i="56" s="1"/>
  <c r="AU22" i="50"/>
  <c r="C140" i="52" s="1"/>
  <c r="B69" i="50"/>
  <c r="B45" i="50"/>
  <c r="A139" i="53" s="1"/>
  <c r="B22" i="50"/>
  <c r="A140" i="51" s="1"/>
  <c r="U21" i="50"/>
  <c r="AO21" i="50" s="1"/>
  <c r="L46" i="50"/>
  <c r="L23" i="50"/>
  <c r="K141" i="51" s="1"/>
  <c r="B92" i="50"/>
  <c r="A138" i="57" s="1"/>
  <c r="U44" i="50"/>
  <c r="U92" i="50" s="1"/>
  <c r="A138" i="58" s="1"/>
  <c r="AE92" i="50"/>
  <c r="K138" i="58" s="1"/>
  <c r="AE68" i="50"/>
  <c r="AY68" i="50"/>
  <c r="K138" i="55" s="1"/>
  <c r="L93" i="50"/>
  <c r="K139" i="57" s="1"/>
  <c r="AG91" i="50"/>
  <c r="M137" i="58" s="1"/>
  <c r="AG67" i="50"/>
  <c r="BA67" i="50"/>
  <c r="M137" i="55" s="1"/>
  <c r="BA41" i="50"/>
  <c r="AH90" i="49"/>
  <c r="N116" i="58" s="1"/>
  <c r="AH66" i="49"/>
  <c r="BB66" i="49"/>
  <c r="N116" i="55" s="1"/>
  <c r="N44" i="49"/>
  <c r="BX44" i="49"/>
  <c r="N21" i="49"/>
  <c r="M119" i="51" s="1"/>
  <c r="L91" i="49"/>
  <c r="K117" i="57" s="1"/>
  <c r="AG90" i="49"/>
  <c r="M116" i="58" s="1"/>
  <c r="AG66" i="49"/>
  <c r="BA66" i="49"/>
  <c r="M116" i="55" s="1"/>
  <c r="N91" i="49"/>
  <c r="M117" i="57" s="1"/>
  <c r="O44" i="49"/>
  <c r="N118" i="53" s="1"/>
  <c r="O21" i="49"/>
  <c r="N119" i="51" s="1"/>
  <c r="AX42" i="49"/>
  <c r="AP43" i="49"/>
  <c r="AZ42" i="49"/>
  <c r="AW42" i="49"/>
  <c r="AE90" i="49"/>
  <c r="K116" i="58" s="1"/>
  <c r="AE66" i="49"/>
  <c r="AY66" i="49"/>
  <c r="K116" i="55" s="1"/>
  <c r="O91" i="49"/>
  <c r="N117" i="57" s="1"/>
  <c r="O67" i="49"/>
  <c r="N117" i="56" s="1"/>
  <c r="B69" i="49"/>
  <c r="B45" i="49"/>
  <c r="A119" i="53" s="1"/>
  <c r="B22" i="49"/>
  <c r="A120" i="51" s="1"/>
  <c r="U21" i="49"/>
  <c r="AO21" i="49" s="1"/>
  <c r="B92" i="49"/>
  <c r="A118" i="57" s="1"/>
  <c r="U44" i="49"/>
  <c r="U92" i="49" s="1"/>
  <c r="A118" i="58" s="1"/>
  <c r="C69" i="49"/>
  <c r="C45" i="49"/>
  <c r="B119" i="53" s="1"/>
  <c r="C22" i="49"/>
  <c r="B120" i="51" s="1"/>
  <c r="V21" i="49"/>
  <c r="AP21" i="49" s="1"/>
  <c r="C92" i="49"/>
  <c r="B118" i="57" s="1"/>
  <c r="V44" i="49"/>
  <c r="V92" i="49" s="1"/>
  <c r="B118" i="58" s="1"/>
  <c r="BA41" i="49"/>
  <c r="L21" i="49"/>
  <c r="K119" i="51" s="1"/>
  <c r="L44" i="49"/>
  <c r="Y39" i="48"/>
  <c r="AH39" i="48"/>
  <c r="AB39" i="48"/>
  <c r="Z87" i="48"/>
  <c r="F93" i="58" s="1"/>
  <c r="Z63" i="48"/>
  <c r="F93" i="54" s="1"/>
  <c r="AT63" i="48"/>
  <c r="F93" i="55" s="1"/>
  <c r="G41" i="48"/>
  <c r="F95" i="53" s="1"/>
  <c r="G18" i="48"/>
  <c r="F96" i="51" s="1"/>
  <c r="AG39" i="48"/>
  <c r="AT39" i="48"/>
  <c r="BS62" i="48" s="1"/>
  <c r="AE39" i="48"/>
  <c r="W39" i="48"/>
  <c r="AF87" i="48"/>
  <c r="L93" i="58" s="1"/>
  <c r="AF63" i="48"/>
  <c r="L93" i="54" s="1"/>
  <c r="AZ63" i="48"/>
  <c r="L93" i="55" s="1"/>
  <c r="M18" i="48"/>
  <c r="M41" i="48"/>
  <c r="G64" i="48"/>
  <c r="F94" i="56" s="1"/>
  <c r="G88" i="48"/>
  <c r="F94" i="57" s="1"/>
  <c r="Z39" i="48"/>
  <c r="BS68" i="48"/>
  <c r="F41" i="48"/>
  <c r="E95" i="53" s="1"/>
  <c r="F18" i="48"/>
  <c r="E96" i="51" s="1"/>
  <c r="M88" i="48"/>
  <c r="L94" i="57" s="1"/>
  <c r="M64" i="48"/>
  <c r="L94" i="56" s="1"/>
  <c r="X39" i="48"/>
  <c r="BS69" i="48"/>
  <c r="F88" i="48"/>
  <c r="E94" i="57" s="1"/>
  <c r="F64" i="48"/>
  <c r="E94" i="56" s="1"/>
  <c r="Y63" i="48"/>
  <c r="E93" i="54" s="1"/>
  <c r="Y87" i="48"/>
  <c r="E93" i="58" s="1"/>
  <c r="AS63" i="48"/>
  <c r="E93" i="55" s="1"/>
  <c r="L42" i="48"/>
  <c r="L19" i="48"/>
  <c r="K97" i="51" s="1"/>
  <c r="O44" i="48"/>
  <c r="N98" i="53" s="1"/>
  <c r="O21" i="48"/>
  <c r="N99" i="51" s="1"/>
  <c r="L89" i="48"/>
  <c r="K95" i="57" s="1"/>
  <c r="AE88" i="48"/>
  <c r="K94" i="58" s="1"/>
  <c r="AE64" i="48"/>
  <c r="K94" i="54" s="1"/>
  <c r="AY64" i="48"/>
  <c r="K94" i="55" s="1"/>
  <c r="N90" i="48"/>
  <c r="M96" i="57" s="1"/>
  <c r="AG89" i="48"/>
  <c r="M95" i="58" s="1"/>
  <c r="AG65" i="48"/>
  <c r="M95" i="54" s="1"/>
  <c r="BA65" i="48"/>
  <c r="M95" i="55" s="1"/>
  <c r="O91" i="48"/>
  <c r="N97" i="57" s="1"/>
  <c r="O67" i="48"/>
  <c r="N97" i="56" s="1"/>
  <c r="B90" i="48"/>
  <c r="A96" i="57" s="1"/>
  <c r="U42" i="48"/>
  <c r="U90" i="48" s="1"/>
  <c r="A96" i="58" s="1"/>
  <c r="P86" i="48"/>
  <c r="O92" i="57" s="1"/>
  <c r="BX43" i="48"/>
  <c r="N43" i="48"/>
  <c r="N20" i="48"/>
  <c r="M98" i="51" s="1"/>
  <c r="AP41" i="48"/>
  <c r="AZ40" i="48"/>
  <c r="AX40" i="48"/>
  <c r="AW40" i="48"/>
  <c r="C66" i="48"/>
  <c r="C42" i="48"/>
  <c r="B96" i="53" s="1"/>
  <c r="C19" i="48"/>
  <c r="B97" i="51" s="1"/>
  <c r="V18" i="48"/>
  <c r="AP18" i="48" s="1"/>
  <c r="BA39" i="48"/>
  <c r="AH90" i="48"/>
  <c r="N96" i="58" s="1"/>
  <c r="AH66" i="48"/>
  <c r="N96" i="54" s="1"/>
  <c r="BB66" i="48"/>
  <c r="N96" i="55" s="1"/>
  <c r="B67" i="48"/>
  <c r="B43" i="48"/>
  <c r="A97" i="53" s="1"/>
  <c r="U19" i="48"/>
  <c r="AO19" i="48" s="1"/>
  <c r="B20" i="48"/>
  <c r="A98" i="51" s="1"/>
  <c r="C89" i="48"/>
  <c r="B95" i="57" s="1"/>
  <c r="V41" i="48"/>
  <c r="V89" i="48" s="1"/>
  <c r="B95" i="58" s="1"/>
  <c r="BD18" i="48"/>
  <c r="J96" i="52" s="1"/>
  <c r="AU19" i="48"/>
  <c r="C97" i="52" s="1"/>
  <c r="BC61" i="48"/>
  <c r="BJ8" i="47"/>
  <c r="BK8" i="47" s="1"/>
  <c r="BL8" i="47" s="1"/>
  <c r="P8" i="47" s="1"/>
  <c r="AD32" i="47"/>
  <c r="AR32" i="46"/>
  <c r="BL60" i="46" s="1"/>
  <c r="AT32" i="44"/>
  <c r="BL62" i="44" s="1"/>
  <c r="AQ32" i="44"/>
  <c r="BL59" i="44" s="1"/>
  <c r="AS32" i="47"/>
  <c r="BL61" i="47" s="1"/>
  <c r="Z32" i="47"/>
  <c r="AR32" i="47"/>
  <c r="BL60" i="47" s="1"/>
  <c r="X32" i="47"/>
  <c r="AQ32" i="47"/>
  <c r="BL59" i="47" s="1"/>
  <c r="AA32" i="47"/>
  <c r="AJ79" i="47"/>
  <c r="P65" i="58" s="1"/>
  <c r="BO31" i="47"/>
  <c r="BK64" i="47" s="1"/>
  <c r="P31" i="47"/>
  <c r="AI7" i="47"/>
  <c r="BJ8" i="46"/>
  <c r="BK8" i="46" s="1"/>
  <c r="BL8" i="46" s="1"/>
  <c r="P8" i="46" s="1"/>
  <c r="AF32" i="47"/>
  <c r="AA32" i="44"/>
  <c r="AC32" i="44"/>
  <c r="AJ31" i="44"/>
  <c r="Z32" i="44"/>
  <c r="AF32" i="44"/>
  <c r="AR32" i="44"/>
  <c r="BL60" i="44" s="1"/>
  <c r="AS32" i="44"/>
  <c r="BL61" i="44" s="1"/>
  <c r="O56" i="43"/>
  <c r="AH80" i="43" s="1"/>
  <c r="O80" i="43"/>
  <c r="Q33" i="44"/>
  <c r="D81" i="44"/>
  <c r="C27" i="57" s="1"/>
  <c r="J81" i="46"/>
  <c r="I47" i="57" s="1"/>
  <c r="J57" i="46"/>
  <c r="I47" i="56" s="1"/>
  <c r="BK59" i="47"/>
  <c r="AU31" i="47"/>
  <c r="AB80" i="47"/>
  <c r="H66" i="58" s="1"/>
  <c r="AB56" i="47"/>
  <c r="H66" i="54" s="1"/>
  <c r="AV56" i="47"/>
  <c r="H66" i="55" s="1"/>
  <c r="AB80" i="46"/>
  <c r="H46" i="58" s="1"/>
  <c r="AB56" i="46"/>
  <c r="H46" i="54" s="1"/>
  <c r="AV56" i="46"/>
  <c r="AF80" i="46"/>
  <c r="L46" i="58" s="1"/>
  <c r="AF56" i="46"/>
  <c r="L46" i="54" s="1"/>
  <c r="AZ56" i="46"/>
  <c r="J55" i="43"/>
  <c r="AC79" i="43" s="1"/>
  <c r="J79" i="43"/>
  <c r="Y80" i="44"/>
  <c r="E26" i="58" s="1"/>
  <c r="Y56" i="44"/>
  <c r="E26" i="54" s="1"/>
  <c r="AS56" i="44"/>
  <c r="E26" i="55" s="1"/>
  <c r="H81" i="44"/>
  <c r="G27" i="57" s="1"/>
  <c r="AA57" i="44"/>
  <c r="G27" i="54" s="1"/>
  <c r="AE80" i="43"/>
  <c r="L80" i="43"/>
  <c r="I11" i="44"/>
  <c r="H29" i="51" s="1"/>
  <c r="I34" i="44"/>
  <c r="Z56" i="44"/>
  <c r="F26" i="54" s="1"/>
  <c r="Z80" i="44"/>
  <c r="F26" i="58" s="1"/>
  <c r="AT56" i="44"/>
  <c r="F26" i="55" s="1"/>
  <c r="BR34" i="47"/>
  <c r="BN65" i="47" s="1"/>
  <c r="D34" i="47"/>
  <c r="C68" i="53" s="1"/>
  <c r="D11" i="47"/>
  <c r="C69" i="51" s="1"/>
  <c r="Q10" i="47"/>
  <c r="X80" i="46"/>
  <c r="D46" i="58" s="1"/>
  <c r="X56" i="46"/>
  <c r="D46" i="54" s="1"/>
  <c r="AR56" i="46"/>
  <c r="X56" i="47"/>
  <c r="D66" i="54" s="1"/>
  <c r="X80" i="47"/>
  <c r="D66" i="58" s="1"/>
  <c r="AR56" i="47"/>
  <c r="D66" i="55" s="1"/>
  <c r="AA80" i="44"/>
  <c r="G26" i="58" s="1"/>
  <c r="AU56" i="44"/>
  <c r="G26" i="55" s="1"/>
  <c r="G34" i="47"/>
  <c r="F68" i="53" s="1"/>
  <c r="G11" i="47"/>
  <c r="F69" i="51" s="1"/>
  <c r="AJ55" i="46"/>
  <c r="AK55" i="46" s="1"/>
  <c r="BK58" i="46" s="1"/>
  <c r="Z80" i="46"/>
  <c r="F46" i="58" s="1"/>
  <c r="Z56" i="46"/>
  <c r="F46" i="54" s="1"/>
  <c r="AT56" i="46"/>
  <c r="K34" i="46"/>
  <c r="K11" i="46"/>
  <c r="J49" i="51" s="1"/>
  <c r="BC53" i="47"/>
  <c r="K34" i="47"/>
  <c r="K11" i="47"/>
  <c r="J69" i="51" s="1"/>
  <c r="M55" i="43"/>
  <c r="AF79" i="43" s="1"/>
  <c r="M79" i="43"/>
  <c r="M81" i="47"/>
  <c r="L67" i="57" s="1"/>
  <c r="M57" i="47"/>
  <c r="L67" i="56" s="1"/>
  <c r="AD80" i="47"/>
  <c r="J66" i="58" s="1"/>
  <c r="AD56" i="47"/>
  <c r="J66" i="54" s="1"/>
  <c r="AX56" i="47"/>
  <c r="J66" i="55" s="1"/>
  <c r="E34" i="46"/>
  <c r="D48" i="53" s="1"/>
  <c r="E11" i="46"/>
  <c r="D49" i="51" s="1"/>
  <c r="AH32" i="47"/>
  <c r="AE32" i="47"/>
  <c r="AG32" i="47"/>
  <c r="BL68" i="47"/>
  <c r="BL69" i="47"/>
  <c r="M11" i="44"/>
  <c r="L29" i="51" s="1"/>
  <c r="M34" i="44"/>
  <c r="D34" i="44"/>
  <c r="BR34" i="44"/>
  <c r="BN65" i="44" s="1"/>
  <c r="D11" i="44"/>
  <c r="C29" i="51" s="1"/>
  <c r="Q10" i="44"/>
  <c r="AC80" i="46"/>
  <c r="I46" i="58" s="1"/>
  <c r="AC56" i="46"/>
  <c r="I46" i="54" s="1"/>
  <c r="AW56" i="46"/>
  <c r="Q56" i="46"/>
  <c r="P46" i="56" s="1"/>
  <c r="W56" i="46"/>
  <c r="C46" i="54" s="1"/>
  <c r="W80" i="46"/>
  <c r="C46" i="58" s="1"/>
  <c r="AQ56" i="46"/>
  <c r="K81" i="46"/>
  <c r="J47" i="57" s="1"/>
  <c r="CA33" i="46"/>
  <c r="Q33" i="46"/>
  <c r="D57" i="46"/>
  <c r="C47" i="56" s="1"/>
  <c r="D81" i="46"/>
  <c r="C47" i="57" s="1"/>
  <c r="AI30" i="47"/>
  <c r="P54" i="47"/>
  <c r="M34" i="46"/>
  <c r="L48" i="53" s="1"/>
  <c r="M11" i="46"/>
  <c r="L49" i="51" s="1"/>
  <c r="G81" i="44"/>
  <c r="F27" i="57" s="1"/>
  <c r="BC54" i="46"/>
  <c r="X80" i="44"/>
  <c r="D26" i="58" s="1"/>
  <c r="X56" i="44"/>
  <c r="D26" i="54" s="1"/>
  <c r="AR56" i="44"/>
  <c r="D26" i="55" s="1"/>
  <c r="AB56" i="44"/>
  <c r="H26" i="54" s="1"/>
  <c r="AB80" i="44"/>
  <c r="H26" i="58" s="1"/>
  <c r="AV56" i="44"/>
  <c r="H26" i="55" s="1"/>
  <c r="K81" i="47"/>
  <c r="J67" i="57" s="1"/>
  <c r="CA33" i="47"/>
  <c r="M34" i="47"/>
  <c r="L68" i="53" s="1"/>
  <c r="M11" i="47"/>
  <c r="L69" i="51" s="1"/>
  <c r="J81" i="47"/>
  <c r="I67" i="57" s="1"/>
  <c r="J57" i="47"/>
  <c r="I67" i="56" s="1"/>
  <c r="Q80" i="47"/>
  <c r="P66" i="57" s="1"/>
  <c r="D81" i="47"/>
  <c r="C67" i="57" s="1"/>
  <c r="D57" i="47"/>
  <c r="C67" i="56" s="1"/>
  <c r="Q33" i="47"/>
  <c r="AQ32" i="46"/>
  <c r="BL69" i="46"/>
  <c r="AG32" i="46"/>
  <c r="BL68" i="46"/>
  <c r="AE32" i="46"/>
  <c r="AH32" i="46"/>
  <c r="AJ6" i="47"/>
  <c r="P64" i="59" s="1"/>
  <c r="Y80" i="47"/>
  <c r="E66" i="58" s="1"/>
  <c r="Y56" i="47"/>
  <c r="E66" i="54" s="1"/>
  <c r="AS56" i="47"/>
  <c r="E66" i="55" s="1"/>
  <c r="G34" i="44"/>
  <c r="G11" i="44"/>
  <c r="F29" i="51" s="1"/>
  <c r="Q80" i="44"/>
  <c r="P26" i="57" s="1"/>
  <c r="AB32" i="46"/>
  <c r="AJ31" i="46"/>
  <c r="AF32" i="46"/>
  <c r="E57" i="46"/>
  <c r="D47" i="56" s="1"/>
  <c r="E81" i="46"/>
  <c r="D47" i="57" s="1"/>
  <c r="W80" i="47"/>
  <c r="C66" i="58" s="1"/>
  <c r="Q56" i="47"/>
  <c r="P66" i="56" s="1"/>
  <c r="W56" i="47"/>
  <c r="C66" i="54" s="1"/>
  <c r="AQ56" i="47"/>
  <c r="C66" i="55" s="1"/>
  <c r="M81" i="44"/>
  <c r="L27" i="57" s="1"/>
  <c r="H34" i="44"/>
  <c r="H11" i="44"/>
  <c r="G29" i="51" s="1"/>
  <c r="BW34" i="44"/>
  <c r="BN67" i="44" s="1"/>
  <c r="AD32" i="46"/>
  <c r="Q80" i="46"/>
  <c r="P46" i="57" s="1"/>
  <c r="J11" i="46"/>
  <c r="I49" i="51" s="1"/>
  <c r="J34" i="46"/>
  <c r="I48" i="53" s="1"/>
  <c r="AB32" i="47"/>
  <c r="M81" i="46"/>
  <c r="L47" i="57" s="1"/>
  <c r="M57" i="46"/>
  <c r="L47" i="56" s="1"/>
  <c r="AF80" i="47"/>
  <c r="L66" i="58" s="1"/>
  <c r="AF56" i="47"/>
  <c r="L66" i="54" s="1"/>
  <c r="AZ56" i="47"/>
  <c r="L66" i="55" s="1"/>
  <c r="AJ79" i="46"/>
  <c r="P45" i="58" s="1"/>
  <c r="J34" i="44"/>
  <c r="J11" i="44"/>
  <c r="I29" i="51" s="1"/>
  <c r="K34" i="44"/>
  <c r="K11" i="44"/>
  <c r="J29" i="51" s="1"/>
  <c r="I81" i="44"/>
  <c r="H27" i="57" s="1"/>
  <c r="F81" i="44"/>
  <c r="E27" i="57" s="1"/>
  <c r="F55" i="43"/>
  <c r="Y79" i="43" s="1"/>
  <c r="F79" i="43"/>
  <c r="I55" i="43"/>
  <c r="AB79" i="43" s="1"/>
  <c r="I79" i="43"/>
  <c r="E55" i="43"/>
  <c r="X79" i="43" s="1"/>
  <c r="E79" i="43"/>
  <c r="AI7" i="44"/>
  <c r="O25" i="59" s="1"/>
  <c r="P31" i="44"/>
  <c r="O25" i="53" s="1"/>
  <c r="BO31" i="44"/>
  <c r="BK64" i="44" s="1"/>
  <c r="BU31" i="44"/>
  <c r="BK66" i="44" s="1"/>
  <c r="I81" i="47"/>
  <c r="H67" i="57" s="1"/>
  <c r="I57" i="47"/>
  <c r="H67" i="56" s="1"/>
  <c r="AF80" i="44"/>
  <c r="L26" i="58" s="1"/>
  <c r="AF56" i="44"/>
  <c r="L26" i="54" s="1"/>
  <c r="AZ56" i="44"/>
  <c r="L26" i="55" s="1"/>
  <c r="G81" i="47"/>
  <c r="F67" i="57" s="1"/>
  <c r="G57" i="47"/>
  <c r="F67" i="56" s="1"/>
  <c r="J81" i="44"/>
  <c r="I27" i="57" s="1"/>
  <c r="AD80" i="46"/>
  <c r="J46" i="58" s="1"/>
  <c r="AD56" i="46"/>
  <c r="J46" i="54" s="1"/>
  <c r="AX56" i="46"/>
  <c r="AI7" i="46"/>
  <c r="O45" i="59" s="1"/>
  <c r="P31" i="46"/>
  <c r="O45" i="53" s="1"/>
  <c r="BU31" i="46"/>
  <c r="BK66" i="46" s="1"/>
  <c r="BO31" i="46"/>
  <c r="BK64" i="46" s="1"/>
  <c r="K81" i="44"/>
  <c r="J27" i="57" s="1"/>
  <c r="CA33" i="44"/>
  <c r="AC80" i="44"/>
  <c r="I26" i="58" s="1"/>
  <c r="AC56" i="44"/>
  <c r="I26" i="54" s="1"/>
  <c r="AW56" i="44"/>
  <c r="I26" i="55" s="1"/>
  <c r="H11" i="47"/>
  <c r="G69" i="51" s="1"/>
  <c r="H34" i="47"/>
  <c r="G68" i="53" s="1"/>
  <c r="BW34" i="47"/>
  <c r="BN67" i="47" s="1"/>
  <c r="G34" i="46"/>
  <c r="F48" i="53" s="1"/>
  <c r="G11" i="46"/>
  <c r="F49" i="51" s="1"/>
  <c r="BJ8" i="44"/>
  <c r="BK8" i="44" s="1"/>
  <c r="BL8" i="44" s="1"/>
  <c r="P8" i="44" s="1"/>
  <c r="O26" i="51" s="1"/>
  <c r="AC32" i="47"/>
  <c r="E81" i="44"/>
  <c r="D27" i="57" s="1"/>
  <c r="H11" i="46"/>
  <c r="G49" i="51" s="1"/>
  <c r="H34" i="46"/>
  <c r="BW34" i="46"/>
  <c r="BN67" i="46" s="1"/>
  <c r="Y32" i="46"/>
  <c r="AJ6" i="44"/>
  <c r="F11" i="46"/>
  <c r="E49" i="51" s="1"/>
  <c r="F34" i="46"/>
  <c r="E48" i="53" s="1"/>
  <c r="F34" i="47"/>
  <c r="E68" i="53" s="1"/>
  <c r="F11" i="47"/>
  <c r="E69" i="51" s="1"/>
  <c r="AT32" i="46"/>
  <c r="BL62" i="46" s="1"/>
  <c r="F34" i="44"/>
  <c r="F11" i="44"/>
  <c r="E29" i="51" s="1"/>
  <c r="AJ79" i="44"/>
  <c r="P25" i="58" s="1"/>
  <c r="AS32" i="46"/>
  <c r="BL61" i="46" s="1"/>
  <c r="E34" i="47"/>
  <c r="D68" i="53" s="1"/>
  <c r="E11" i="47"/>
  <c r="D69" i="51" s="1"/>
  <c r="AA80" i="47"/>
  <c r="G66" i="58" s="1"/>
  <c r="AU56" i="47"/>
  <c r="G66" i="55" s="1"/>
  <c r="BK59" i="46"/>
  <c r="AU31" i="46"/>
  <c r="AA57" i="47"/>
  <c r="G67" i="54" s="1"/>
  <c r="H81" i="47"/>
  <c r="G67" i="57" s="1"/>
  <c r="H57" i="47"/>
  <c r="G67" i="56" s="1"/>
  <c r="AJ55" i="47"/>
  <c r="G57" i="46"/>
  <c r="F47" i="56" s="1"/>
  <c r="G81" i="46"/>
  <c r="F47" i="57" s="1"/>
  <c r="AD80" i="44"/>
  <c r="J26" i="58" s="1"/>
  <c r="AD56" i="44"/>
  <c r="J26" i="54" s="1"/>
  <c r="AX56" i="44"/>
  <c r="J26" i="55" s="1"/>
  <c r="AC80" i="47"/>
  <c r="I66" i="58" s="1"/>
  <c r="AC56" i="47"/>
  <c r="I66" i="54" s="1"/>
  <c r="AW56" i="47"/>
  <c r="I66" i="55" s="1"/>
  <c r="E11" i="44"/>
  <c r="D29" i="51" s="1"/>
  <c r="E34" i="44"/>
  <c r="AJ31" i="47"/>
  <c r="H81" i="46"/>
  <c r="G47" i="57" s="1"/>
  <c r="AA57" i="46"/>
  <c r="G47" i="54" s="1"/>
  <c r="AD32" i="44"/>
  <c r="AG32" i="44"/>
  <c r="BL69" i="44"/>
  <c r="AH32" i="44"/>
  <c r="BL68" i="44"/>
  <c r="AE32" i="44"/>
  <c r="P78" i="44"/>
  <c r="O24" i="57" s="1"/>
  <c r="AI30" i="44"/>
  <c r="F81" i="46"/>
  <c r="E47" i="57" s="1"/>
  <c r="F57" i="46"/>
  <c r="E47" i="56" s="1"/>
  <c r="F57" i="47"/>
  <c r="E67" i="56" s="1"/>
  <c r="F81" i="47"/>
  <c r="E67" i="57" s="1"/>
  <c r="AA32" i="46"/>
  <c r="BK59" i="44"/>
  <c r="AU31" i="44"/>
  <c r="Z80" i="47"/>
  <c r="F66" i="58" s="1"/>
  <c r="Z56" i="47"/>
  <c r="F66" i="54" s="1"/>
  <c r="AT56" i="47"/>
  <c r="F66" i="55" s="1"/>
  <c r="I11" i="47"/>
  <c r="H69" i="51" s="1"/>
  <c r="I34" i="47"/>
  <c r="H68" i="53" s="1"/>
  <c r="I34" i="46"/>
  <c r="H48" i="53" s="1"/>
  <c r="I11" i="46"/>
  <c r="H49" i="51" s="1"/>
  <c r="AG80" i="43"/>
  <c r="N80" i="43"/>
  <c r="G55" i="43"/>
  <c r="Z79" i="43" s="1"/>
  <c r="G79" i="43"/>
  <c r="J11" i="47"/>
  <c r="I69" i="51" s="1"/>
  <c r="J34" i="47"/>
  <c r="I68" i="53" s="1"/>
  <c r="I57" i="46"/>
  <c r="H47" i="56" s="1"/>
  <c r="I81" i="46"/>
  <c r="H47" i="57" s="1"/>
  <c r="AJ55" i="44"/>
  <c r="Z32" i="46"/>
  <c r="W32" i="47"/>
  <c r="E81" i="47"/>
  <c r="D67" i="57" s="1"/>
  <c r="E57" i="47"/>
  <c r="D67" i="56" s="1"/>
  <c r="AC32" i="46"/>
  <c r="W32" i="46"/>
  <c r="D11" i="46"/>
  <c r="C49" i="51" s="1"/>
  <c r="BR34" i="46"/>
  <c r="BN65" i="46" s="1"/>
  <c r="D34" i="46"/>
  <c r="C48" i="53" s="1"/>
  <c r="Q10" i="46"/>
  <c r="Y32" i="47"/>
  <c r="Y80" i="46"/>
  <c r="E46" i="58" s="1"/>
  <c r="Y56" i="46"/>
  <c r="E46" i="54" s="1"/>
  <c r="AS56" i="46"/>
  <c r="W80" i="44"/>
  <c r="C26" i="58" s="1"/>
  <c r="AQ56" i="44"/>
  <c r="C26" i="55" s="1"/>
  <c r="X32" i="44"/>
  <c r="AB32" i="44"/>
  <c r="AA80" i="46"/>
  <c r="G46" i="58" s="1"/>
  <c r="AU56" i="46"/>
  <c r="BA37" i="47"/>
  <c r="AH86" i="47"/>
  <c r="N72" i="58" s="1"/>
  <c r="N12" i="58" s="1"/>
  <c r="AH62" i="47"/>
  <c r="BB62" i="47"/>
  <c r="N72" i="55" s="1"/>
  <c r="AG86" i="47"/>
  <c r="M72" i="58" s="1"/>
  <c r="AG62" i="47"/>
  <c r="BA62" i="47"/>
  <c r="M72" i="55" s="1"/>
  <c r="BX40" i="47"/>
  <c r="N40" i="47"/>
  <c r="N17" i="47"/>
  <c r="M75" i="51" s="1"/>
  <c r="N87" i="47"/>
  <c r="M73" i="57" s="1"/>
  <c r="C66" i="47"/>
  <c r="C42" i="47"/>
  <c r="B76" i="53" s="1"/>
  <c r="C19" i="47"/>
  <c r="B77" i="51" s="1"/>
  <c r="V18" i="47"/>
  <c r="AP18" i="47" s="1"/>
  <c r="L40" i="47"/>
  <c r="L17" i="47"/>
  <c r="K75" i="51" s="1"/>
  <c r="O40" i="47"/>
  <c r="N74" i="53" s="1"/>
  <c r="O17" i="47"/>
  <c r="N75" i="51" s="1"/>
  <c r="N15" i="51" s="1"/>
  <c r="AE86" i="47"/>
  <c r="K72" i="58" s="1"/>
  <c r="AE62" i="47"/>
  <c r="AY62" i="47"/>
  <c r="K72" i="55" s="1"/>
  <c r="L87" i="47"/>
  <c r="K73" i="57" s="1"/>
  <c r="AU18" i="47"/>
  <c r="C76" i="52" s="1"/>
  <c r="C89" i="47"/>
  <c r="B75" i="57" s="1"/>
  <c r="V41" i="47"/>
  <c r="V89" i="47" s="1"/>
  <c r="B75" i="58" s="1"/>
  <c r="O87" i="47"/>
  <c r="N73" i="57" s="1"/>
  <c r="N13" i="57" s="1"/>
  <c r="O63" i="47"/>
  <c r="N73" i="56" s="1"/>
  <c r="N13" i="56" s="1"/>
  <c r="B66" i="47"/>
  <c r="B42" i="47"/>
  <c r="A76" i="53" s="1"/>
  <c r="B19" i="47"/>
  <c r="A77" i="51" s="1"/>
  <c r="U18" i="47"/>
  <c r="AO18" i="47" s="1"/>
  <c r="B89" i="47"/>
  <c r="A75" i="57" s="1"/>
  <c r="U41" i="47"/>
  <c r="U89" i="47" s="1"/>
  <c r="A75" i="58" s="1"/>
  <c r="AW38" i="47"/>
  <c r="AP39" i="47"/>
  <c r="AZ38" i="47"/>
  <c r="AX38" i="47"/>
  <c r="C88" i="46"/>
  <c r="B54" i="57" s="1"/>
  <c r="V40" i="46"/>
  <c r="V88" i="46" s="1"/>
  <c r="B54" i="58" s="1"/>
  <c r="AE87" i="46"/>
  <c r="K53" i="58" s="1"/>
  <c r="AE63" i="46"/>
  <c r="AY63" i="46"/>
  <c r="AU17" i="46"/>
  <c r="C55" i="52" s="1"/>
  <c r="C15" i="52" s="1"/>
  <c r="BD16" i="46"/>
  <c r="J54" i="52" s="1"/>
  <c r="J14" i="52" s="1"/>
  <c r="AX38" i="46"/>
  <c r="AW38" i="46"/>
  <c r="AP39" i="46"/>
  <c r="AZ38" i="46"/>
  <c r="N40" i="46"/>
  <c r="BX40" i="46"/>
  <c r="N17" i="46"/>
  <c r="M55" i="51" s="1"/>
  <c r="B64" i="46"/>
  <c r="B40" i="46"/>
  <c r="A54" i="53" s="1"/>
  <c r="U16" i="46"/>
  <c r="AO16" i="46" s="1"/>
  <c r="B17" i="46"/>
  <c r="A55" i="51" s="1"/>
  <c r="BT38" i="46"/>
  <c r="BQ38" i="46"/>
  <c r="L88" i="46"/>
  <c r="K54" i="57" s="1"/>
  <c r="L41" i="46"/>
  <c r="L18" i="46"/>
  <c r="K56" i="51" s="1"/>
  <c r="AG86" i="46"/>
  <c r="M52" i="58" s="1"/>
  <c r="AG62" i="46"/>
  <c r="BA62" i="46"/>
  <c r="N87" i="46"/>
  <c r="M53" i="57" s="1"/>
  <c r="AH87" i="46"/>
  <c r="N53" i="58" s="1"/>
  <c r="AH63" i="46"/>
  <c r="BB63" i="46"/>
  <c r="B87" i="46"/>
  <c r="A53" i="57" s="1"/>
  <c r="U39" i="46"/>
  <c r="U87" i="46" s="1"/>
  <c r="A53" i="58" s="1"/>
  <c r="BN39" i="46"/>
  <c r="BL40" i="46"/>
  <c r="C65" i="46"/>
  <c r="C41" i="46"/>
  <c r="B55" i="53" s="1"/>
  <c r="C18" i="46"/>
  <c r="B56" i="51" s="1"/>
  <c r="V17" i="46"/>
  <c r="AP17" i="46" s="1"/>
  <c r="O41" i="46"/>
  <c r="N55" i="53" s="1"/>
  <c r="O18" i="46"/>
  <c r="N56" i="51" s="1"/>
  <c r="O88" i="46"/>
  <c r="N54" i="57" s="1"/>
  <c r="O64" i="46"/>
  <c r="N54" i="56" s="1"/>
  <c r="BA39" i="44"/>
  <c r="C36" i="52"/>
  <c r="AE86" i="44"/>
  <c r="K32" i="58" s="1"/>
  <c r="AE62" i="44"/>
  <c r="K32" i="54" s="1"/>
  <c r="AY62" i="44"/>
  <c r="K32" i="55" s="1"/>
  <c r="O41" i="44"/>
  <c r="O18" i="44"/>
  <c r="N36" i="51" s="1"/>
  <c r="BT38" i="44"/>
  <c r="BQ38" i="44"/>
  <c r="AG88" i="44"/>
  <c r="M34" i="58" s="1"/>
  <c r="AG64" i="44"/>
  <c r="M34" i="54" s="1"/>
  <c r="BA64" i="44"/>
  <c r="M34" i="55" s="1"/>
  <c r="O88" i="44"/>
  <c r="N34" i="57" s="1"/>
  <c r="BN39" i="44"/>
  <c r="BL40" i="44"/>
  <c r="BM40" i="44" s="1"/>
  <c r="L40" i="44"/>
  <c r="L17" i="44"/>
  <c r="K35" i="51" s="1"/>
  <c r="AX40" i="44"/>
  <c r="AW40" i="44"/>
  <c r="AP41" i="44"/>
  <c r="AZ40" i="44"/>
  <c r="L87" i="44"/>
  <c r="K33" i="57" s="1"/>
  <c r="AH87" i="44"/>
  <c r="N33" i="58" s="1"/>
  <c r="AH63" i="44"/>
  <c r="N33" i="54" s="1"/>
  <c r="BB63" i="44"/>
  <c r="N33" i="55" s="1"/>
  <c r="BW32" i="43"/>
  <c r="BL67" i="43" s="1"/>
  <c r="AD79" i="43"/>
  <c r="CA31" i="43"/>
  <c r="AA55" i="43"/>
  <c r="H9" i="43"/>
  <c r="H32" i="43"/>
  <c r="G9" i="43"/>
  <c r="G32" i="43"/>
  <c r="K9" i="43"/>
  <c r="K32" i="43"/>
  <c r="K56" i="43" s="1"/>
  <c r="M9" i="43"/>
  <c r="M32" i="43"/>
  <c r="L10" i="43"/>
  <c r="L33" i="43"/>
  <c r="L57" i="43" s="1"/>
  <c r="J9" i="43"/>
  <c r="J32" i="43"/>
  <c r="O10" i="43"/>
  <c r="O33" i="43"/>
  <c r="BQ36" i="43"/>
  <c r="BT36" i="43"/>
  <c r="N10" i="43"/>
  <c r="N33" i="43"/>
  <c r="N57" i="43" s="1"/>
  <c r="F9" i="43"/>
  <c r="F32" i="43"/>
  <c r="I9" i="43"/>
  <c r="I32" i="43"/>
  <c r="E9" i="43"/>
  <c r="E32" i="43"/>
  <c r="BD6" i="43"/>
  <c r="AU7" i="43"/>
  <c r="BA8" i="43"/>
  <c r="AY8" i="43"/>
  <c r="BL38" i="43"/>
  <c r="BM38" i="43" s="1"/>
  <c r="BN37" i="43"/>
  <c r="AX8" i="43"/>
  <c r="AZ8" i="43"/>
  <c r="AW8" i="43"/>
  <c r="AV8" i="43"/>
  <c r="C1" i="28" a="1"/>
  <c r="E1" i="28" s="1"/>
  <c r="J1" i="28"/>
  <c r="K1" i="28"/>
  <c r="D3" i="43" a="1"/>
  <c r="C1" i="26" a="1"/>
  <c r="AZ39" i="43"/>
  <c r="AX39" i="43"/>
  <c r="AP40" i="43"/>
  <c r="AW40" i="43" s="1"/>
  <c r="E1" i="27" a="1"/>
  <c r="A3" i="21"/>
  <c r="A4" i="21" s="1"/>
  <c r="A5" i="21" s="1"/>
  <c r="A6" i="21" s="1"/>
  <c r="A7" i="21" s="1"/>
  <c r="A8" i="21" s="1"/>
  <c r="A9" i="21" s="1"/>
  <c r="A10" i="21" s="1"/>
  <c r="A11" i="21" s="1"/>
  <c r="B3" i="21"/>
  <c r="B4" i="21"/>
  <c r="B5" i="21"/>
  <c r="B6" i="21"/>
  <c r="C1" i="31" s="1"/>
  <c r="B2" i="21"/>
  <c r="AL67" i="43" l="1"/>
  <c r="E16" i="60"/>
  <c r="P4" i="59"/>
  <c r="P7" i="51"/>
  <c r="D5" i="60"/>
  <c r="J5" i="60"/>
  <c r="L5" i="60"/>
  <c r="H5" i="60"/>
  <c r="AJ7" i="47"/>
  <c r="P65" i="59" s="1"/>
  <c r="O65" i="59"/>
  <c r="O5" i="59" s="1"/>
  <c r="P115" i="51"/>
  <c r="P135" i="51"/>
  <c r="P48" i="51"/>
  <c r="P68" i="51"/>
  <c r="P95" i="51"/>
  <c r="P28" i="51"/>
  <c r="P28" i="59"/>
  <c r="AJ14" i="48"/>
  <c r="P92" i="59" s="1"/>
  <c r="O92" i="59"/>
  <c r="AU64" i="48"/>
  <c r="G94" i="55" s="1"/>
  <c r="AA88" i="48"/>
  <c r="G94" i="58" s="1"/>
  <c r="AB88" i="48"/>
  <c r="H94" i="58" s="1"/>
  <c r="AV22" i="50"/>
  <c r="BD22" i="50" s="1"/>
  <c r="J140" i="52" s="1"/>
  <c r="D139" i="52"/>
  <c r="H19" i="48"/>
  <c r="G97" i="51" s="1"/>
  <c r="H42" i="48"/>
  <c r="G96" i="53" s="1"/>
  <c r="AA65" i="48"/>
  <c r="G95" i="54" s="1"/>
  <c r="H65" i="48"/>
  <c r="G95" i="56" s="1"/>
  <c r="H89" i="48"/>
  <c r="G95" i="57" s="1"/>
  <c r="AQ64" i="48"/>
  <c r="C94" i="55" s="1"/>
  <c r="W64" i="48"/>
  <c r="C94" i="54" s="1"/>
  <c r="I89" i="48"/>
  <c r="H95" i="57" s="1"/>
  <c r="I65" i="48"/>
  <c r="H95" i="56" s="1"/>
  <c r="AW64" i="48"/>
  <c r="I94" i="55" s="1"/>
  <c r="D19" i="48"/>
  <c r="C97" i="51" s="1"/>
  <c r="AC88" i="48"/>
  <c r="I94" i="58" s="1"/>
  <c r="AC64" i="48"/>
  <c r="I94" i="54" s="1"/>
  <c r="W88" i="48"/>
  <c r="C94" i="58" s="1"/>
  <c r="AV64" i="48"/>
  <c r="H94" i="55" s="1"/>
  <c r="D89" i="48"/>
  <c r="C95" i="57" s="1"/>
  <c r="J19" i="48"/>
  <c r="I97" i="51" s="1"/>
  <c r="J42" i="48"/>
  <c r="I96" i="53" s="1"/>
  <c r="I19" i="48"/>
  <c r="H97" i="51" s="1"/>
  <c r="J65" i="48"/>
  <c r="I95" i="56" s="1"/>
  <c r="J89" i="48"/>
  <c r="I95" i="57" s="1"/>
  <c r="D42" i="48"/>
  <c r="C96" i="53" s="1"/>
  <c r="D65" i="48"/>
  <c r="C95" i="56" s="1"/>
  <c r="I42" i="48"/>
  <c r="H96" i="53" s="1"/>
  <c r="AB64" i="48"/>
  <c r="H94" i="54" s="1"/>
  <c r="AV21" i="48"/>
  <c r="D98" i="52"/>
  <c r="BA21" i="48"/>
  <c r="I98" i="52"/>
  <c r="AX21" i="48"/>
  <c r="F98" i="52"/>
  <c r="AW21" i="48"/>
  <c r="E98" i="52"/>
  <c r="AY21" i="48"/>
  <c r="G98" i="52"/>
  <c r="AZ21" i="48"/>
  <c r="H98" i="52"/>
  <c r="M15" i="51"/>
  <c r="K12" i="58"/>
  <c r="M12" i="58"/>
  <c r="AZ18" i="47"/>
  <c r="BD18" i="47" s="1"/>
  <c r="J76" i="52" s="1"/>
  <c r="H75" i="52"/>
  <c r="H15" i="52" s="1"/>
  <c r="K15" i="51"/>
  <c r="K13" i="56"/>
  <c r="AX19" i="47"/>
  <c r="F76" i="52"/>
  <c r="BA19" i="47"/>
  <c r="I76" i="52"/>
  <c r="AW19" i="47"/>
  <c r="E76" i="52"/>
  <c r="AY19" i="47"/>
  <c r="G76" i="52"/>
  <c r="AV19" i="47"/>
  <c r="D76" i="52"/>
  <c r="K12" i="54"/>
  <c r="BI55" i="46"/>
  <c r="I15" i="52"/>
  <c r="K12" i="55"/>
  <c r="G15" i="52"/>
  <c r="D15" i="52"/>
  <c r="AW19" i="46"/>
  <c r="E56" i="52"/>
  <c r="AZ19" i="46"/>
  <c r="H56" i="52"/>
  <c r="BA19" i="46"/>
  <c r="I56" i="52"/>
  <c r="AX19" i="46"/>
  <c r="F56" i="52"/>
  <c r="F15" i="52"/>
  <c r="AV19" i="46"/>
  <c r="D56" i="52"/>
  <c r="AY19" i="46"/>
  <c r="G56" i="52"/>
  <c r="N19" i="44"/>
  <c r="M37" i="51" s="1"/>
  <c r="N42" i="44"/>
  <c r="M36" i="53" s="1"/>
  <c r="N65" i="44"/>
  <c r="M35" i="56" s="1"/>
  <c r="M35" i="53"/>
  <c r="BX42" i="44"/>
  <c r="AW18" i="44"/>
  <c r="BD18" i="44" s="1"/>
  <c r="J36" i="52" s="1"/>
  <c r="E35" i="52"/>
  <c r="E15" i="52" s="1"/>
  <c r="AX19" i="44"/>
  <c r="F36" i="52"/>
  <c r="AY19" i="44"/>
  <c r="G36" i="52"/>
  <c r="AV19" i="44"/>
  <c r="D36" i="52"/>
  <c r="BA19" i="44"/>
  <c r="I36" i="52"/>
  <c r="AZ19" i="44"/>
  <c r="H36" i="52"/>
  <c r="H56" i="43"/>
  <c r="AA80" i="43" s="1"/>
  <c r="BA42" i="50"/>
  <c r="U69" i="49"/>
  <c r="A119" i="56"/>
  <c r="AO68" i="50"/>
  <c r="A138" i="55" s="1"/>
  <c r="A138" i="54"/>
  <c r="AP65" i="48"/>
  <c r="B95" i="55" s="1"/>
  <c r="B95" i="54"/>
  <c r="V65" i="44"/>
  <c r="B35" i="56"/>
  <c r="A35" i="53"/>
  <c r="B89" i="44"/>
  <c r="A35" i="57" s="1"/>
  <c r="U41" i="44"/>
  <c r="U89" i="44" s="1"/>
  <c r="A35" i="58" s="1"/>
  <c r="BI18" i="48"/>
  <c r="B96" i="52"/>
  <c r="AP65" i="47"/>
  <c r="B75" i="55" s="1"/>
  <c r="B75" i="54"/>
  <c r="V66" i="47"/>
  <c r="B76" i="56"/>
  <c r="V69" i="49"/>
  <c r="B119" i="56"/>
  <c r="V68" i="50"/>
  <c r="B138" i="56"/>
  <c r="AP67" i="50"/>
  <c r="B137" i="55" s="1"/>
  <c r="B137" i="54"/>
  <c r="AO65" i="47"/>
  <c r="A75" i="55" s="1"/>
  <c r="A75" i="54"/>
  <c r="B36" i="51"/>
  <c r="C42" i="44"/>
  <c r="V18" i="44"/>
  <c r="AP18" i="44" s="1"/>
  <c r="C66" i="44"/>
  <c r="C19" i="44"/>
  <c r="U64" i="46"/>
  <c r="AO64" i="46" s="1"/>
  <c r="A54" i="56"/>
  <c r="BI17" i="46"/>
  <c r="B55" i="52"/>
  <c r="BH19" i="48"/>
  <c r="A97" i="52"/>
  <c r="BH21" i="50"/>
  <c r="A139" i="52"/>
  <c r="AP68" i="49"/>
  <c r="B118" i="55" s="1"/>
  <c r="B118" i="54"/>
  <c r="B35" i="53"/>
  <c r="C89" i="44"/>
  <c r="B35" i="57" s="1"/>
  <c r="V41" i="44"/>
  <c r="V89" i="44" s="1"/>
  <c r="B35" i="58" s="1"/>
  <c r="BI17" i="44"/>
  <c r="B35" i="52"/>
  <c r="V66" i="48"/>
  <c r="B96" i="56"/>
  <c r="AP64" i="44"/>
  <c r="B34" i="55" s="1"/>
  <c r="U66" i="47"/>
  <c r="A76" i="56"/>
  <c r="V65" i="46"/>
  <c r="AP65" i="46" s="1"/>
  <c r="B55" i="56"/>
  <c r="BH18" i="47"/>
  <c r="A76" i="52"/>
  <c r="U67" i="48"/>
  <c r="A97" i="56"/>
  <c r="BH21" i="49"/>
  <c r="A119" i="52"/>
  <c r="AO68" i="49"/>
  <c r="A118" i="55" s="1"/>
  <c r="A118" i="54"/>
  <c r="U65" i="44"/>
  <c r="A35" i="56"/>
  <c r="U69" i="50"/>
  <c r="A139" i="56"/>
  <c r="AO66" i="48"/>
  <c r="A96" i="55" s="1"/>
  <c r="A96" i="54"/>
  <c r="A36" i="51"/>
  <c r="B42" i="44"/>
  <c r="U18" i="44"/>
  <c r="AO18" i="44" s="1"/>
  <c r="B66" i="44"/>
  <c r="B19" i="44"/>
  <c r="BH16" i="46"/>
  <c r="A54" i="52"/>
  <c r="BI18" i="47"/>
  <c r="B76" i="52"/>
  <c r="BI21" i="49"/>
  <c r="B119" i="52"/>
  <c r="BI20" i="50"/>
  <c r="B138" i="52"/>
  <c r="A53" i="55"/>
  <c r="A53" i="54"/>
  <c r="BH17" i="44"/>
  <c r="A35" i="52"/>
  <c r="B54" i="55"/>
  <c r="B54" i="54"/>
  <c r="AI38" i="48"/>
  <c r="BP63" i="49"/>
  <c r="BP55" i="49"/>
  <c r="N12" i="54"/>
  <c r="N12" i="55"/>
  <c r="C6" i="58"/>
  <c r="BP55" i="48"/>
  <c r="BP63" i="48"/>
  <c r="J9" i="51"/>
  <c r="M1" i="28"/>
  <c r="G1" i="28"/>
  <c r="K118" i="53"/>
  <c r="L68" i="49"/>
  <c r="K118" i="56" s="1"/>
  <c r="K74" i="53"/>
  <c r="L64" i="47"/>
  <c r="K74" i="56" s="1"/>
  <c r="M118" i="53"/>
  <c r="N68" i="49"/>
  <c r="M118" i="56" s="1"/>
  <c r="N14" i="53"/>
  <c r="W57" i="44"/>
  <c r="C27" i="54" s="1"/>
  <c r="M13" i="53"/>
  <c r="M52" i="55"/>
  <c r="M12" i="55" s="1"/>
  <c r="M12" i="54"/>
  <c r="L64" i="44"/>
  <c r="K34" i="56" s="1"/>
  <c r="K34" i="53"/>
  <c r="M13" i="56"/>
  <c r="L65" i="46"/>
  <c r="K55" i="56" s="1"/>
  <c r="K55" i="53"/>
  <c r="M139" i="53"/>
  <c r="N69" i="50"/>
  <c r="M139" i="56" s="1"/>
  <c r="N53" i="55"/>
  <c r="K13" i="57"/>
  <c r="O65" i="44"/>
  <c r="N35" i="56" s="1"/>
  <c r="N35" i="53"/>
  <c r="K53" i="55"/>
  <c r="G7" i="53"/>
  <c r="K13" i="53"/>
  <c r="M54" i="53"/>
  <c r="N64" i="46"/>
  <c r="M54" i="56" s="1"/>
  <c r="N64" i="47"/>
  <c r="M74" i="56" s="1"/>
  <c r="M74" i="53"/>
  <c r="K140" i="53"/>
  <c r="L70" i="50"/>
  <c r="K140" i="56" s="1"/>
  <c r="M13" i="57"/>
  <c r="M97" i="53"/>
  <c r="N67" i="48"/>
  <c r="M97" i="56" s="1"/>
  <c r="K96" i="53"/>
  <c r="L66" i="48"/>
  <c r="K96" i="56" s="1"/>
  <c r="C7" i="56"/>
  <c r="J7" i="57"/>
  <c r="J6" i="58"/>
  <c r="F9" i="51"/>
  <c r="P6" i="53"/>
  <c r="E7" i="57"/>
  <c r="G7" i="57"/>
  <c r="D9" i="51"/>
  <c r="AC40" i="49"/>
  <c r="J7" i="56"/>
  <c r="W40" i="49"/>
  <c r="F58" i="44"/>
  <c r="E28" i="56" s="1"/>
  <c r="E28" i="53"/>
  <c r="E8" i="53" s="1"/>
  <c r="P6" i="57"/>
  <c r="H6" i="58"/>
  <c r="C46" i="55"/>
  <c r="C6" i="55" s="1"/>
  <c r="C6" i="54"/>
  <c r="C9" i="51"/>
  <c r="F46" i="55"/>
  <c r="F6" i="55" s="1"/>
  <c r="F6" i="54"/>
  <c r="L46" i="55"/>
  <c r="L6" i="55" s="1"/>
  <c r="L6" i="54"/>
  <c r="AC33" i="44"/>
  <c r="P27" i="53"/>
  <c r="BD61" i="48"/>
  <c r="P91" i="55" s="1"/>
  <c r="O91" i="55"/>
  <c r="CA41" i="48"/>
  <c r="L95" i="53"/>
  <c r="AE40" i="48"/>
  <c r="P94" i="53"/>
  <c r="K65" i="50"/>
  <c r="J135" i="56" s="1"/>
  <c r="J135" i="53"/>
  <c r="BI63" i="44"/>
  <c r="P23" i="55"/>
  <c r="E6" i="54"/>
  <c r="E46" i="55"/>
  <c r="E6" i="55" s="1"/>
  <c r="H58" i="46"/>
  <c r="G48" i="56" s="1"/>
  <c r="G48" i="53"/>
  <c r="P78" i="47"/>
  <c r="O64" i="57" s="1"/>
  <c r="O4" i="57" s="1"/>
  <c r="O64" i="56"/>
  <c r="O4" i="56" s="1"/>
  <c r="F7" i="56"/>
  <c r="Q57" i="44"/>
  <c r="P27" i="56" s="1"/>
  <c r="AK55" i="47"/>
  <c r="BK58" i="47" s="1"/>
  <c r="P65" i="54"/>
  <c r="D7" i="57"/>
  <c r="M58" i="44"/>
  <c r="L28" i="56" s="1"/>
  <c r="L28" i="53"/>
  <c r="L8" i="53" s="1"/>
  <c r="D46" i="55"/>
  <c r="D6" i="55" s="1"/>
  <c r="D6" i="54"/>
  <c r="F6" i="58"/>
  <c r="H46" i="55"/>
  <c r="H6" i="55" s="1"/>
  <c r="H6" i="54"/>
  <c r="P32" i="46"/>
  <c r="O46" i="53" s="1"/>
  <c r="O46" i="51"/>
  <c r="AK62" i="50"/>
  <c r="BR58" i="50" s="1"/>
  <c r="P132" i="54"/>
  <c r="AI8" i="47"/>
  <c r="O66" i="51"/>
  <c r="D6" i="58"/>
  <c r="I46" i="55"/>
  <c r="I6" i="55" s="1"/>
  <c r="I6" i="54"/>
  <c r="L9" i="51"/>
  <c r="K58" i="47"/>
  <c r="J68" i="56" s="1"/>
  <c r="J68" i="53"/>
  <c r="P39" i="48"/>
  <c r="O93" i="53" s="1"/>
  <c r="O93" i="51"/>
  <c r="BD61" i="50"/>
  <c r="P131" i="55" s="1"/>
  <c r="O131" i="55"/>
  <c r="E7" i="56"/>
  <c r="L7" i="56"/>
  <c r="K65" i="48"/>
  <c r="J95" i="53"/>
  <c r="K89" i="48"/>
  <c r="J95" i="57" s="1"/>
  <c r="J94" i="56"/>
  <c r="AD88" i="48"/>
  <c r="J94" i="58" s="1"/>
  <c r="AD64" i="48"/>
  <c r="J94" i="54" s="1"/>
  <c r="AX64" i="48"/>
  <c r="J94" i="55" s="1"/>
  <c r="BD60" i="50"/>
  <c r="P130" i="55" s="1"/>
  <c r="O130" i="55"/>
  <c r="D96" i="51"/>
  <c r="E42" i="48"/>
  <c r="E19" i="48"/>
  <c r="D95" i="53"/>
  <c r="E65" i="48"/>
  <c r="E89" i="48"/>
  <c r="D95" i="57" s="1"/>
  <c r="D94" i="56"/>
  <c r="X88" i="48"/>
  <c r="D94" i="58" s="1"/>
  <c r="X64" i="48"/>
  <c r="D94" i="54" s="1"/>
  <c r="AR64" i="48"/>
  <c r="D94" i="55" s="1"/>
  <c r="J46" i="55"/>
  <c r="J6" i="55" s="1"/>
  <c r="J6" i="54"/>
  <c r="K58" i="44"/>
  <c r="J28" i="56" s="1"/>
  <c r="J28" i="53"/>
  <c r="G9" i="51"/>
  <c r="I6" i="58"/>
  <c r="H58" i="44"/>
  <c r="G28" i="56" s="1"/>
  <c r="G28" i="53"/>
  <c r="AF33" i="47"/>
  <c r="P67" i="53"/>
  <c r="BD54" i="46"/>
  <c r="BJ55" i="46" s="1"/>
  <c r="O44" i="55"/>
  <c r="O4" i="54"/>
  <c r="BJ9" i="46"/>
  <c r="BK9" i="46" s="1"/>
  <c r="BL9" i="46" s="1"/>
  <c r="P9" i="46" s="1"/>
  <c r="O47" i="51" s="1"/>
  <c r="P47" i="53"/>
  <c r="BD53" i="47"/>
  <c r="P63" i="55" s="1"/>
  <c r="O63" i="55"/>
  <c r="O3" i="55" s="1"/>
  <c r="I58" i="44"/>
  <c r="H28" i="56" s="1"/>
  <c r="H28" i="53"/>
  <c r="H8" i="53" s="1"/>
  <c r="E6" i="58"/>
  <c r="P55" i="47"/>
  <c r="O65" i="53"/>
  <c r="O5" i="53" s="1"/>
  <c r="AB40" i="49"/>
  <c r="P114" i="53"/>
  <c r="AS40" i="49"/>
  <c r="BT61" i="49" s="1"/>
  <c r="P43" i="55"/>
  <c r="P43" i="54"/>
  <c r="P3" i="54" s="1"/>
  <c r="J96" i="51"/>
  <c r="K42" i="48"/>
  <c r="K19" i="48"/>
  <c r="E58" i="44"/>
  <c r="D28" i="56" s="1"/>
  <c r="D28" i="53"/>
  <c r="D8" i="53" s="1"/>
  <c r="BW42" i="48"/>
  <c r="BV67" i="48" s="1"/>
  <c r="L96" i="51"/>
  <c r="H7" i="57"/>
  <c r="D58" i="44"/>
  <c r="C28" i="56" s="1"/>
  <c r="C28" i="53"/>
  <c r="C8" i="53" s="1"/>
  <c r="G46" i="55"/>
  <c r="G6" i="55" s="1"/>
  <c r="G6" i="54"/>
  <c r="L6" i="58"/>
  <c r="P5" i="58"/>
  <c r="I9" i="51"/>
  <c r="L7" i="57"/>
  <c r="F7" i="57"/>
  <c r="H9" i="51"/>
  <c r="W40" i="50"/>
  <c r="P134" i="53"/>
  <c r="H7" i="56"/>
  <c r="I7" i="56"/>
  <c r="P6" i="56"/>
  <c r="D7" i="56"/>
  <c r="G58" i="44"/>
  <c r="F28" i="56" s="1"/>
  <c r="F28" i="53"/>
  <c r="F8" i="53" s="1"/>
  <c r="G7" i="56"/>
  <c r="AK55" i="44"/>
  <c r="BK58" i="44" s="1"/>
  <c r="P25" i="54"/>
  <c r="E9" i="51"/>
  <c r="I7" i="57"/>
  <c r="J58" i="44"/>
  <c r="I28" i="56" s="1"/>
  <c r="I28" i="53"/>
  <c r="I8" i="53" s="1"/>
  <c r="K58" i="46"/>
  <c r="J48" i="56" s="1"/>
  <c r="J48" i="53"/>
  <c r="G6" i="58"/>
  <c r="C7" i="57"/>
  <c r="AK62" i="48"/>
  <c r="BR58" i="48" s="1"/>
  <c r="P92" i="54"/>
  <c r="K65" i="49"/>
  <c r="J115" i="56" s="1"/>
  <c r="J115" i="53"/>
  <c r="Y40" i="50"/>
  <c r="AK62" i="49"/>
  <c r="BR58" i="49" s="1"/>
  <c r="P112" i="54"/>
  <c r="J7" i="53"/>
  <c r="AA40" i="50"/>
  <c r="AD40" i="49"/>
  <c r="AS40" i="50"/>
  <c r="BT61" i="50" s="1"/>
  <c r="AJ39" i="49"/>
  <c r="AJ39" i="50"/>
  <c r="AR40" i="49"/>
  <c r="BT60" i="49" s="1"/>
  <c r="BJ16" i="49"/>
  <c r="BK16" i="49" s="1"/>
  <c r="BL16" i="49" s="1"/>
  <c r="P16" i="49" s="1"/>
  <c r="O114" i="51" s="1"/>
  <c r="AH40" i="49"/>
  <c r="AG40" i="49"/>
  <c r="BT68" i="49"/>
  <c r="BT69" i="49"/>
  <c r="AT40" i="49"/>
  <c r="BT62" i="49" s="1"/>
  <c r="AE40" i="49"/>
  <c r="AA88" i="50"/>
  <c r="G134" i="58" s="1"/>
  <c r="AU64" i="50"/>
  <c r="G134" i="55" s="1"/>
  <c r="AF64" i="50"/>
  <c r="L134" i="54" s="1"/>
  <c r="AF88" i="50"/>
  <c r="L134" i="58" s="1"/>
  <c r="AZ64" i="50"/>
  <c r="L134" i="55" s="1"/>
  <c r="H89" i="50"/>
  <c r="G135" i="57" s="1"/>
  <c r="AA65" i="50"/>
  <c r="G135" i="54" s="1"/>
  <c r="H65" i="50"/>
  <c r="G135" i="56" s="1"/>
  <c r="M89" i="49"/>
  <c r="L115" i="57" s="1"/>
  <c r="M65" i="49"/>
  <c r="L115" i="56" s="1"/>
  <c r="X40" i="49"/>
  <c r="AF64" i="49"/>
  <c r="L114" i="54" s="1"/>
  <c r="AZ64" i="49"/>
  <c r="L114" i="55" s="1"/>
  <c r="AF88" i="49"/>
  <c r="L114" i="58" s="1"/>
  <c r="AJ87" i="50"/>
  <c r="P133" i="58" s="1"/>
  <c r="Z40" i="49"/>
  <c r="AA88" i="49"/>
  <c r="G114" i="58" s="1"/>
  <c r="AU64" i="49"/>
  <c r="G114" i="55" s="1"/>
  <c r="W88" i="49"/>
  <c r="C114" i="58" s="1"/>
  <c r="W64" i="49"/>
  <c r="C114" i="54" s="1"/>
  <c r="Q64" i="49"/>
  <c r="P114" i="56" s="1"/>
  <c r="AQ64" i="49"/>
  <c r="C114" i="55" s="1"/>
  <c r="BT59" i="50"/>
  <c r="H42" i="49"/>
  <c r="G116" i="53" s="1"/>
  <c r="H19" i="49"/>
  <c r="G117" i="51" s="1"/>
  <c r="BW42" i="49"/>
  <c r="BV67" i="49" s="1"/>
  <c r="AB88" i="50"/>
  <c r="H134" i="58" s="1"/>
  <c r="AB64" i="50"/>
  <c r="H134" i="54" s="1"/>
  <c r="AV64" i="50"/>
  <c r="H134" i="55" s="1"/>
  <c r="X88" i="49"/>
  <c r="D114" i="58" s="1"/>
  <c r="X64" i="49"/>
  <c r="D114" i="54" s="1"/>
  <c r="AR64" i="49"/>
  <c r="D114" i="55" s="1"/>
  <c r="G89" i="49"/>
  <c r="F115" i="57" s="1"/>
  <c r="G65" i="49"/>
  <c r="F115" i="56" s="1"/>
  <c r="AC40" i="50"/>
  <c r="AT40" i="50"/>
  <c r="BT62" i="50" s="1"/>
  <c r="AE40" i="50"/>
  <c r="AH40" i="50"/>
  <c r="BT69" i="50"/>
  <c r="AG40" i="50"/>
  <c r="BT68" i="50"/>
  <c r="BJ16" i="50"/>
  <c r="BK16" i="50" s="1"/>
  <c r="BL16" i="50" s="1"/>
  <c r="P16" i="50" s="1"/>
  <c r="O134" i="51" s="1"/>
  <c r="AR40" i="50"/>
  <c r="BT60" i="50" s="1"/>
  <c r="H65" i="49"/>
  <c r="G115" i="56" s="1"/>
  <c r="H89" i="49"/>
  <c r="G115" i="57" s="1"/>
  <c r="AA65" i="49"/>
  <c r="G115" i="54" s="1"/>
  <c r="M42" i="50"/>
  <c r="L136" i="53" s="1"/>
  <c r="M19" i="50"/>
  <c r="L137" i="51" s="1"/>
  <c r="AC88" i="49"/>
  <c r="I114" i="58" s="1"/>
  <c r="AC64" i="49"/>
  <c r="I114" i="54" s="1"/>
  <c r="AW64" i="49"/>
  <c r="I114" i="55" s="1"/>
  <c r="AJ14" i="49"/>
  <c r="P112" i="59" s="1"/>
  <c r="BC62" i="49"/>
  <c r="X40" i="50"/>
  <c r="I89" i="50"/>
  <c r="H135" i="57" s="1"/>
  <c r="I65" i="50"/>
  <c r="H135" i="56" s="1"/>
  <c r="Z88" i="49"/>
  <c r="F114" i="58" s="1"/>
  <c r="Z64" i="49"/>
  <c r="F114" i="54" s="1"/>
  <c r="AT64" i="49"/>
  <c r="F114" i="55" s="1"/>
  <c r="D19" i="50"/>
  <c r="C137" i="51" s="1"/>
  <c r="D42" i="50"/>
  <c r="C136" i="53" s="1"/>
  <c r="BR42" i="50"/>
  <c r="BV65" i="50" s="1"/>
  <c r="Q18" i="50"/>
  <c r="AI15" i="49"/>
  <c r="O113" i="59" s="1"/>
  <c r="BU39" i="49"/>
  <c r="BS66" i="49" s="1"/>
  <c r="BO39" i="49"/>
  <c r="BS64" i="49" s="1"/>
  <c r="P39" i="49"/>
  <c r="O113" i="53" s="1"/>
  <c r="J42" i="50"/>
  <c r="I136" i="53" s="1"/>
  <c r="J19" i="50"/>
  <c r="I137" i="51" s="1"/>
  <c r="G42" i="49"/>
  <c r="F116" i="53" s="1"/>
  <c r="G19" i="49"/>
  <c r="F117" i="51" s="1"/>
  <c r="W64" i="50"/>
  <c r="C134" i="54" s="1"/>
  <c r="W88" i="50"/>
  <c r="C134" i="58" s="1"/>
  <c r="Q64" i="50"/>
  <c r="P134" i="56" s="1"/>
  <c r="AQ64" i="50"/>
  <c r="C134" i="55" s="1"/>
  <c r="D19" i="49"/>
  <c r="C117" i="51" s="1"/>
  <c r="BR42" i="49"/>
  <c r="BV65" i="49" s="1"/>
  <c r="D42" i="49"/>
  <c r="C116" i="53" s="1"/>
  <c r="Q18" i="49"/>
  <c r="M89" i="50"/>
  <c r="L135" i="57" s="1"/>
  <c r="M65" i="50"/>
  <c r="L135" i="56" s="1"/>
  <c r="AD40" i="50"/>
  <c r="P86" i="49"/>
  <c r="O112" i="57" s="1"/>
  <c r="AI38" i="49"/>
  <c r="E65" i="50"/>
  <c r="D135" i="56" s="1"/>
  <c r="E89" i="50"/>
  <c r="D135" i="57" s="1"/>
  <c r="X88" i="50"/>
  <c r="D134" i="58" s="1"/>
  <c r="X64" i="50"/>
  <c r="D134" i="54" s="1"/>
  <c r="AR64" i="50"/>
  <c r="D134" i="55" s="1"/>
  <c r="BS59" i="50"/>
  <c r="AU39" i="50"/>
  <c r="I19" i="50"/>
  <c r="H137" i="51" s="1"/>
  <c r="I42" i="50"/>
  <c r="H136" i="53" s="1"/>
  <c r="D89" i="50"/>
  <c r="C135" i="57" s="1"/>
  <c r="D65" i="50"/>
  <c r="C135" i="56" s="1"/>
  <c r="Q41" i="50"/>
  <c r="P135" i="53" s="1"/>
  <c r="BC61" i="49"/>
  <c r="J65" i="50"/>
  <c r="I135" i="56" s="1"/>
  <c r="J89" i="50"/>
  <c r="I135" i="57" s="1"/>
  <c r="Q88" i="50"/>
  <c r="P134" i="57" s="1"/>
  <c r="K19" i="49"/>
  <c r="J117" i="51" s="1"/>
  <c r="K42" i="49"/>
  <c r="AD88" i="49"/>
  <c r="J114" i="58" s="1"/>
  <c r="AD64" i="49"/>
  <c r="J114" i="54" s="1"/>
  <c r="AX64" i="49"/>
  <c r="J114" i="55" s="1"/>
  <c r="J42" i="49"/>
  <c r="I116" i="53" s="1"/>
  <c r="J19" i="49"/>
  <c r="I117" i="51" s="1"/>
  <c r="Z40" i="50"/>
  <c r="E42" i="50"/>
  <c r="D136" i="53" s="1"/>
  <c r="E19" i="50"/>
  <c r="D137" i="51" s="1"/>
  <c r="Y40" i="49"/>
  <c r="AJ14" i="50"/>
  <c r="P132" i="59" s="1"/>
  <c r="F42" i="49"/>
  <c r="E116" i="53" s="1"/>
  <c r="F19" i="49"/>
  <c r="E117" i="51" s="1"/>
  <c r="K89" i="49"/>
  <c r="J115" i="57" s="1"/>
  <c r="CA41" i="49"/>
  <c r="G42" i="50"/>
  <c r="F136" i="53" s="1"/>
  <c r="G19" i="50"/>
  <c r="F137" i="51" s="1"/>
  <c r="AD88" i="50"/>
  <c r="J134" i="58" s="1"/>
  <c r="AD64" i="50"/>
  <c r="J134" i="54" s="1"/>
  <c r="AX64" i="50"/>
  <c r="J134" i="55" s="1"/>
  <c r="J89" i="49"/>
  <c r="I115" i="57" s="1"/>
  <c r="J65" i="49"/>
  <c r="I115" i="56" s="1"/>
  <c r="K42" i="50"/>
  <c r="K19" i="50"/>
  <c r="J137" i="51" s="1"/>
  <c r="E19" i="49"/>
  <c r="D117" i="51" s="1"/>
  <c r="E42" i="49"/>
  <c r="D116" i="53" s="1"/>
  <c r="AS64" i="49"/>
  <c r="E114" i="55" s="1"/>
  <c r="Y88" i="49"/>
  <c r="E114" i="58" s="1"/>
  <c r="Y64" i="49"/>
  <c r="E114" i="54" s="1"/>
  <c r="BT59" i="49"/>
  <c r="AI38" i="50"/>
  <c r="P86" i="50"/>
  <c r="O132" i="57" s="1"/>
  <c r="F89" i="49"/>
  <c r="E115" i="57" s="1"/>
  <c r="F65" i="49"/>
  <c r="E115" i="56" s="1"/>
  <c r="D89" i="49"/>
  <c r="C115" i="57" s="1"/>
  <c r="D65" i="49"/>
  <c r="C115" i="56" s="1"/>
  <c r="Q41" i="49"/>
  <c r="X41" i="49" s="1"/>
  <c r="F42" i="50"/>
  <c r="E136" i="53" s="1"/>
  <c r="F19" i="50"/>
  <c r="E137" i="51" s="1"/>
  <c r="Y64" i="50"/>
  <c r="E134" i="54" s="1"/>
  <c r="Y88" i="50"/>
  <c r="E134" i="58" s="1"/>
  <c r="AS64" i="50"/>
  <c r="E134" i="55" s="1"/>
  <c r="G65" i="50"/>
  <c r="F135" i="56" s="1"/>
  <c r="G89" i="50"/>
  <c r="F135" i="57" s="1"/>
  <c r="Z88" i="50"/>
  <c r="F134" i="58" s="1"/>
  <c r="Z64" i="50"/>
  <c r="F134" i="54" s="1"/>
  <c r="AT64" i="50"/>
  <c r="F134" i="55" s="1"/>
  <c r="K89" i="50"/>
  <c r="J135" i="57" s="1"/>
  <c r="CA41" i="50"/>
  <c r="E65" i="49"/>
  <c r="D115" i="56" s="1"/>
  <c r="E89" i="49"/>
  <c r="D115" i="57" s="1"/>
  <c r="AB88" i="49"/>
  <c r="H114" i="58" s="1"/>
  <c r="AB64" i="49"/>
  <c r="H114" i="54" s="1"/>
  <c r="AV64" i="49"/>
  <c r="H114" i="55" s="1"/>
  <c r="AJ63" i="49"/>
  <c r="I19" i="49"/>
  <c r="H117" i="51" s="1"/>
  <c r="I42" i="49"/>
  <c r="H116" i="53" s="1"/>
  <c r="Q88" i="49"/>
  <c r="P114" i="57" s="1"/>
  <c r="AF40" i="50"/>
  <c r="F89" i="50"/>
  <c r="E135" i="57" s="1"/>
  <c r="F65" i="50"/>
  <c r="E135" i="56" s="1"/>
  <c r="AU39" i="49"/>
  <c r="H42" i="50"/>
  <c r="G136" i="53" s="1"/>
  <c r="H19" i="50"/>
  <c r="G137" i="51" s="1"/>
  <c r="BW42" i="50"/>
  <c r="BV67" i="50" s="1"/>
  <c r="M42" i="49"/>
  <c r="L116" i="53" s="1"/>
  <c r="M19" i="49"/>
  <c r="L117" i="51" s="1"/>
  <c r="P39" i="50"/>
  <c r="O133" i="53" s="1"/>
  <c r="AI15" i="50"/>
  <c r="O133" i="59" s="1"/>
  <c r="BU39" i="50"/>
  <c r="BS66" i="50" s="1"/>
  <c r="BO39" i="50"/>
  <c r="BS64" i="50" s="1"/>
  <c r="AB40" i="50"/>
  <c r="AF40" i="49"/>
  <c r="AJ63" i="50"/>
  <c r="AJ87" i="49"/>
  <c r="P113" i="58" s="1"/>
  <c r="AC88" i="50"/>
  <c r="I134" i="58" s="1"/>
  <c r="AC64" i="50"/>
  <c r="I134" i="54" s="1"/>
  <c r="AW64" i="50"/>
  <c r="I134" i="55" s="1"/>
  <c r="AA40" i="49"/>
  <c r="I89" i="49"/>
  <c r="H115" i="57" s="1"/>
  <c r="I65" i="49"/>
  <c r="H115" i="56" s="1"/>
  <c r="BD7" i="43"/>
  <c r="BX34" i="43"/>
  <c r="K80" i="43"/>
  <c r="H80" i="43"/>
  <c r="AB40" i="48"/>
  <c r="Z40" i="48"/>
  <c r="BR42" i="48"/>
  <c r="BV65" i="48" s="1"/>
  <c r="AJ63" i="48"/>
  <c r="BU39" i="48"/>
  <c r="BS66" i="48" s="1"/>
  <c r="AQ40" i="48"/>
  <c r="BT59" i="48" s="1"/>
  <c r="AD40" i="48"/>
  <c r="BT68" i="48"/>
  <c r="W40" i="48"/>
  <c r="BO39" i="48"/>
  <c r="BS64" i="48" s="1"/>
  <c r="AC40" i="48"/>
  <c r="AI15" i="48"/>
  <c r="Q64" i="48"/>
  <c r="P94" i="56" s="1"/>
  <c r="Q18" i="48"/>
  <c r="Y40" i="48"/>
  <c r="BJ16" i="48"/>
  <c r="BK16" i="48" s="1"/>
  <c r="BL16" i="48" s="1"/>
  <c r="P16" i="48" s="1"/>
  <c r="AF40" i="48"/>
  <c r="AR40" i="48"/>
  <c r="BT60" i="48" s="1"/>
  <c r="X40" i="48"/>
  <c r="AT40" i="48"/>
  <c r="BT62" i="48" s="1"/>
  <c r="AU39" i="48"/>
  <c r="AG40" i="48"/>
  <c r="BT69" i="48"/>
  <c r="AA40" i="48"/>
  <c r="AS40" i="48"/>
  <c r="BT61" i="48" s="1"/>
  <c r="AH40" i="48"/>
  <c r="AJ39" i="48"/>
  <c r="AJ87" i="48"/>
  <c r="P93" i="58" s="1"/>
  <c r="Q88" i="48"/>
  <c r="P94" i="57" s="1"/>
  <c r="P32" i="47"/>
  <c r="N46" i="50"/>
  <c r="BX46" i="50"/>
  <c r="N23" i="50"/>
  <c r="M141" i="51" s="1"/>
  <c r="AH92" i="50"/>
  <c r="N138" i="58" s="1"/>
  <c r="AH68" i="50"/>
  <c r="BB68" i="50"/>
  <c r="N138" i="55" s="1"/>
  <c r="AU23" i="50"/>
  <c r="AG92" i="50"/>
  <c r="M138" i="58" s="1"/>
  <c r="AG68" i="50"/>
  <c r="BA68" i="50"/>
  <c r="M138" i="55" s="1"/>
  <c r="N93" i="50"/>
  <c r="M139" i="57" s="1"/>
  <c r="L47" i="50"/>
  <c r="B70" i="50"/>
  <c r="B46" i="50"/>
  <c r="A140" i="53" s="1"/>
  <c r="U22" i="50"/>
  <c r="AO22" i="50" s="1"/>
  <c r="B23" i="50"/>
  <c r="A141" i="51" s="1"/>
  <c r="C92" i="50"/>
  <c r="B138" i="57" s="1"/>
  <c r="V44" i="50"/>
  <c r="V92" i="50" s="1"/>
  <c r="B138" i="58" s="1"/>
  <c r="L94" i="50"/>
  <c r="K140" i="57" s="1"/>
  <c r="B93" i="50"/>
  <c r="A139" i="57" s="1"/>
  <c r="U45" i="50"/>
  <c r="U93" i="50" s="1"/>
  <c r="A139" i="58" s="1"/>
  <c r="O46" i="50"/>
  <c r="N140" i="53" s="1"/>
  <c r="O23" i="50"/>
  <c r="N141" i="51" s="1"/>
  <c r="C69" i="50"/>
  <c r="V21" i="50"/>
  <c r="AP21" i="50" s="1"/>
  <c r="C45" i="50"/>
  <c r="B139" i="53" s="1"/>
  <c r="C22" i="50"/>
  <c r="B140" i="51" s="1"/>
  <c r="AE93" i="50"/>
  <c r="K139" i="58" s="1"/>
  <c r="AE69" i="50"/>
  <c r="AY69" i="50"/>
  <c r="K139" i="55" s="1"/>
  <c r="O93" i="50"/>
  <c r="N139" i="57" s="1"/>
  <c r="O69" i="50"/>
  <c r="N139" i="56" s="1"/>
  <c r="AX43" i="50"/>
  <c r="AW43" i="50"/>
  <c r="AZ43" i="50"/>
  <c r="AP44" i="50"/>
  <c r="B70" i="49"/>
  <c r="B46" i="49"/>
  <c r="A120" i="53" s="1"/>
  <c r="B23" i="49"/>
  <c r="A121" i="51" s="1"/>
  <c r="U22" i="49"/>
  <c r="AO22" i="49" s="1"/>
  <c r="L92" i="49"/>
  <c r="K118" i="57" s="1"/>
  <c r="B93" i="49"/>
  <c r="A119" i="57" s="1"/>
  <c r="U45" i="49"/>
  <c r="U93" i="49" s="1"/>
  <c r="A119" i="58" s="1"/>
  <c r="L45" i="49"/>
  <c r="L22" i="49"/>
  <c r="K120" i="51" s="1"/>
  <c r="O45" i="49"/>
  <c r="N119" i="53" s="1"/>
  <c r="O22" i="49"/>
  <c r="N120" i="51" s="1"/>
  <c r="BX45" i="49"/>
  <c r="N22" i="49"/>
  <c r="M120" i="51" s="1"/>
  <c r="N45" i="49"/>
  <c r="BA42" i="49"/>
  <c r="O92" i="49"/>
  <c r="N118" i="57" s="1"/>
  <c r="O68" i="49"/>
  <c r="N118" i="56" s="1"/>
  <c r="C70" i="49"/>
  <c r="C46" i="49"/>
  <c r="B120" i="53" s="1"/>
  <c r="C23" i="49"/>
  <c r="B121" i="51" s="1"/>
  <c r="V22" i="49"/>
  <c r="AP22" i="49" s="1"/>
  <c r="AH91" i="49"/>
  <c r="N117" i="58" s="1"/>
  <c r="AH67" i="49"/>
  <c r="BB67" i="49"/>
  <c r="N117" i="55" s="1"/>
  <c r="C93" i="49"/>
  <c r="B119" i="57" s="1"/>
  <c r="V45" i="49"/>
  <c r="V93" i="49" s="1"/>
  <c r="B119" i="58" s="1"/>
  <c r="AZ43" i="49"/>
  <c r="AX43" i="49"/>
  <c r="AW43" i="49"/>
  <c r="AP44" i="49"/>
  <c r="AG91" i="49"/>
  <c r="M117" i="58" s="1"/>
  <c r="AG67" i="49"/>
  <c r="BA67" i="49"/>
  <c r="M117" i="55" s="1"/>
  <c r="N92" i="49"/>
  <c r="M118" i="57" s="1"/>
  <c r="AE91" i="49"/>
  <c r="K117" i="58" s="1"/>
  <c r="AE67" i="49"/>
  <c r="AY67" i="49"/>
  <c r="K117" i="55" s="1"/>
  <c r="Y64" i="48"/>
  <c r="E94" i="54" s="1"/>
  <c r="Y88" i="48"/>
  <c r="E94" i="58" s="1"/>
  <c r="AS64" i="48"/>
  <c r="E94" i="55" s="1"/>
  <c r="AT64" i="48"/>
  <c r="F94" i="55" s="1"/>
  <c r="Z64" i="48"/>
  <c r="F94" i="54" s="1"/>
  <c r="Z88" i="48"/>
  <c r="F94" i="58" s="1"/>
  <c r="AF64" i="48"/>
  <c r="L94" i="54" s="1"/>
  <c r="AZ64" i="48"/>
  <c r="L94" i="55" s="1"/>
  <c r="AF88" i="48"/>
  <c r="L94" i="58" s="1"/>
  <c r="M65" i="48"/>
  <c r="L95" i="56" s="1"/>
  <c r="M89" i="48"/>
  <c r="L95" i="57" s="1"/>
  <c r="F65" i="48"/>
  <c r="E95" i="56" s="1"/>
  <c r="F89" i="48"/>
  <c r="E95" i="57" s="1"/>
  <c r="M42" i="48"/>
  <c r="L96" i="53" s="1"/>
  <c r="M19" i="48"/>
  <c r="G19" i="48"/>
  <c r="F97" i="51" s="1"/>
  <c r="G42" i="48"/>
  <c r="F96" i="53" s="1"/>
  <c r="Q41" i="48"/>
  <c r="F19" i="48"/>
  <c r="E97" i="51" s="1"/>
  <c r="F42" i="48"/>
  <c r="E96" i="53" s="1"/>
  <c r="G65" i="48"/>
  <c r="F95" i="56" s="1"/>
  <c r="G89" i="48"/>
  <c r="F95" i="57" s="1"/>
  <c r="BC62" i="48"/>
  <c r="B91" i="48"/>
  <c r="A97" i="57" s="1"/>
  <c r="U43" i="48"/>
  <c r="U91" i="48" s="1"/>
  <c r="A97" i="58" s="1"/>
  <c r="BX44" i="48"/>
  <c r="N44" i="48"/>
  <c r="N21" i="48"/>
  <c r="M99" i="51" s="1"/>
  <c r="AE89" i="48"/>
  <c r="K95" i="58" s="1"/>
  <c r="AE65" i="48"/>
  <c r="K95" i="54" s="1"/>
  <c r="AY65" i="48"/>
  <c r="K95" i="55" s="1"/>
  <c r="N91" i="48"/>
  <c r="M97" i="57" s="1"/>
  <c r="AG90" i="48"/>
  <c r="M96" i="58" s="1"/>
  <c r="AG66" i="48"/>
  <c r="M96" i="54" s="1"/>
  <c r="BA66" i="48"/>
  <c r="M96" i="55" s="1"/>
  <c r="AP42" i="48"/>
  <c r="AZ41" i="48"/>
  <c r="AX41" i="48"/>
  <c r="AW41" i="48"/>
  <c r="O45" i="48"/>
  <c r="N99" i="53" s="1"/>
  <c r="O22" i="48"/>
  <c r="N100" i="51" s="1"/>
  <c r="O92" i="48"/>
  <c r="N98" i="57" s="1"/>
  <c r="O68" i="48"/>
  <c r="N98" i="56" s="1"/>
  <c r="C67" i="48"/>
  <c r="C43" i="48"/>
  <c r="B97" i="53" s="1"/>
  <c r="C20" i="48"/>
  <c r="B98" i="51" s="1"/>
  <c r="V19" i="48"/>
  <c r="AP19" i="48" s="1"/>
  <c r="AU20" i="48"/>
  <c r="C98" i="52" s="1"/>
  <c r="BD19" i="48"/>
  <c r="J97" i="52" s="1"/>
  <c r="P87" i="48"/>
  <c r="O93" i="57" s="1"/>
  <c r="C90" i="48"/>
  <c r="B96" i="57" s="1"/>
  <c r="V42" i="48"/>
  <c r="V90" i="48" s="1"/>
  <c r="B96" i="58" s="1"/>
  <c r="B68" i="48"/>
  <c r="B44" i="48"/>
  <c r="A98" i="53" s="1"/>
  <c r="U20" i="48"/>
  <c r="AO20" i="48" s="1"/>
  <c r="B21" i="48"/>
  <c r="A99" i="51" s="1"/>
  <c r="AH91" i="48"/>
  <c r="N97" i="58" s="1"/>
  <c r="AH67" i="48"/>
  <c r="N97" i="54" s="1"/>
  <c r="BB67" i="48"/>
  <c r="N97" i="55" s="1"/>
  <c r="L43" i="48"/>
  <c r="L20" i="48"/>
  <c r="K98" i="51" s="1"/>
  <c r="BA40" i="48"/>
  <c r="L90" i="48"/>
  <c r="K96" i="57" s="1"/>
  <c r="BO32" i="47"/>
  <c r="BL64" i="47" s="1"/>
  <c r="BU32" i="47"/>
  <c r="BL66" i="47" s="1"/>
  <c r="Y33" i="47"/>
  <c r="AU32" i="47"/>
  <c r="AI31" i="47"/>
  <c r="AA33" i="47"/>
  <c r="AS33" i="47"/>
  <c r="BM61" i="47" s="1"/>
  <c r="BJ9" i="44"/>
  <c r="BK9" i="44" s="1"/>
  <c r="BL9" i="44" s="1"/>
  <c r="P9" i="44" s="1"/>
  <c r="AA33" i="44"/>
  <c r="AQ33" i="44"/>
  <c r="BM59" i="44" s="1"/>
  <c r="AR33" i="44"/>
  <c r="BM60" i="44" s="1"/>
  <c r="AS33" i="44"/>
  <c r="BM61" i="44" s="1"/>
  <c r="AT33" i="44"/>
  <c r="BM62" i="44" s="1"/>
  <c r="Z33" i="47"/>
  <c r="W33" i="47"/>
  <c r="Z33" i="46"/>
  <c r="AA33" i="46"/>
  <c r="AI8" i="46"/>
  <c r="AT33" i="46"/>
  <c r="BM62" i="46" s="1"/>
  <c r="AB33" i="46"/>
  <c r="AB33" i="44"/>
  <c r="AF33" i="44"/>
  <c r="AD33" i="44"/>
  <c r="Y33" i="44"/>
  <c r="Z33" i="44"/>
  <c r="AS33" i="46"/>
  <c r="BM61" i="46" s="1"/>
  <c r="BO32" i="46"/>
  <c r="BL64" i="46" s="1"/>
  <c r="W33" i="44"/>
  <c r="AF33" i="46"/>
  <c r="Q81" i="47"/>
  <c r="P67" i="57" s="1"/>
  <c r="AR33" i="46"/>
  <c r="BM60" i="46" s="1"/>
  <c r="AC33" i="47"/>
  <c r="AQ33" i="46"/>
  <c r="BM59" i="46" s="1"/>
  <c r="AQ33" i="47"/>
  <c r="BM59" i="47" s="1"/>
  <c r="AR33" i="47"/>
  <c r="BM60" i="47" s="1"/>
  <c r="BJ9" i="47"/>
  <c r="BK9" i="47" s="1"/>
  <c r="BL9" i="47" s="1"/>
  <c r="P9" i="47" s="1"/>
  <c r="AT33" i="47"/>
  <c r="BM62" i="47" s="1"/>
  <c r="X33" i="47"/>
  <c r="BU32" i="46"/>
  <c r="BL66" i="46" s="1"/>
  <c r="AJ32" i="44"/>
  <c r="AB33" i="47"/>
  <c r="AD33" i="47"/>
  <c r="W33" i="46"/>
  <c r="X33" i="46"/>
  <c r="AD33" i="46"/>
  <c r="AU32" i="44"/>
  <c r="M56" i="43"/>
  <c r="AF80" i="43" s="1"/>
  <c r="M80" i="43"/>
  <c r="I35" i="46"/>
  <c r="H49" i="53" s="1"/>
  <c r="I12" i="46"/>
  <c r="H50" i="51" s="1"/>
  <c r="I12" i="47"/>
  <c r="H70" i="51" s="1"/>
  <c r="I35" i="47"/>
  <c r="H69" i="53" s="1"/>
  <c r="F82" i="46"/>
  <c r="E48" i="57" s="1"/>
  <c r="F58" i="46"/>
  <c r="E48" i="56" s="1"/>
  <c r="BW35" i="46"/>
  <c r="BO67" i="46" s="1"/>
  <c r="H12" i="46"/>
  <c r="G50" i="51" s="1"/>
  <c r="H35" i="46"/>
  <c r="G82" i="46"/>
  <c r="F48" i="57" s="1"/>
  <c r="G58" i="46"/>
  <c r="F48" i="56" s="1"/>
  <c r="AJ7" i="46"/>
  <c r="P45" i="59" s="1"/>
  <c r="AB81" i="44"/>
  <c r="H27" i="58" s="1"/>
  <c r="AB57" i="44"/>
  <c r="H27" i="54" s="1"/>
  <c r="AV57" i="44"/>
  <c r="H27" i="55" s="1"/>
  <c r="J35" i="44"/>
  <c r="J12" i="44"/>
  <c r="I30" i="51" s="1"/>
  <c r="W57" i="46"/>
  <c r="C47" i="54" s="1"/>
  <c r="Q57" i="46"/>
  <c r="P47" i="56" s="1"/>
  <c r="W81" i="46"/>
  <c r="C47" i="58" s="1"/>
  <c r="AQ57" i="46"/>
  <c r="AJ80" i="46"/>
  <c r="P46" i="58" s="1"/>
  <c r="P80" i="46"/>
  <c r="O46" i="57" s="1"/>
  <c r="W81" i="44"/>
  <c r="C27" i="58" s="1"/>
  <c r="AQ57" i="44"/>
  <c r="C27" i="55" s="1"/>
  <c r="AG81" i="43"/>
  <c r="N81" i="43"/>
  <c r="I82" i="47"/>
  <c r="H68" i="57" s="1"/>
  <c r="I58" i="47"/>
  <c r="H68" i="56" s="1"/>
  <c r="X81" i="47"/>
  <c r="D67" i="58" s="1"/>
  <c r="X57" i="47"/>
  <c r="D67" i="54" s="1"/>
  <c r="AR57" i="47"/>
  <c r="D67" i="55" s="1"/>
  <c r="D82" i="46"/>
  <c r="C48" i="57" s="1"/>
  <c r="D58" i="46"/>
  <c r="C48" i="56" s="1"/>
  <c r="Q34" i="46"/>
  <c r="J82" i="47"/>
  <c r="I68" i="57" s="1"/>
  <c r="J58" i="47"/>
  <c r="I68" i="56" s="1"/>
  <c r="I82" i="46"/>
  <c r="H48" i="57" s="1"/>
  <c r="I58" i="46"/>
  <c r="H48" i="56" s="1"/>
  <c r="Y81" i="47"/>
  <c r="E67" i="58" s="1"/>
  <c r="Y57" i="47"/>
  <c r="E67" i="54" s="1"/>
  <c r="AS57" i="47"/>
  <c r="E67" i="55" s="1"/>
  <c r="F35" i="44"/>
  <c r="F12" i="44"/>
  <c r="E30" i="51" s="1"/>
  <c r="F12" i="46"/>
  <c r="E50" i="51" s="1"/>
  <c r="F35" i="46"/>
  <c r="E49" i="53" s="1"/>
  <c r="Z57" i="47"/>
  <c r="F67" i="54" s="1"/>
  <c r="Z81" i="47"/>
  <c r="F67" i="58" s="1"/>
  <c r="AT57" i="47"/>
  <c r="F67" i="55" s="1"/>
  <c r="J82" i="44"/>
  <c r="I28" i="57" s="1"/>
  <c r="AF57" i="46"/>
  <c r="L47" i="54" s="1"/>
  <c r="AF81" i="46"/>
  <c r="L47" i="58" s="1"/>
  <c r="AZ57" i="46"/>
  <c r="AJ56" i="47"/>
  <c r="AU32" i="46"/>
  <c r="BL59" i="46"/>
  <c r="AC81" i="47"/>
  <c r="I67" i="58" s="1"/>
  <c r="AC57" i="47"/>
  <c r="I67" i="54" s="1"/>
  <c r="AW57" i="47"/>
  <c r="I67" i="55" s="1"/>
  <c r="M35" i="46"/>
  <c r="L49" i="53" s="1"/>
  <c r="M12" i="46"/>
  <c r="L50" i="51" s="1"/>
  <c r="Y33" i="46"/>
  <c r="AG33" i="46"/>
  <c r="BM68" i="46"/>
  <c r="AE33" i="46"/>
  <c r="AH33" i="46"/>
  <c r="BM69" i="46"/>
  <c r="AJ56" i="46"/>
  <c r="AK56" i="46" s="1"/>
  <c r="BL58" i="46" s="1"/>
  <c r="Q11" i="44"/>
  <c r="D12" i="44"/>
  <c r="C30" i="51" s="1"/>
  <c r="BR35" i="44"/>
  <c r="BO65" i="44" s="1"/>
  <c r="D35" i="44"/>
  <c r="BW35" i="47"/>
  <c r="BO67" i="47" s="1"/>
  <c r="K35" i="47"/>
  <c r="K12" i="47"/>
  <c r="J70" i="51" s="1"/>
  <c r="Q81" i="44"/>
  <c r="P27" i="57" s="1"/>
  <c r="J35" i="46"/>
  <c r="I49" i="53" s="1"/>
  <c r="J12" i="46"/>
  <c r="I50" i="51" s="1"/>
  <c r="AJ80" i="44"/>
  <c r="P26" i="58" s="1"/>
  <c r="AA81" i="46"/>
  <c r="G47" i="58" s="1"/>
  <c r="AU57" i="46"/>
  <c r="P79" i="46"/>
  <c r="O45" i="57" s="1"/>
  <c r="AI31" i="46"/>
  <c r="AB57" i="47"/>
  <c r="H67" i="54" s="1"/>
  <c r="AB81" i="47"/>
  <c r="H67" i="58" s="1"/>
  <c r="AV57" i="47"/>
  <c r="H67" i="55" s="1"/>
  <c r="X81" i="46"/>
  <c r="D47" i="58" s="1"/>
  <c r="X57" i="46"/>
  <c r="D47" i="54" s="1"/>
  <c r="AR57" i="46"/>
  <c r="Q81" i="46"/>
  <c r="P47" i="57" s="1"/>
  <c r="E82" i="46"/>
  <c r="D48" i="57" s="1"/>
  <c r="E58" i="46"/>
  <c r="D48" i="56" s="1"/>
  <c r="E56" i="43"/>
  <c r="X80" i="43" s="1"/>
  <c r="E80" i="43"/>
  <c r="AJ56" i="44"/>
  <c r="I56" i="43"/>
  <c r="AB80" i="43" s="1"/>
  <c r="I80" i="43"/>
  <c r="O57" i="43"/>
  <c r="AH81" i="43" s="1"/>
  <c r="O81" i="43"/>
  <c r="AJ32" i="47"/>
  <c r="J35" i="47"/>
  <c r="I69" i="53" s="1"/>
  <c r="J12" i="47"/>
  <c r="I70" i="51" s="1"/>
  <c r="Y57" i="46"/>
  <c r="E47" i="54" s="1"/>
  <c r="Y81" i="46"/>
  <c r="E47" i="58" s="1"/>
  <c r="AS57" i="46"/>
  <c r="F82" i="44"/>
  <c r="E28" i="57" s="1"/>
  <c r="BC54" i="44"/>
  <c r="X57" i="44"/>
  <c r="D27" i="54" s="1"/>
  <c r="X81" i="44"/>
  <c r="D27" i="58" s="1"/>
  <c r="AR57" i="44"/>
  <c r="D27" i="55" s="1"/>
  <c r="BC54" i="47"/>
  <c r="M82" i="46"/>
  <c r="L48" i="57" s="1"/>
  <c r="M58" i="46"/>
  <c r="L48" i="56" s="1"/>
  <c r="K82" i="47"/>
  <c r="J68" i="57" s="1"/>
  <c r="CA34" i="47"/>
  <c r="X33" i="44"/>
  <c r="AG33" i="44"/>
  <c r="AE33" i="44"/>
  <c r="BM68" i="44"/>
  <c r="AH33" i="44"/>
  <c r="BM69" i="44"/>
  <c r="G82" i="44"/>
  <c r="F28" i="57" s="1"/>
  <c r="M35" i="44"/>
  <c r="M12" i="44"/>
  <c r="L30" i="51" s="1"/>
  <c r="AB81" i="46"/>
  <c r="H47" i="58" s="1"/>
  <c r="AB57" i="46"/>
  <c r="H47" i="54" s="1"/>
  <c r="AV57" i="46"/>
  <c r="H82" i="46"/>
  <c r="G48" i="57" s="1"/>
  <c r="AA58" i="46"/>
  <c r="G48" i="54" s="1"/>
  <c r="Q11" i="46"/>
  <c r="D12" i="46"/>
  <c r="C50" i="51" s="1"/>
  <c r="D35" i="46"/>
  <c r="C49" i="53" s="1"/>
  <c r="BR35" i="46"/>
  <c r="BO65" i="46" s="1"/>
  <c r="AA81" i="47"/>
  <c r="G67" i="58" s="1"/>
  <c r="AU57" i="47"/>
  <c r="G67" i="55" s="1"/>
  <c r="H82" i="47"/>
  <c r="G68" i="57" s="1"/>
  <c r="AA58" i="47"/>
  <c r="G68" i="54" s="1"/>
  <c r="H58" i="47"/>
  <c r="G68" i="56" s="1"/>
  <c r="AD81" i="44"/>
  <c r="J27" i="58" s="1"/>
  <c r="AD57" i="44"/>
  <c r="J27" i="54" s="1"/>
  <c r="AX57" i="44"/>
  <c r="J27" i="55" s="1"/>
  <c r="P79" i="44"/>
  <c r="O25" i="57" s="1"/>
  <c r="AI31" i="44"/>
  <c r="K35" i="44"/>
  <c r="K12" i="44"/>
  <c r="J30" i="51" s="1"/>
  <c r="H12" i="44"/>
  <c r="G30" i="51" s="1"/>
  <c r="H35" i="44"/>
  <c r="BW35" i="44"/>
  <c r="BO67" i="44" s="1"/>
  <c r="AJ80" i="47"/>
  <c r="P66" i="58" s="1"/>
  <c r="AD81" i="47"/>
  <c r="J67" i="58" s="1"/>
  <c r="AD57" i="47"/>
  <c r="J67" i="54" s="1"/>
  <c r="AX57" i="47"/>
  <c r="J67" i="55" s="1"/>
  <c r="D82" i="44"/>
  <c r="C28" i="57" s="1"/>
  <c r="Q34" i="44"/>
  <c r="I82" i="44"/>
  <c r="H28" i="57" s="1"/>
  <c r="AC33" i="46"/>
  <c r="AE81" i="43"/>
  <c r="L81" i="43"/>
  <c r="F82" i="47"/>
  <c r="E68" i="57" s="1"/>
  <c r="F58" i="47"/>
  <c r="E68" i="56" s="1"/>
  <c r="AF81" i="44"/>
  <c r="L27" i="58" s="1"/>
  <c r="AF57" i="44"/>
  <c r="L27" i="54" s="1"/>
  <c r="AZ57" i="44"/>
  <c r="L27" i="55" s="1"/>
  <c r="Z81" i="44"/>
  <c r="F27" i="58" s="1"/>
  <c r="Z57" i="44"/>
  <c r="F27" i="54" s="1"/>
  <c r="AT57" i="44"/>
  <c r="F27" i="55" s="1"/>
  <c r="E12" i="46"/>
  <c r="D50" i="51" s="1"/>
  <c r="E35" i="46"/>
  <c r="D49" i="53" s="1"/>
  <c r="CA34" i="46"/>
  <c r="K82" i="46"/>
  <c r="J48" i="57" s="1"/>
  <c r="Z81" i="46"/>
  <c r="F47" i="58" s="1"/>
  <c r="Z57" i="46"/>
  <c r="F47" i="54" s="1"/>
  <c r="AT57" i="46"/>
  <c r="G12" i="46"/>
  <c r="F50" i="51" s="1"/>
  <c r="G35" i="46"/>
  <c r="F49" i="53" s="1"/>
  <c r="F56" i="43"/>
  <c r="Y80" i="43" s="1"/>
  <c r="F80" i="43"/>
  <c r="J56" i="43"/>
  <c r="AC80" i="43" s="1"/>
  <c r="J80" i="43"/>
  <c r="G56" i="43"/>
  <c r="Z80" i="43" s="1"/>
  <c r="G80" i="43"/>
  <c r="AJ32" i="46"/>
  <c r="E82" i="44"/>
  <c r="D28" i="57" s="1"/>
  <c r="E12" i="47"/>
  <c r="D70" i="51" s="1"/>
  <c r="E35" i="47"/>
  <c r="D69" i="53" s="1"/>
  <c r="H12" i="47"/>
  <c r="G70" i="51" s="1"/>
  <c r="H35" i="47"/>
  <c r="G69" i="53" s="1"/>
  <c r="AJ7" i="44"/>
  <c r="CA34" i="44"/>
  <c r="K82" i="44"/>
  <c r="J28" i="57" s="1"/>
  <c r="AA58" i="44"/>
  <c r="G28" i="54" s="1"/>
  <c r="H82" i="44"/>
  <c r="G28" i="57" s="1"/>
  <c r="AE33" i="47"/>
  <c r="AH33" i="47"/>
  <c r="BM69" i="47"/>
  <c r="AG33" i="47"/>
  <c r="BM68" i="47"/>
  <c r="M35" i="47"/>
  <c r="L69" i="53" s="1"/>
  <c r="M12" i="47"/>
  <c r="L70" i="51" s="1"/>
  <c r="AF81" i="47"/>
  <c r="L67" i="58" s="1"/>
  <c r="AF57" i="47"/>
  <c r="L67" i="54" s="1"/>
  <c r="AZ57" i="47"/>
  <c r="L67" i="55" s="1"/>
  <c r="G35" i="47"/>
  <c r="F69" i="53" s="1"/>
  <c r="G12" i="47"/>
  <c r="F70" i="51" s="1"/>
  <c r="D12" i="47"/>
  <c r="C70" i="51" s="1"/>
  <c r="BR35" i="47"/>
  <c r="BO65" i="47" s="1"/>
  <c r="Q11" i="47"/>
  <c r="D35" i="47"/>
  <c r="C69" i="53" s="1"/>
  <c r="I35" i="44"/>
  <c r="I12" i="44"/>
  <c r="H30" i="51" s="1"/>
  <c r="AC81" i="46"/>
  <c r="I47" i="58" s="1"/>
  <c r="AC57" i="46"/>
  <c r="I47" i="54" s="1"/>
  <c r="AW57" i="46"/>
  <c r="E35" i="44"/>
  <c r="E12" i="44"/>
  <c r="D30" i="51" s="1"/>
  <c r="E82" i="47"/>
  <c r="D68" i="57" s="1"/>
  <c r="E58" i="47"/>
  <c r="D68" i="56" s="1"/>
  <c r="F35" i="47"/>
  <c r="E69" i="53" s="1"/>
  <c r="F12" i="47"/>
  <c r="E70" i="51" s="1"/>
  <c r="AI8" i="44"/>
  <c r="O26" i="59" s="1"/>
  <c r="P32" i="44"/>
  <c r="O26" i="53" s="1"/>
  <c r="BU32" i="44"/>
  <c r="BL66" i="44" s="1"/>
  <c r="BO32" i="44"/>
  <c r="BL64" i="44" s="1"/>
  <c r="AC81" i="44"/>
  <c r="I27" i="58" s="1"/>
  <c r="AC57" i="44"/>
  <c r="I27" i="54" s="1"/>
  <c r="AW57" i="44"/>
  <c r="I27" i="55" s="1"/>
  <c r="Y81" i="44"/>
  <c r="E27" i="58" s="1"/>
  <c r="Y57" i="44"/>
  <c r="E27" i="54" s="1"/>
  <c r="AS57" i="44"/>
  <c r="E27" i="55" s="1"/>
  <c r="J82" i="46"/>
  <c r="I48" i="57" s="1"/>
  <c r="J58" i="46"/>
  <c r="I48" i="56" s="1"/>
  <c r="G35" i="44"/>
  <c r="G12" i="44"/>
  <c r="F30" i="51" s="1"/>
  <c r="W57" i="47"/>
  <c r="C67" i="54" s="1"/>
  <c r="Q57" i="47"/>
  <c r="P67" i="56" s="1"/>
  <c r="W81" i="47"/>
  <c r="C67" i="58" s="1"/>
  <c r="AQ57" i="47"/>
  <c r="C67" i="55" s="1"/>
  <c r="M82" i="47"/>
  <c r="L68" i="57" s="1"/>
  <c r="M58" i="47"/>
  <c r="L68" i="56" s="1"/>
  <c r="AD81" i="46"/>
  <c r="J47" i="58" s="1"/>
  <c r="AD57" i="46"/>
  <c r="J47" i="54" s="1"/>
  <c r="AX57" i="46"/>
  <c r="M82" i="44"/>
  <c r="L28" i="57" s="1"/>
  <c r="K35" i="46"/>
  <c r="K12" i="46"/>
  <c r="J50" i="51" s="1"/>
  <c r="G82" i="47"/>
  <c r="F68" i="57" s="1"/>
  <c r="G58" i="47"/>
  <c r="F68" i="56" s="1"/>
  <c r="D82" i="47"/>
  <c r="C68" i="57" s="1"/>
  <c r="D58" i="47"/>
  <c r="C68" i="56" s="1"/>
  <c r="Q34" i="47"/>
  <c r="AA81" i="44"/>
  <c r="G27" i="58" s="1"/>
  <c r="AU57" i="44"/>
  <c r="G27" i="55" s="1"/>
  <c r="BA38" i="47"/>
  <c r="C67" i="47"/>
  <c r="C43" i="47"/>
  <c r="B77" i="53" s="1"/>
  <c r="C20" i="47"/>
  <c r="B78" i="51" s="1"/>
  <c r="V19" i="47"/>
  <c r="AP19" i="47" s="1"/>
  <c r="N41" i="47"/>
  <c r="BX41" i="47"/>
  <c r="N18" i="47"/>
  <c r="M76" i="51" s="1"/>
  <c r="N88" i="47"/>
  <c r="M74" i="57" s="1"/>
  <c r="C90" i="47"/>
  <c r="B76" i="57" s="1"/>
  <c r="V42" i="47"/>
  <c r="V90" i="47" s="1"/>
  <c r="B76" i="58" s="1"/>
  <c r="AE87" i="47"/>
  <c r="K73" i="58" s="1"/>
  <c r="AE63" i="47"/>
  <c r="AY63" i="47"/>
  <c r="K73" i="55" s="1"/>
  <c r="L41" i="47"/>
  <c r="L18" i="47"/>
  <c r="K76" i="51" s="1"/>
  <c r="AU19" i="47"/>
  <c r="C77" i="52" s="1"/>
  <c r="O41" i="47"/>
  <c r="N75" i="53" s="1"/>
  <c r="O18" i="47"/>
  <c r="N76" i="51" s="1"/>
  <c r="N16" i="51" s="1"/>
  <c r="L88" i="47"/>
  <c r="K74" i="57" s="1"/>
  <c r="O88" i="47"/>
  <c r="N74" i="57" s="1"/>
  <c r="N14" i="57" s="1"/>
  <c r="O64" i="47"/>
  <c r="N74" i="56" s="1"/>
  <c r="N14" i="56" s="1"/>
  <c r="AG87" i="47"/>
  <c r="M73" i="58" s="1"/>
  <c r="AG63" i="47"/>
  <c r="BA63" i="47"/>
  <c r="M73" i="55" s="1"/>
  <c r="B67" i="47"/>
  <c r="B43" i="47"/>
  <c r="A77" i="53" s="1"/>
  <c r="U19" i="47"/>
  <c r="AO19" i="47" s="1"/>
  <c r="B20" i="47"/>
  <c r="A78" i="51" s="1"/>
  <c r="AW39" i="47"/>
  <c r="AX39" i="47"/>
  <c r="AP40" i="47"/>
  <c r="AZ39" i="47"/>
  <c r="B90" i="47"/>
  <c r="A76" i="57" s="1"/>
  <c r="U42" i="47"/>
  <c r="U90" i="47" s="1"/>
  <c r="A76" i="58" s="1"/>
  <c r="AH87" i="47"/>
  <c r="N73" i="58" s="1"/>
  <c r="N13" i="58" s="1"/>
  <c r="AH63" i="47"/>
  <c r="BB63" i="47"/>
  <c r="N73" i="55" s="1"/>
  <c r="AH88" i="46"/>
  <c r="N54" i="58" s="1"/>
  <c r="AH64" i="46"/>
  <c r="BB64" i="46"/>
  <c r="L89" i="46"/>
  <c r="K55" i="57" s="1"/>
  <c r="BA38" i="46"/>
  <c r="AE88" i="46"/>
  <c r="K54" i="58" s="1"/>
  <c r="AE64" i="46"/>
  <c r="AY64" i="46"/>
  <c r="B65" i="46"/>
  <c r="B41" i="46"/>
  <c r="A55" i="53" s="1"/>
  <c r="B18" i="46"/>
  <c r="A56" i="51" s="1"/>
  <c r="U17" i="46"/>
  <c r="AO17" i="46" s="1"/>
  <c r="BX41" i="46"/>
  <c r="N41" i="46"/>
  <c r="N18" i="46"/>
  <c r="M56" i="51" s="1"/>
  <c r="O42" i="46"/>
  <c r="N56" i="53" s="1"/>
  <c r="O19" i="46"/>
  <c r="N57" i="51" s="1"/>
  <c r="C66" i="46"/>
  <c r="C42" i="46"/>
  <c r="B56" i="53" s="1"/>
  <c r="C19" i="46"/>
  <c r="B57" i="51" s="1"/>
  <c r="V18" i="46"/>
  <c r="AP18" i="46" s="1"/>
  <c r="O89" i="46"/>
  <c r="N55" i="57" s="1"/>
  <c r="O65" i="46"/>
  <c r="N55" i="56" s="1"/>
  <c r="C89" i="46"/>
  <c r="B55" i="57" s="1"/>
  <c r="V41" i="46"/>
  <c r="V89" i="46" s="1"/>
  <c r="B55" i="58" s="1"/>
  <c r="B88" i="46"/>
  <c r="A54" i="57" s="1"/>
  <c r="U40" i="46"/>
  <c r="U88" i="46" s="1"/>
  <c r="A54" i="58" s="1"/>
  <c r="N88" i="46"/>
  <c r="M54" i="57" s="1"/>
  <c r="BD17" i="46"/>
  <c r="J55" i="52" s="1"/>
  <c r="J15" i="52" s="1"/>
  <c r="AU18" i="46"/>
  <c r="C56" i="52" s="1"/>
  <c r="C16" i="52" s="1"/>
  <c r="AG87" i="46"/>
  <c r="M53" i="58" s="1"/>
  <c r="AG63" i="46"/>
  <c r="BA63" i="46"/>
  <c r="BL41" i="46"/>
  <c r="BN40" i="46"/>
  <c r="BT39" i="46"/>
  <c r="BQ39" i="46"/>
  <c r="L42" i="46"/>
  <c r="L19" i="46"/>
  <c r="K57" i="51" s="1"/>
  <c r="AP40" i="46"/>
  <c r="AZ39" i="46"/>
  <c r="AW39" i="46"/>
  <c r="AX39" i="46"/>
  <c r="L18" i="44"/>
  <c r="K36" i="51" s="1"/>
  <c r="L41" i="44"/>
  <c r="L88" i="44"/>
  <c r="K34" i="57" s="1"/>
  <c r="AZ41" i="44"/>
  <c r="AP42" i="44"/>
  <c r="AX41" i="44"/>
  <c r="AW41" i="44"/>
  <c r="O42" i="44"/>
  <c r="O19" i="44"/>
  <c r="N37" i="51" s="1"/>
  <c r="BA40" i="44"/>
  <c r="BL41" i="44"/>
  <c r="BM41" i="44" s="1"/>
  <c r="BN40" i="44"/>
  <c r="O89" i="44"/>
  <c r="N35" i="57" s="1"/>
  <c r="BQ39" i="44"/>
  <c r="BT39" i="44"/>
  <c r="C37" i="52"/>
  <c r="AE87" i="44"/>
  <c r="K33" i="58" s="1"/>
  <c r="AE63" i="44"/>
  <c r="K33" i="54" s="1"/>
  <c r="AY63" i="44"/>
  <c r="K33" i="55" s="1"/>
  <c r="AH88" i="44"/>
  <c r="N34" i="58" s="1"/>
  <c r="AH64" i="44"/>
  <c r="N34" i="54" s="1"/>
  <c r="BB64" i="44"/>
  <c r="N34" i="55" s="1"/>
  <c r="BW33" i="43"/>
  <c r="BM67" i="43" s="1"/>
  <c r="AD80" i="43"/>
  <c r="CA32" i="43"/>
  <c r="AA56" i="43"/>
  <c r="I10" i="43"/>
  <c r="I33" i="43"/>
  <c r="O11" i="43"/>
  <c r="O34" i="43"/>
  <c r="K10" i="43"/>
  <c r="K33" i="43"/>
  <c r="K57" i="43" s="1"/>
  <c r="BQ37" i="43"/>
  <c r="BT37" i="43"/>
  <c r="E10" i="43"/>
  <c r="E33" i="43"/>
  <c r="M10" i="43"/>
  <c r="M33" i="43"/>
  <c r="F10" i="43"/>
  <c r="F33" i="43"/>
  <c r="J10" i="43"/>
  <c r="J33" i="43"/>
  <c r="G10" i="43"/>
  <c r="G33" i="43"/>
  <c r="N11" i="43"/>
  <c r="N34" i="43"/>
  <c r="N58" i="43" s="1"/>
  <c r="L11" i="43"/>
  <c r="L34" i="43"/>
  <c r="L58" i="43" s="1"/>
  <c r="H10" i="43"/>
  <c r="H33" i="43"/>
  <c r="AY9" i="43"/>
  <c r="AU8" i="43"/>
  <c r="BA9" i="43"/>
  <c r="BL39" i="43"/>
  <c r="BM39" i="43" s="1"/>
  <c r="BN38" i="43"/>
  <c r="AW9" i="43"/>
  <c r="AX9" i="43"/>
  <c r="AV9" i="43"/>
  <c r="AZ9" i="43"/>
  <c r="H1" i="28"/>
  <c r="F1" i="28"/>
  <c r="P1" i="28"/>
  <c r="D1" i="28"/>
  <c r="I1" i="28"/>
  <c r="O1" i="28"/>
  <c r="N1" i="28"/>
  <c r="C1" i="28"/>
  <c r="L1" i="28"/>
  <c r="D3" i="43"/>
  <c r="C1" i="51" s="1"/>
  <c r="J3" i="43"/>
  <c r="I1" i="51" s="1"/>
  <c r="F3" i="43"/>
  <c r="E1" i="51" s="1"/>
  <c r="Q3" i="43"/>
  <c r="P1" i="51" s="1"/>
  <c r="P3" i="43"/>
  <c r="O1" i="51" s="1"/>
  <c r="M3" i="43"/>
  <c r="L1" i="51" s="1"/>
  <c r="E3" i="43"/>
  <c r="D1" i="51" s="1"/>
  <c r="L3" i="43"/>
  <c r="K1" i="51" s="1"/>
  <c r="I3" i="43"/>
  <c r="H1" i="51" s="1"/>
  <c r="H3" i="43"/>
  <c r="G1" i="51" s="1"/>
  <c r="O3" i="43"/>
  <c r="N1" i="51" s="1"/>
  <c r="N3" i="43"/>
  <c r="M1" i="51" s="1"/>
  <c r="G3" i="43"/>
  <c r="F1" i="51" s="1"/>
  <c r="K3" i="43"/>
  <c r="J1" i="51" s="1"/>
  <c r="C1" i="26"/>
  <c r="O1" i="26"/>
  <c r="K1" i="26"/>
  <c r="F1" i="26"/>
  <c r="H1" i="26"/>
  <c r="G1" i="26"/>
  <c r="N1" i="26"/>
  <c r="L1" i="26"/>
  <c r="D1" i="26"/>
  <c r="J1" i="26"/>
  <c r="M1" i="26"/>
  <c r="P1" i="26"/>
  <c r="I1" i="26"/>
  <c r="E1" i="26"/>
  <c r="AZ40" i="43"/>
  <c r="AX40" i="43"/>
  <c r="AP41" i="43"/>
  <c r="AW41" i="43" s="1"/>
  <c r="J1" i="27"/>
  <c r="K1" i="27"/>
  <c r="H1" i="27"/>
  <c r="G1" i="27"/>
  <c r="E1" i="27"/>
  <c r="I1" i="27"/>
  <c r="F1" i="27"/>
  <c r="A12" i="21"/>
  <c r="A13" i="21" s="1"/>
  <c r="AL68" i="43" l="1"/>
  <c r="E17" i="60"/>
  <c r="P8" i="51"/>
  <c r="P5" i="59"/>
  <c r="D6" i="60"/>
  <c r="J6" i="60"/>
  <c r="L6" i="60"/>
  <c r="H6" i="60"/>
  <c r="P49" i="51"/>
  <c r="AJ8" i="46"/>
  <c r="P46" i="59" s="1"/>
  <c r="O46" i="59"/>
  <c r="AJ8" i="47"/>
  <c r="P66" i="59" s="1"/>
  <c r="O66" i="59"/>
  <c r="P96" i="51"/>
  <c r="P69" i="51"/>
  <c r="P116" i="51"/>
  <c r="P136" i="51"/>
  <c r="AJ15" i="48"/>
  <c r="P93" i="59" s="1"/>
  <c r="O93" i="59"/>
  <c r="P29" i="51"/>
  <c r="P29" i="59"/>
  <c r="H43" i="48"/>
  <c r="G97" i="53" s="1"/>
  <c r="AA89" i="48"/>
  <c r="G95" i="58" s="1"/>
  <c r="BQ63" i="48"/>
  <c r="AI9" i="46"/>
  <c r="C141" i="52"/>
  <c r="AV23" i="50"/>
  <c r="D141" i="52" s="1"/>
  <c r="D140" i="52"/>
  <c r="H20" i="48"/>
  <c r="G98" i="51" s="1"/>
  <c r="AA66" i="48"/>
  <c r="G96" i="54" s="1"/>
  <c r="H66" i="48"/>
  <c r="G96" i="56" s="1"/>
  <c r="H90" i="48"/>
  <c r="G96" i="57" s="1"/>
  <c r="AV65" i="48"/>
  <c r="H95" i="55" s="1"/>
  <c r="AU65" i="48"/>
  <c r="G95" i="55" s="1"/>
  <c r="D20" i="48"/>
  <c r="C98" i="51" s="1"/>
  <c r="D43" i="48"/>
  <c r="C97" i="53" s="1"/>
  <c r="I20" i="48"/>
  <c r="H98" i="51" s="1"/>
  <c r="I43" i="48"/>
  <c r="H97" i="53" s="1"/>
  <c r="AB89" i="48"/>
  <c r="H95" i="58" s="1"/>
  <c r="AB65" i="48"/>
  <c r="H95" i="54" s="1"/>
  <c r="J20" i="48"/>
  <c r="I98" i="51" s="1"/>
  <c r="I90" i="48"/>
  <c r="H96" i="57" s="1"/>
  <c r="J43" i="48"/>
  <c r="I97" i="53" s="1"/>
  <c r="D66" i="48"/>
  <c r="C96" i="56" s="1"/>
  <c r="D90" i="48"/>
  <c r="C96" i="57" s="1"/>
  <c r="I66" i="48"/>
  <c r="H96" i="56" s="1"/>
  <c r="W65" i="48"/>
  <c r="C95" i="54" s="1"/>
  <c r="J66" i="48"/>
  <c r="I96" i="56" s="1"/>
  <c r="AW65" i="48"/>
  <c r="I95" i="55" s="1"/>
  <c r="J90" i="48"/>
  <c r="I96" i="57" s="1"/>
  <c r="AC65" i="48"/>
  <c r="I95" i="54" s="1"/>
  <c r="AC89" i="48"/>
  <c r="I95" i="58" s="1"/>
  <c r="AQ65" i="48"/>
  <c r="C95" i="55" s="1"/>
  <c r="W89" i="48"/>
  <c r="C95" i="58" s="1"/>
  <c r="AW22" i="48"/>
  <c r="E99" i="52"/>
  <c r="AX22" i="48"/>
  <c r="F99" i="52"/>
  <c r="AZ22" i="48"/>
  <c r="H99" i="52"/>
  <c r="BA22" i="48"/>
  <c r="I99" i="52"/>
  <c r="AY22" i="48"/>
  <c r="G99" i="52"/>
  <c r="AV22" i="48"/>
  <c r="D99" i="52"/>
  <c r="K14" i="57"/>
  <c r="M16" i="51"/>
  <c r="AV20" i="47"/>
  <c r="D77" i="52"/>
  <c r="AX20" i="47"/>
  <c r="F77" i="52"/>
  <c r="AY20" i="47"/>
  <c r="G77" i="52"/>
  <c r="BA20" i="47"/>
  <c r="I77" i="52"/>
  <c r="K16" i="51"/>
  <c r="M14" i="53"/>
  <c r="AW20" i="47"/>
  <c r="E77" i="52"/>
  <c r="AZ19" i="47"/>
  <c r="BD19" i="47" s="1"/>
  <c r="J77" i="52" s="1"/>
  <c r="H76" i="52"/>
  <c r="H16" i="52" s="1"/>
  <c r="N13" i="54"/>
  <c r="BO33" i="46"/>
  <c r="BM64" i="46" s="1"/>
  <c r="N13" i="55"/>
  <c r="K13" i="54"/>
  <c r="BU33" i="46"/>
  <c r="BM66" i="46" s="1"/>
  <c r="P33" i="46"/>
  <c r="O47" i="53" s="1"/>
  <c r="F16" i="52"/>
  <c r="I16" i="52"/>
  <c r="AY20" i="46"/>
  <c r="G57" i="52"/>
  <c r="D16" i="52"/>
  <c r="AV20" i="46"/>
  <c r="D57" i="52"/>
  <c r="BA20" i="46"/>
  <c r="I57" i="52"/>
  <c r="O6" i="51"/>
  <c r="G16" i="52"/>
  <c r="AZ20" i="46"/>
  <c r="H57" i="52"/>
  <c r="AX20" i="46"/>
  <c r="F57" i="52"/>
  <c r="AW20" i="46"/>
  <c r="E57" i="52"/>
  <c r="N20" i="44"/>
  <c r="M38" i="51" s="1"/>
  <c r="BX43" i="44"/>
  <c r="N43" i="44"/>
  <c r="N91" i="44" s="1"/>
  <c r="M37" i="57" s="1"/>
  <c r="N90" i="44"/>
  <c r="M36" i="57" s="1"/>
  <c r="AG89" i="44"/>
  <c r="M35" i="58" s="1"/>
  <c r="N66" i="44"/>
  <c r="M36" i="56" s="1"/>
  <c r="BA65" i="44"/>
  <c r="M35" i="55" s="1"/>
  <c r="AG65" i="44"/>
  <c r="M35" i="54" s="1"/>
  <c r="AV20" i="44"/>
  <c r="D37" i="52"/>
  <c r="AY20" i="44"/>
  <c r="G37" i="52"/>
  <c r="AZ20" i="44"/>
  <c r="H37" i="52"/>
  <c r="AX20" i="44"/>
  <c r="F37" i="52"/>
  <c r="BA20" i="44"/>
  <c r="I37" i="52"/>
  <c r="AW19" i="44"/>
  <c r="BD19" i="44" s="1"/>
  <c r="J37" i="52" s="1"/>
  <c r="E36" i="52"/>
  <c r="E16" i="52" s="1"/>
  <c r="BI55" i="47"/>
  <c r="BJ63" i="46"/>
  <c r="BI63" i="47"/>
  <c r="H57" i="43"/>
  <c r="AA81" i="43" s="1"/>
  <c r="BI18" i="46"/>
  <c r="B56" i="52"/>
  <c r="AP66" i="47"/>
  <c r="B76" i="55" s="1"/>
  <c r="B76" i="54"/>
  <c r="A54" i="55"/>
  <c r="A54" i="54"/>
  <c r="V67" i="47"/>
  <c r="B77" i="56"/>
  <c r="U66" i="44"/>
  <c r="A36" i="56"/>
  <c r="AP66" i="48"/>
  <c r="B96" i="55" s="1"/>
  <c r="B96" i="54"/>
  <c r="B37" i="51"/>
  <c r="C43" i="44"/>
  <c r="C20" i="44"/>
  <c r="C67" i="44"/>
  <c r="V19" i="44"/>
  <c r="AP19" i="44" s="1"/>
  <c r="AO67" i="48"/>
  <c r="A97" i="55" s="1"/>
  <c r="A97" i="54"/>
  <c r="V66" i="46"/>
  <c r="AP66" i="46" s="1"/>
  <c r="B56" i="56"/>
  <c r="BI22" i="49"/>
  <c r="B120" i="52"/>
  <c r="BI21" i="50"/>
  <c r="B139" i="52"/>
  <c r="BH18" i="44"/>
  <c r="A36" i="52"/>
  <c r="AO65" i="44"/>
  <c r="A35" i="55" s="1"/>
  <c r="A35" i="54"/>
  <c r="V66" i="44"/>
  <c r="B36" i="56"/>
  <c r="BH17" i="46"/>
  <c r="A55" i="52"/>
  <c r="A37" i="51"/>
  <c r="B43" i="44"/>
  <c r="U19" i="44"/>
  <c r="AO19" i="44" s="1"/>
  <c r="B20" i="44"/>
  <c r="B67" i="44"/>
  <c r="U65" i="46"/>
  <c r="AO65" i="46" s="1"/>
  <c r="A55" i="56"/>
  <c r="BH20" i="48"/>
  <c r="A98" i="52"/>
  <c r="BI19" i="48"/>
  <c r="B97" i="52"/>
  <c r="BH22" i="49"/>
  <c r="A120" i="52"/>
  <c r="V69" i="50"/>
  <c r="B139" i="56"/>
  <c r="A36" i="53"/>
  <c r="U42" i="44"/>
  <c r="U90" i="44" s="1"/>
  <c r="A36" i="58" s="1"/>
  <c r="B90" i="44"/>
  <c r="A36" i="57" s="1"/>
  <c r="BI18" i="44"/>
  <c r="B36" i="52"/>
  <c r="AP68" i="50"/>
  <c r="B138" i="55" s="1"/>
  <c r="B138" i="54"/>
  <c r="AP65" i="44"/>
  <c r="B35" i="55" s="1"/>
  <c r="B35" i="54"/>
  <c r="BH22" i="50"/>
  <c r="A140" i="52"/>
  <c r="B55" i="54"/>
  <c r="B55" i="55"/>
  <c r="B36" i="53"/>
  <c r="C90" i="44"/>
  <c r="B36" i="57" s="1"/>
  <c r="V42" i="44"/>
  <c r="V90" i="44" s="1"/>
  <c r="B36" i="58" s="1"/>
  <c r="U68" i="48"/>
  <c r="A98" i="56"/>
  <c r="V70" i="49"/>
  <c r="B120" i="56"/>
  <c r="AP69" i="49"/>
  <c r="B119" i="55" s="1"/>
  <c r="B119" i="54"/>
  <c r="U67" i="47"/>
  <c r="A77" i="56"/>
  <c r="AO69" i="50"/>
  <c r="A139" i="55" s="1"/>
  <c r="A139" i="54"/>
  <c r="BH19" i="47"/>
  <c r="A77" i="52"/>
  <c r="BI19" i="47"/>
  <c r="B77" i="52"/>
  <c r="V67" i="48"/>
  <c r="B97" i="56"/>
  <c r="U70" i="49"/>
  <c r="A120" i="56"/>
  <c r="U70" i="50"/>
  <c r="A140" i="56"/>
  <c r="AO66" i="47"/>
  <c r="A76" i="55" s="1"/>
  <c r="A76" i="54"/>
  <c r="AO69" i="49"/>
  <c r="A119" i="55" s="1"/>
  <c r="A119" i="54"/>
  <c r="AI39" i="48"/>
  <c r="G8" i="53"/>
  <c r="K13" i="55"/>
  <c r="BQ55" i="48"/>
  <c r="D10" i="51"/>
  <c r="BQ55" i="50"/>
  <c r="BQ63" i="50"/>
  <c r="N54" i="55"/>
  <c r="D7" i="58"/>
  <c r="M98" i="53"/>
  <c r="N68" i="48"/>
  <c r="M98" i="56" s="1"/>
  <c r="K119" i="53"/>
  <c r="L69" i="49"/>
  <c r="K119" i="56" s="1"/>
  <c r="K141" i="53"/>
  <c r="L71" i="50"/>
  <c r="K141" i="56" s="1"/>
  <c r="N15" i="53"/>
  <c r="J8" i="56"/>
  <c r="M75" i="53"/>
  <c r="N65" i="47"/>
  <c r="M75" i="56" s="1"/>
  <c r="M119" i="53"/>
  <c r="N69" i="49"/>
  <c r="M119" i="56" s="1"/>
  <c r="BP63" i="50"/>
  <c r="M53" i="55"/>
  <c r="M13" i="55" s="1"/>
  <c r="M13" i="54"/>
  <c r="K75" i="53"/>
  <c r="L65" i="47"/>
  <c r="K75" i="56" s="1"/>
  <c r="K13" i="58"/>
  <c r="K56" i="53"/>
  <c r="L66" i="46"/>
  <c r="K56" i="56" s="1"/>
  <c r="M55" i="53"/>
  <c r="N65" i="46"/>
  <c r="M55" i="56" s="1"/>
  <c r="M13" i="58"/>
  <c r="K35" i="53"/>
  <c r="L65" i="44"/>
  <c r="K35" i="56" s="1"/>
  <c r="M140" i="53"/>
  <c r="N70" i="50"/>
  <c r="M140" i="56" s="1"/>
  <c r="K14" i="53"/>
  <c r="K54" i="55"/>
  <c r="N36" i="53"/>
  <c r="O66" i="44"/>
  <c r="N36" i="56" s="1"/>
  <c r="M14" i="57"/>
  <c r="D8" i="57"/>
  <c r="K97" i="53"/>
  <c r="L67" i="48"/>
  <c r="K97" i="56" s="1"/>
  <c r="M14" i="56"/>
  <c r="K14" i="56"/>
  <c r="H10" i="51"/>
  <c r="BP55" i="50"/>
  <c r="I10" i="51"/>
  <c r="W58" i="44"/>
  <c r="C28" i="54" s="1"/>
  <c r="J8" i="57"/>
  <c r="P7" i="57"/>
  <c r="C7" i="58"/>
  <c r="AK63" i="50"/>
  <c r="BS58" i="50" s="1"/>
  <c r="P133" i="54"/>
  <c r="K66" i="48"/>
  <c r="J96" i="53"/>
  <c r="K90" i="48"/>
  <c r="J96" i="57" s="1"/>
  <c r="L8" i="56"/>
  <c r="E59" i="44"/>
  <c r="D29" i="56" s="1"/>
  <c r="D29" i="53"/>
  <c r="D9" i="53" s="1"/>
  <c r="C8" i="57"/>
  <c r="H47" i="55"/>
  <c r="H7" i="55" s="1"/>
  <c r="H7" i="54"/>
  <c r="BD54" i="47"/>
  <c r="P64" i="55" s="1"/>
  <c r="O64" i="55"/>
  <c r="AK56" i="44"/>
  <c r="BL58" i="44" s="1"/>
  <c r="P26" i="54"/>
  <c r="P6" i="58"/>
  <c r="AI32" i="46"/>
  <c r="J59" i="44"/>
  <c r="I29" i="56" s="1"/>
  <c r="I29" i="53"/>
  <c r="I9" i="53" s="1"/>
  <c r="AK63" i="48"/>
  <c r="BS58" i="48" s="1"/>
  <c r="P93" i="54"/>
  <c r="P3" i="55"/>
  <c r="H59" i="46"/>
  <c r="G49" i="56" s="1"/>
  <c r="G49" i="53"/>
  <c r="P79" i="47"/>
  <c r="O65" i="57" s="1"/>
  <c r="O5" i="57" s="1"/>
  <c r="O65" i="56"/>
  <c r="O5" i="56" s="1"/>
  <c r="I47" i="55"/>
  <c r="I7" i="55" s="1"/>
  <c r="I7" i="54"/>
  <c r="C10" i="51"/>
  <c r="AK56" i="47"/>
  <c r="BL58" i="47" s="1"/>
  <c r="P66" i="54"/>
  <c r="BO33" i="44"/>
  <c r="BM64" i="44" s="1"/>
  <c r="O27" i="51"/>
  <c r="P44" i="55"/>
  <c r="P44" i="54"/>
  <c r="P4" i="54" s="1"/>
  <c r="J8" i="53"/>
  <c r="J95" i="56"/>
  <c r="AD89" i="48"/>
  <c r="J95" i="58" s="1"/>
  <c r="AD65" i="48"/>
  <c r="J95" i="54" s="1"/>
  <c r="AX65" i="48"/>
  <c r="J95" i="55" s="1"/>
  <c r="K59" i="44"/>
  <c r="J29" i="56" s="1"/>
  <c r="J29" i="53"/>
  <c r="K59" i="46"/>
  <c r="J49" i="56" s="1"/>
  <c r="J49" i="53"/>
  <c r="F47" i="55"/>
  <c r="F7" i="55" s="1"/>
  <c r="F7" i="54"/>
  <c r="L47" i="55"/>
  <c r="L7" i="55" s="1"/>
  <c r="L7" i="54"/>
  <c r="BU68" i="48"/>
  <c r="P95" i="53"/>
  <c r="H8" i="56"/>
  <c r="D95" i="56"/>
  <c r="X89" i="48"/>
  <c r="D95" i="58" s="1"/>
  <c r="X65" i="48"/>
  <c r="D95" i="54" s="1"/>
  <c r="AR65" i="48"/>
  <c r="D95" i="55" s="1"/>
  <c r="P7" i="53"/>
  <c r="E7" i="58"/>
  <c r="E10" i="51"/>
  <c r="C47" i="55"/>
  <c r="C7" i="55" s="1"/>
  <c r="C7" i="54"/>
  <c r="H7" i="58"/>
  <c r="K66" i="50"/>
  <c r="J136" i="56" s="1"/>
  <c r="J136" i="53"/>
  <c r="F8" i="56"/>
  <c r="AA34" i="44"/>
  <c r="P28" i="53"/>
  <c r="AK63" i="49"/>
  <c r="BS58" i="49" s="1"/>
  <c r="P113" i="54"/>
  <c r="I8" i="56"/>
  <c r="AA34" i="47"/>
  <c r="P68" i="53"/>
  <c r="J47" i="55"/>
  <c r="J7" i="55" s="1"/>
  <c r="J7" i="54"/>
  <c r="H8" i="57"/>
  <c r="H59" i="44"/>
  <c r="G29" i="56" s="1"/>
  <c r="G29" i="53"/>
  <c r="J7" i="58"/>
  <c r="M59" i="44"/>
  <c r="L29" i="56" s="1"/>
  <c r="L29" i="53"/>
  <c r="L9" i="53" s="1"/>
  <c r="BD54" i="44"/>
  <c r="P24" i="55" s="1"/>
  <c r="O24" i="55"/>
  <c r="F59" i="44"/>
  <c r="E29" i="56" s="1"/>
  <c r="E29" i="53"/>
  <c r="E9" i="53" s="1"/>
  <c r="AQ34" i="46"/>
  <c r="BN59" i="46" s="1"/>
  <c r="P48" i="53"/>
  <c r="P40" i="48"/>
  <c r="O94" i="53" s="1"/>
  <c r="O94" i="51"/>
  <c r="D97" i="51"/>
  <c r="E43" i="48"/>
  <c r="E20" i="48"/>
  <c r="G7" i="58"/>
  <c r="F7" i="58"/>
  <c r="L10" i="51"/>
  <c r="F10" i="51"/>
  <c r="I59" i="44"/>
  <c r="H29" i="56" s="1"/>
  <c r="H29" i="53"/>
  <c r="H9" i="53" s="1"/>
  <c r="G10" i="51"/>
  <c r="F8" i="57"/>
  <c r="E8" i="57"/>
  <c r="K59" i="47"/>
  <c r="J69" i="56" s="1"/>
  <c r="J69" i="53"/>
  <c r="I8" i="57"/>
  <c r="AI9" i="47"/>
  <c r="O67" i="51"/>
  <c r="BD62" i="48"/>
  <c r="BR55" i="48" s="1"/>
  <c r="O92" i="55"/>
  <c r="BW43" i="48"/>
  <c r="BW67" i="48" s="1"/>
  <c r="L97" i="51"/>
  <c r="AC41" i="49"/>
  <c r="P115" i="53"/>
  <c r="K66" i="49"/>
  <c r="J116" i="56" s="1"/>
  <c r="J116" i="53"/>
  <c r="Q58" i="44"/>
  <c r="P28" i="56" s="1"/>
  <c r="D8" i="56"/>
  <c r="G8" i="56"/>
  <c r="D96" i="53"/>
  <c r="E66" i="48"/>
  <c r="E90" i="48"/>
  <c r="D96" i="57" s="1"/>
  <c r="D59" i="44"/>
  <c r="C29" i="53"/>
  <c r="C9" i="53" s="1"/>
  <c r="BD61" i="49"/>
  <c r="P111" i="55" s="1"/>
  <c r="O111" i="55"/>
  <c r="L8" i="57"/>
  <c r="G59" i="44"/>
  <c r="F29" i="56" s="1"/>
  <c r="F29" i="53"/>
  <c r="F9" i="53" s="1"/>
  <c r="I7" i="58"/>
  <c r="G8" i="57"/>
  <c r="L7" i="58"/>
  <c r="J10" i="51"/>
  <c r="E7" i="54"/>
  <c r="E47" i="55"/>
  <c r="E7" i="55" s="1"/>
  <c r="D47" i="55"/>
  <c r="D7" i="55" s="1"/>
  <c r="D7" i="54"/>
  <c r="G47" i="55"/>
  <c r="G7" i="55" s="1"/>
  <c r="G7" i="54"/>
  <c r="BC55" i="47"/>
  <c r="AI32" i="47"/>
  <c r="O66" i="53"/>
  <c r="O6" i="53" s="1"/>
  <c r="BD62" i="49"/>
  <c r="P112" i="55" s="1"/>
  <c r="O112" i="55"/>
  <c r="C8" i="56"/>
  <c r="J97" i="51"/>
  <c r="K43" i="48"/>
  <c r="K20" i="48"/>
  <c r="P7" i="56"/>
  <c r="E8" i="56"/>
  <c r="Y41" i="49"/>
  <c r="AA41" i="49"/>
  <c r="AJ40" i="50"/>
  <c r="AQ41" i="49"/>
  <c r="BU59" i="49" s="1"/>
  <c r="AU40" i="49"/>
  <c r="Z41" i="49"/>
  <c r="AJ40" i="49"/>
  <c r="AB41" i="49"/>
  <c r="AB89" i="49"/>
  <c r="H115" i="58" s="1"/>
  <c r="AB65" i="49"/>
  <c r="H115" i="54" s="1"/>
  <c r="AV65" i="49"/>
  <c r="H115" i="55" s="1"/>
  <c r="AC41" i="50"/>
  <c r="AE41" i="50"/>
  <c r="BU69" i="50"/>
  <c r="BU68" i="50"/>
  <c r="AH41" i="50"/>
  <c r="AT41" i="50"/>
  <c r="BU62" i="50" s="1"/>
  <c r="AR41" i="50"/>
  <c r="BU60" i="50" s="1"/>
  <c r="AG41" i="50"/>
  <c r="BJ17" i="50"/>
  <c r="BK17" i="50" s="1"/>
  <c r="BL17" i="50" s="1"/>
  <c r="P17" i="50" s="1"/>
  <c r="O135" i="51" s="1"/>
  <c r="M90" i="49"/>
  <c r="L116" i="57" s="1"/>
  <c r="M66" i="49"/>
  <c r="L116" i="56" s="1"/>
  <c r="AD89" i="50"/>
  <c r="J135" i="58" s="1"/>
  <c r="AD65" i="50"/>
  <c r="J135" i="54" s="1"/>
  <c r="AX65" i="50"/>
  <c r="J135" i="55" s="1"/>
  <c r="AD41" i="49"/>
  <c r="AT41" i="49"/>
  <c r="BU62" i="49" s="1"/>
  <c r="AR41" i="49"/>
  <c r="BU60" i="49" s="1"/>
  <c r="AG41" i="49"/>
  <c r="BU68" i="49"/>
  <c r="BJ17" i="49"/>
  <c r="BK17" i="49" s="1"/>
  <c r="BL17" i="49" s="1"/>
  <c r="P17" i="49" s="1"/>
  <c r="O115" i="51" s="1"/>
  <c r="AH41" i="49"/>
  <c r="AE41" i="49"/>
  <c r="BU69" i="49"/>
  <c r="K43" i="50"/>
  <c r="K20" i="50"/>
  <c r="J138" i="51" s="1"/>
  <c r="F20" i="49"/>
  <c r="E118" i="51" s="1"/>
  <c r="F43" i="49"/>
  <c r="E117" i="53" s="1"/>
  <c r="E43" i="50"/>
  <c r="D137" i="53" s="1"/>
  <c r="E20" i="50"/>
  <c r="D138" i="51" s="1"/>
  <c r="W41" i="50"/>
  <c r="D20" i="49"/>
  <c r="C118" i="51" s="1"/>
  <c r="Q19" i="49"/>
  <c r="D43" i="49"/>
  <c r="C117" i="53" s="1"/>
  <c r="BR43" i="49"/>
  <c r="BW65" i="49" s="1"/>
  <c r="J66" i="50"/>
  <c r="I136" i="56" s="1"/>
  <c r="J90" i="50"/>
  <c r="I136" i="57" s="1"/>
  <c r="D90" i="50"/>
  <c r="C136" i="57" s="1"/>
  <c r="D66" i="50"/>
  <c r="C136" i="56" s="1"/>
  <c r="Q42" i="50"/>
  <c r="AS42" i="50" s="1"/>
  <c r="BV61" i="50" s="1"/>
  <c r="M90" i="50"/>
  <c r="L136" i="57" s="1"/>
  <c r="M66" i="50"/>
  <c r="L136" i="56" s="1"/>
  <c r="Z65" i="49"/>
  <c r="F115" i="54" s="1"/>
  <c r="AT65" i="49"/>
  <c r="F115" i="55" s="1"/>
  <c r="Z89" i="49"/>
  <c r="F115" i="58" s="1"/>
  <c r="AJ64" i="49"/>
  <c r="P87" i="49"/>
  <c r="O113" i="57" s="1"/>
  <c r="AI39" i="49"/>
  <c r="D43" i="50"/>
  <c r="C137" i="53" s="1"/>
  <c r="D20" i="50"/>
  <c r="C138" i="51" s="1"/>
  <c r="BR43" i="50"/>
  <c r="BW65" i="50" s="1"/>
  <c r="Q19" i="50"/>
  <c r="AJ88" i="49"/>
  <c r="P114" i="58" s="1"/>
  <c r="Q89" i="49"/>
  <c r="P115" i="57" s="1"/>
  <c r="G90" i="50"/>
  <c r="F136" i="57" s="1"/>
  <c r="G66" i="50"/>
  <c r="F136" i="56" s="1"/>
  <c r="BC62" i="50"/>
  <c r="K20" i="49"/>
  <c r="J118" i="51" s="1"/>
  <c r="K43" i="49"/>
  <c r="W89" i="50"/>
  <c r="C135" i="58" s="1"/>
  <c r="W65" i="50"/>
  <c r="C135" i="54" s="1"/>
  <c r="Q65" i="50"/>
  <c r="P135" i="56" s="1"/>
  <c r="AQ65" i="50"/>
  <c r="C135" i="55" s="1"/>
  <c r="AF41" i="50"/>
  <c r="H43" i="49"/>
  <c r="G117" i="53" s="1"/>
  <c r="H20" i="49"/>
  <c r="G118" i="51" s="1"/>
  <c r="BW43" i="49"/>
  <c r="BW67" i="49" s="1"/>
  <c r="AF41" i="49"/>
  <c r="Q65" i="49"/>
  <c r="P115" i="56" s="1"/>
  <c r="W89" i="49"/>
  <c r="C115" i="58" s="1"/>
  <c r="W65" i="49"/>
  <c r="C115" i="54" s="1"/>
  <c r="AQ65" i="49"/>
  <c r="C115" i="55" s="1"/>
  <c r="G43" i="50"/>
  <c r="F137" i="53" s="1"/>
  <c r="G20" i="50"/>
  <c r="F138" i="51" s="1"/>
  <c r="H43" i="50"/>
  <c r="G137" i="53" s="1"/>
  <c r="H20" i="50"/>
  <c r="G138" i="51" s="1"/>
  <c r="BW43" i="50"/>
  <c r="BW67" i="50" s="1"/>
  <c r="AC89" i="49"/>
  <c r="I115" i="58" s="1"/>
  <c r="AC65" i="49"/>
  <c r="I115" i="54" s="1"/>
  <c r="AW65" i="49"/>
  <c r="I115" i="55" s="1"/>
  <c r="Q89" i="50"/>
  <c r="P135" i="57" s="1"/>
  <c r="AF65" i="50"/>
  <c r="L135" i="54" s="1"/>
  <c r="AF89" i="50"/>
  <c r="L135" i="58" s="1"/>
  <c r="AZ65" i="50"/>
  <c r="L135" i="55" s="1"/>
  <c r="AJ88" i="50"/>
  <c r="P134" i="58" s="1"/>
  <c r="H90" i="49"/>
  <c r="G116" i="57" s="1"/>
  <c r="AA66" i="49"/>
  <c r="G116" i="54" s="1"/>
  <c r="H66" i="49"/>
  <c r="G116" i="56" s="1"/>
  <c r="AZ65" i="49"/>
  <c r="L115" i="55" s="1"/>
  <c r="AF65" i="49"/>
  <c r="L115" i="54" s="1"/>
  <c r="AF89" i="49"/>
  <c r="L115" i="58" s="1"/>
  <c r="K90" i="50"/>
  <c r="J136" i="57" s="1"/>
  <c r="CA42" i="50"/>
  <c r="H90" i="50"/>
  <c r="G136" i="57" s="1"/>
  <c r="AA66" i="50"/>
  <c r="G136" i="54" s="1"/>
  <c r="H66" i="50"/>
  <c r="G136" i="56" s="1"/>
  <c r="I90" i="49"/>
  <c r="H116" i="57" s="1"/>
  <c r="I66" i="49"/>
  <c r="H116" i="56" s="1"/>
  <c r="X89" i="49"/>
  <c r="D115" i="58" s="1"/>
  <c r="X65" i="49"/>
  <c r="D115" i="54" s="1"/>
  <c r="AR65" i="49"/>
  <c r="D115" i="55" s="1"/>
  <c r="AS41" i="50"/>
  <c r="BU61" i="50" s="1"/>
  <c r="F43" i="50"/>
  <c r="E137" i="53" s="1"/>
  <c r="F20" i="50"/>
  <c r="E138" i="51" s="1"/>
  <c r="Y89" i="49"/>
  <c r="E115" i="58" s="1"/>
  <c r="Y65" i="49"/>
  <c r="E115" i="54" s="1"/>
  <c r="AS65" i="49"/>
  <c r="E115" i="55" s="1"/>
  <c r="J20" i="49"/>
  <c r="I118" i="51" s="1"/>
  <c r="J43" i="49"/>
  <c r="I117" i="53" s="1"/>
  <c r="X41" i="50"/>
  <c r="AJ64" i="50"/>
  <c r="AJ15" i="49"/>
  <c r="P113" i="59" s="1"/>
  <c r="BC63" i="49"/>
  <c r="AA89" i="49"/>
  <c r="G115" i="58" s="1"/>
  <c r="AU65" i="49"/>
  <c r="G115" i="55" s="1"/>
  <c r="AU40" i="50"/>
  <c r="F66" i="49"/>
  <c r="E116" i="56" s="1"/>
  <c r="F90" i="49"/>
  <c r="E116" i="57" s="1"/>
  <c r="AJ15" i="50"/>
  <c r="P133" i="59" s="1"/>
  <c r="I43" i="49"/>
  <c r="H117" i="53" s="1"/>
  <c r="I20" i="49"/>
  <c r="H118" i="51" s="1"/>
  <c r="AD41" i="50"/>
  <c r="Z41" i="50"/>
  <c r="F66" i="50"/>
  <c r="E136" i="56" s="1"/>
  <c r="F90" i="50"/>
  <c r="E136" i="57" s="1"/>
  <c r="J90" i="49"/>
  <c r="I116" i="57" s="1"/>
  <c r="J66" i="49"/>
  <c r="I116" i="56" s="1"/>
  <c r="AW65" i="50"/>
  <c r="I135" i="55" s="1"/>
  <c r="AC89" i="50"/>
  <c r="I135" i="58" s="1"/>
  <c r="AC65" i="50"/>
  <c r="I135" i="54" s="1"/>
  <c r="I90" i="50"/>
  <c r="H136" i="57" s="1"/>
  <c r="I66" i="50"/>
  <c r="H136" i="56" s="1"/>
  <c r="G20" i="49"/>
  <c r="F118" i="51" s="1"/>
  <c r="G43" i="49"/>
  <c r="F117" i="53" s="1"/>
  <c r="AB41" i="50"/>
  <c r="AA41" i="50"/>
  <c r="BO40" i="49"/>
  <c r="BT64" i="49" s="1"/>
  <c r="P40" i="49"/>
  <c r="O114" i="53" s="1"/>
  <c r="AI16" i="49"/>
  <c r="O114" i="59" s="1"/>
  <c r="BU40" i="49"/>
  <c r="BT66" i="49" s="1"/>
  <c r="K90" i="49"/>
  <c r="J116" i="57" s="1"/>
  <c r="CA42" i="49"/>
  <c r="AI39" i="50"/>
  <c r="P87" i="50"/>
  <c r="O133" i="57" s="1"/>
  <c r="Y41" i="50"/>
  <c r="E90" i="49"/>
  <c r="D116" i="57" s="1"/>
  <c r="E66" i="49"/>
  <c r="D116" i="56" s="1"/>
  <c r="AD65" i="49"/>
  <c r="J115" i="54" s="1"/>
  <c r="AX65" i="49"/>
  <c r="J115" i="55" s="1"/>
  <c r="AD89" i="49"/>
  <c r="J115" i="58" s="1"/>
  <c r="I43" i="50"/>
  <c r="H137" i="53" s="1"/>
  <c r="I20" i="50"/>
  <c r="H138" i="51" s="1"/>
  <c r="X65" i="50"/>
  <c r="D135" i="54" s="1"/>
  <c r="AR65" i="50"/>
  <c r="D135" i="55" s="1"/>
  <c r="X89" i="50"/>
  <c r="D135" i="58" s="1"/>
  <c r="D90" i="49"/>
  <c r="C116" i="57" s="1"/>
  <c r="D66" i="49"/>
  <c r="C116" i="56" s="1"/>
  <c r="Q42" i="49"/>
  <c r="G66" i="49"/>
  <c r="F116" i="56" s="1"/>
  <c r="G90" i="49"/>
  <c r="F116" i="57" s="1"/>
  <c r="AB89" i="50"/>
  <c r="H135" i="58" s="1"/>
  <c r="AB65" i="50"/>
  <c r="H135" i="54" s="1"/>
  <c r="AV65" i="50"/>
  <c r="H135" i="55" s="1"/>
  <c r="P40" i="50"/>
  <c r="O134" i="53" s="1"/>
  <c r="BO40" i="50"/>
  <c r="BT64" i="50" s="1"/>
  <c r="BU40" i="50"/>
  <c r="BT66" i="50" s="1"/>
  <c r="AI16" i="50"/>
  <c r="O134" i="59" s="1"/>
  <c r="AA89" i="50"/>
  <c r="G135" i="58" s="1"/>
  <c r="AU65" i="50"/>
  <c r="G135" i="55" s="1"/>
  <c r="E90" i="50"/>
  <c r="D136" i="57" s="1"/>
  <c r="E66" i="50"/>
  <c r="D136" i="56" s="1"/>
  <c r="M20" i="49"/>
  <c r="L118" i="51" s="1"/>
  <c r="M43" i="49"/>
  <c r="L117" i="53" s="1"/>
  <c r="Y89" i="50"/>
  <c r="E135" i="58" s="1"/>
  <c r="Y65" i="50"/>
  <c r="E135" i="54" s="1"/>
  <c r="AS65" i="50"/>
  <c r="E135" i="55" s="1"/>
  <c r="Z89" i="50"/>
  <c r="F135" i="58" s="1"/>
  <c r="Z65" i="50"/>
  <c r="F135" i="54" s="1"/>
  <c r="AT65" i="50"/>
  <c r="F135" i="55" s="1"/>
  <c r="W41" i="49"/>
  <c r="E43" i="49"/>
  <c r="D117" i="53" s="1"/>
  <c r="E20" i="49"/>
  <c r="D118" i="51" s="1"/>
  <c r="AQ41" i="50"/>
  <c r="J43" i="50"/>
  <c r="I137" i="53" s="1"/>
  <c r="J20" i="50"/>
  <c r="I138" i="51" s="1"/>
  <c r="M43" i="50"/>
  <c r="L137" i="53" s="1"/>
  <c r="M20" i="50"/>
  <c r="L138" i="51" s="1"/>
  <c r="AS41" i="49"/>
  <c r="BU61" i="49" s="1"/>
  <c r="BX35" i="43"/>
  <c r="BD8" i="43"/>
  <c r="H81" i="43"/>
  <c r="K81" i="43"/>
  <c r="BR43" i="48"/>
  <c r="BW65" i="48" s="1"/>
  <c r="AI16" i="48"/>
  <c r="AU40" i="48"/>
  <c r="AJ40" i="48"/>
  <c r="BO40" i="48"/>
  <c r="BT64" i="48" s="1"/>
  <c r="BU40" i="48"/>
  <c r="BT66" i="48" s="1"/>
  <c r="AQ41" i="48"/>
  <c r="BU59" i="48" s="1"/>
  <c r="AE41" i="48"/>
  <c r="Y41" i="48"/>
  <c r="AJ88" i="48"/>
  <c r="P94" i="58" s="1"/>
  <c r="X41" i="48"/>
  <c r="AJ64" i="48"/>
  <c r="AT41" i="48"/>
  <c r="BU62" i="48" s="1"/>
  <c r="Q89" i="48"/>
  <c r="P95" i="57" s="1"/>
  <c r="AA41" i="48"/>
  <c r="AG41" i="48"/>
  <c r="Z41" i="48"/>
  <c r="Q65" i="48"/>
  <c r="P95" i="56" s="1"/>
  <c r="AR41" i="48"/>
  <c r="BU60" i="48" s="1"/>
  <c r="P56" i="47"/>
  <c r="C93" i="50"/>
  <c r="B139" i="57" s="1"/>
  <c r="V45" i="50"/>
  <c r="V93" i="50" s="1"/>
  <c r="B139" i="58" s="1"/>
  <c r="BA43" i="50"/>
  <c r="C70" i="50"/>
  <c r="C46" i="50"/>
  <c r="B140" i="53" s="1"/>
  <c r="V22" i="50"/>
  <c r="AP22" i="50" s="1"/>
  <c r="C23" i="50"/>
  <c r="B141" i="51" s="1"/>
  <c r="AP45" i="50"/>
  <c r="AZ44" i="50"/>
  <c r="AX44" i="50"/>
  <c r="AW44" i="50"/>
  <c r="O47" i="50"/>
  <c r="N141" i="53" s="1"/>
  <c r="BX47" i="50"/>
  <c r="N47" i="50"/>
  <c r="O94" i="50"/>
  <c r="N140" i="57" s="1"/>
  <c r="O70" i="50"/>
  <c r="N140" i="56" s="1"/>
  <c r="B71" i="50"/>
  <c r="B47" i="50"/>
  <c r="A141" i="53" s="1"/>
  <c r="U23" i="50"/>
  <c r="AO23" i="50" s="1"/>
  <c r="L95" i="50"/>
  <c r="K141" i="57" s="1"/>
  <c r="AG93" i="50"/>
  <c r="M139" i="58" s="1"/>
  <c r="AG69" i="50"/>
  <c r="BA69" i="50"/>
  <c r="M139" i="55" s="1"/>
  <c r="N94" i="50"/>
  <c r="M140" i="57" s="1"/>
  <c r="AE94" i="50"/>
  <c r="K140" i="58" s="1"/>
  <c r="AE70" i="50"/>
  <c r="AY70" i="50"/>
  <c r="K140" i="55" s="1"/>
  <c r="B94" i="50"/>
  <c r="A140" i="57" s="1"/>
  <c r="U46" i="50"/>
  <c r="U94" i="50" s="1"/>
  <c r="A140" i="58" s="1"/>
  <c r="AH93" i="50"/>
  <c r="N139" i="58" s="1"/>
  <c r="AH69" i="50"/>
  <c r="BB69" i="50"/>
  <c r="N139" i="55" s="1"/>
  <c r="O93" i="49"/>
  <c r="N119" i="57" s="1"/>
  <c r="O69" i="49"/>
  <c r="N119" i="56" s="1"/>
  <c r="AE92" i="49"/>
  <c r="K118" i="58" s="1"/>
  <c r="AE68" i="49"/>
  <c r="AY68" i="49"/>
  <c r="K118" i="55" s="1"/>
  <c r="AG92" i="49"/>
  <c r="M118" i="58" s="1"/>
  <c r="AG68" i="49"/>
  <c r="BA68" i="49"/>
  <c r="M118" i="55" s="1"/>
  <c r="C71" i="49"/>
  <c r="C47" i="49"/>
  <c r="B121" i="53" s="1"/>
  <c r="V23" i="49"/>
  <c r="AP23" i="49" s="1"/>
  <c r="B71" i="49"/>
  <c r="B47" i="49"/>
  <c r="A121" i="53" s="1"/>
  <c r="U23" i="49"/>
  <c r="AO23" i="49" s="1"/>
  <c r="AP45" i="49"/>
  <c r="AW44" i="49"/>
  <c r="AZ44" i="49"/>
  <c r="AX44" i="49"/>
  <c r="BX46" i="49"/>
  <c r="N46" i="49"/>
  <c r="N23" i="49"/>
  <c r="M121" i="51" s="1"/>
  <c r="B94" i="49"/>
  <c r="A120" i="57" s="1"/>
  <c r="U46" i="49"/>
  <c r="U94" i="49" s="1"/>
  <c r="A120" i="58" s="1"/>
  <c r="C94" i="49"/>
  <c r="B120" i="57" s="1"/>
  <c r="V46" i="49"/>
  <c r="V94" i="49" s="1"/>
  <c r="B120" i="58" s="1"/>
  <c r="BA43" i="49"/>
  <c r="AH92" i="49"/>
  <c r="N118" i="58" s="1"/>
  <c r="AH68" i="49"/>
  <c r="BB68" i="49"/>
  <c r="N118" i="55" s="1"/>
  <c r="L46" i="49"/>
  <c r="L23" i="49"/>
  <c r="K121" i="51" s="1"/>
  <c r="N93" i="49"/>
  <c r="M119" i="57" s="1"/>
  <c r="L93" i="49"/>
  <c r="K119" i="57" s="1"/>
  <c r="O46" i="49"/>
  <c r="N120" i="53" s="1"/>
  <c r="O23" i="49"/>
  <c r="N121" i="51" s="1"/>
  <c r="Q19" i="48"/>
  <c r="M66" i="48"/>
  <c r="L96" i="56" s="1"/>
  <c r="M90" i="48"/>
  <c r="L96" i="57" s="1"/>
  <c r="CA42" i="48"/>
  <c r="W41" i="48"/>
  <c r="AH41" i="48"/>
  <c r="Z89" i="48"/>
  <c r="F95" i="58" s="1"/>
  <c r="Z65" i="48"/>
  <c r="F95" i="54" s="1"/>
  <c r="AT65" i="48"/>
  <c r="F95" i="55" s="1"/>
  <c r="AF41" i="48"/>
  <c r="BJ17" i="48"/>
  <c r="BK17" i="48" s="1"/>
  <c r="BL17" i="48" s="1"/>
  <c r="P17" i="48" s="1"/>
  <c r="F66" i="48"/>
  <c r="E96" i="56" s="1"/>
  <c r="F90" i="48"/>
  <c r="E96" i="57" s="1"/>
  <c r="Y65" i="48"/>
  <c r="E95" i="54" s="1"/>
  <c r="Y89" i="48"/>
  <c r="E95" i="58" s="1"/>
  <c r="AS65" i="48"/>
  <c r="E95" i="55" s="1"/>
  <c r="AZ65" i="48"/>
  <c r="L95" i="55" s="1"/>
  <c r="AF89" i="48"/>
  <c r="L95" i="58" s="1"/>
  <c r="AF65" i="48"/>
  <c r="L95" i="54" s="1"/>
  <c r="Q42" i="48"/>
  <c r="AD41" i="48"/>
  <c r="BU69" i="48"/>
  <c r="G66" i="48"/>
  <c r="F96" i="56" s="1"/>
  <c r="G90" i="48"/>
  <c r="F96" i="57" s="1"/>
  <c r="F43" i="48"/>
  <c r="E97" i="53" s="1"/>
  <c r="F20" i="48"/>
  <c r="E98" i="51" s="1"/>
  <c r="AB41" i="48"/>
  <c r="AC41" i="48"/>
  <c r="AS41" i="48"/>
  <c r="BU61" i="48" s="1"/>
  <c r="G43" i="48"/>
  <c r="F97" i="53" s="1"/>
  <c r="G20" i="48"/>
  <c r="F98" i="51" s="1"/>
  <c r="M43" i="48"/>
  <c r="L97" i="53" s="1"/>
  <c r="M20" i="48"/>
  <c r="AE90" i="48"/>
  <c r="K96" i="58" s="1"/>
  <c r="AE66" i="48"/>
  <c r="K96" i="54" s="1"/>
  <c r="AY66" i="48"/>
  <c r="K96" i="55" s="1"/>
  <c r="L44" i="48"/>
  <c r="L21" i="48"/>
  <c r="K99" i="51" s="1"/>
  <c r="AU21" i="48"/>
  <c r="C99" i="52" s="1"/>
  <c r="BD20" i="48"/>
  <c r="J98" i="52" s="1"/>
  <c r="BC63" i="48"/>
  <c r="O46" i="48"/>
  <c r="N100" i="53" s="1"/>
  <c r="O23" i="48"/>
  <c r="N101" i="51" s="1"/>
  <c r="AG91" i="48"/>
  <c r="M97" i="58" s="1"/>
  <c r="AG67" i="48"/>
  <c r="M97" i="54" s="1"/>
  <c r="BA67" i="48"/>
  <c r="M97" i="55" s="1"/>
  <c r="L91" i="48"/>
  <c r="K97" i="57" s="1"/>
  <c r="O93" i="48"/>
  <c r="N99" i="57" s="1"/>
  <c r="O69" i="48"/>
  <c r="N99" i="56" s="1"/>
  <c r="BA41" i="48"/>
  <c r="P88" i="48"/>
  <c r="O94" i="57" s="1"/>
  <c r="C68" i="48"/>
  <c r="C44" i="48"/>
  <c r="B98" i="53" s="1"/>
  <c r="V20" i="48"/>
  <c r="AP20" i="48" s="1"/>
  <c r="C21" i="48"/>
  <c r="B99" i="51" s="1"/>
  <c r="AZ42" i="48"/>
  <c r="AX42" i="48"/>
  <c r="AW42" i="48"/>
  <c r="AP43" i="48"/>
  <c r="B69" i="48"/>
  <c r="B45" i="48"/>
  <c r="A99" i="53" s="1"/>
  <c r="B22" i="48"/>
  <c r="A100" i="51" s="1"/>
  <c r="U21" i="48"/>
  <c r="AO21" i="48" s="1"/>
  <c r="C91" i="48"/>
  <c r="B97" i="57" s="1"/>
  <c r="V43" i="48"/>
  <c r="V91" i="48" s="1"/>
  <c r="B97" i="58" s="1"/>
  <c r="AH92" i="48"/>
  <c r="N98" i="58" s="1"/>
  <c r="AH68" i="48"/>
  <c r="N98" i="54" s="1"/>
  <c r="BB68" i="48"/>
  <c r="N98" i="55" s="1"/>
  <c r="N45" i="48"/>
  <c r="BX45" i="48"/>
  <c r="N22" i="48"/>
  <c r="M100" i="51" s="1"/>
  <c r="N92" i="48"/>
  <c r="M98" i="57" s="1"/>
  <c r="B92" i="48"/>
  <c r="A98" i="57" s="1"/>
  <c r="U44" i="48"/>
  <c r="U92" i="48" s="1"/>
  <c r="A98" i="58" s="1"/>
  <c r="AR34" i="46"/>
  <c r="BN60" i="46" s="1"/>
  <c r="P33" i="44"/>
  <c r="AI9" i="44"/>
  <c r="BU33" i="44"/>
  <c r="BM66" i="44" s="1"/>
  <c r="AF34" i="46"/>
  <c r="AT34" i="46"/>
  <c r="BN62" i="46" s="1"/>
  <c r="AA34" i="46"/>
  <c r="BJ10" i="46"/>
  <c r="BK10" i="46" s="1"/>
  <c r="BL10" i="46" s="1"/>
  <c r="P10" i="46" s="1"/>
  <c r="AD34" i="46"/>
  <c r="X34" i="46"/>
  <c r="AU33" i="44"/>
  <c r="AU33" i="46"/>
  <c r="AJ57" i="47"/>
  <c r="AB34" i="46"/>
  <c r="AU33" i="47"/>
  <c r="BU33" i="47"/>
  <c r="BM66" i="47" s="1"/>
  <c r="BO33" i="47"/>
  <c r="BM64" i="47" s="1"/>
  <c r="P33" i="47"/>
  <c r="AR34" i="44"/>
  <c r="BN60" i="44" s="1"/>
  <c r="AF34" i="44"/>
  <c r="AQ34" i="44"/>
  <c r="BN59" i="44" s="1"/>
  <c r="AJ81" i="46"/>
  <c r="P47" i="58" s="1"/>
  <c r="AJ33" i="47"/>
  <c r="AJ33" i="44"/>
  <c r="AJ33" i="46"/>
  <c r="BC55" i="46"/>
  <c r="W34" i="46"/>
  <c r="BC55" i="44"/>
  <c r="F57" i="43"/>
  <c r="Y81" i="43" s="1"/>
  <c r="F81" i="43"/>
  <c r="AE82" i="43"/>
  <c r="L82" i="43"/>
  <c r="F36" i="47"/>
  <c r="E70" i="53" s="1"/>
  <c r="F13" i="47"/>
  <c r="E71" i="51" s="1"/>
  <c r="I36" i="44"/>
  <c r="I13" i="44"/>
  <c r="H31" i="51" s="1"/>
  <c r="M57" i="43"/>
  <c r="AF81" i="43" s="1"/>
  <c r="M81" i="43"/>
  <c r="W82" i="47"/>
  <c r="C68" i="58" s="1"/>
  <c r="W58" i="47"/>
  <c r="C68" i="54" s="1"/>
  <c r="Q58" i="47"/>
  <c r="P68" i="56" s="1"/>
  <c r="AQ58" i="47"/>
  <c r="C68" i="55" s="1"/>
  <c r="I83" i="44"/>
  <c r="H29" i="57" s="1"/>
  <c r="W34" i="44"/>
  <c r="BN69" i="44"/>
  <c r="AH34" i="44"/>
  <c r="AG34" i="44"/>
  <c r="AE34" i="44"/>
  <c r="BN68" i="44"/>
  <c r="X82" i="46"/>
  <c r="D48" i="58" s="1"/>
  <c r="X58" i="46"/>
  <c r="D48" i="54" s="1"/>
  <c r="AR58" i="46"/>
  <c r="F36" i="46"/>
  <c r="E50" i="53" s="1"/>
  <c r="F13" i="46"/>
  <c r="E51" i="51" s="1"/>
  <c r="Q82" i="47"/>
  <c r="P68" i="57" s="1"/>
  <c r="AF82" i="47"/>
  <c r="L68" i="58" s="1"/>
  <c r="AF58" i="47"/>
  <c r="L68" i="54" s="1"/>
  <c r="AZ58" i="47"/>
  <c r="L68" i="55" s="1"/>
  <c r="G83" i="44"/>
  <c r="F29" i="57" s="1"/>
  <c r="X34" i="47"/>
  <c r="G83" i="47"/>
  <c r="F69" i="57" s="1"/>
  <c r="G59" i="47"/>
  <c r="F69" i="56" s="1"/>
  <c r="AA82" i="44"/>
  <c r="G28" i="58" s="1"/>
  <c r="AU58" i="44"/>
  <c r="G28" i="55" s="1"/>
  <c r="X34" i="44"/>
  <c r="AD82" i="46"/>
  <c r="J48" i="58" s="1"/>
  <c r="AD58" i="46"/>
  <c r="J48" i="54" s="1"/>
  <c r="AX58" i="46"/>
  <c r="W82" i="44"/>
  <c r="C28" i="58" s="1"/>
  <c r="AQ58" i="44"/>
  <c r="C28" i="55" s="1"/>
  <c r="H13" i="44"/>
  <c r="G31" i="51" s="1"/>
  <c r="H36" i="44"/>
  <c r="BW36" i="44"/>
  <c r="BP67" i="44" s="1"/>
  <c r="AA82" i="46"/>
  <c r="G48" i="58" s="1"/>
  <c r="AU58" i="46"/>
  <c r="M83" i="44"/>
  <c r="L29" i="57" s="1"/>
  <c r="AD82" i="47"/>
  <c r="J68" i="58" s="1"/>
  <c r="AD58" i="47"/>
  <c r="J68" i="54" s="1"/>
  <c r="AX58" i="47"/>
  <c r="J68" i="55" s="1"/>
  <c r="Q35" i="44"/>
  <c r="D83" i="44"/>
  <c r="C29" i="57" s="1"/>
  <c r="Q82" i="46"/>
  <c r="P48" i="57" s="1"/>
  <c r="AJ57" i="44"/>
  <c r="AJ57" i="46"/>
  <c r="AK57" i="46" s="1"/>
  <c r="BM58" i="46" s="1"/>
  <c r="I13" i="46"/>
  <c r="H51" i="51" s="1"/>
  <c r="I36" i="46"/>
  <c r="H50" i="53" s="1"/>
  <c r="K83" i="46"/>
  <c r="J49" i="57" s="1"/>
  <c r="CA35" i="46"/>
  <c r="M59" i="47"/>
  <c r="L69" i="56" s="1"/>
  <c r="M83" i="47"/>
  <c r="L69" i="57" s="1"/>
  <c r="O58" i="43"/>
  <c r="AH82" i="43" s="1"/>
  <c r="O82" i="43"/>
  <c r="G13" i="47"/>
  <c r="F71" i="51" s="1"/>
  <c r="G36" i="47"/>
  <c r="F70" i="53" s="1"/>
  <c r="J59" i="46"/>
  <c r="I49" i="56" s="1"/>
  <c r="J83" i="46"/>
  <c r="I49" i="57" s="1"/>
  <c r="Q58" i="46"/>
  <c r="P48" i="56" s="1"/>
  <c r="W58" i="46"/>
  <c r="C48" i="54" s="1"/>
  <c r="W82" i="46"/>
  <c r="C48" i="58" s="1"/>
  <c r="AQ58" i="46"/>
  <c r="BW36" i="46"/>
  <c r="BP67" i="46" s="1"/>
  <c r="H36" i="46"/>
  <c r="H13" i="46"/>
  <c r="G51" i="51" s="1"/>
  <c r="E57" i="43"/>
  <c r="X81" i="43" s="1"/>
  <c r="E81" i="43"/>
  <c r="I57" i="43"/>
  <c r="AB81" i="43" s="1"/>
  <c r="I81" i="43"/>
  <c r="AS34" i="47"/>
  <c r="BN61" i="47" s="1"/>
  <c r="AF58" i="44"/>
  <c r="L28" i="54" s="1"/>
  <c r="AF82" i="44"/>
  <c r="L28" i="58" s="1"/>
  <c r="AZ58" i="44"/>
  <c r="L28" i="55" s="1"/>
  <c r="AC82" i="46"/>
  <c r="I48" i="58" s="1"/>
  <c r="AC58" i="46"/>
  <c r="I48" i="54" s="1"/>
  <c r="AW58" i="46"/>
  <c r="AR34" i="47"/>
  <c r="BN60" i="47" s="1"/>
  <c r="AD34" i="44"/>
  <c r="AA59" i="47"/>
  <c r="G69" i="54" s="1"/>
  <c r="H83" i="47"/>
  <c r="G69" i="57" s="1"/>
  <c r="H59" i="47"/>
  <c r="G69" i="56" s="1"/>
  <c r="X58" i="44"/>
  <c r="D28" i="54" s="1"/>
  <c r="X82" i="44"/>
  <c r="D28" i="58" s="1"/>
  <c r="AR58" i="44"/>
  <c r="D28" i="55" s="1"/>
  <c r="AB34" i="44"/>
  <c r="Q82" i="44"/>
  <c r="P28" i="57" s="1"/>
  <c r="AT34" i="47"/>
  <c r="BN62" i="47" s="1"/>
  <c r="F13" i="44"/>
  <c r="E31" i="51" s="1"/>
  <c r="F36" i="44"/>
  <c r="AC34" i="47"/>
  <c r="AB34" i="47"/>
  <c r="AJ81" i="44"/>
  <c r="P27" i="58" s="1"/>
  <c r="Z34" i="46"/>
  <c r="Y34" i="46"/>
  <c r="I59" i="46"/>
  <c r="H49" i="56" s="1"/>
  <c r="I83" i="46"/>
  <c r="H49" i="57" s="1"/>
  <c r="E36" i="47"/>
  <c r="D70" i="53" s="1"/>
  <c r="E13" i="47"/>
  <c r="D71" i="51" s="1"/>
  <c r="BJ10" i="47"/>
  <c r="BK10" i="47" s="1"/>
  <c r="BL10" i="47" s="1"/>
  <c r="P10" i="47" s="1"/>
  <c r="O68" i="51" s="1"/>
  <c r="H83" i="46"/>
  <c r="G49" i="57" s="1"/>
  <c r="AA59" i="46"/>
  <c r="G49" i="54" s="1"/>
  <c r="AF34" i="47"/>
  <c r="E83" i="44"/>
  <c r="D29" i="57" s="1"/>
  <c r="G36" i="46"/>
  <c r="F50" i="53" s="1"/>
  <c r="G13" i="46"/>
  <c r="F51" i="51" s="1"/>
  <c r="H83" i="44"/>
  <c r="G29" i="57" s="1"/>
  <c r="AA59" i="44"/>
  <c r="G29" i="54" s="1"/>
  <c r="AB58" i="46"/>
  <c r="H48" i="54" s="1"/>
  <c r="AB82" i="46"/>
  <c r="H48" i="58" s="1"/>
  <c r="AV58" i="46"/>
  <c r="G57" i="43"/>
  <c r="Z81" i="43" s="1"/>
  <c r="G81" i="43"/>
  <c r="Z58" i="47"/>
  <c r="F68" i="54" s="1"/>
  <c r="Z82" i="47"/>
  <c r="F68" i="58" s="1"/>
  <c r="AT58" i="47"/>
  <c r="F68" i="55" s="1"/>
  <c r="X82" i="47"/>
  <c r="D68" i="58" s="1"/>
  <c r="X58" i="47"/>
  <c r="D68" i="54" s="1"/>
  <c r="AR58" i="47"/>
  <c r="D68" i="55" s="1"/>
  <c r="Q35" i="47"/>
  <c r="D83" i="47"/>
  <c r="C69" i="57" s="1"/>
  <c r="D59" i="47"/>
  <c r="C69" i="56" s="1"/>
  <c r="BJ10" i="44"/>
  <c r="BK10" i="44" s="1"/>
  <c r="BL10" i="44" s="1"/>
  <c r="P10" i="44" s="1"/>
  <c r="O28" i="51" s="1"/>
  <c r="H13" i="47"/>
  <c r="G71" i="51" s="1"/>
  <c r="H36" i="47"/>
  <c r="G70" i="53" s="1"/>
  <c r="BW36" i="47"/>
  <c r="BP67" i="47" s="1"/>
  <c r="K13" i="44"/>
  <c r="J31" i="51" s="1"/>
  <c r="K36" i="44"/>
  <c r="AS34" i="44"/>
  <c r="BN61" i="44" s="1"/>
  <c r="D36" i="44"/>
  <c r="BR36" i="44"/>
  <c r="BP65" i="44" s="1"/>
  <c r="Q12" i="44"/>
  <c r="D13" i="44"/>
  <c r="C31" i="51" s="1"/>
  <c r="F83" i="44"/>
  <c r="E29" i="57" s="1"/>
  <c r="AC82" i="47"/>
  <c r="I68" i="58" s="1"/>
  <c r="AC58" i="47"/>
  <c r="I68" i="54" s="1"/>
  <c r="AW58" i="47"/>
  <c r="I68" i="55" s="1"/>
  <c r="AB82" i="47"/>
  <c r="H68" i="58" s="1"/>
  <c r="AB58" i="47"/>
  <c r="H68" i="54" s="1"/>
  <c r="AV58" i="47"/>
  <c r="H68" i="55" s="1"/>
  <c r="J13" i="44"/>
  <c r="I31" i="51" s="1"/>
  <c r="J36" i="44"/>
  <c r="AS34" i="46"/>
  <c r="BN61" i="46" s="1"/>
  <c r="Y58" i="46"/>
  <c r="E48" i="54" s="1"/>
  <c r="Y82" i="46"/>
  <c r="E48" i="58" s="1"/>
  <c r="AS58" i="46"/>
  <c r="Z34" i="47"/>
  <c r="AH34" i="47"/>
  <c r="AG34" i="47"/>
  <c r="BN69" i="47"/>
  <c r="BN68" i="47"/>
  <c r="AE34" i="47"/>
  <c r="G83" i="46"/>
  <c r="F49" i="57" s="1"/>
  <c r="G59" i="46"/>
  <c r="F49" i="56" s="1"/>
  <c r="J36" i="46"/>
  <c r="I50" i="53" s="1"/>
  <c r="J13" i="46"/>
  <c r="I51" i="51" s="1"/>
  <c r="F59" i="46"/>
  <c r="E49" i="56" s="1"/>
  <c r="F83" i="46"/>
  <c r="E49" i="57" s="1"/>
  <c r="I36" i="47"/>
  <c r="H70" i="53" s="1"/>
  <c r="I13" i="47"/>
  <c r="H71" i="51" s="1"/>
  <c r="F83" i="47"/>
  <c r="E69" i="57" s="1"/>
  <c r="F59" i="47"/>
  <c r="E69" i="56" s="1"/>
  <c r="J57" i="43"/>
  <c r="AC81" i="43" s="1"/>
  <c r="J81" i="43"/>
  <c r="AJ81" i="47"/>
  <c r="P67" i="58" s="1"/>
  <c r="P80" i="44"/>
  <c r="O26" i="57" s="1"/>
  <c r="AI32" i="44"/>
  <c r="AD58" i="44"/>
  <c r="J28" i="54" s="1"/>
  <c r="AD82" i="44"/>
  <c r="J28" i="58" s="1"/>
  <c r="AX58" i="44"/>
  <c r="J28" i="55" s="1"/>
  <c r="E83" i="46"/>
  <c r="D49" i="57" s="1"/>
  <c r="E59" i="46"/>
  <c r="D49" i="56" s="1"/>
  <c r="Y34" i="47"/>
  <c r="AB82" i="44"/>
  <c r="H28" i="58" s="1"/>
  <c r="AB58" i="44"/>
  <c r="H28" i="54" s="1"/>
  <c r="AV58" i="44"/>
  <c r="H28" i="55" s="1"/>
  <c r="K83" i="44"/>
  <c r="J29" i="57" s="1"/>
  <c r="CA35" i="44"/>
  <c r="AA82" i="47"/>
  <c r="G68" i="58" s="1"/>
  <c r="AU58" i="47"/>
  <c r="G68" i="55" s="1"/>
  <c r="D83" i="46"/>
  <c r="C49" i="57" s="1"/>
  <c r="D59" i="46"/>
  <c r="C49" i="56" s="1"/>
  <c r="Q35" i="46"/>
  <c r="Z34" i="44"/>
  <c r="AF82" i="46"/>
  <c r="L48" i="58" s="1"/>
  <c r="AF58" i="46"/>
  <c r="L48" i="54" s="1"/>
  <c r="AZ58" i="46"/>
  <c r="J13" i="47"/>
  <c r="I71" i="51" s="1"/>
  <c r="J36" i="47"/>
  <c r="I70" i="53" s="1"/>
  <c r="K36" i="47"/>
  <c r="K13" i="47"/>
  <c r="J71" i="51" s="1"/>
  <c r="AC34" i="44"/>
  <c r="J83" i="44"/>
  <c r="I29" i="57" s="1"/>
  <c r="Z82" i="46"/>
  <c r="F48" i="58" s="1"/>
  <c r="Z58" i="46"/>
  <c r="F48" i="54" s="1"/>
  <c r="AT58" i="46"/>
  <c r="E13" i="44"/>
  <c r="D31" i="51" s="1"/>
  <c r="E36" i="44"/>
  <c r="AG82" i="43"/>
  <c r="N82" i="43"/>
  <c r="G36" i="44"/>
  <c r="G13" i="44"/>
  <c r="F31" i="51" s="1"/>
  <c r="M36" i="44"/>
  <c r="M13" i="44"/>
  <c r="L31" i="51" s="1"/>
  <c r="AQ34" i="47"/>
  <c r="AJ8" i="44"/>
  <c r="AT34" i="44"/>
  <c r="BN62" i="44" s="1"/>
  <c r="E13" i="46"/>
  <c r="D51" i="51" s="1"/>
  <c r="E36" i="46"/>
  <c r="D50" i="53" s="1"/>
  <c r="Y82" i="47"/>
  <c r="E68" i="58" s="1"/>
  <c r="Y58" i="47"/>
  <c r="E68" i="54" s="1"/>
  <c r="AS58" i="47"/>
  <c r="E68" i="55" s="1"/>
  <c r="P81" i="46"/>
  <c r="O47" i="57" s="1"/>
  <c r="Q12" i="46"/>
  <c r="D36" i="46"/>
  <c r="C50" i="53" s="1"/>
  <c r="BR36" i="46"/>
  <c r="BP65" i="46" s="1"/>
  <c r="D13" i="46"/>
  <c r="C51" i="51" s="1"/>
  <c r="Z82" i="44"/>
  <c r="F28" i="58" s="1"/>
  <c r="Z58" i="44"/>
  <c r="F28" i="54" s="1"/>
  <c r="AT58" i="44"/>
  <c r="F28" i="55" s="1"/>
  <c r="Y34" i="44"/>
  <c r="J83" i="47"/>
  <c r="I69" i="57" s="1"/>
  <c r="J59" i="47"/>
  <c r="I69" i="56" s="1"/>
  <c r="CA35" i="47"/>
  <c r="K83" i="47"/>
  <c r="J69" i="57" s="1"/>
  <c r="M13" i="46"/>
  <c r="L51" i="51" s="1"/>
  <c r="M36" i="46"/>
  <c r="L50" i="53" s="1"/>
  <c r="AC82" i="44"/>
  <c r="I28" i="58" s="1"/>
  <c r="AC58" i="44"/>
  <c r="I28" i="54" s="1"/>
  <c r="AW58" i="44"/>
  <c r="I28" i="55" s="1"/>
  <c r="BC56" i="46"/>
  <c r="W34" i="47"/>
  <c r="K36" i="46"/>
  <c r="K13" i="46"/>
  <c r="J51" i="51" s="1"/>
  <c r="Q12" i="47"/>
  <c r="D36" i="47"/>
  <c r="C70" i="53" s="1"/>
  <c r="D13" i="47"/>
  <c r="C71" i="51" s="1"/>
  <c r="BR36" i="47"/>
  <c r="BP65" i="47" s="1"/>
  <c r="M36" i="47"/>
  <c r="L70" i="53" s="1"/>
  <c r="M13" i="47"/>
  <c r="L71" i="51" s="1"/>
  <c r="E59" i="47"/>
  <c r="D69" i="56" s="1"/>
  <c r="E83" i="47"/>
  <c r="D69" i="57" s="1"/>
  <c r="AD34" i="47"/>
  <c r="Y82" i="44"/>
  <c r="E28" i="58" s="1"/>
  <c r="Y58" i="44"/>
  <c r="E28" i="54" s="1"/>
  <c r="AS58" i="44"/>
  <c r="E28" i="55" s="1"/>
  <c r="M59" i="46"/>
  <c r="L49" i="56" s="1"/>
  <c r="M83" i="46"/>
  <c r="L49" i="57" s="1"/>
  <c r="AC34" i="46"/>
  <c r="AE34" i="46"/>
  <c r="BN68" i="46"/>
  <c r="AG34" i="46"/>
  <c r="AH34" i="46"/>
  <c r="BN69" i="46"/>
  <c r="I83" i="47"/>
  <c r="H69" i="57" s="1"/>
  <c r="I59" i="47"/>
  <c r="H69" i="56" s="1"/>
  <c r="B91" i="47"/>
  <c r="A77" i="57" s="1"/>
  <c r="U43" i="47"/>
  <c r="U91" i="47" s="1"/>
  <c r="A77" i="58" s="1"/>
  <c r="N42" i="47"/>
  <c r="BX42" i="47"/>
  <c r="N19" i="47"/>
  <c r="M77" i="51" s="1"/>
  <c r="O42" i="47"/>
  <c r="N76" i="53" s="1"/>
  <c r="O19" i="47"/>
  <c r="N77" i="51" s="1"/>
  <c r="N17" i="51" s="1"/>
  <c r="N89" i="47"/>
  <c r="M75" i="57" s="1"/>
  <c r="C68" i="47"/>
  <c r="C44" i="47"/>
  <c r="B78" i="53" s="1"/>
  <c r="C21" i="47"/>
  <c r="B79" i="51" s="1"/>
  <c r="V20" i="47"/>
  <c r="AP20" i="47" s="1"/>
  <c r="AZ40" i="47"/>
  <c r="AW40" i="47"/>
  <c r="AP41" i="47"/>
  <c r="AX40" i="47"/>
  <c r="O89" i="47"/>
  <c r="N75" i="57" s="1"/>
  <c r="N15" i="57" s="1"/>
  <c r="O65" i="47"/>
  <c r="N75" i="56" s="1"/>
  <c r="N15" i="56" s="1"/>
  <c r="AG88" i="47"/>
  <c r="M74" i="58" s="1"/>
  <c r="AG64" i="47"/>
  <c r="BA64" i="47"/>
  <c r="M74" i="55" s="1"/>
  <c r="C91" i="47"/>
  <c r="B77" i="57" s="1"/>
  <c r="V43" i="47"/>
  <c r="V91" i="47" s="1"/>
  <c r="B77" i="58" s="1"/>
  <c r="BA39" i="47"/>
  <c r="AU20" i="47"/>
  <c r="C78" i="52" s="1"/>
  <c r="B68" i="47"/>
  <c r="B44" i="47"/>
  <c r="A78" i="53" s="1"/>
  <c r="U20" i="47"/>
  <c r="AO20" i="47" s="1"/>
  <c r="B21" i="47"/>
  <c r="A79" i="51" s="1"/>
  <c r="L42" i="47"/>
  <c r="L19" i="47"/>
  <c r="K77" i="51" s="1"/>
  <c r="AH88" i="47"/>
  <c r="N74" i="58" s="1"/>
  <c r="N14" i="58" s="1"/>
  <c r="AH64" i="47"/>
  <c r="BB64" i="47"/>
  <c r="N74" i="55" s="1"/>
  <c r="AE88" i="47"/>
  <c r="K74" i="58" s="1"/>
  <c r="AE64" i="47"/>
  <c r="AY64" i="47"/>
  <c r="K74" i="55" s="1"/>
  <c r="L89" i="47"/>
  <c r="K75" i="57" s="1"/>
  <c r="B89" i="46"/>
  <c r="A55" i="57" s="1"/>
  <c r="U41" i="46"/>
  <c r="U89" i="46" s="1"/>
  <c r="A55" i="58" s="1"/>
  <c r="AP41" i="46"/>
  <c r="AZ40" i="46"/>
  <c r="AX40" i="46"/>
  <c r="AW40" i="46"/>
  <c r="BT40" i="46"/>
  <c r="BQ40" i="46"/>
  <c r="BX42" i="46"/>
  <c r="N42" i="46"/>
  <c r="N19" i="46"/>
  <c r="M57" i="51" s="1"/>
  <c r="BN41" i="46"/>
  <c r="BL42" i="46"/>
  <c r="C67" i="46"/>
  <c r="C43" i="46"/>
  <c r="B57" i="53" s="1"/>
  <c r="V19" i="46"/>
  <c r="AP19" i="46" s="1"/>
  <c r="C20" i="46"/>
  <c r="B58" i="51" s="1"/>
  <c r="N89" i="46"/>
  <c r="M55" i="57" s="1"/>
  <c r="O43" i="46"/>
  <c r="N57" i="53" s="1"/>
  <c r="O20" i="46"/>
  <c r="N58" i="51" s="1"/>
  <c r="L43" i="46"/>
  <c r="L20" i="46"/>
  <c r="K58" i="51" s="1"/>
  <c r="AU19" i="46"/>
  <c r="C57" i="52" s="1"/>
  <c r="C17" i="52" s="1"/>
  <c r="BD18" i="46"/>
  <c r="J56" i="52" s="1"/>
  <c r="J16" i="52" s="1"/>
  <c r="C90" i="46"/>
  <c r="B56" i="57" s="1"/>
  <c r="V42" i="46"/>
  <c r="V90" i="46" s="1"/>
  <c r="B56" i="58" s="1"/>
  <c r="L90" i="46"/>
  <c r="K56" i="57" s="1"/>
  <c r="AG88" i="46"/>
  <c r="M54" i="58" s="1"/>
  <c r="AG64" i="46"/>
  <c r="BA64" i="46"/>
  <c r="AH89" i="46"/>
  <c r="N55" i="58" s="1"/>
  <c r="AH65" i="46"/>
  <c r="BB65" i="46"/>
  <c r="B66" i="46"/>
  <c r="B42" i="46"/>
  <c r="A56" i="53" s="1"/>
  <c r="B19" i="46"/>
  <c r="A57" i="51" s="1"/>
  <c r="U18" i="46"/>
  <c r="AO18" i="46" s="1"/>
  <c r="O90" i="46"/>
  <c r="N56" i="57" s="1"/>
  <c r="O66" i="46"/>
  <c r="N56" i="56" s="1"/>
  <c r="AE89" i="46"/>
  <c r="K55" i="58" s="1"/>
  <c r="AE65" i="46"/>
  <c r="AY65" i="46"/>
  <c r="BA39" i="46"/>
  <c r="BT40" i="44"/>
  <c r="BQ40" i="44"/>
  <c r="O90" i="44"/>
  <c r="N36" i="57" s="1"/>
  <c r="AP43" i="44"/>
  <c r="AZ42" i="44"/>
  <c r="AX42" i="44"/>
  <c r="AW42" i="44"/>
  <c r="C38" i="52"/>
  <c r="BN41" i="44"/>
  <c r="BL42" i="44"/>
  <c r="BM42" i="44" s="1"/>
  <c r="L89" i="44"/>
  <c r="K35" i="57" s="1"/>
  <c r="AE88" i="44"/>
  <c r="K34" i="58" s="1"/>
  <c r="AE64" i="44"/>
  <c r="K34" i="54" s="1"/>
  <c r="AY64" i="44"/>
  <c r="K34" i="55" s="1"/>
  <c r="L42" i="44"/>
  <c r="L19" i="44"/>
  <c r="K37" i="51" s="1"/>
  <c r="AH89" i="44"/>
  <c r="N35" i="58" s="1"/>
  <c r="AH65" i="44"/>
  <c r="N35" i="54" s="1"/>
  <c r="BB65" i="44"/>
  <c r="N35" i="55" s="1"/>
  <c r="BA41" i="44"/>
  <c r="O43" i="44"/>
  <c r="O20" i="44"/>
  <c r="N38" i="51" s="1"/>
  <c r="BW34" i="43"/>
  <c r="BN67" i="43" s="1"/>
  <c r="AD81" i="43"/>
  <c r="CA33" i="43"/>
  <c r="AA57" i="43"/>
  <c r="BQ38" i="43"/>
  <c r="BT38" i="43"/>
  <c r="L12" i="43"/>
  <c r="L35" i="43"/>
  <c r="L59" i="43" s="1"/>
  <c r="F11" i="43"/>
  <c r="F34" i="43"/>
  <c r="K11" i="43"/>
  <c r="K34" i="43"/>
  <c r="K58" i="43" s="1"/>
  <c r="H11" i="43"/>
  <c r="H34" i="43"/>
  <c r="N12" i="43"/>
  <c r="N35" i="43"/>
  <c r="N59" i="43" s="1"/>
  <c r="M11" i="43"/>
  <c r="M34" i="43"/>
  <c r="O12" i="43"/>
  <c r="O35" i="43"/>
  <c r="J11" i="43"/>
  <c r="J34" i="43"/>
  <c r="G11" i="43"/>
  <c r="G34" i="43"/>
  <c r="E11" i="43"/>
  <c r="E34" i="43"/>
  <c r="I11" i="43"/>
  <c r="I34" i="43"/>
  <c r="AY10" i="43"/>
  <c r="AU9" i="43"/>
  <c r="BA10" i="43"/>
  <c r="BL40" i="43"/>
  <c r="BM40" i="43" s="1"/>
  <c r="BN39" i="43"/>
  <c r="AW10" i="43"/>
  <c r="AZ10" i="43"/>
  <c r="AV10" i="43"/>
  <c r="AX10" i="43"/>
  <c r="AX41" i="43"/>
  <c r="AP42" i="43"/>
  <c r="AW42" i="43" s="1"/>
  <c r="AZ41" i="43"/>
  <c r="A14" i="2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L69" i="43" l="1"/>
  <c r="E18" i="60"/>
  <c r="P9" i="51"/>
  <c r="P6" i="59"/>
  <c r="O6" i="59"/>
  <c r="J7" i="60"/>
  <c r="D7" i="60"/>
  <c r="L7" i="60"/>
  <c r="H7" i="60"/>
  <c r="AJ9" i="46"/>
  <c r="P47" i="59" s="1"/>
  <c r="O47" i="59"/>
  <c r="P50" i="51"/>
  <c r="AJ9" i="44"/>
  <c r="O27" i="59"/>
  <c r="P137" i="51"/>
  <c r="AJ9" i="47"/>
  <c r="P67" i="59" s="1"/>
  <c r="O67" i="59"/>
  <c r="P30" i="51"/>
  <c r="P30" i="59"/>
  <c r="AJ16" i="48"/>
  <c r="P94" i="59" s="1"/>
  <c r="O94" i="59"/>
  <c r="P70" i="51"/>
  <c r="P117" i="51"/>
  <c r="P97" i="51"/>
  <c r="AU66" i="48"/>
  <c r="G96" i="55" s="1"/>
  <c r="H67" i="48"/>
  <c r="G97" i="56" s="1"/>
  <c r="AA67" i="48"/>
  <c r="G97" i="54" s="1"/>
  <c r="H91" i="48"/>
  <c r="G97" i="57" s="1"/>
  <c r="AA90" i="48"/>
  <c r="G96" i="58" s="1"/>
  <c r="BD23" i="50"/>
  <c r="J141" i="52" s="1"/>
  <c r="AB42" i="50"/>
  <c r="Y42" i="50"/>
  <c r="H44" i="48"/>
  <c r="G98" i="53" s="1"/>
  <c r="I91" i="48"/>
  <c r="H97" i="57" s="1"/>
  <c r="AB90" i="48"/>
  <c r="H96" i="58" s="1"/>
  <c r="I67" i="48"/>
  <c r="H97" i="56" s="1"/>
  <c r="I21" i="48"/>
  <c r="H99" i="51" s="1"/>
  <c r="H21" i="48"/>
  <c r="G99" i="51" s="1"/>
  <c r="D21" i="48"/>
  <c r="C99" i="51" s="1"/>
  <c r="D44" i="48"/>
  <c r="C98" i="53" s="1"/>
  <c r="I44" i="48"/>
  <c r="H98" i="53" s="1"/>
  <c r="D67" i="48"/>
  <c r="C97" i="56" s="1"/>
  <c r="D91" i="48"/>
  <c r="C97" i="57" s="1"/>
  <c r="AB66" i="48"/>
  <c r="H96" i="54" s="1"/>
  <c r="AV66" i="48"/>
  <c r="H96" i="55" s="1"/>
  <c r="AW66" i="48"/>
  <c r="I96" i="55" s="1"/>
  <c r="J21" i="48"/>
  <c r="I99" i="51" s="1"/>
  <c r="J44" i="48"/>
  <c r="I98" i="53" s="1"/>
  <c r="W66" i="48"/>
  <c r="C96" i="54" s="1"/>
  <c r="J91" i="48"/>
  <c r="I97" i="57" s="1"/>
  <c r="J67" i="48"/>
  <c r="I97" i="56" s="1"/>
  <c r="AQ66" i="48"/>
  <c r="C96" i="55" s="1"/>
  <c r="W90" i="48"/>
  <c r="C96" i="58" s="1"/>
  <c r="AC90" i="48"/>
  <c r="I96" i="58" s="1"/>
  <c r="AC66" i="48"/>
  <c r="I96" i="54" s="1"/>
  <c r="BA23" i="48"/>
  <c r="I101" i="52" s="1"/>
  <c r="I100" i="52"/>
  <c r="AZ23" i="48"/>
  <c r="H101" i="52" s="1"/>
  <c r="H100" i="52"/>
  <c r="AV23" i="48"/>
  <c r="D101" i="52" s="1"/>
  <c r="D100" i="52"/>
  <c r="AX23" i="48"/>
  <c r="F101" i="52" s="1"/>
  <c r="F100" i="52"/>
  <c r="AY23" i="48"/>
  <c r="G101" i="52" s="1"/>
  <c r="G100" i="52"/>
  <c r="AW23" i="48"/>
  <c r="E101" i="52" s="1"/>
  <c r="E100" i="52"/>
  <c r="K15" i="53"/>
  <c r="M17" i="51"/>
  <c r="K15" i="57"/>
  <c r="K17" i="51"/>
  <c r="N14" i="55"/>
  <c r="BA21" i="47"/>
  <c r="I78" i="52"/>
  <c r="M15" i="53"/>
  <c r="AZ20" i="47"/>
  <c r="BD20" i="47" s="1"/>
  <c r="J78" i="52" s="1"/>
  <c r="H77" i="52"/>
  <c r="H17" i="52" s="1"/>
  <c r="AY21" i="47"/>
  <c r="G78" i="52"/>
  <c r="M14" i="58"/>
  <c r="AW21" i="47"/>
  <c r="E78" i="52"/>
  <c r="AX21" i="47"/>
  <c r="F78" i="52"/>
  <c r="AV21" i="47"/>
  <c r="D78" i="52"/>
  <c r="O4" i="55"/>
  <c r="AI33" i="46"/>
  <c r="K14" i="54"/>
  <c r="G17" i="52"/>
  <c r="D17" i="52"/>
  <c r="F17" i="52"/>
  <c r="AX21" i="46"/>
  <c r="F58" i="52"/>
  <c r="BA21" i="46"/>
  <c r="I58" i="52"/>
  <c r="I17" i="52"/>
  <c r="AV21" i="46"/>
  <c r="D58" i="52"/>
  <c r="AZ21" i="46"/>
  <c r="H58" i="52"/>
  <c r="AW21" i="46"/>
  <c r="E58" i="52"/>
  <c r="AY21" i="46"/>
  <c r="G58" i="52"/>
  <c r="N67" i="44"/>
  <c r="M37" i="56" s="1"/>
  <c r="M37" i="53"/>
  <c r="BA66" i="44"/>
  <c r="M36" i="55" s="1"/>
  <c r="N21" i="44"/>
  <c r="M39" i="51" s="1"/>
  <c r="N44" i="44"/>
  <c r="N68" i="44" s="1"/>
  <c r="M38" i="56" s="1"/>
  <c r="BX44" i="44"/>
  <c r="AG90" i="44"/>
  <c r="M36" i="58" s="1"/>
  <c r="AG66" i="44"/>
  <c r="M36" i="54" s="1"/>
  <c r="BJ63" i="44"/>
  <c r="BJ55" i="44"/>
  <c r="AX21" i="44"/>
  <c r="F38" i="52"/>
  <c r="AZ21" i="44"/>
  <c r="H38" i="52"/>
  <c r="AW20" i="44"/>
  <c r="BD20" i="44" s="1"/>
  <c r="J38" i="52" s="1"/>
  <c r="E37" i="52"/>
  <c r="E17" i="52" s="1"/>
  <c r="AY21" i="44"/>
  <c r="G38" i="52"/>
  <c r="BA21" i="44"/>
  <c r="I38" i="52"/>
  <c r="AV21" i="44"/>
  <c r="D38" i="52"/>
  <c r="H58" i="43"/>
  <c r="AA82" i="43" s="1"/>
  <c r="BI19" i="46"/>
  <c r="B57" i="52"/>
  <c r="U69" i="48"/>
  <c r="A99" i="56"/>
  <c r="V67" i="44"/>
  <c r="B37" i="56"/>
  <c r="U71" i="50"/>
  <c r="A141" i="56"/>
  <c r="AP67" i="48"/>
  <c r="B97" i="55" s="1"/>
  <c r="B97" i="54"/>
  <c r="AO67" i="47"/>
  <c r="A77" i="55" s="1"/>
  <c r="A77" i="54"/>
  <c r="AP69" i="50"/>
  <c r="B139" i="55" s="1"/>
  <c r="B139" i="54"/>
  <c r="A55" i="54"/>
  <c r="A55" i="55"/>
  <c r="B38" i="51"/>
  <c r="C44" i="44"/>
  <c r="C21" i="44"/>
  <c r="V20" i="44"/>
  <c r="AP20" i="44" s="1"/>
  <c r="C68" i="44"/>
  <c r="AP67" i="47"/>
  <c r="B77" i="55" s="1"/>
  <c r="B77" i="54"/>
  <c r="V67" i="46"/>
  <c r="AP67" i="46" s="1"/>
  <c r="B57" i="56"/>
  <c r="BA40" i="46"/>
  <c r="BH20" i="47"/>
  <c r="A78" i="52"/>
  <c r="U67" i="44"/>
  <c r="A37" i="56"/>
  <c r="AP66" i="44"/>
  <c r="B36" i="55" s="1"/>
  <c r="B36" i="54"/>
  <c r="B37" i="53"/>
  <c r="C91" i="44"/>
  <c r="B37" i="57" s="1"/>
  <c r="V43" i="44"/>
  <c r="V91" i="44" s="1"/>
  <c r="B37" i="58" s="1"/>
  <c r="V71" i="49"/>
  <c r="B121" i="56"/>
  <c r="BH18" i="46"/>
  <c r="A56" i="52"/>
  <c r="BI20" i="47"/>
  <c r="B78" i="52"/>
  <c r="BI20" i="48"/>
  <c r="B98" i="52"/>
  <c r="A38" i="51"/>
  <c r="B44" i="44"/>
  <c r="B68" i="44"/>
  <c r="B21" i="44"/>
  <c r="U20" i="44"/>
  <c r="AO20" i="44" s="1"/>
  <c r="U68" i="47"/>
  <c r="A78" i="56"/>
  <c r="BH23" i="49"/>
  <c r="A121" i="52"/>
  <c r="BI22" i="50"/>
  <c r="B140" i="52"/>
  <c r="BH19" i="44"/>
  <c r="A37" i="52"/>
  <c r="B56" i="55"/>
  <c r="B56" i="54"/>
  <c r="BH21" i="48"/>
  <c r="A99" i="52"/>
  <c r="V68" i="48"/>
  <c r="B98" i="56"/>
  <c r="AO70" i="50"/>
  <c r="A140" i="55" s="1"/>
  <c r="A140" i="54"/>
  <c r="AP70" i="49"/>
  <c r="B120" i="55" s="1"/>
  <c r="B120" i="54"/>
  <c r="A37" i="53"/>
  <c r="U43" i="44"/>
  <c r="U91" i="44" s="1"/>
  <c r="A37" i="58" s="1"/>
  <c r="B91" i="44"/>
  <c r="A37" i="57" s="1"/>
  <c r="BA42" i="44"/>
  <c r="U66" i="46"/>
  <c r="AO66" i="46" s="1"/>
  <c r="A56" i="56"/>
  <c r="V68" i="47"/>
  <c r="B78" i="56"/>
  <c r="U71" i="49"/>
  <c r="A121" i="56"/>
  <c r="V70" i="50"/>
  <c r="B140" i="56"/>
  <c r="BI23" i="49"/>
  <c r="B121" i="52"/>
  <c r="BH23" i="50"/>
  <c r="A141" i="52"/>
  <c r="AO70" i="49"/>
  <c r="A120" i="55" s="1"/>
  <c r="A120" i="54"/>
  <c r="AO68" i="48"/>
  <c r="A98" i="55" s="1"/>
  <c r="A98" i="54"/>
  <c r="BI19" i="44"/>
  <c r="B37" i="52"/>
  <c r="AO66" i="44"/>
  <c r="A36" i="55" s="1"/>
  <c r="A36" i="54"/>
  <c r="BR55" i="49"/>
  <c r="BR63" i="49"/>
  <c r="F11" i="51"/>
  <c r="I9" i="57"/>
  <c r="G9" i="57"/>
  <c r="Q59" i="44"/>
  <c r="P29" i="56" s="1"/>
  <c r="N14" i="54"/>
  <c r="N16" i="53"/>
  <c r="D8" i="58"/>
  <c r="BQ63" i="49"/>
  <c r="H11" i="51"/>
  <c r="AI40" i="48"/>
  <c r="L67" i="46"/>
  <c r="K57" i="56" s="1"/>
  <c r="K57" i="53"/>
  <c r="M54" i="55"/>
  <c r="M14" i="55" s="1"/>
  <c r="M14" i="54"/>
  <c r="BQ55" i="49"/>
  <c r="M15" i="56"/>
  <c r="N66" i="47"/>
  <c r="M76" i="56" s="1"/>
  <c r="M76" i="53"/>
  <c r="K36" i="53"/>
  <c r="L66" i="44"/>
  <c r="K36" i="56" s="1"/>
  <c r="N37" i="53"/>
  <c r="O67" i="44"/>
  <c r="N37" i="56" s="1"/>
  <c r="M99" i="53"/>
  <c r="N69" i="48"/>
  <c r="M99" i="56" s="1"/>
  <c r="K14" i="55"/>
  <c r="K55" i="55"/>
  <c r="M15" i="57"/>
  <c r="N66" i="46"/>
  <c r="M56" i="56" s="1"/>
  <c r="M56" i="53"/>
  <c r="K120" i="53"/>
  <c r="L70" i="49"/>
  <c r="K120" i="56" s="1"/>
  <c r="M141" i="53"/>
  <c r="N71" i="50"/>
  <c r="M141" i="56" s="1"/>
  <c r="K15" i="56"/>
  <c r="N55" i="55"/>
  <c r="K14" i="58"/>
  <c r="K76" i="53"/>
  <c r="L66" i="47"/>
  <c r="K76" i="56" s="1"/>
  <c r="K98" i="53"/>
  <c r="L68" i="48"/>
  <c r="K98" i="56" s="1"/>
  <c r="M120" i="53"/>
  <c r="N70" i="49"/>
  <c r="M120" i="56" s="1"/>
  <c r="J8" i="58"/>
  <c r="E11" i="51"/>
  <c r="I8" i="58"/>
  <c r="D11" i="51"/>
  <c r="J11" i="51"/>
  <c r="P8" i="57"/>
  <c r="J9" i="56"/>
  <c r="G9" i="53"/>
  <c r="F9" i="57"/>
  <c r="D48" i="55"/>
  <c r="D8" i="54"/>
  <c r="D97" i="53"/>
  <c r="E91" i="48"/>
  <c r="D97" i="57" s="1"/>
  <c r="E67" i="48"/>
  <c r="H48" i="55"/>
  <c r="H8" i="55" s="1"/>
  <c r="H8" i="54"/>
  <c r="G11" i="51"/>
  <c r="D9" i="56"/>
  <c r="L11" i="51"/>
  <c r="F48" i="55"/>
  <c r="F8" i="55" s="1"/>
  <c r="F8" i="54"/>
  <c r="H8" i="58"/>
  <c r="J60" i="44"/>
  <c r="I30" i="56" s="1"/>
  <c r="I30" i="53"/>
  <c r="I10" i="53" s="1"/>
  <c r="E9" i="57"/>
  <c r="P34" i="46"/>
  <c r="O48" i="53" s="1"/>
  <c r="O48" i="51"/>
  <c r="O8" i="51" s="1"/>
  <c r="AS42" i="48"/>
  <c r="BV61" i="48" s="1"/>
  <c r="P96" i="53"/>
  <c r="P80" i="47"/>
  <c r="O66" i="57" s="1"/>
  <c r="O6" i="57" s="1"/>
  <c r="O66" i="56"/>
  <c r="O6" i="56" s="1"/>
  <c r="AK64" i="48"/>
  <c r="BT58" i="48" s="1"/>
  <c r="P94" i="54"/>
  <c r="BD63" i="49"/>
  <c r="P113" i="55" s="1"/>
  <c r="O113" i="55"/>
  <c r="K67" i="49"/>
  <c r="J117" i="56" s="1"/>
  <c r="J117" i="53"/>
  <c r="F9" i="56"/>
  <c r="W59" i="44"/>
  <c r="C29" i="54" s="1"/>
  <c r="C29" i="56"/>
  <c r="C9" i="56" s="1"/>
  <c r="G9" i="56"/>
  <c r="O7" i="51"/>
  <c r="D96" i="56"/>
  <c r="AR66" i="48"/>
  <c r="D96" i="55" s="1"/>
  <c r="X66" i="48"/>
  <c r="D96" i="54" s="1"/>
  <c r="X90" i="48"/>
  <c r="D96" i="58" s="1"/>
  <c r="BJ11" i="46"/>
  <c r="BK11" i="46" s="1"/>
  <c r="BL11" i="46" s="1"/>
  <c r="P11" i="46" s="1"/>
  <c r="O49" i="51" s="1"/>
  <c r="P49" i="53"/>
  <c r="C48" i="55"/>
  <c r="C8" i="55" s="1"/>
  <c r="C8" i="54"/>
  <c r="G8" i="58"/>
  <c r="F8" i="58"/>
  <c r="M60" i="44"/>
  <c r="L30" i="56" s="1"/>
  <c r="L30" i="53"/>
  <c r="L10" i="53" s="1"/>
  <c r="I11" i="51"/>
  <c r="C11" i="51"/>
  <c r="P7" i="58"/>
  <c r="D8" i="55"/>
  <c r="I48" i="55"/>
  <c r="I8" i="55" s="1"/>
  <c r="I8" i="54"/>
  <c r="C8" i="58"/>
  <c r="AI17" i="48"/>
  <c r="O95" i="51"/>
  <c r="J98" i="51"/>
  <c r="K44" i="48"/>
  <c r="K21" i="48"/>
  <c r="H9" i="56"/>
  <c r="D98" i="51"/>
  <c r="E21" i="48"/>
  <c r="E44" i="48"/>
  <c r="E9" i="56"/>
  <c r="BD55" i="44"/>
  <c r="O25" i="55"/>
  <c r="K67" i="50"/>
  <c r="J137" i="56" s="1"/>
  <c r="J137" i="53"/>
  <c r="BD55" i="47"/>
  <c r="O65" i="55"/>
  <c r="P4" i="55"/>
  <c r="J96" i="56"/>
  <c r="AX66" i="48"/>
  <c r="J96" i="55" s="1"/>
  <c r="AD66" i="48"/>
  <c r="J96" i="54" s="1"/>
  <c r="AD90" i="48"/>
  <c r="J96" i="58" s="1"/>
  <c r="K60" i="46"/>
  <c r="J50" i="56" s="1"/>
  <c r="J50" i="53"/>
  <c r="AK64" i="50"/>
  <c r="BT58" i="50" s="1"/>
  <c r="P134" i="54"/>
  <c r="G60" i="44"/>
  <c r="F30" i="56" s="1"/>
  <c r="F30" i="53"/>
  <c r="F10" i="53" s="1"/>
  <c r="I60" i="44"/>
  <c r="H30" i="56" s="1"/>
  <c r="H30" i="53"/>
  <c r="H10" i="53" s="1"/>
  <c r="AK57" i="47"/>
  <c r="BM58" i="47" s="1"/>
  <c r="P67" i="54"/>
  <c r="E8" i="54"/>
  <c r="E48" i="55"/>
  <c r="E8" i="55" s="1"/>
  <c r="F60" i="44"/>
  <c r="E30" i="56" s="1"/>
  <c r="E30" i="53"/>
  <c r="E10" i="53" s="1"/>
  <c r="AQ42" i="50"/>
  <c r="BV59" i="50" s="1"/>
  <c r="P136" i="53"/>
  <c r="I9" i="56"/>
  <c r="AK57" i="44"/>
  <c r="BM58" i="44" s="1"/>
  <c r="P27" i="54"/>
  <c r="L9" i="57"/>
  <c r="G48" i="55"/>
  <c r="G8" i="55" s="1"/>
  <c r="G8" i="54"/>
  <c r="L8" i="58"/>
  <c r="H60" i="46"/>
  <c r="G50" i="56" s="1"/>
  <c r="G50" i="53"/>
  <c r="BJ63" i="47"/>
  <c r="C9" i="57"/>
  <c r="BD55" i="46"/>
  <c r="BK55" i="46" s="1"/>
  <c r="O45" i="55"/>
  <c r="O5" i="54"/>
  <c r="BD63" i="48"/>
  <c r="P93" i="55" s="1"/>
  <c r="O93" i="55"/>
  <c r="L9" i="56"/>
  <c r="J48" i="55"/>
  <c r="J8" i="55" s="1"/>
  <c r="J8" i="54"/>
  <c r="BD62" i="50"/>
  <c r="P132" i="55" s="1"/>
  <c r="O132" i="55"/>
  <c r="K67" i="48"/>
  <c r="J97" i="53"/>
  <c r="K91" i="48"/>
  <c r="J97" i="57" s="1"/>
  <c r="L48" i="55"/>
  <c r="L8" i="55" s="1"/>
  <c r="L8" i="54"/>
  <c r="H9" i="57"/>
  <c r="BW44" i="48"/>
  <c r="BX67" i="48" s="1"/>
  <c r="L98" i="51"/>
  <c r="BD56" i="46"/>
  <c r="BL55" i="46" s="1"/>
  <c r="O46" i="55"/>
  <c r="O6" i="54"/>
  <c r="D60" i="44"/>
  <c r="C30" i="56" s="1"/>
  <c r="C30" i="53"/>
  <c r="C10" i="53" s="1"/>
  <c r="J9" i="57"/>
  <c r="E8" i="58"/>
  <c r="E60" i="44"/>
  <c r="D30" i="56" s="1"/>
  <c r="D30" i="53"/>
  <c r="D10" i="53" s="1"/>
  <c r="K60" i="47"/>
  <c r="J70" i="56" s="1"/>
  <c r="J70" i="53"/>
  <c r="K60" i="44"/>
  <c r="J30" i="56" s="1"/>
  <c r="J30" i="53"/>
  <c r="AF35" i="47"/>
  <c r="P69" i="53"/>
  <c r="D9" i="57"/>
  <c r="BJ55" i="47"/>
  <c r="Y35" i="44"/>
  <c r="P29" i="53"/>
  <c r="H60" i="44"/>
  <c r="G30" i="56" s="1"/>
  <c r="G30" i="53"/>
  <c r="AI33" i="47"/>
  <c r="O67" i="53"/>
  <c r="P81" i="44"/>
  <c r="O27" i="57" s="1"/>
  <c r="O27" i="53"/>
  <c r="AS42" i="49"/>
  <c r="BV61" i="49" s="1"/>
  <c r="P116" i="53"/>
  <c r="AK64" i="49"/>
  <c r="BT58" i="49" s="1"/>
  <c r="P114" i="54"/>
  <c r="P8" i="56"/>
  <c r="BR63" i="48"/>
  <c r="P92" i="55"/>
  <c r="P8" i="53"/>
  <c r="J9" i="53"/>
  <c r="AD42" i="50"/>
  <c r="Z42" i="50"/>
  <c r="AF42" i="50"/>
  <c r="AJ41" i="49"/>
  <c r="X42" i="50"/>
  <c r="W42" i="50"/>
  <c r="AA42" i="50"/>
  <c r="AJ89" i="49"/>
  <c r="P115" i="58" s="1"/>
  <c r="J91" i="50"/>
  <c r="I137" i="57" s="1"/>
  <c r="J67" i="50"/>
  <c r="I137" i="56" s="1"/>
  <c r="G67" i="49"/>
  <c r="F117" i="56" s="1"/>
  <c r="G91" i="49"/>
  <c r="F117" i="57" s="1"/>
  <c r="AC42" i="49"/>
  <c r="D44" i="50"/>
  <c r="C138" i="53" s="1"/>
  <c r="D21" i="50"/>
  <c r="C139" i="51" s="1"/>
  <c r="BR44" i="50"/>
  <c r="BX65" i="50" s="1"/>
  <c r="Q20" i="50"/>
  <c r="BU59" i="50"/>
  <c r="AU41" i="50"/>
  <c r="W66" i="49"/>
  <c r="C116" i="54" s="1"/>
  <c r="AQ66" i="49"/>
  <c r="C116" i="55" s="1"/>
  <c r="W90" i="49"/>
  <c r="C116" i="58" s="1"/>
  <c r="Q66" i="49"/>
  <c r="P116" i="56" s="1"/>
  <c r="AU41" i="49"/>
  <c r="G44" i="49"/>
  <c r="F118" i="53" s="1"/>
  <c r="G21" i="49"/>
  <c r="F119" i="51" s="1"/>
  <c r="AC90" i="49"/>
  <c r="I116" i="58" s="1"/>
  <c r="AC66" i="49"/>
  <c r="I116" i="54" s="1"/>
  <c r="AW66" i="49"/>
  <c r="I116" i="55" s="1"/>
  <c r="I44" i="49"/>
  <c r="H118" i="53" s="1"/>
  <c r="I21" i="49"/>
  <c r="H119" i="51" s="1"/>
  <c r="AA42" i="49"/>
  <c r="Z90" i="50"/>
  <c r="F136" i="58" s="1"/>
  <c r="Z66" i="50"/>
  <c r="F136" i="54" s="1"/>
  <c r="AT66" i="50"/>
  <c r="F136" i="55" s="1"/>
  <c r="D91" i="50"/>
  <c r="C137" i="57" s="1"/>
  <c r="D67" i="50"/>
  <c r="C137" i="56" s="1"/>
  <c r="Q43" i="50"/>
  <c r="X43" i="50" s="1"/>
  <c r="AF90" i="50"/>
  <c r="L136" i="58" s="1"/>
  <c r="AF66" i="50"/>
  <c r="L136" i="54" s="1"/>
  <c r="AZ66" i="50"/>
  <c r="L136" i="55" s="1"/>
  <c r="AC66" i="50"/>
  <c r="I136" i="54" s="1"/>
  <c r="AW66" i="50"/>
  <c r="I136" i="55" s="1"/>
  <c r="AC90" i="50"/>
  <c r="I136" i="58" s="1"/>
  <c r="F67" i="49"/>
  <c r="E117" i="56" s="1"/>
  <c r="F91" i="49"/>
  <c r="E117" i="57" s="1"/>
  <c r="AF42" i="49"/>
  <c r="AA67" i="50"/>
  <c r="G137" i="54" s="1"/>
  <c r="H67" i="50"/>
  <c r="G137" i="56" s="1"/>
  <c r="H91" i="50"/>
  <c r="G137" i="57" s="1"/>
  <c r="Q90" i="49"/>
  <c r="P116" i="57" s="1"/>
  <c r="I91" i="49"/>
  <c r="H117" i="57" s="1"/>
  <c r="I67" i="49"/>
  <c r="H117" i="56" s="1"/>
  <c r="AA90" i="49"/>
  <c r="G116" i="58" s="1"/>
  <c r="AU66" i="49"/>
  <c r="G116" i="55" s="1"/>
  <c r="AJ65" i="50"/>
  <c r="F44" i="49"/>
  <c r="E118" i="53" s="1"/>
  <c r="F21" i="49"/>
  <c r="E119" i="51" s="1"/>
  <c r="AF66" i="49"/>
  <c r="L116" i="54" s="1"/>
  <c r="AF90" i="49"/>
  <c r="L116" i="58" s="1"/>
  <c r="AZ66" i="49"/>
  <c r="L116" i="55" s="1"/>
  <c r="Y42" i="49"/>
  <c r="BV69" i="49"/>
  <c r="BV68" i="49"/>
  <c r="AG42" i="49"/>
  <c r="AR42" i="49"/>
  <c r="BV60" i="49" s="1"/>
  <c r="AH42" i="49"/>
  <c r="AT42" i="49"/>
  <c r="BV62" i="49" s="1"/>
  <c r="AE42" i="49"/>
  <c r="BJ18" i="49"/>
  <c r="BK18" i="49" s="1"/>
  <c r="BL18" i="49" s="1"/>
  <c r="P18" i="49" s="1"/>
  <c r="O116" i="51" s="1"/>
  <c r="E91" i="50"/>
  <c r="D137" i="57" s="1"/>
  <c r="E67" i="50"/>
  <c r="D137" i="56" s="1"/>
  <c r="E44" i="49"/>
  <c r="D118" i="53" s="1"/>
  <c r="E21" i="49"/>
  <c r="D119" i="51" s="1"/>
  <c r="AJ16" i="50"/>
  <c r="P134" i="59" s="1"/>
  <c r="Z42" i="49"/>
  <c r="AJ16" i="49"/>
  <c r="P114" i="59" s="1"/>
  <c r="AB90" i="50"/>
  <c r="H136" i="58" s="1"/>
  <c r="AB66" i="50"/>
  <c r="H136" i="54" s="1"/>
  <c r="AV66" i="50"/>
  <c r="H136" i="55" s="1"/>
  <c r="BC63" i="50"/>
  <c r="AB42" i="49"/>
  <c r="AJ89" i="50"/>
  <c r="P135" i="58" s="1"/>
  <c r="D91" i="49"/>
  <c r="C117" i="57" s="1"/>
  <c r="D67" i="49"/>
  <c r="C117" i="56" s="1"/>
  <c r="Q43" i="49"/>
  <c r="K44" i="50"/>
  <c r="K21" i="50"/>
  <c r="J139" i="51" s="1"/>
  <c r="I91" i="50"/>
  <c r="H137" i="57" s="1"/>
  <c r="I67" i="50"/>
  <c r="H137" i="56" s="1"/>
  <c r="P41" i="49"/>
  <c r="O115" i="53" s="1"/>
  <c r="BO41" i="49"/>
  <c r="BU64" i="49" s="1"/>
  <c r="AI17" i="49"/>
  <c r="O115" i="59" s="1"/>
  <c r="BU41" i="49"/>
  <c r="BU66" i="49" s="1"/>
  <c r="E67" i="49"/>
  <c r="D117" i="56" s="1"/>
  <c r="E91" i="49"/>
  <c r="D117" i="57" s="1"/>
  <c r="M91" i="49"/>
  <c r="L117" i="57" s="1"/>
  <c r="M67" i="49"/>
  <c r="L117" i="56" s="1"/>
  <c r="P88" i="49"/>
  <c r="O114" i="57" s="1"/>
  <c r="AI40" i="49"/>
  <c r="AB90" i="49"/>
  <c r="H116" i="58" s="1"/>
  <c r="AB66" i="49"/>
  <c r="H116" i="54" s="1"/>
  <c r="AV66" i="49"/>
  <c r="H116" i="55" s="1"/>
  <c r="AD90" i="50"/>
  <c r="J136" i="58" s="1"/>
  <c r="AX66" i="50"/>
  <c r="J136" i="55" s="1"/>
  <c r="AD66" i="50"/>
  <c r="J136" i="54" s="1"/>
  <c r="G21" i="50"/>
  <c r="F139" i="51" s="1"/>
  <c r="G44" i="50"/>
  <c r="F138" i="53" s="1"/>
  <c r="K91" i="49"/>
  <c r="J117" i="57" s="1"/>
  <c r="CA43" i="49"/>
  <c r="K91" i="50"/>
  <c r="J137" i="57" s="1"/>
  <c r="CA43" i="50"/>
  <c r="P41" i="50"/>
  <c r="O135" i="53" s="1"/>
  <c r="AI17" i="50"/>
  <c r="O135" i="59" s="1"/>
  <c r="BO41" i="50"/>
  <c r="BU64" i="50" s="1"/>
  <c r="BU41" i="50"/>
  <c r="BU66" i="50" s="1"/>
  <c r="M44" i="50"/>
  <c r="L138" i="53" s="1"/>
  <c r="M21" i="50"/>
  <c r="L139" i="51" s="1"/>
  <c r="M21" i="49"/>
  <c r="L119" i="51" s="1"/>
  <c r="M44" i="49"/>
  <c r="L118" i="53" s="1"/>
  <c r="Z90" i="49"/>
  <c r="F116" i="58" s="1"/>
  <c r="Z66" i="49"/>
  <c r="F116" i="54" s="1"/>
  <c r="AT66" i="49"/>
  <c r="F116" i="55" s="1"/>
  <c r="Y66" i="50"/>
  <c r="E136" i="54" s="1"/>
  <c r="Y90" i="50"/>
  <c r="E136" i="58" s="1"/>
  <c r="AS66" i="50"/>
  <c r="E136" i="55" s="1"/>
  <c r="F44" i="50"/>
  <c r="E138" i="53" s="1"/>
  <c r="F21" i="50"/>
  <c r="E139" i="51" s="1"/>
  <c r="G91" i="50"/>
  <c r="F137" i="57" s="1"/>
  <c r="G67" i="50"/>
  <c r="F137" i="56" s="1"/>
  <c r="H44" i="49"/>
  <c r="G118" i="53" s="1"/>
  <c r="H21" i="49"/>
  <c r="G119" i="51" s="1"/>
  <c r="BW44" i="49"/>
  <c r="BX67" i="49" s="1"/>
  <c r="K21" i="49"/>
  <c r="J119" i="51" s="1"/>
  <c r="K44" i="49"/>
  <c r="AC42" i="50"/>
  <c r="BV69" i="50"/>
  <c r="AG42" i="50"/>
  <c r="BV68" i="50"/>
  <c r="AH42" i="50"/>
  <c r="AT42" i="50"/>
  <c r="BV62" i="50" s="1"/>
  <c r="AR42" i="50"/>
  <c r="BV60" i="50" s="1"/>
  <c r="BJ18" i="50"/>
  <c r="BK18" i="50" s="1"/>
  <c r="BL18" i="50" s="1"/>
  <c r="P18" i="50" s="1"/>
  <c r="O136" i="51" s="1"/>
  <c r="AE42" i="50"/>
  <c r="Q20" i="49"/>
  <c r="D21" i="49"/>
  <c r="C119" i="51" s="1"/>
  <c r="D44" i="49"/>
  <c r="C118" i="53" s="1"/>
  <c r="BR44" i="49"/>
  <c r="BX65" i="49" s="1"/>
  <c r="J44" i="49"/>
  <c r="I118" i="53" s="1"/>
  <c r="J21" i="49"/>
  <c r="I119" i="51" s="1"/>
  <c r="M91" i="50"/>
  <c r="L137" i="57" s="1"/>
  <c r="M67" i="50"/>
  <c r="L137" i="56" s="1"/>
  <c r="P88" i="50"/>
  <c r="O134" i="57" s="1"/>
  <c r="AI40" i="50"/>
  <c r="W42" i="49"/>
  <c r="X42" i="49"/>
  <c r="AD42" i="49"/>
  <c r="Y66" i="49"/>
  <c r="E116" i="54" s="1"/>
  <c r="AS66" i="49"/>
  <c r="E116" i="55" s="1"/>
  <c r="Y90" i="49"/>
  <c r="E116" i="58" s="1"/>
  <c r="F67" i="50"/>
  <c r="E137" i="56" s="1"/>
  <c r="F91" i="50"/>
  <c r="E137" i="57" s="1"/>
  <c r="AA67" i="49"/>
  <c r="G117" i="54" s="1"/>
  <c r="H67" i="49"/>
  <c r="G117" i="56" s="1"/>
  <c r="H91" i="49"/>
  <c r="G117" i="57" s="1"/>
  <c r="W90" i="50"/>
  <c r="C136" i="58" s="1"/>
  <c r="W66" i="50"/>
  <c r="C136" i="54" s="1"/>
  <c r="Q66" i="50"/>
  <c r="P136" i="56" s="1"/>
  <c r="AQ66" i="50"/>
  <c r="C136" i="55" s="1"/>
  <c r="AJ41" i="50"/>
  <c r="J44" i="50"/>
  <c r="I138" i="53" s="1"/>
  <c r="J21" i="50"/>
  <c r="I139" i="51" s="1"/>
  <c r="X90" i="50"/>
  <c r="D136" i="58" s="1"/>
  <c r="X66" i="50"/>
  <c r="D136" i="54" s="1"/>
  <c r="AR66" i="50"/>
  <c r="D136" i="55" s="1"/>
  <c r="AQ42" i="49"/>
  <c r="I44" i="50"/>
  <c r="H138" i="53" s="1"/>
  <c r="I21" i="50"/>
  <c r="H139" i="51" s="1"/>
  <c r="X90" i="49"/>
  <c r="D116" i="58" s="1"/>
  <c r="X66" i="49"/>
  <c r="D116" i="54" s="1"/>
  <c r="AR66" i="49"/>
  <c r="D116" i="55" s="1"/>
  <c r="AD66" i="49"/>
  <c r="J116" i="54" s="1"/>
  <c r="AD90" i="49"/>
  <c r="J116" i="58" s="1"/>
  <c r="AX66" i="49"/>
  <c r="J116" i="55" s="1"/>
  <c r="J91" i="49"/>
  <c r="I117" i="57" s="1"/>
  <c r="J67" i="49"/>
  <c r="I117" i="56" s="1"/>
  <c r="AA90" i="50"/>
  <c r="G136" i="58" s="1"/>
  <c r="AU66" i="50"/>
  <c r="G136" i="55" s="1"/>
  <c r="H44" i="50"/>
  <c r="G138" i="53" s="1"/>
  <c r="H21" i="50"/>
  <c r="G139" i="51" s="1"/>
  <c r="BW44" i="50"/>
  <c r="BX67" i="50" s="1"/>
  <c r="AJ65" i="49"/>
  <c r="Q90" i="50"/>
  <c r="P136" i="57" s="1"/>
  <c r="E44" i="50"/>
  <c r="D138" i="53" s="1"/>
  <c r="E21" i="50"/>
  <c r="D139" i="51" s="1"/>
  <c r="BD9" i="43"/>
  <c r="H82" i="43"/>
  <c r="BX36" i="43"/>
  <c r="K82" i="43"/>
  <c r="AC42" i="48"/>
  <c r="Q43" i="48"/>
  <c r="Z42" i="48"/>
  <c r="BO41" i="48"/>
  <c r="BU64" i="48" s="1"/>
  <c r="BU41" i="48"/>
  <c r="BU66" i="48" s="1"/>
  <c r="P41" i="48"/>
  <c r="AU41" i="48"/>
  <c r="AD42" i="48"/>
  <c r="AJ65" i="48"/>
  <c r="BR44" i="48"/>
  <c r="BX65" i="48" s="1"/>
  <c r="AJ41" i="48"/>
  <c r="Q66" i="48"/>
  <c r="P96" i="56" s="1"/>
  <c r="Q90" i="48"/>
  <c r="P96" i="57" s="1"/>
  <c r="AR42" i="48"/>
  <c r="BV60" i="48" s="1"/>
  <c r="AJ89" i="48"/>
  <c r="P95" i="58" s="1"/>
  <c r="AE42" i="48"/>
  <c r="BC56" i="47"/>
  <c r="BU34" i="46"/>
  <c r="BN66" i="46" s="1"/>
  <c r="BO34" i="46"/>
  <c r="BN64" i="46" s="1"/>
  <c r="AI33" i="44"/>
  <c r="B95" i="50"/>
  <c r="A141" i="57" s="1"/>
  <c r="U47" i="50"/>
  <c r="U95" i="50" s="1"/>
  <c r="A141" i="58" s="1"/>
  <c r="C71" i="50"/>
  <c r="C47" i="50"/>
  <c r="B141" i="53" s="1"/>
  <c r="V23" i="50"/>
  <c r="AP23" i="50" s="1"/>
  <c r="BA44" i="50"/>
  <c r="N95" i="50"/>
  <c r="M141" i="57" s="1"/>
  <c r="C94" i="50"/>
  <c r="B140" i="57" s="1"/>
  <c r="V46" i="50"/>
  <c r="V94" i="50" s="1"/>
  <c r="B140" i="58" s="1"/>
  <c r="AP46" i="50"/>
  <c r="AZ45" i="50"/>
  <c r="AX45" i="50"/>
  <c r="AW45" i="50"/>
  <c r="AE95" i="50"/>
  <c r="K141" i="58" s="1"/>
  <c r="AE71" i="50"/>
  <c r="AY71" i="50"/>
  <c r="K141" i="55" s="1"/>
  <c r="O95" i="50"/>
  <c r="N141" i="57" s="1"/>
  <c r="O71" i="50"/>
  <c r="N141" i="56" s="1"/>
  <c r="AG94" i="50"/>
  <c r="M140" i="58" s="1"/>
  <c r="AG70" i="50"/>
  <c r="BA70" i="50"/>
  <c r="M140" i="55" s="1"/>
  <c r="AH94" i="50"/>
  <c r="N140" i="58" s="1"/>
  <c r="AH70" i="50"/>
  <c r="BB70" i="50"/>
  <c r="N140" i="55" s="1"/>
  <c r="BA44" i="49"/>
  <c r="L94" i="49"/>
  <c r="K120" i="57" s="1"/>
  <c r="AG93" i="49"/>
  <c r="M119" i="58" s="1"/>
  <c r="AG69" i="49"/>
  <c r="BA69" i="49"/>
  <c r="M119" i="55" s="1"/>
  <c r="AP46" i="49"/>
  <c r="AZ45" i="49"/>
  <c r="AX45" i="49"/>
  <c r="AW45" i="49"/>
  <c r="B95" i="49"/>
  <c r="A121" i="57" s="1"/>
  <c r="U47" i="49"/>
  <c r="U95" i="49" s="1"/>
  <c r="A121" i="58" s="1"/>
  <c r="AH93" i="49"/>
  <c r="N119" i="58" s="1"/>
  <c r="AH69" i="49"/>
  <c r="BB69" i="49"/>
  <c r="N119" i="55" s="1"/>
  <c r="BX47" i="49"/>
  <c r="N47" i="49"/>
  <c r="C95" i="49"/>
  <c r="B121" i="57" s="1"/>
  <c r="V47" i="49"/>
  <c r="V95" i="49" s="1"/>
  <c r="B121" i="58" s="1"/>
  <c r="O47" i="49"/>
  <c r="N121" i="53" s="1"/>
  <c r="AE93" i="49"/>
  <c r="K119" i="58" s="1"/>
  <c r="AE69" i="49"/>
  <c r="AY69" i="49"/>
  <c r="K119" i="55" s="1"/>
  <c r="N94" i="49"/>
  <c r="M120" i="57" s="1"/>
  <c r="O94" i="49"/>
  <c r="N120" i="57" s="1"/>
  <c r="O70" i="49"/>
  <c r="N120" i="56" s="1"/>
  <c r="L47" i="49"/>
  <c r="Z90" i="48"/>
  <c r="F96" i="58" s="1"/>
  <c r="Z66" i="48"/>
  <c r="F96" i="54" s="1"/>
  <c r="AT66" i="48"/>
  <c r="F96" i="55" s="1"/>
  <c r="AH42" i="48"/>
  <c r="G91" i="48"/>
  <c r="F97" i="57" s="1"/>
  <c r="G67" i="48"/>
  <c r="F97" i="56" s="1"/>
  <c r="G44" i="48"/>
  <c r="F98" i="53" s="1"/>
  <c r="G21" i="48"/>
  <c r="F99" i="51" s="1"/>
  <c r="AG42" i="48"/>
  <c r="BJ18" i="48"/>
  <c r="BK18" i="48" s="1"/>
  <c r="BL18" i="48" s="1"/>
  <c r="P18" i="48" s="1"/>
  <c r="Y90" i="48"/>
  <c r="E96" i="58" s="1"/>
  <c r="Y66" i="48"/>
  <c r="E96" i="54" s="1"/>
  <c r="AS66" i="48"/>
  <c r="E96" i="55" s="1"/>
  <c r="AB42" i="48"/>
  <c r="AF42" i="48"/>
  <c r="AT42" i="48"/>
  <c r="BV62" i="48" s="1"/>
  <c r="AQ42" i="48"/>
  <c r="BV59" i="48" s="1"/>
  <c r="AA42" i="48"/>
  <c r="Y42" i="48"/>
  <c r="BV68" i="48"/>
  <c r="F44" i="48"/>
  <c r="E98" i="53" s="1"/>
  <c r="F21" i="48"/>
  <c r="E99" i="51" s="1"/>
  <c r="W42" i="48"/>
  <c r="X42" i="48"/>
  <c r="BV69" i="48"/>
  <c r="M44" i="48"/>
  <c r="M21" i="48"/>
  <c r="F91" i="48"/>
  <c r="E97" i="57" s="1"/>
  <c r="F67" i="48"/>
  <c r="E97" i="56" s="1"/>
  <c r="AF90" i="48"/>
  <c r="L96" i="58" s="1"/>
  <c r="AF66" i="48"/>
  <c r="L96" i="54" s="1"/>
  <c r="AZ66" i="48"/>
  <c r="L96" i="55" s="1"/>
  <c r="Q20" i="48"/>
  <c r="M91" i="48"/>
  <c r="L97" i="57" s="1"/>
  <c r="M67" i="48"/>
  <c r="L97" i="56" s="1"/>
  <c r="CA43" i="48"/>
  <c r="N93" i="48"/>
  <c r="M99" i="57" s="1"/>
  <c r="B70" i="48"/>
  <c r="B46" i="48"/>
  <c r="A100" i="53" s="1"/>
  <c r="B23" i="48"/>
  <c r="A101" i="51" s="1"/>
  <c r="U22" i="48"/>
  <c r="AO22" i="48" s="1"/>
  <c r="AH93" i="48"/>
  <c r="N99" i="58" s="1"/>
  <c r="AH69" i="48"/>
  <c r="N99" i="54" s="1"/>
  <c r="BB69" i="48"/>
  <c r="N99" i="55" s="1"/>
  <c r="B93" i="48"/>
  <c r="A99" i="57" s="1"/>
  <c r="U45" i="48"/>
  <c r="U93" i="48" s="1"/>
  <c r="A99" i="58" s="1"/>
  <c r="BC64" i="48"/>
  <c r="BD21" i="48"/>
  <c r="J99" i="52" s="1"/>
  <c r="AU22" i="48"/>
  <c r="C100" i="52" s="1"/>
  <c r="AE91" i="48"/>
  <c r="K97" i="58" s="1"/>
  <c r="AE67" i="48"/>
  <c r="K97" i="54" s="1"/>
  <c r="AY67" i="48"/>
  <c r="K97" i="55" s="1"/>
  <c r="O47" i="48"/>
  <c r="N101" i="53" s="1"/>
  <c r="AG92" i="48"/>
  <c r="M98" i="58" s="1"/>
  <c r="AG68" i="48"/>
  <c r="M98" i="54" s="1"/>
  <c r="BA68" i="48"/>
  <c r="M98" i="55" s="1"/>
  <c r="C69" i="48"/>
  <c r="C45" i="48"/>
  <c r="B99" i="53" s="1"/>
  <c r="C22" i="48"/>
  <c r="B100" i="51" s="1"/>
  <c r="V21" i="48"/>
  <c r="AP21" i="48" s="1"/>
  <c r="O94" i="48"/>
  <c r="N100" i="57" s="1"/>
  <c r="O70" i="48"/>
  <c r="N100" i="56" s="1"/>
  <c r="L45" i="48"/>
  <c r="L22" i="48"/>
  <c r="K100" i="51" s="1"/>
  <c r="AX43" i="48"/>
  <c r="AW43" i="48"/>
  <c r="AP44" i="48"/>
  <c r="AZ43" i="48"/>
  <c r="L92" i="48"/>
  <c r="K98" i="57" s="1"/>
  <c r="BX46" i="48"/>
  <c r="N46" i="48"/>
  <c r="N23" i="48"/>
  <c r="M101" i="51" s="1"/>
  <c r="BA42" i="48"/>
  <c r="C92" i="48"/>
  <c r="B98" i="57" s="1"/>
  <c r="V44" i="48"/>
  <c r="V92" i="48" s="1"/>
  <c r="B98" i="58" s="1"/>
  <c r="AI10" i="46"/>
  <c r="BJ11" i="44"/>
  <c r="BK11" i="44" s="1"/>
  <c r="BL11" i="44" s="1"/>
  <c r="P11" i="44" s="1"/>
  <c r="AD35" i="44"/>
  <c r="AR35" i="44"/>
  <c r="BO60" i="44" s="1"/>
  <c r="AA35" i="44"/>
  <c r="AC35" i="44"/>
  <c r="AT35" i="44"/>
  <c r="BO62" i="44" s="1"/>
  <c r="P57" i="47"/>
  <c r="AC35" i="47"/>
  <c r="AQ35" i="44"/>
  <c r="BO59" i="44" s="1"/>
  <c r="X35" i="47"/>
  <c r="AJ34" i="47"/>
  <c r="BC57" i="46"/>
  <c r="AF35" i="46"/>
  <c r="AJ34" i="46"/>
  <c r="BC57" i="44"/>
  <c r="Z35" i="44"/>
  <c r="K84" i="46"/>
  <c r="J50" i="57" s="1"/>
  <c r="CA36" i="46"/>
  <c r="M84" i="44"/>
  <c r="L30" i="57" s="1"/>
  <c r="E84" i="44"/>
  <c r="D30" i="57" s="1"/>
  <c r="J14" i="47"/>
  <c r="I72" i="51" s="1"/>
  <c r="J37" i="47"/>
  <c r="I71" i="53" s="1"/>
  <c r="W35" i="46"/>
  <c r="AR35" i="46"/>
  <c r="BO60" i="46" s="1"/>
  <c r="Y59" i="47"/>
  <c r="E69" i="54" s="1"/>
  <c r="Y83" i="47"/>
  <c r="E69" i="58" s="1"/>
  <c r="AS59" i="47"/>
  <c r="E69" i="55" s="1"/>
  <c r="Y59" i="46"/>
  <c r="E49" i="54" s="1"/>
  <c r="Y83" i="46"/>
  <c r="E49" i="58" s="1"/>
  <c r="AS59" i="46"/>
  <c r="K37" i="44"/>
  <c r="K14" i="44"/>
  <c r="J32" i="51" s="1"/>
  <c r="Q83" i="47"/>
  <c r="P69" i="57" s="1"/>
  <c r="AA83" i="44"/>
  <c r="G29" i="58" s="1"/>
  <c r="AU59" i="44"/>
  <c r="G29" i="55" s="1"/>
  <c r="F84" i="44"/>
  <c r="E30" i="57" s="1"/>
  <c r="I84" i="46"/>
  <c r="H50" i="57" s="1"/>
  <c r="I60" i="46"/>
  <c r="H50" i="56" s="1"/>
  <c r="AF59" i="44"/>
  <c r="L29" i="54" s="1"/>
  <c r="AF83" i="44"/>
  <c r="L29" i="58" s="1"/>
  <c r="AZ59" i="44"/>
  <c r="L29" i="55" s="1"/>
  <c r="F14" i="46"/>
  <c r="E52" i="51" s="1"/>
  <c r="F37" i="46"/>
  <c r="E51" i="53" s="1"/>
  <c r="AJ58" i="47"/>
  <c r="F37" i="47"/>
  <c r="E71" i="53" s="1"/>
  <c r="F14" i="47"/>
  <c r="E72" i="51" s="1"/>
  <c r="W35" i="47"/>
  <c r="AG35" i="47"/>
  <c r="AE35" i="47"/>
  <c r="AH35" i="47"/>
  <c r="BO68" i="47"/>
  <c r="BO69" i="47"/>
  <c r="AA35" i="46"/>
  <c r="F14" i="44"/>
  <c r="E32" i="51" s="1"/>
  <c r="F37" i="44"/>
  <c r="Z83" i="44"/>
  <c r="F29" i="58" s="1"/>
  <c r="Z59" i="44"/>
  <c r="F29" i="54" s="1"/>
  <c r="AT59" i="44"/>
  <c r="F29" i="55" s="1"/>
  <c r="M14" i="46"/>
  <c r="L52" i="51" s="1"/>
  <c r="M37" i="46"/>
  <c r="L51" i="53" s="1"/>
  <c r="G14" i="44"/>
  <c r="F32" i="51" s="1"/>
  <c r="G37" i="44"/>
  <c r="Q59" i="46"/>
  <c r="P49" i="56" s="1"/>
  <c r="W83" i="46"/>
  <c r="C49" i="58" s="1"/>
  <c r="W59" i="46"/>
  <c r="C49" i="54" s="1"/>
  <c r="AQ59" i="46"/>
  <c r="J37" i="46"/>
  <c r="I51" i="53" s="1"/>
  <c r="J14" i="46"/>
  <c r="I52" i="51" s="1"/>
  <c r="AT35" i="46"/>
  <c r="BO62" i="46" s="1"/>
  <c r="AA35" i="47"/>
  <c r="AJ82" i="46"/>
  <c r="P48" i="58" s="1"/>
  <c r="AD35" i="46"/>
  <c r="Q83" i="44"/>
  <c r="P29" i="57" s="1"/>
  <c r="AJ82" i="44"/>
  <c r="P28" i="58" s="1"/>
  <c r="AS35" i="47"/>
  <c r="BO61" i="47" s="1"/>
  <c r="AJ34" i="44"/>
  <c r="J58" i="43"/>
  <c r="AC82" i="43" s="1"/>
  <c r="J82" i="43"/>
  <c r="P82" i="46"/>
  <c r="O48" i="57" s="1"/>
  <c r="X83" i="46"/>
  <c r="D49" i="58" s="1"/>
  <c r="X59" i="46"/>
  <c r="D49" i="54" s="1"/>
  <c r="AR59" i="46"/>
  <c r="Q13" i="44"/>
  <c r="D37" i="44"/>
  <c r="BR37" i="44"/>
  <c r="BQ65" i="44" s="1"/>
  <c r="D14" i="44"/>
  <c r="C32" i="51" s="1"/>
  <c r="I14" i="46"/>
  <c r="H52" i="51" s="1"/>
  <c r="I37" i="46"/>
  <c r="H51" i="53" s="1"/>
  <c r="O59" i="43"/>
  <c r="AH83" i="43" s="1"/>
  <c r="O83" i="43"/>
  <c r="Q13" i="47"/>
  <c r="BR37" i="47"/>
  <c r="BQ65" i="47" s="1"/>
  <c r="D37" i="47"/>
  <c r="C71" i="53" s="1"/>
  <c r="D14" i="47"/>
  <c r="C72" i="51" s="1"/>
  <c r="AD35" i="47"/>
  <c r="Q36" i="46"/>
  <c r="D84" i="46"/>
  <c r="C50" i="57" s="1"/>
  <c r="D60" i="46"/>
  <c r="C50" i="56" s="1"/>
  <c r="BC56" i="44"/>
  <c r="G84" i="44"/>
  <c r="F30" i="57" s="1"/>
  <c r="Q83" i="46"/>
  <c r="P49" i="57" s="1"/>
  <c r="I37" i="47"/>
  <c r="H71" i="53" s="1"/>
  <c r="I14" i="47"/>
  <c r="H72" i="51" s="1"/>
  <c r="J84" i="46"/>
  <c r="I50" i="57" s="1"/>
  <c r="J60" i="46"/>
  <c r="I50" i="56" s="1"/>
  <c r="H84" i="47"/>
  <c r="G70" i="57" s="1"/>
  <c r="AA60" i="47"/>
  <c r="G70" i="54" s="1"/>
  <c r="H60" i="47"/>
  <c r="G70" i="56" s="1"/>
  <c r="G14" i="46"/>
  <c r="F52" i="51" s="1"/>
  <c r="G37" i="46"/>
  <c r="F51" i="53" s="1"/>
  <c r="E14" i="47"/>
  <c r="D72" i="51" s="1"/>
  <c r="E37" i="47"/>
  <c r="D71" i="53" s="1"/>
  <c r="AT35" i="47"/>
  <c r="BO62" i="47" s="1"/>
  <c r="AJ58" i="46"/>
  <c r="AK58" i="46" s="1"/>
  <c r="BN58" i="46" s="1"/>
  <c r="G84" i="47"/>
  <c r="F70" i="57" s="1"/>
  <c r="G60" i="47"/>
  <c r="F70" i="56" s="1"/>
  <c r="X35" i="44"/>
  <c r="BO69" i="44"/>
  <c r="AE35" i="44"/>
  <c r="BO68" i="44"/>
  <c r="AH35" i="44"/>
  <c r="AG35" i="44"/>
  <c r="AJ58" i="44"/>
  <c r="Z35" i="47"/>
  <c r="AB35" i="44"/>
  <c r="M84" i="46"/>
  <c r="L50" i="57" s="1"/>
  <c r="M60" i="46"/>
  <c r="L50" i="56" s="1"/>
  <c r="AG35" i="46"/>
  <c r="BO69" i="46"/>
  <c r="BO68" i="46"/>
  <c r="AH35" i="46"/>
  <c r="AE35" i="46"/>
  <c r="W83" i="44"/>
  <c r="C29" i="58" s="1"/>
  <c r="AQ59" i="44"/>
  <c r="C29" i="55" s="1"/>
  <c r="F84" i="46"/>
  <c r="E50" i="57" s="1"/>
  <c r="F60" i="46"/>
  <c r="E50" i="56" s="1"/>
  <c r="X59" i="47"/>
  <c r="D69" i="54" s="1"/>
  <c r="X83" i="47"/>
  <c r="D69" i="58" s="1"/>
  <c r="AR59" i="47"/>
  <c r="D69" i="55" s="1"/>
  <c r="D60" i="47"/>
  <c r="C70" i="56" s="1"/>
  <c r="Q36" i="47"/>
  <c r="D84" i="47"/>
  <c r="C70" i="57" s="1"/>
  <c r="BJ11" i="47"/>
  <c r="BK11" i="47" s="1"/>
  <c r="BL11" i="47" s="1"/>
  <c r="P11" i="47" s="1"/>
  <c r="O69" i="51" s="1"/>
  <c r="E84" i="46"/>
  <c r="D50" i="57" s="1"/>
  <c r="E60" i="46"/>
  <c r="D50" i="56" s="1"/>
  <c r="K14" i="47"/>
  <c r="J72" i="51" s="1"/>
  <c r="K37" i="47"/>
  <c r="I84" i="47"/>
  <c r="H70" i="57" s="1"/>
  <c r="I60" i="47"/>
  <c r="H70" i="56" s="1"/>
  <c r="AS35" i="46"/>
  <c r="BO61" i="46" s="1"/>
  <c r="J84" i="44"/>
  <c r="I30" i="57" s="1"/>
  <c r="D84" i="44"/>
  <c r="C30" i="57" s="1"/>
  <c r="Q36" i="44"/>
  <c r="H37" i="47"/>
  <c r="G71" i="53" s="1"/>
  <c r="H14" i="47"/>
  <c r="G72" i="51" s="1"/>
  <c r="BW37" i="47"/>
  <c r="BQ67" i="47" s="1"/>
  <c r="G84" i="46"/>
  <c r="F50" i="57" s="1"/>
  <c r="G60" i="46"/>
  <c r="F50" i="56" s="1"/>
  <c r="E60" i="47"/>
  <c r="D70" i="56" s="1"/>
  <c r="E84" i="47"/>
  <c r="D70" i="57" s="1"/>
  <c r="AA83" i="47"/>
  <c r="G69" i="58" s="1"/>
  <c r="AU59" i="47"/>
  <c r="G69" i="55" s="1"/>
  <c r="G37" i="47"/>
  <c r="F71" i="53" s="1"/>
  <c r="G14" i="47"/>
  <c r="F72" i="51" s="1"/>
  <c r="Z59" i="47"/>
  <c r="F69" i="54" s="1"/>
  <c r="Z83" i="47"/>
  <c r="F69" i="58" s="1"/>
  <c r="AT59" i="47"/>
  <c r="F69" i="55" s="1"/>
  <c r="AB83" i="44"/>
  <c r="H29" i="58" s="1"/>
  <c r="AB59" i="44"/>
  <c r="H29" i="54" s="1"/>
  <c r="AV59" i="44"/>
  <c r="H29" i="55" s="1"/>
  <c r="AJ82" i="47"/>
  <c r="P68" i="58" s="1"/>
  <c r="AR35" i="47"/>
  <c r="BO60" i="47" s="1"/>
  <c r="M58" i="43"/>
  <c r="AF82" i="43" s="1"/>
  <c r="M82" i="43"/>
  <c r="F58" i="43"/>
  <c r="Y82" i="43" s="1"/>
  <c r="F82" i="43"/>
  <c r="E14" i="46"/>
  <c r="D52" i="51" s="1"/>
  <c r="E37" i="46"/>
  <c r="D51" i="53" s="1"/>
  <c r="BN59" i="47"/>
  <c r="AU34" i="47"/>
  <c r="CA36" i="47"/>
  <c r="K84" i="47"/>
  <c r="J70" i="57" s="1"/>
  <c r="Z35" i="46"/>
  <c r="J37" i="44"/>
  <c r="J14" i="44"/>
  <c r="I32" i="51" s="1"/>
  <c r="AI10" i="44"/>
  <c r="O28" i="59" s="1"/>
  <c r="P34" i="44"/>
  <c r="O28" i="53" s="1"/>
  <c r="BO34" i="44"/>
  <c r="BN64" i="44" s="1"/>
  <c r="BU34" i="44"/>
  <c r="BN66" i="44" s="1"/>
  <c r="AA83" i="46"/>
  <c r="G49" i="58" s="1"/>
  <c r="AU59" i="46"/>
  <c r="AC35" i="46"/>
  <c r="AD59" i="46"/>
  <c r="J49" i="54" s="1"/>
  <c r="AD83" i="46"/>
  <c r="J49" i="58" s="1"/>
  <c r="AX59" i="46"/>
  <c r="I37" i="44"/>
  <c r="I14" i="44"/>
  <c r="H32" i="51" s="1"/>
  <c r="AU34" i="46"/>
  <c r="AB59" i="47"/>
  <c r="H69" i="54" s="1"/>
  <c r="AB83" i="47"/>
  <c r="H69" i="58" s="1"/>
  <c r="AV59" i="47"/>
  <c r="H69" i="55" s="1"/>
  <c r="AC83" i="47"/>
  <c r="I69" i="58" s="1"/>
  <c r="AC59" i="47"/>
  <c r="I69" i="54" s="1"/>
  <c r="AW59" i="47"/>
  <c r="I69" i="55" s="1"/>
  <c r="D37" i="46"/>
  <c r="C51" i="53" s="1"/>
  <c r="Q13" i="46"/>
  <c r="BR37" i="46"/>
  <c r="BQ65" i="46" s="1"/>
  <c r="D14" i="46"/>
  <c r="C52" i="51" s="1"/>
  <c r="E14" i="44"/>
  <c r="D32" i="51" s="1"/>
  <c r="E37" i="44"/>
  <c r="AD59" i="44"/>
  <c r="J29" i="54" s="1"/>
  <c r="AD83" i="44"/>
  <c r="J29" i="58" s="1"/>
  <c r="AX59" i="44"/>
  <c r="J29" i="55" s="1"/>
  <c r="AB83" i="46"/>
  <c r="H49" i="58" s="1"/>
  <c r="AB59" i="46"/>
  <c r="H49" i="54" s="1"/>
  <c r="AV59" i="46"/>
  <c r="AF59" i="47"/>
  <c r="L69" i="54" s="1"/>
  <c r="AF83" i="47"/>
  <c r="L69" i="58" s="1"/>
  <c r="AZ59" i="47"/>
  <c r="L69" i="55" s="1"/>
  <c r="F84" i="47"/>
  <c r="E70" i="57" s="1"/>
  <c r="F60" i="47"/>
  <c r="E70" i="56" s="1"/>
  <c r="AF59" i="46"/>
  <c r="L49" i="54" s="1"/>
  <c r="AF83" i="46"/>
  <c r="L49" i="58" s="1"/>
  <c r="AZ59" i="46"/>
  <c r="I58" i="43"/>
  <c r="AB82" i="43" s="1"/>
  <c r="I82" i="43"/>
  <c r="E58" i="43"/>
  <c r="X82" i="43" s="1"/>
  <c r="E82" i="43"/>
  <c r="M37" i="47"/>
  <c r="L71" i="53" s="1"/>
  <c r="M14" i="47"/>
  <c r="L72" i="51" s="1"/>
  <c r="AC59" i="44"/>
  <c r="I29" i="54" s="1"/>
  <c r="AC83" i="44"/>
  <c r="I29" i="58" s="1"/>
  <c r="AW59" i="44"/>
  <c r="I29" i="55" s="1"/>
  <c r="Y35" i="46"/>
  <c r="Z59" i="46"/>
  <c r="F49" i="54" s="1"/>
  <c r="Z83" i="46"/>
  <c r="F49" i="58" s="1"/>
  <c r="AT59" i="46"/>
  <c r="Y59" i="44"/>
  <c r="E29" i="54" s="1"/>
  <c r="Y83" i="44"/>
  <c r="E29" i="58" s="1"/>
  <c r="AS59" i="44"/>
  <c r="E29" i="55" s="1"/>
  <c r="AQ35" i="47"/>
  <c r="AI10" i="47"/>
  <c r="O68" i="59" s="1"/>
  <c r="P34" i="47"/>
  <c r="O68" i="53" s="1"/>
  <c r="BU34" i="47"/>
  <c r="BN66" i="47" s="1"/>
  <c r="BO34" i="47"/>
  <c r="BN64" i="47" s="1"/>
  <c r="H37" i="46"/>
  <c r="H14" i="46"/>
  <c r="G52" i="51" s="1"/>
  <c r="BW37" i="46"/>
  <c r="BQ67" i="46" s="1"/>
  <c r="AA60" i="44"/>
  <c r="G30" i="54" s="1"/>
  <c r="H84" i="44"/>
  <c r="G30" i="57" s="1"/>
  <c r="I84" i="44"/>
  <c r="H30" i="57" s="1"/>
  <c r="G58" i="43"/>
  <c r="Z82" i="43" s="1"/>
  <c r="G82" i="43"/>
  <c r="AG83" i="43"/>
  <c r="N83" i="43"/>
  <c r="AE83" i="43"/>
  <c r="L83" i="43"/>
  <c r="AB35" i="47"/>
  <c r="M60" i="47"/>
  <c r="L70" i="56" s="1"/>
  <c r="M84" i="47"/>
  <c r="L70" i="57" s="1"/>
  <c r="K37" i="46"/>
  <c r="K14" i="46"/>
  <c r="J52" i="51" s="1"/>
  <c r="AD59" i="47"/>
  <c r="J69" i="54" s="1"/>
  <c r="AD83" i="47"/>
  <c r="J69" i="58" s="1"/>
  <c r="AX59" i="47"/>
  <c r="J69" i="55" s="1"/>
  <c r="M37" i="44"/>
  <c r="M14" i="44"/>
  <c r="L32" i="51" s="1"/>
  <c r="J60" i="47"/>
  <c r="I70" i="56" s="1"/>
  <c r="J84" i="47"/>
  <c r="I70" i="57" s="1"/>
  <c r="AQ35" i="46"/>
  <c r="X35" i="46"/>
  <c r="Y35" i="47"/>
  <c r="K84" i="44"/>
  <c r="J30" i="57" s="1"/>
  <c r="CA36" i="44"/>
  <c r="W59" i="47"/>
  <c r="C69" i="54" s="1"/>
  <c r="Q59" i="47"/>
  <c r="P69" i="56" s="1"/>
  <c r="W83" i="47"/>
  <c r="C69" i="58" s="1"/>
  <c r="AQ59" i="47"/>
  <c r="C69" i="55" s="1"/>
  <c r="X83" i="44"/>
  <c r="D29" i="58" s="1"/>
  <c r="X59" i="44"/>
  <c r="D29" i="54" s="1"/>
  <c r="AR59" i="44"/>
  <c r="D29" i="55" s="1"/>
  <c r="AU34" i="44"/>
  <c r="AB35" i="46"/>
  <c r="AA60" i="46"/>
  <c r="G50" i="54" s="1"/>
  <c r="H84" i="46"/>
  <c r="G50" i="57" s="1"/>
  <c r="AC59" i="46"/>
  <c r="I49" i="54" s="1"/>
  <c r="AC83" i="46"/>
  <c r="I49" i="58" s="1"/>
  <c r="AW59" i="46"/>
  <c r="W35" i="44"/>
  <c r="AF35" i="44"/>
  <c r="H14" i="44"/>
  <c r="G32" i="51" s="1"/>
  <c r="H37" i="44"/>
  <c r="BW37" i="44"/>
  <c r="BQ67" i="44" s="1"/>
  <c r="AS35" i="44"/>
  <c r="BO61" i="44" s="1"/>
  <c r="L43" i="47"/>
  <c r="L20" i="47"/>
  <c r="K78" i="51" s="1"/>
  <c r="B69" i="47"/>
  <c r="B45" i="47"/>
  <c r="A79" i="53" s="1"/>
  <c r="B22" i="47"/>
  <c r="A80" i="51" s="1"/>
  <c r="U21" i="47"/>
  <c r="AO21" i="47" s="1"/>
  <c r="N90" i="47"/>
  <c r="M76" i="57" s="1"/>
  <c r="L90" i="47"/>
  <c r="K76" i="57" s="1"/>
  <c r="B92" i="47"/>
  <c r="A78" i="57" s="1"/>
  <c r="U44" i="47"/>
  <c r="U92" i="47" s="1"/>
  <c r="A78" i="58" s="1"/>
  <c r="O43" i="47"/>
  <c r="N77" i="53" s="1"/>
  <c r="O20" i="47"/>
  <c r="N78" i="51" s="1"/>
  <c r="N18" i="51" s="1"/>
  <c r="AU21" i="47"/>
  <c r="C79" i="52" s="1"/>
  <c r="C69" i="47"/>
  <c r="C45" i="47"/>
  <c r="B79" i="53" s="1"/>
  <c r="V21" i="47"/>
  <c r="AP21" i="47" s="1"/>
  <c r="C22" i="47"/>
  <c r="B80" i="51" s="1"/>
  <c r="O90" i="47"/>
  <c r="N76" i="57" s="1"/>
  <c r="N16" i="57" s="1"/>
  <c r="O66" i="47"/>
  <c r="N76" i="56" s="1"/>
  <c r="N16" i="56" s="1"/>
  <c r="AP42" i="47"/>
  <c r="AZ41" i="47"/>
  <c r="AW41" i="47"/>
  <c r="AX41" i="47"/>
  <c r="C92" i="47"/>
  <c r="B78" i="57" s="1"/>
  <c r="V44" i="47"/>
  <c r="V92" i="47" s="1"/>
  <c r="B78" i="58" s="1"/>
  <c r="AH89" i="47"/>
  <c r="N75" i="58" s="1"/>
  <c r="N15" i="58" s="1"/>
  <c r="AH65" i="47"/>
  <c r="BB65" i="47"/>
  <c r="N75" i="55" s="1"/>
  <c r="BA40" i="47"/>
  <c r="AE89" i="47"/>
  <c r="K75" i="58" s="1"/>
  <c r="AE65" i="47"/>
  <c r="AY65" i="47"/>
  <c r="K75" i="55" s="1"/>
  <c r="AG89" i="47"/>
  <c r="M75" i="58" s="1"/>
  <c r="AG65" i="47"/>
  <c r="BA65" i="47"/>
  <c r="M75" i="55" s="1"/>
  <c r="N43" i="47"/>
  <c r="BX43" i="47"/>
  <c r="N20" i="47"/>
  <c r="M78" i="51" s="1"/>
  <c r="AE90" i="46"/>
  <c r="K56" i="58" s="1"/>
  <c r="AE66" i="46"/>
  <c r="AY66" i="46"/>
  <c r="C68" i="46"/>
  <c r="C44" i="46"/>
  <c r="B58" i="53" s="1"/>
  <c r="C21" i="46"/>
  <c r="B59" i="51" s="1"/>
  <c r="V20" i="46"/>
  <c r="AP20" i="46" s="1"/>
  <c r="AP42" i="46"/>
  <c r="AZ41" i="46"/>
  <c r="AX41" i="46"/>
  <c r="AW41" i="46"/>
  <c r="AH90" i="46"/>
  <c r="N56" i="58" s="1"/>
  <c r="AH66" i="46"/>
  <c r="BB66" i="46"/>
  <c r="L44" i="46"/>
  <c r="L21" i="46"/>
  <c r="K59" i="51" s="1"/>
  <c r="O44" i="46"/>
  <c r="N58" i="53" s="1"/>
  <c r="O21" i="46"/>
  <c r="N59" i="51" s="1"/>
  <c r="L91" i="46"/>
  <c r="K57" i="57" s="1"/>
  <c r="O91" i="46"/>
  <c r="N57" i="57" s="1"/>
  <c r="O67" i="46"/>
  <c r="N57" i="56" s="1"/>
  <c r="C91" i="46"/>
  <c r="B57" i="57" s="1"/>
  <c r="V43" i="46"/>
  <c r="V91" i="46" s="1"/>
  <c r="B57" i="58" s="1"/>
  <c r="BL43" i="46"/>
  <c r="BN42" i="46"/>
  <c r="N43" i="46"/>
  <c r="BX43" i="46"/>
  <c r="N20" i="46"/>
  <c r="M58" i="51" s="1"/>
  <c r="AG89" i="46"/>
  <c r="M55" i="58" s="1"/>
  <c r="AG65" i="46"/>
  <c r="BA65" i="46"/>
  <c r="BQ41" i="46"/>
  <c r="BT41" i="46"/>
  <c r="N90" i="46"/>
  <c r="M56" i="57" s="1"/>
  <c r="B67" i="46"/>
  <c r="B43" i="46"/>
  <c r="A57" i="53" s="1"/>
  <c r="U19" i="46"/>
  <c r="AO19" i="46" s="1"/>
  <c r="B20" i="46"/>
  <c r="A58" i="51" s="1"/>
  <c r="B90" i="46"/>
  <c r="A56" i="57" s="1"/>
  <c r="U42" i="46"/>
  <c r="U90" i="46" s="1"/>
  <c r="A56" i="58" s="1"/>
  <c r="AU20" i="46"/>
  <c r="C58" i="52" s="1"/>
  <c r="C18" i="52" s="1"/>
  <c r="BD19" i="46"/>
  <c r="J57" i="52" s="1"/>
  <c r="J17" i="52" s="1"/>
  <c r="BQ41" i="44"/>
  <c r="BT41" i="44"/>
  <c r="AE89" i="44"/>
  <c r="K35" i="58" s="1"/>
  <c r="AE65" i="44"/>
  <c r="K35" i="54" s="1"/>
  <c r="AY65" i="44"/>
  <c r="K35" i="55" s="1"/>
  <c r="C39" i="52"/>
  <c r="O44" i="44"/>
  <c r="O21" i="44"/>
  <c r="N39" i="51" s="1"/>
  <c r="AZ43" i="44"/>
  <c r="AX43" i="44"/>
  <c r="AP44" i="44"/>
  <c r="AW43" i="44"/>
  <c r="O91" i="44"/>
  <c r="N37" i="57" s="1"/>
  <c r="L43" i="44"/>
  <c r="L20" i="44"/>
  <c r="K38" i="51" s="1"/>
  <c r="AH90" i="44"/>
  <c r="N36" i="58" s="1"/>
  <c r="AH66" i="44"/>
  <c r="N36" i="54" s="1"/>
  <c r="BB66" i="44"/>
  <c r="N36" i="55" s="1"/>
  <c r="L90" i="44"/>
  <c r="K36" i="57" s="1"/>
  <c r="BL43" i="44"/>
  <c r="BM43" i="44" s="1"/>
  <c r="BN42" i="44"/>
  <c r="BW35" i="43"/>
  <c r="BO67" i="43" s="1"/>
  <c r="AD82" i="43"/>
  <c r="CA34" i="43"/>
  <c r="AA58" i="43"/>
  <c r="O13" i="43"/>
  <c r="O36" i="43"/>
  <c r="K12" i="43"/>
  <c r="K35" i="43"/>
  <c r="K59" i="43" s="1"/>
  <c r="E12" i="43"/>
  <c r="E35" i="43"/>
  <c r="M12" i="43"/>
  <c r="M35" i="43"/>
  <c r="F12" i="43"/>
  <c r="F35" i="43"/>
  <c r="G12" i="43"/>
  <c r="G35" i="43"/>
  <c r="N13" i="43"/>
  <c r="N36" i="43"/>
  <c r="N60" i="43" s="1"/>
  <c r="L13" i="43"/>
  <c r="L36" i="43"/>
  <c r="L60" i="43" s="1"/>
  <c r="BQ39" i="43"/>
  <c r="BT39" i="43"/>
  <c r="J12" i="43"/>
  <c r="J35" i="43"/>
  <c r="I12" i="43"/>
  <c r="I35" i="43"/>
  <c r="H12" i="43"/>
  <c r="H35" i="43"/>
  <c r="AH52" i="43"/>
  <c r="BB52" i="43"/>
  <c r="AG55" i="43"/>
  <c r="BA55" i="43"/>
  <c r="AH58" i="43"/>
  <c r="BB58" i="43"/>
  <c r="AY11" i="43"/>
  <c r="BA11" i="43"/>
  <c r="AU10" i="43"/>
  <c r="AZ11" i="43"/>
  <c r="BL41" i="43"/>
  <c r="BM41" i="43" s="1"/>
  <c r="BN40" i="43"/>
  <c r="AQ52" i="43"/>
  <c r="Q28" i="43"/>
  <c r="AX42" i="43"/>
  <c r="AZ42" i="43"/>
  <c r="AP43" i="43"/>
  <c r="AW43" i="43" s="1"/>
  <c r="P7" i="59" l="1"/>
  <c r="AL70" i="43"/>
  <c r="E19" i="60"/>
  <c r="P10" i="51"/>
  <c r="L8" i="60"/>
  <c r="J8" i="60"/>
  <c r="D8" i="60"/>
  <c r="H8" i="60"/>
  <c r="AJ10" i="46"/>
  <c r="P48" i="59" s="1"/>
  <c r="O48" i="59"/>
  <c r="O8" i="59" s="1"/>
  <c r="P118" i="51"/>
  <c r="P138" i="51"/>
  <c r="O7" i="59"/>
  <c r="P51" i="51"/>
  <c r="P98" i="51"/>
  <c r="AJ17" i="48"/>
  <c r="P95" i="59" s="1"/>
  <c r="O95" i="59"/>
  <c r="P71" i="51"/>
  <c r="P31" i="51"/>
  <c r="P31" i="59"/>
  <c r="AU67" i="48"/>
  <c r="G97" i="55" s="1"/>
  <c r="AA91" i="48"/>
  <c r="G97" i="58" s="1"/>
  <c r="H68" i="48"/>
  <c r="G98" i="56" s="1"/>
  <c r="H92" i="48"/>
  <c r="G98" i="57" s="1"/>
  <c r="AA68" i="48"/>
  <c r="G98" i="54" s="1"/>
  <c r="I22" i="48"/>
  <c r="H100" i="51" s="1"/>
  <c r="AB67" i="48"/>
  <c r="H97" i="54" s="1"/>
  <c r="AB91" i="48"/>
  <c r="H97" i="58" s="1"/>
  <c r="I45" i="48"/>
  <c r="H99" i="53" s="1"/>
  <c r="AV67" i="48"/>
  <c r="H97" i="55" s="1"/>
  <c r="D22" i="48"/>
  <c r="C100" i="51" s="1"/>
  <c r="H22" i="48"/>
  <c r="G100" i="51" s="1"/>
  <c r="H45" i="48"/>
  <c r="G99" i="53" s="1"/>
  <c r="D45" i="48"/>
  <c r="C99" i="53" s="1"/>
  <c r="D68" i="48"/>
  <c r="C98" i="56" s="1"/>
  <c r="D92" i="48"/>
  <c r="C98" i="57" s="1"/>
  <c r="W67" i="48"/>
  <c r="C97" i="54" s="1"/>
  <c r="I68" i="48"/>
  <c r="H98" i="56" s="1"/>
  <c r="I92" i="48"/>
  <c r="H98" i="57" s="1"/>
  <c r="AC91" i="48"/>
  <c r="I97" i="58" s="1"/>
  <c r="J92" i="48"/>
  <c r="I98" i="57" s="1"/>
  <c r="AQ67" i="48"/>
  <c r="C97" i="55" s="1"/>
  <c r="W91" i="48"/>
  <c r="C97" i="58" s="1"/>
  <c r="J22" i="48"/>
  <c r="I100" i="51" s="1"/>
  <c r="J45" i="48"/>
  <c r="I99" i="53" s="1"/>
  <c r="AC67" i="48"/>
  <c r="I97" i="54" s="1"/>
  <c r="AW67" i="48"/>
  <c r="I97" i="55" s="1"/>
  <c r="J68" i="48"/>
  <c r="I98" i="56" s="1"/>
  <c r="K18" i="51"/>
  <c r="M16" i="57"/>
  <c r="M18" i="51"/>
  <c r="AY22" i="47"/>
  <c r="G79" i="52"/>
  <c r="AV22" i="47"/>
  <c r="D79" i="52"/>
  <c r="AZ21" i="47"/>
  <c r="BD21" i="47" s="1"/>
  <c r="J79" i="52" s="1"/>
  <c r="H78" i="52"/>
  <c r="H18" i="52" s="1"/>
  <c r="M16" i="56"/>
  <c r="AX22" i="47"/>
  <c r="F79" i="52"/>
  <c r="AW22" i="47"/>
  <c r="E79" i="52"/>
  <c r="BA22" i="47"/>
  <c r="I79" i="52"/>
  <c r="F18" i="52"/>
  <c r="D18" i="52"/>
  <c r="AI34" i="46"/>
  <c r="K15" i="54"/>
  <c r="I18" i="52"/>
  <c r="G18" i="52"/>
  <c r="AY22" i="46"/>
  <c r="G59" i="52"/>
  <c r="AV22" i="46"/>
  <c r="D59" i="52"/>
  <c r="AW22" i="46"/>
  <c r="E59" i="52"/>
  <c r="AZ22" i="46"/>
  <c r="H59" i="52"/>
  <c r="BA22" i="46"/>
  <c r="I59" i="52"/>
  <c r="AX22" i="46"/>
  <c r="F59" i="52"/>
  <c r="N45" i="44"/>
  <c r="N93" i="44" s="1"/>
  <c r="M39" i="57" s="1"/>
  <c r="BA67" i="44"/>
  <c r="M37" i="55" s="1"/>
  <c r="AG67" i="44"/>
  <c r="M37" i="54" s="1"/>
  <c r="AG91" i="44"/>
  <c r="M37" i="58" s="1"/>
  <c r="M38" i="53"/>
  <c r="N92" i="44"/>
  <c r="M38" i="57" s="1"/>
  <c r="N22" i="44"/>
  <c r="M40" i="51" s="1"/>
  <c r="BX45" i="44"/>
  <c r="AW21" i="44"/>
  <c r="BD21" i="44" s="1"/>
  <c r="J39" i="52" s="1"/>
  <c r="E38" i="52"/>
  <c r="E18" i="52" s="1"/>
  <c r="AY22" i="44"/>
  <c r="G39" i="52"/>
  <c r="AV22" i="44"/>
  <c r="D39" i="52"/>
  <c r="AZ22" i="44"/>
  <c r="H39" i="52"/>
  <c r="BA22" i="44"/>
  <c r="I39" i="52"/>
  <c r="AX22" i="44"/>
  <c r="F39" i="52"/>
  <c r="BS55" i="49"/>
  <c r="BS63" i="49"/>
  <c r="AH28" i="43"/>
  <c r="AT28" i="43"/>
  <c r="H59" i="43"/>
  <c r="AA83" i="43" s="1"/>
  <c r="V68" i="46"/>
  <c r="AP68" i="46" s="1"/>
  <c r="B58" i="56"/>
  <c r="U69" i="47"/>
  <c r="A79" i="56"/>
  <c r="BH22" i="48"/>
  <c r="A100" i="52"/>
  <c r="BH20" i="44"/>
  <c r="A38" i="52"/>
  <c r="B57" i="55"/>
  <c r="B57" i="54"/>
  <c r="U67" i="46"/>
  <c r="AO67" i="46" s="1"/>
  <c r="A57" i="56"/>
  <c r="BI23" i="50"/>
  <c r="B141" i="52"/>
  <c r="A56" i="55"/>
  <c r="A56" i="54"/>
  <c r="A39" i="51"/>
  <c r="B45" i="44"/>
  <c r="U21" i="44"/>
  <c r="AO21" i="44" s="1"/>
  <c r="B22" i="44"/>
  <c r="B69" i="44"/>
  <c r="AO71" i="50"/>
  <c r="A141" i="55" s="1"/>
  <c r="A141" i="54"/>
  <c r="U68" i="44"/>
  <c r="A38" i="56"/>
  <c r="BI21" i="47"/>
  <c r="B79" i="52"/>
  <c r="BI21" i="48"/>
  <c r="B99" i="52"/>
  <c r="U70" i="48"/>
  <c r="A100" i="56"/>
  <c r="V71" i="50"/>
  <c r="B141" i="56"/>
  <c r="AP70" i="50"/>
  <c r="B140" i="55" s="1"/>
  <c r="B140" i="54"/>
  <c r="AP68" i="48"/>
  <c r="B98" i="55" s="1"/>
  <c r="B98" i="54"/>
  <c r="A38" i="53"/>
  <c r="B92" i="44"/>
  <c r="A38" i="57" s="1"/>
  <c r="U44" i="44"/>
  <c r="U92" i="44" s="1"/>
  <c r="A38" i="58" s="1"/>
  <c r="AO67" i="44"/>
  <c r="A37" i="55" s="1"/>
  <c r="A37" i="54"/>
  <c r="V68" i="44"/>
  <c r="B38" i="56"/>
  <c r="AP67" i="44"/>
  <c r="B37" i="55" s="1"/>
  <c r="B37" i="54"/>
  <c r="V69" i="47"/>
  <c r="B79" i="56"/>
  <c r="AP71" i="49"/>
  <c r="B121" i="55" s="1"/>
  <c r="B121" i="54"/>
  <c r="BI20" i="44"/>
  <c r="B38" i="52"/>
  <c r="BH21" i="47"/>
  <c r="A79" i="52"/>
  <c r="V69" i="48"/>
  <c r="B99" i="56"/>
  <c r="AO71" i="49"/>
  <c r="A121" i="55" s="1"/>
  <c r="A121" i="54"/>
  <c r="B39" i="51"/>
  <c r="C45" i="44"/>
  <c r="C22" i="44"/>
  <c r="C69" i="44"/>
  <c r="V21" i="44"/>
  <c r="AP21" i="44" s="1"/>
  <c r="AO69" i="48"/>
  <c r="A99" i="55" s="1"/>
  <c r="A99" i="54"/>
  <c r="BI20" i="46"/>
  <c r="B58" i="52"/>
  <c r="C92" i="44"/>
  <c r="B38" i="57" s="1"/>
  <c r="B38" i="53"/>
  <c r="V44" i="44"/>
  <c r="V92" i="44" s="1"/>
  <c r="B38" i="58" s="1"/>
  <c r="BH19" i="46"/>
  <c r="A57" i="52"/>
  <c r="AP68" i="47"/>
  <c r="B78" i="55" s="1"/>
  <c r="B78" i="54"/>
  <c r="AO68" i="47"/>
  <c r="A78" i="55" s="1"/>
  <c r="A78" i="54"/>
  <c r="D12" i="51"/>
  <c r="AI11" i="46"/>
  <c r="H12" i="51"/>
  <c r="G10" i="53"/>
  <c r="J10" i="57"/>
  <c r="BL63" i="46"/>
  <c r="N15" i="55"/>
  <c r="N15" i="54"/>
  <c r="P9" i="56"/>
  <c r="K16" i="57"/>
  <c r="P35" i="46"/>
  <c r="O49" i="53" s="1"/>
  <c r="J12" i="51"/>
  <c r="BO35" i="46"/>
  <c r="BO64" i="46" s="1"/>
  <c r="BU35" i="46"/>
  <c r="BO66" i="46" s="1"/>
  <c r="BS55" i="48"/>
  <c r="BS63" i="48"/>
  <c r="N17" i="53"/>
  <c r="K99" i="53"/>
  <c r="L69" i="48"/>
  <c r="K99" i="56" s="1"/>
  <c r="K16" i="56"/>
  <c r="K121" i="53"/>
  <c r="L71" i="49"/>
  <c r="K121" i="56" s="1"/>
  <c r="K16" i="53"/>
  <c r="K77" i="53"/>
  <c r="L67" i="47"/>
  <c r="K77" i="56" s="1"/>
  <c r="K15" i="55"/>
  <c r="M55" i="55"/>
  <c r="M15" i="55" s="1"/>
  <c r="M15" i="54"/>
  <c r="K58" i="53"/>
  <c r="L68" i="46"/>
  <c r="K58" i="56" s="1"/>
  <c r="J9" i="58"/>
  <c r="M100" i="53"/>
  <c r="N70" i="48"/>
  <c r="M100" i="56" s="1"/>
  <c r="M121" i="53"/>
  <c r="N71" i="49"/>
  <c r="M121" i="56" s="1"/>
  <c r="L67" i="44"/>
  <c r="K37" i="56" s="1"/>
  <c r="K37" i="53"/>
  <c r="N56" i="55"/>
  <c r="M77" i="53"/>
  <c r="N67" i="47"/>
  <c r="M77" i="56" s="1"/>
  <c r="N38" i="53"/>
  <c r="O68" i="44"/>
  <c r="N38" i="56" s="1"/>
  <c r="K15" i="58"/>
  <c r="M15" i="58"/>
  <c r="M16" i="53"/>
  <c r="M57" i="53"/>
  <c r="N67" i="46"/>
  <c r="M57" i="56" s="1"/>
  <c r="D10" i="57"/>
  <c r="K56" i="55"/>
  <c r="AS43" i="50"/>
  <c r="BW61" i="50" s="1"/>
  <c r="F9" i="58"/>
  <c r="L9" i="58"/>
  <c r="C9" i="58"/>
  <c r="G61" i="44"/>
  <c r="F31" i="56" s="1"/>
  <c r="F31" i="53"/>
  <c r="F11" i="53" s="1"/>
  <c r="F10" i="57"/>
  <c r="K61" i="44"/>
  <c r="J31" i="56" s="1"/>
  <c r="J31" i="53"/>
  <c r="K68" i="50"/>
  <c r="J138" i="56" s="1"/>
  <c r="J138" i="53"/>
  <c r="AK65" i="50"/>
  <c r="BU58" i="50" s="1"/>
  <c r="P135" i="54"/>
  <c r="C10" i="56"/>
  <c r="BK63" i="46"/>
  <c r="P45" i="55"/>
  <c r="P45" i="54"/>
  <c r="P5" i="54" s="1"/>
  <c r="J99" i="51"/>
  <c r="K45" i="48"/>
  <c r="K22" i="48"/>
  <c r="I10" i="56"/>
  <c r="G12" i="51"/>
  <c r="L12" i="51"/>
  <c r="H10" i="57"/>
  <c r="J49" i="55"/>
  <c r="J9" i="55" s="1"/>
  <c r="J9" i="54"/>
  <c r="O8" i="53"/>
  <c r="K61" i="47"/>
  <c r="J71" i="56" s="1"/>
  <c r="J71" i="53"/>
  <c r="AK58" i="44"/>
  <c r="BN58" i="44" s="1"/>
  <c r="P28" i="54"/>
  <c r="BD56" i="44"/>
  <c r="P26" i="55" s="1"/>
  <c r="O26" i="55"/>
  <c r="E12" i="51"/>
  <c r="E49" i="55"/>
  <c r="E9" i="55" s="1"/>
  <c r="E9" i="54"/>
  <c r="BD64" i="48"/>
  <c r="P94" i="55" s="1"/>
  <c r="O94" i="55"/>
  <c r="AA43" i="48"/>
  <c r="P97" i="53"/>
  <c r="W43" i="49"/>
  <c r="P117" i="53"/>
  <c r="H10" i="56"/>
  <c r="O5" i="55"/>
  <c r="K68" i="48"/>
  <c r="J98" i="53"/>
  <c r="K92" i="48"/>
  <c r="J98" i="57" s="1"/>
  <c r="F9" i="54"/>
  <c r="F49" i="55"/>
  <c r="F9" i="55" s="1"/>
  <c r="BD57" i="46"/>
  <c r="BM55" i="46" s="1"/>
  <c r="O47" i="55"/>
  <c r="O7" i="54"/>
  <c r="E61" i="44"/>
  <c r="D31" i="56" s="1"/>
  <c r="D31" i="53"/>
  <c r="D11" i="53" s="1"/>
  <c r="D49" i="55"/>
  <c r="D9" i="55" s="1"/>
  <c r="D9" i="54"/>
  <c r="D10" i="56"/>
  <c r="E10" i="56"/>
  <c r="BK63" i="44"/>
  <c r="P25" i="55"/>
  <c r="D97" i="56"/>
  <c r="X91" i="48"/>
  <c r="D97" i="58" s="1"/>
  <c r="AR67" i="48"/>
  <c r="D97" i="55" s="1"/>
  <c r="X67" i="48"/>
  <c r="D97" i="54" s="1"/>
  <c r="Z36" i="47"/>
  <c r="P70" i="53"/>
  <c r="H61" i="44"/>
  <c r="G31" i="56" s="1"/>
  <c r="G31" i="53"/>
  <c r="I12" i="51"/>
  <c r="Z36" i="44"/>
  <c r="P30" i="53"/>
  <c r="P8" i="58"/>
  <c r="C49" i="55"/>
  <c r="C9" i="55" s="1"/>
  <c r="C9" i="54"/>
  <c r="AK58" i="47"/>
  <c r="BN58" i="47" s="1"/>
  <c r="P68" i="54"/>
  <c r="E10" i="57"/>
  <c r="CA44" i="48"/>
  <c r="L98" i="53"/>
  <c r="BO42" i="48"/>
  <c r="BV64" i="48" s="1"/>
  <c r="O96" i="51"/>
  <c r="Q60" i="44"/>
  <c r="P30" i="56" s="1"/>
  <c r="G10" i="56"/>
  <c r="J10" i="53"/>
  <c r="F10" i="56"/>
  <c r="I61" i="44"/>
  <c r="H31" i="56" s="1"/>
  <c r="H31" i="53"/>
  <c r="H11" i="53" s="1"/>
  <c r="F12" i="51"/>
  <c r="M61" i="44"/>
  <c r="L31" i="56" s="1"/>
  <c r="L31" i="53"/>
  <c r="L11" i="53" s="1"/>
  <c r="BW45" i="48"/>
  <c r="BY67" i="48" s="1"/>
  <c r="L99" i="51"/>
  <c r="BD56" i="47"/>
  <c r="BL55" i="47" s="1"/>
  <c r="O66" i="55"/>
  <c r="AK65" i="48"/>
  <c r="BU58" i="48" s="1"/>
  <c r="P95" i="54"/>
  <c r="AK65" i="49"/>
  <c r="BU58" i="49" s="1"/>
  <c r="P115" i="54"/>
  <c r="I49" i="55"/>
  <c r="I9" i="55" s="1"/>
  <c r="I9" i="54"/>
  <c r="I9" i="58"/>
  <c r="L49" i="55"/>
  <c r="L9" i="55" s="1"/>
  <c r="L9" i="54"/>
  <c r="H49" i="55"/>
  <c r="H9" i="55" s="1"/>
  <c r="H9" i="54"/>
  <c r="J61" i="44"/>
  <c r="I31" i="56" s="1"/>
  <c r="I31" i="53"/>
  <c r="I11" i="53" s="1"/>
  <c r="H9" i="58"/>
  <c r="C10" i="57"/>
  <c r="BJ12" i="46"/>
  <c r="BK12" i="46" s="1"/>
  <c r="BL12" i="46" s="1"/>
  <c r="P12" i="46" s="1"/>
  <c r="O50" i="51" s="1"/>
  <c r="P50" i="53"/>
  <c r="P9" i="57"/>
  <c r="L10" i="57"/>
  <c r="BK55" i="44"/>
  <c r="AI11" i="44"/>
  <c r="O29" i="51"/>
  <c r="O9" i="51" s="1"/>
  <c r="AF43" i="49"/>
  <c r="AQ43" i="50"/>
  <c r="BW59" i="50" s="1"/>
  <c r="P137" i="53"/>
  <c r="W60" i="44"/>
  <c r="C30" i="54" s="1"/>
  <c r="P9" i="53"/>
  <c r="J10" i="56"/>
  <c r="P46" i="55"/>
  <c r="P46" i="54"/>
  <c r="P6" i="54" s="1"/>
  <c r="D98" i="53"/>
  <c r="E68" i="48"/>
  <c r="E92" i="48"/>
  <c r="D98" i="57" s="1"/>
  <c r="G10" i="57"/>
  <c r="D9" i="58"/>
  <c r="E9" i="58"/>
  <c r="G49" i="55"/>
  <c r="G9" i="55" s="1"/>
  <c r="G9" i="54"/>
  <c r="I10" i="57"/>
  <c r="G9" i="58"/>
  <c r="BD57" i="44"/>
  <c r="BM55" i="44" s="1"/>
  <c r="O27" i="55"/>
  <c r="AI41" i="48"/>
  <c r="O95" i="53"/>
  <c r="BR55" i="50"/>
  <c r="K68" i="49"/>
  <c r="J118" i="56" s="1"/>
  <c r="J118" i="53"/>
  <c r="O7" i="53"/>
  <c r="D99" i="51"/>
  <c r="E22" i="48"/>
  <c r="E45" i="48"/>
  <c r="L10" i="56"/>
  <c r="K61" i="46"/>
  <c r="J51" i="56" s="1"/>
  <c r="J51" i="53"/>
  <c r="D61" i="44"/>
  <c r="C31" i="56" s="1"/>
  <c r="C31" i="53"/>
  <c r="C11" i="53" s="1"/>
  <c r="F61" i="44"/>
  <c r="E31" i="56" s="1"/>
  <c r="E31" i="53"/>
  <c r="E11" i="53" s="1"/>
  <c r="H61" i="46"/>
  <c r="G51" i="56" s="1"/>
  <c r="G51" i="53"/>
  <c r="C12" i="51"/>
  <c r="P81" i="47"/>
  <c r="O67" i="57" s="1"/>
  <c r="O7" i="57" s="1"/>
  <c r="O67" i="56"/>
  <c r="O7" i="56" s="1"/>
  <c r="BR63" i="50"/>
  <c r="BD63" i="50"/>
  <c r="P133" i="55" s="1"/>
  <c r="O133" i="55"/>
  <c r="J97" i="56"/>
  <c r="AX67" i="48"/>
  <c r="J97" i="55" s="1"/>
  <c r="AD91" i="48"/>
  <c r="J97" i="58" s="1"/>
  <c r="AD67" i="48"/>
  <c r="J97" i="54" s="1"/>
  <c r="BK63" i="47"/>
  <c r="P65" i="55"/>
  <c r="BK55" i="47"/>
  <c r="AF43" i="50"/>
  <c r="Z43" i="50"/>
  <c r="AA43" i="50"/>
  <c r="AJ42" i="50"/>
  <c r="AB43" i="50"/>
  <c r="Y43" i="50"/>
  <c r="W43" i="50"/>
  <c r="AU42" i="50"/>
  <c r="Z91" i="50"/>
  <c r="F137" i="58" s="1"/>
  <c r="Z67" i="50"/>
  <c r="F137" i="54" s="1"/>
  <c r="AT67" i="50"/>
  <c r="F137" i="55" s="1"/>
  <c r="I45" i="50"/>
  <c r="H139" i="53" s="1"/>
  <c r="I22" i="50"/>
  <c r="H140" i="51" s="1"/>
  <c r="M92" i="50"/>
  <c r="L138" i="57" s="1"/>
  <c r="M68" i="50"/>
  <c r="L138" i="56" s="1"/>
  <c r="G45" i="50"/>
  <c r="F139" i="53" s="1"/>
  <c r="G22" i="50"/>
  <c r="F140" i="51" s="1"/>
  <c r="AJ17" i="49"/>
  <c r="P115" i="59" s="1"/>
  <c r="BC65" i="49"/>
  <c r="AJ66" i="49"/>
  <c r="AA91" i="49"/>
  <c r="G117" i="58" s="1"/>
  <c r="AU67" i="49"/>
  <c r="G117" i="55" s="1"/>
  <c r="K92" i="49"/>
  <c r="J118" i="57" s="1"/>
  <c r="CA44" i="49"/>
  <c r="AQ43" i="49"/>
  <c r="BW68" i="49"/>
  <c r="AR43" i="49"/>
  <c r="BW60" i="49" s="1"/>
  <c r="AE43" i="49"/>
  <c r="AT43" i="49"/>
  <c r="BW62" i="49" s="1"/>
  <c r="BJ19" i="49"/>
  <c r="BK19" i="49" s="1"/>
  <c r="BL19" i="49" s="1"/>
  <c r="P19" i="49" s="1"/>
  <c r="O117" i="51" s="1"/>
  <c r="AH43" i="49"/>
  <c r="AG43" i="49"/>
  <c r="BW69" i="49"/>
  <c r="E45" i="49"/>
  <c r="D119" i="53" s="1"/>
  <c r="E22" i="49"/>
  <c r="D120" i="51" s="1"/>
  <c r="AB43" i="49"/>
  <c r="AS43" i="49"/>
  <c r="BW61" i="49" s="1"/>
  <c r="H22" i="50"/>
  <c r="G140" i="51" s="1"/>
  <c r="H45" i="50"/>
  <c r="G139" i="53" s="1"/>
  <c r="BW45" i="50"/>
  <c r="BY67" i="50" s="1"/>
  <c r="BV59" i="49"/>
  <c r="AU42" i="49"/>
  <c r="J45" i="49"/>
  <c r="I119" i="53" s="1"/>
  <c r="J22" i="49"/>
  <c r="I120" i="51" s="1"/>
  <c r="K45" i="49"/>
  <c r="K22" i="49"/>
  <c r="J120" i="51" s="1"/>
  <c r="AD43" i="49"/>
  <c r="AF91" i="49"/>
  <c r="L117" i="58" s="1"/>
  <c r="AF67" i="49"/>
  <c r="L117" i="54" s="1"/>
  <c r="AZ67" i="49"/>
  <c r="L117" i="55" s="1"/>
  <c r="AI41" i="49"/>
  <c r="P89" i="49"/>
  <c r="O115" i="57" s="1"/>
  <c r="AQ67" i="49"/>
  <c r="C117" i="55" s="1"/>
  <c r="W67" i="49"/>
  <c r="C117" i="54" s="1"/>
  <c r="W91" i="49"/>
  <c r="C117" i="58" s="1"/>
  <c r="Q67" i="49"/>
  <c r="P117" i="56" s="1"/>
  <c r="E92" i="49"/>
  <c r="D118" i="57" s="1"/>
  <c r="E68" i="49"/>
  <c r="D118" i="56" s="1"/>
  <c r="F45" i="49"/>
  <c r="E119" i="53" s="1"/>
  <c r="F22" i="49"/>
  <c r="E120" i="51" s="1"/>
  <c r="AB67" i="49"/>
  <c r="H117" i="54" s="1"/>
  <c r="AB91" i="49"/>
  <c r="H117" i="58" s="1"/>
  <c r="AV67" i="49"/>
  <c r="H117" i="55" s="1"/>
  <c r="Y43" i="49"/>
  <c r="G45" i="49"/>
  <c r="F119" i="53" s="1"/>
  <c r="G22" i="49"/>
  <c r="F120" i="51" s="1"/>
  <c r="Z43" i="49"/>
  <c r="I92" i="50"/>
  <c r="H138" i="57" s="1"/>
  <c r="I68" i="50"/>
  <c r="H138" i="56" s="1"/>
  <c r="H92" i="50"/>
  <c r="G138" i="57" s="1"/>
  <c r="AA68" i="50"/>
  <c r="G138" i="54" s="1"/>
  <c r="H68" i="50"/>
  <c r="G138" i="56" s="1"/>
  <c r="AJ66" i="50"/>
  <c r="AJ42" i="49"/>
  <c r="J92" i="49"/>
  <c r="I118" i="57" s="1"/>
  <c r="J68" i="49"/>
  <c r="I118" i="56" s="1"/>
  <c r="AJ17" i="50"/>
  <c r="P135" i="59" s="1"/>
  <c r="BC65" i="50"/>
  <c r="Q91" i="49"/>
  <c r="P117" i="57" s="1"/>
  <c r="BC64" i="49"/>
  <c r="F92" i="49"/>
  <c r="E118" i="57" s="1"/>
  <c r="F68" i="49"/>
  <c r="E118" i="56" s="1"/>
  <c r="G92" i="49"/>
  <c r="F118" i="57" s="1"/>
  <c r="G68" i="49"/>
  <c r="F118" i="56" s="1"/>
  <c r="E45" i="50"/>
  <c r="D139" i="53" s="1"/>
  <c r="E22" i="50"/>
  <c r="D140" i="51" s="1"/>
  <c r="AJ90" i="50"/>
  <c r="P136" i="58" s="1"/>
  <c r="F45" i="50"/>
  <c r="E139" i="53" s="1"/>
  <c r="F22" i="50"/>
  <c r="E140" i="51" s="1"/>
  <c r="M92" i="49"/>
  <c r="L118" i="57" s="1"/>
  <c r="M68" i="49"/>
  <c r="L118" i="56" s="1"/>
  <c r="AI41" i="50"/>
  <c r="P89" i="50"/>
  <c r="O135" i="57" s="1"/>
  <c r="AD91" i="49"/>
  <c r="J117" i="58" s="1"/>
  <c r="AX67" i="49"/>
  <c r="J117" i="55" s="1"/>
  <c r="AD67" i="49"/>
  <c r="J117" i="54" s="1"/>
  <c r="X43" i="49"/>
  <c r="AB67" i="50"/>
  <c r="H137" i="54" s="1"/>
  <c r="AB91" i="50"/>
  <c r="H137" i="58" s="1"/>
  <c r="AV67" i="50"/>
  <c r="H137" i="55" s="1"/>
  <c r="X91" i="50"/>
  <c r="D137" i="58" s="1"/>
  <c r="AR67" i="50"/>
  <c r="D137" i="55" s="1"/>
  <c r="X67" i="50"/>
  <c r="D137" i="54" s="1"/>
  <c r="Y91" i="49"/>
  <c r="E117" i="58" s="1"/>
  <c r="Y67" i="49"/>
  <c r="E117" i="54" s="1"/>
  <c r="AS67" i="49"/>
  <c r="E117" i="55" s="1"/>
  <c r="Z67" i="49"/>
  <c r="F117" i="54" s="1"/>
  <c r="AT67" i="49"/>
  <c r="F117" i="55" s="1"/>
  <c r="Z91" i="49"/>
  <c r="F117" i="58" s="1"/>
  <c r="E92" i="50"/>
  <c r="D138" i="57" s="1"/>
  <c r="E68" i="50"/>
  <c r="D138" i="56" s="1"/>
  <c r="Y91" i="50"/>
  <c r="E137" i="58" s="1"/>
  <c r="Y67" i="50"/>
  <c r="E137" i="54" s="1"/>
  <c r="AS67" i="50"/>
  <c r="E137" i="55" s="1"/>
  <c r="D92" i="49"/>
  <c r="C118" i="57" s="1"/>
  <c r="D68" i="49"/>
  <c r="C118" i="56" s="1"/>
  <c r="Q44" i="49"/>
  <c r="H22" i="49"/>
  <c r="G120" i="51" s="1"/>
  <c r="H45" i="49"/>
  <c r="G119" i="53" s="1"/>
  <c r="BW45" i="49"/>
  <c r="BY67" i="49" s="1"/>
  <c r="F68" i="50"/>
  <c r="E138" i="56" s="1"/>
  <c r="F92" i="50"/>
  <c r="E138" i="57" s="1"/>
  <c r="M45" i="49"/>
  <c r="L119" i="53" s="1"/>
  <c r="M22" i="49"/>
  <c r="L120" i="51" s="1"/>
  <c r="AD43" i="50"/>
  <c r="AR43" i="50"/>
  <c r="BW60" i="50" s="1"/>
  <c r="AE43" i="50"/>
  <c r="BW68" i="50"/>
  <c r="BW69" i="50"/>
  <c r="AH43" i="50"/>
  <c r="AT43" i="50"/>
  <c r="BW62" i="50" s="1"/>
  <c r="AG43" i="50"/>
  <c r="BJ19" i="50"/>
  <c r="BK19" i="50" s="1"/>
  <c r="BL19" i="50" s="1"/>
  <c r="P19" i="50" s="1"/>
  <c r="O137" i="51" s="1"/>
  <c r="I45" i="49"/>
  <c r="H119" i="53" s="1"/>
  <c r="I22" i="49"/>
  <c r="H120" i="51" s="1"/>
  <c r="AC43" i="50"/>
  <c r="AC43" i="49"/>
  <c r="J45" i="50"/>
  <c r="I139" i="53" s="1"/>
  <c r="J22" i="50"/>
  <c r="I140" i="51" s="1"/>
  <c r="BR45" i="49"/>
  <c r="BY65" i="49" s="1"/>
  <c r="D45" i="49"/>
  <c r="C119" i="53" s="1"/>
  <c r="Q21" i="49"/>
  <c r="D22" i="49"/>
  <c r="C120" i="51" s="1"/>
  <c r="AA68" i="49"/>
  <c r="G118" i="54" s="1"/>
  <c r="H68" i="49"/>
  <c r="G118" i="56" s="1"/>
  <c r="H92" i="49"/>
  <c r="G118" i="57" s="1"/>
  <c r="AD91" i="50"/>
  <c r="J137" i="58" s="1"/>
  <c r="AD67" i="50"/>
  <c r="J137" i="54" s="1"/>
  <c r="AX67" i="50"/>
  <c r="J137" i="55" s="1"/>
  <c r="X91" i="49"/>
  <c r="D117" i="58" s="1"/>
  <c r="X67" i="49"/>
  <c r="D117" i="54" s="1"/>
  <c r="AR67" i="49"/>
  <c r="D117" i="55" s="1"/>
  <c r="K45" i="50"/>
  <c r="K22" i="50"/>
  <c r="J140" i="51" s="1"/>
  <c r="BC64" i="50"/>
  <c r="BU42" i="49"/>
  <c r="BV66" i="49" s="1"/>
  <c r="AI18" i="49"/>
  <c r="O116" i="59" s="1"/>
  <c r="P42" i="49"/>
  <c r="O116" i="53" s="1"/>
  <c r="BO42" i="49"/>
  <c r="BV64" i="49" s="1"/>
  <c r="W67" i="50"/>
  <c r="C137" i="54" s="1"/>
  <c r="W91" i="50"/>
  <c r="C137" i="58" s="1"/>
  <c r="Q67" i="50"/>
  <c r="P137" i="56" s="1"/>
  <c r="AQ67" i="50"/>
  <c r="C137" i="55" s="1"/>
  <c r="I68" i="49"/>
  <c r="H118" i="56" s="1"/>
  <c r="I92" i="49"/>
  <c r="H118" i="57" s="1"/>
  <c r="AJ90" i="49"/>
  <c r="P116" i="58" s="1"/>
  <c r="D45" i="50"/>
  <c r="C139" i="53" s="1"/>
  <c r="D22" i="50"/>
  <c r="C140" i="51" s="1"/>
  <c r="BR45" i="50"/>
  <c r="BY65" i="50" s="1"/>
  <c r="Q21" i="50"/>
  <c r="AW67" i="50"/>
  <c r="I137" i="55" s="1"/>
  <c r="AC91" i="50"/>
  <c r="I137" i="58" s="1"/>
  <c r="AC67" i="50"/>
  <c r="I137" i="54" s="1"/>
  <c r="AI18" i="50"/>
  <c r="O136" i="59" s="1"/>
  <c r="BO42" i="50"/>
  <c r="BV64" i="50" s="1"/>
  <c r="P42" i="50"/>
  <c r="O136" i="53" s="1"/>
  <c r="BU42" i="50"/>
  <c r="BV66" i="50" s="1"/>
  <c r="AC91" i="49"/>
  <c r="I117" i="58" s="1"/>
  <c r="AC67" i="49"/>
  <c r="I117" i="54" s="1"/>
  <c r="AW67" i="49"/>
  <c r="I117" i="55" s="1"/>
  <c r="J92" i="50"/>
  <c r="I138" i="57" s="1"/>
  <c r="J68" i="50"/>
  <c r="I138" i="56" s="1"/>
  <c r="AA43" i="49"/>
  <c r="AF67" i="50"/>
  <c r="L137" i="54" s="1"/>
  <c r="AF91" i="50"/>
  <c r="L137" i="58" s="1"/>
  <c r="AZ67" i="50"/>
  <c r="L137" i="55" s="1"/>
  <c r="M22" i="50"/>
  <c r="L140" i="51" s="1"/>
  <c r="M45" i="50"/>
  <c r="L139" i="53" s="1"/>
  <c r="G92" i="50"/>
  <c r="F138" i="57" s="1"/>
  <c r="G68" i="50"/>
  <c r="F138" i="56" s="1"/>
  <c r="K92" i="50"/>
  <c r="J138" i="57" s="1"/>
  <c r="CA44" i="50"/>
  <c r="AA91" i="50"/>
  <c r="G137" i="58" s="1"/>
  <c r="AU67" i="50"/>
  <c r="G137" i="55" s="1"/>
  <c r="Q91" i="50"/>
  <c r="P137" i="57" s="1"/>
  <c r="D92" i="50"/>
  <c r="C138" i="57" s="1"/>
  <c r="D68" i="50"/>
  <c r="C138" i="56" s="1"/>
  <c r="Q44" i="50"/>
  <c r="W44" i="50" s="1"/>
  <c r="J83" i="43"/>
  <c r="G83" i="43"/>
  <c r="O84" i="43"/>
  <c r="I83" i="43"/>
  <c r="F83" i="43"/>
  <c r="BD10" i="43"/>
  <c r="H83" i="43"/>
  <c r="L84" i="43"/>
  <c r="M83" i="43"/>
  <c r="N84" i="43"/>
  <c r="E83" i="43"/>
  <c r="BX37" i="43"/>
  <c r="K83" i="43"/>
  <c r="BW69" i="48"/>
  <c r="Y43" i="48"/>
  <c r="Z43" i="48"/>
  <c r="AF43" i="48"/>
  <c r="AE43" i="48"/>
  <c r="AG43" i="48"/>
  <c r="AT43" i="48"/>
  <c r="BW62" i="48" s="1"/>
  <c r="P89" i="48"/>
  <c r="O95" i="57" s="1"/>
  <c r="AH43" i="48"/>
  <c r="BR45" i="48"/>
  <c r="BY65" i="48" s="1"/>
  <c r="W43" i="48"/>
  <c r="AD43" i="48"/>
  <c r="AR43" i="48"/>
  <c r="BW60" i="48" s="1"/>
  <c r="AC43" i="48"/>
  <c r="AS43" i="48"/>
  <c r="BW61" i="48" s="1"/>
  <c r="BJ19" i="48"/>
  <c r="BK19" i="48" s="1"/>
  <c r="BL19" i="48" s="1"/>
  <c r="P19" i="48" s="1"/>
  <c r="AB43" i="48"/>
  <c r="X43" i="48"/>
  <c r="BW68" i="48"/>
  <c r="AQ43" i="48"/>
  <c r="BW59" i="48" s="1"/>
  <c r="AI18" i="48"/>
  <c r="AU42" i="48"/>
  <c r="AJ90" i="48"/>
  <c r="P96" i="58" s="1"/>
  <c r="Q91" i="48"/>
  <c r="P97" i="57" s="1"/>
  <c r="Q67" i="48"/>
  <c r="P97" i="56" s="1"/>
  <c r="Q21" i="48"/>
  <c r="AJ66" i="48"/>
  <c r="AJ42" i="48"/>
  <c r="BU42" i="48"/>
  <c r="BV66" i="48" s="1"/>
  <c r="P42" i="48"/>
  <c r="AT36" i="44"/>
  <c r="BP62" i="44" s="1"/>
  <c r="P35" i="44"/>
  <c r="AH95" i="50"/>
  <c r="N141" i="58" s="1"/>
  <c r="AH71" i="50"/>
  <c r="BB71" i="50"/>
  <c r="N141" i="55" s="1"/>
  <c r="C95" i="50"/>
  <c r="B141" i="57" s="1"/>
  <c r="V47" i="50"/>
  <c r="V95" i="50" s="1"/>
  <c r="B141" i="58" s="1"/>
  <c r="AP47" i="50"/>
  <c r="AZ46" i="50"/>
  <c r="AX46" i="50"/>
  <c r="AW46" i="50"/>
  <c r="AG95" i="50"/>
  <c r="M141" i="58" s="1"/>
  <c r="AG71" i="50"/>
  <c r="BA71" i="50"/>
  <c r="M141" i="55" s="1"/>
  <c r="BA45" i="50"/>
  <c r="AX46" i="49"/>
  <c r="AW46" i="49"/>
  <c r="AP47" i="49"/>
  <c r="AZ46" i="49"/>
  <c r="L95" i="49"/>
  <c r="K121" i="57" s="1"/>
  <c r="N95" i="49"/>
  <c r="M121" i="57" s="1"/>
  <c r="AH94" i="49"/>
  <c r="N120" i="58" s="1"/>
  <c r="AH70" i="49"/>
  <c r="BB70" i="49"/>
  <c r="N120" i="55" s="1"/>
  <c r="AG94" i="49"/>
  <c r="M120" i="58" s="1"/>
  <c r="AG70" i="49"/>
  <c r="BA70" i="49"/>
  <c r="M120" i="55" s="1"/>
  <c r="O95" i="49"/>
  <c r="N121" i="57" s="1"/>
  <c r="O71" i="49"/>
  <c r="N121" i="56" s="1"/>
  <c r="BA45" i="49"/>
  <c r="AE94" i="49"/>
  <c r="K120" i="58" s="1"/>
  <c r="AE70" i="49"/>
  <c r="AY70" i="49"/>
  <c r="K120" i="55" s="1"/>
  <c r="G45" i="48"/>
  <c r="F99" i="53" s="1"/>
  <c r="G22" i="48"/>
  <c r="F100" i="51" s="1"/>
  <c r="F45" i="48"/>
  <c r="E99" i="53" s="1"/>
  <c r="F22" i="48"/>
  <c r="E100" i="51" s="1"/>
  <c r="AT67" i="48"/>
  <c r="F97" i="55" s="1"/>
  <c r="Z91" i="48"/>
  <c r="F97" i="58" s="1"/>
  <c r="Z67" i="48"/>
  <c r="F97" i="54" s="1"/>
  <c r="Y91" i="48"/>
  <c r="E97" i="58" s="1"/>
  <c r="AS67" i="48"/>
  <c r="E97" i="55" s="1"/>
  <c r="Y67" i="48"/>
  <c r="E97" i="54" s="1"/>
  <c r="F92" i="48"/>
  <c r="E98" i="57" s="1"/>
  <c r="F68" i="48"/>
  <c r="E98" i="56" s="1"/>
  <c r="AF91" i="48"/>
  <c r="L97" i="58" s="1"/>
  <c r="AF67" i="48"/>
  <c r="L97" i="54" s="1"/>
  <c r="AZ67" i="48"/>
  <c r="L97" i="55" s="1"/>
  <c r="M45" i="48"/>
  <c r="L99" i="53" s="1"/>
  <c r="M22" i="48"/>
  <c r="L100" i="51" s="1"/>
  <c r="G92" i="48"/>
  <c r="F98" i="57" s="1"/>
  <c r="G68" i="48"/>
  <c r="F98" i="56" s="1"/>
  <c r="Q44" i="48"/>
  <c r="M92" i="48"/>
  <c r="L98" i="57" s="1"/>
  <c r="M68" i="48"/>
  <c r="L98" i="56" s="1"/>
  <c r="AE92" i="48"/>
  <c r="K98" i="58" s="1"/>
  <c r="AE68" i="48"/>
  <c r="K98" i="54" s="1"/>
  <c r="AY68" i="48"/>
  <c r="K98" i="55" s="1"/>
  <c r="AH94" i="48"/>
  <c r="N100" i="58" s="1"/>
  <c r="AH70" i="48"/>
  <c r="N100" i="54" s="1"/>
  <c r="BB70" i="48"/>
  <c r="N100" i="55" s="1"/>
  <c r="C70" i="48"/>
  <c r="C46" i="48"/>
  <c r="B100" i="53" s="1"/>
  <c r="C23" i="48"/>
  <c r="B101" i="51" s="1"/>
  <c r="V22" i="48"/>
  <c r="AP22" i="48" s="1"/>
  <c r="BD22" i="48"/>
  <c r="J100" i="52" s="1"/>
  <c r="AU23" i="48"/>
  <c r="AP45" i="48"/>
  <c r="AZ44" i="48"/>
  <c r="AX44" i="48"/>
  <c r="AW44" i="48"/>
  <c r="C93" i="48"/>
  <c r="B99" i="57" s="1"/>
  <c r="V45" i="48"/>
  <c r="V93" i="48" s="1"/>
  <c r="B99" i="58" s="1"/>
  <c r="BX47" i="48"/>
  <c r="N47" i="48"/>
  <c r="BA43" i="48"/>
  <c r="B71" i="48"/>
  <c r="B47" i="48"/>
  <c r="A101" i="53" s="1"/>
  <c r="U23" i="48"/>
  <c r="AO23" i="48" s="1"/>
  <c r="AG93" i="48"/>
  <c r="M99" i="58" s="1"/>
  <c r="AG69" i="48"/>
  <c r="M99" i="54" s="1"/>
  <c r="BA69" i="48"/>
  <c r="M99" i="55" s="1"/>
  <c r="L46" i="48"/>
  <c r="L23" i="48"/>
  <c r="K101" i="51" s="1"/>
  <c r="O95" i="48"/>
  <c r="N101" i="57" s="1"/>
  <c r="O71" i="48"/>
  <c r="N101" i="56" s="1"/>
  <c r="B94" i="48"/>
  <c r="A100" i="57" s="1"/>
  <c r="U46" i="48"/>
  <c r="U94" i="48" s="1"/>
  <c r="A100" i="58" s="1"/>
  <c r="N94" i="48"/>
  <c r="M100" i="57" s="1"/>
  <c r="L93" i="48"/>
  <c r="K99" i="57" s="1"/>
  <c r="BC57" i="47"/>
  <c r="BJ12" i="44"/>
  <c r="BK12" i="44" s="1"/>
  <c r="BL12" i="44" s="1"/>
  <c r="P12" i="44" s="1"/>
  <c r="BO35" i="44"/>
  <c r="BO64" i="44" s="1"/>
  <c r="BU35" i="44"/>
  <c r="BO66" i="44" s="1"/>
  <c r="AD36" i="44"/>
  <c r="AS36" i="46"/>
  <c r="BP61" i="46" s="1"/>
  <c r="AT36" i="46"/>
  <c r="BP62" i="46" s="1"/>
  <c r="Z36" i="46"/>
  <c r="AA36" i="46"/>
  <c r="AB36" i="44"/>
  <c r="AJ35" i="44"/>
  <c r="AF36" i="46"/>
  <c r="AQ36" i="47"/>
  <c r="BP59" i="47" s="1"/>
  <c r="W36" i="46"/>
  <c r="AC36" i="46"/>
  <c r="AR36" i="46"/>
  <c r="BP60" i="46" s="1"/>
  <c r="X36" i="46"/>
  <c r="AQ36" i="46"/>
  <c r="BP59" i="46" s="1"/>
  <c r="W36" i="47"/>
  <c r="AS36" i="47"/>
  <c r="BP61" i="47" s="1"/>
  <c r="AC36" i="47"/>
  <c r="AF36" i="47"/>
  <c r="Y36" i="47"/>
  <c r="AR36" i="47"/>
  <c r="BP60" i="47" s="1"/>
  <c r="X36" i="47"/>
  <c r="AJ35" i="47"/>
  <c r="AC36" i="44"/>
  <c r="Y36" i="44"/>
  <c r="AA36" i="44"/>
  <c r="AA84" i="46"/>
  <c r="G50" i="58" s="1"/>
  <c r="AU60" i="46"/>
  <c r="AJ83" i="47"/>
  <c r="P69" i="58" s="1"/>
  <c r="M85" i="44"/>
  <c r="L31" i="57" s="1"/>
  <c r="CA37" i="47"/>
  <c r="K85" i="47"/>
  <c r="J71" i="57" s="1"/>
  <c r="Z60" i="47"/>
  <c r="F70" i="54" s="1"/>
  <c r="Z84" i="47"/>
  <c r="F70" i="58" s="1"/>
  <c r="AT60" i="47"/>
  <c r="F70" i="55" s="1"/>
  <c r="E85" i="47"/>
  <c r="D71" i="57" s="1"/>
  <c r="E61" i="47"/>
  <c r="D71" i="56" s="1"/>
  <c r="D38" i="47"/>
  <c r="C72" i="53" s="1"/>
  <c r="Q14" i="47"/>
  <c r="D15" i="47"/>
  <c r="C73" i="51" s="1"/>
  <c r="BR38" i="47"/>
  <c r="BR65" i="47" s="1"/>
  <c r="I15" i="46"/>
  <c r="H53" i="51" s="1"/>
  <c r="I38" i="46"/>
  <c r="H52" i="53" s="1"/>
  <c r="J85" i="46"/>
  <c r="I51" i="57" s="1"/>
  <c r="J61" i="46"/>
  <c r="I51" i="56" s="1"/>
  <c r="F38" i="46"/>
  <c r="E52" i="53" s="1"/>
  <c r="F15" i="46"/>
  <c r="E53" i="51" s="1"/>
  <c r="K15" i="44"/>
  <c r="J33" i="51" s="1"/>
  <c r="K38" i="44"/>
  <c r="X84" i="44"/>
  <c r="D30" i="58" s="1"/>
  <c r="X60" i="44"/>
  <c r="D30" i="54" s="1"/>
  <c r="AR60" i="44"/>
  <c r="D30" i="55" s="1"/>
  <c r="K38" i="47"/>
  <c r="K15" i="47"/>
  <c r="J73" i="51" s="1"/>
  <c r="AJ59" i="47"/>
  <c r="BO59" i="46"/>
  <c r="AU35" i="46"/>
  <c r="AA84" i="44"/>
  <c r="G30" i="58" s="1"/>
  <c r="AU60" i="44"/>
  <c r="G30" i="55" s="1"/>
  <c r="AJ10" i="47"/>
  <c r="P68" i="59" s="1"/>
  <c r="Q37" i="46"/>
  <c r="D61" i="46"/>
  <c r="C51" i="56" s="1"/>
  <c r="D85" i="46"/>
  <c r="C51" i="57" s="1"/>
  <c r="J85" i="44"/>
  <c r="I31" i="57" s="1"/>
  <c r="X84" i="47"/>
  <c r="D70" i="58" s="1"/>
  <c r="X60" i="47"/>
  <c r="D70" i="54" s="1"/>
  <c r="AR60" i="47"/>
  <c r="D70" i="55" s="1"/>
  <c r="AA61" i="47"/>
  <c r="G71" i="54" s="1"/>
  <c r="H85" i="47"/>
  <c r="G71" i="57" s="1"/>
  <c r="H61" i="47"/>
  <c r="G71" i="56" s="1"/>
  <c r="AC84" i="44"/>
  <c r="I30" i="58" s="1"/>
  <c r="AC60" i="44"/>
  <c r="I30" i="54" s="1"/>
  <c r="AW60" i="44"/>
  <c r="I30" i="55" s="1"/>
  <c r="AD36" i="47"/>
  <c r="BP68" i="47"/>
  <c r="AH36" i="47"/>
  <c r="BP69" i="47"/>
  <c r="AG36" i="47"/>
  <c r="AE36" i="47"/>
  <c r="W84" i="46"/>
  <c r="C50" i="58" s="1"/>
  <c r="W60" i="46"/>
  <c r="C50" i="54" s="1"/>
  <c r="Q60" i="46"/>
  <c r="P50" i="56" s="1"/>
  <c r="AQ60" i="46"/>
  <c r="AJ59" i="46"/>
  <c r="AK59" i="46" s="1"/>
  <c r="BO58" i="46" s="1"/>
  <c r="M15" i="46"/>
  <c r="L53" i="51" s="1"/>
  <c r="M38" i="46"/>
  <c r="L52" i="53" s="1"/>
  <c r="F38" i="44"/>
  <c r="F15" i="44"/>
  <c r="E33" i="51" s="1"/>
  <c r="Y60" i="44"/>
  <c r="E30" i="54" s="1"/>
  <c r="Y84" i="44"/>
  <c r="E30" i="58" s="1"/>
  <c r="AS60" i="44"/>
  <c r="E30" i="55" s="1"/>
  <c r="AF36" i="44"/>
  <c r="AD60" i="46"/>
  <c r="J50" i="54" s="1"/>
  <c r="AD84" i="46"/>
  <c r="J50" i="58" s="1"/>
  <c r="AX60" i="46"/>
  <c r="AF60" i="47"/>
  <c r="L70" i="54" s="1"/>
  <c r="AF84" i="47"/>
  <c r="L70" i="58" s="1"/>
  <c r="AZ60" i="47"/>
  <c r="L70" i="55" s="1"/>
  <c r="E15" i="47"/>
  <c r="D73" i="51" s="1"/>
  <c r="E38" i="47"/>
  <c r="D72" i="53" s="1"/>
  <c r="F85" i="44"/>
  <c r="E31" i="57" s="1"/>
  <c r="BO59" i="47"/>
  <c r="AU35" i="47"/>
  <c r="M38" i="47"/>
  <c r="L72" i="53" s="1"/>
  <c r="M15" i="47"/>
  <c r="L73" i="51" s="1"/>
  <c r="E85" i="44"/>
  <c r="D31" i="57" s="1"/>
  <c r="I15" i="44"/>
  <c r="H33" i="51" s="1"/>
  <c r="I38" i="44"/>
  <c r="G15" i="47"/>
  <c r="F73" i="51" s="1"/>
  <c r="G38" i="47"/>
  <c r="F72" i="53" s="1"/>
  <c r="W36" i="44"/>
  <c r="W60" i="47"/>
  <c r="C70" i="54" s="1"/>
  <c r="Q60" i="47"/>
  <c r="P70" i="56" s="1"/>
  <c r="W84" i="47"/>
  <c r="C70" i="58" s="1"/>
  <c r="AQ60" i="47"/>
  <c r="C70" i="55" s="1"/>
  <c r="AJ83" i="44"/>
  <c r="P29" i="58" s="1"/>
  <c r="AF84" i="46"/>
  <c r="L50" i="58" s="1"/>
  <c r="AF60" i="46"/>
  <c r="L50" i="54" s="1"/>
  <c r="AZ60" i="46"/>
  <c r="G61" i="46"/>
  <c r="F51" i="56" s="1"/>
  <c r="G85" i="46"/>
  <c r="F51" i="57" s="1"/>
  <c r="AC84" i="46"/>
  <c r="I50" i="58" s="1"/>
  <c r="AC60" i="46"/>
  <c r="I50" i="54" s="1"/>
  <c r="AW60" i="46"/>
  <c r="AS36" i="44"/>
  <c r="BP61" i="44" s="1"/>
  <c r="Q84" i="46"/>
  <c r="P50" i="57" s="1"/>
  <c r="BR38" i="44"/>
  <c r="BR65" i="44" s="1"/>
  <c r="D15" i="44"/>
  <c r="C33" i="51" s="1"/>
  <c r="D38" i="44"/>
  <c r="Q14" i="44"/>
  <c r="AJ83" i="46"/>
  <c r="P49" i="58" s="1"/>
  <c r="F38" i="47"/>
  <c r="E72" i="53" s="1"/>
  <c r="F15" i="47"/>
  <c r="E73" i="51" s="1"/>
  <c r="J61" i="47"/>
  <c r="I71" i="56" s="1"/>
  <c r="J85" i="47"/>
  <c r="I71" i="57" s="1"/>
  <c r="AF84" i="44"/>
  <c r="L30" i="58" s="1"/>
  <c r="AF60" i="44"/>
  <c r="L30" i="54" s="1"/>
  <c r="AZ60" i="44"/>
  <c r="L30" i="55" s="1"/>
  <c r="P58" i="47"/>
  <c r="AI34" i="47"/>
  <c r="Q84" i="47"/>
  <c r="P70" i="57" s="1"/>
  <c r="D85" i="47"/>
  <c r="C71" i="57" s="1"/>
  <c r="D61" i="47"/>
  <c r="C71" i="56" s="1"/>
  <c r="Q37" i="47"/>
  <c r="M61" i="46"/>
  <c r="L51" i="56" s="1"/>
  <c r="M85" i="46"/>
  <c r="L51" i="57" s="1"/>
  <c r="AJ35" i="46"/>
  <c r="M61" i="47"/>
  <c r="L71" i="56" s="1"/>
  <c r="M85" i="47"/>
  <c r="L71" i="57" s="1"/>
  <c r="E38" i="44"/>
  <c r="E15" i="44"/>
  <c r="D33" i="51" s="1"/>
  <c r="I85" i="44"/>
  <c r="H31" i="57" s="1"/>
  <c r="BJ12" i="47"/>
  <c r="BK12" i="47" s="1"/>
  <c r="BL12" i="47" s="1"/>
  <c r="P12" i="47" s="1"/>
  <c r="O70" i="51" s="1"/>
  <c r="E85" i="46"/>
  <c r="D51" i="57" s="1"/>
  <c r="E61" i="46"/>
  <c r="D51" i="56" s="1"/>
  <c r="G85" i="47"/>
  <c r="F71" i="57" s="1"/>
  <c r="G61" i="47"/>
  <c r="F71" i="56" s="1"/>
  <c r="AQ36" i="44"/>
  <c r="AB36" i="47"/>
  <c r="X84" i="46"/>
  <c r="D50" i="58" s="1"/>
  <c r="X60" i="46"/>
  <c r="D50" i="54" s="1"/>
  <c r="AR60" i="46"/>
  <c r="AJ59" i="44"/>
  <c r="G38" i="46"/>
  <c r="F52" i="53" s="1"/>
  <c r="G15" i="46"/>
  <c r="F53" i="51" s="1"/>
  <c r="Y36" i="46"/>
  <c r="AH36" i="46"/>
  <c r="BP69" i="46"/>
  <c r="AG36" i="46"/>
  <c r="BP68" i="46"/>
  <c r="AE36" i="46"/>
  <c r="F61" i="47"/>
  <c r="E71" i="56" s="1"/>
  <c r="F85" i="47"/>
  <c r="E71" i="57" s="1"/>
  <c r="J15" i="47"/>
  <c r="I73" i="51" s="1"/>
  <c r="J38" i="47"/>
  <c r="I72" i="53" s="1"/>
  <c r="J38" i="44"/>
  <c r="J15" i="44"/>
  <c r="I33" i="51" s="1"/>
  <c r="H38" i="47"/>
  <c r="G72" i="53" s="1"/>
  <c r="H15" i="47"/>
  <c r="G73" i="51" s="1"/>
  <c r="BW38" i="47"/>
  <c r="BR67" i="47" s="1"/>
  <c r="CA37" i="44"/>
  <c r="K85" i="44"/>
  <c r="J31" i="57" s="1"/>
  <c r="AC60" i="47"/>
  <c r="I70" i="54" s="1"/>
  <c r="AC84" i="47"/>
  <c r="I70" i="58" s="1"/>
  <c r="AW60" i="47"/>
  <c r="I70" i="55" s="1"/>
  <c r="K15" i="46"/>
  <c r="J53" i="51" s="1"/>
  <c r="K38" i="46"/>
  <c r="AB60" i="44"/>
  <c r="H30" i="54" s="1"/>
  <c r="AB84" i="44"/>
  <c r="H30" i="58" s="1"/>
  <c r="AV60" i="44"/>
  <c r="H30" i="55" s="1"/>
  <c r="H15" i="46"/>
  <c r="G53" i="51" s="1"/>
  <c r="BW38" i="46"/>
  <c r="BR67" i="46" s="1"/>
  <c r="H38" i="46"/>
  <c r="AD84" i="47"/>
  <c r="J70" i="58" s="1"/>
  <c r="AD60" i="47"/>
  <c r="J70" i="54" s="1"/>
  <c r="AX60" i="47"/>
  <c r="J70" i="55" s="1"/>
  <c r="E15" i="46"/>
  <c r="D53" i="51" s="1"/>
  <c r="E38" i="46"/>
  <c r="D52" i="53" s="1"/>
  <c r="Z84" i="46"/>
  <c r="F50" i="58" s="1"/>
  <c r="Z60" i="46"/>
  <c r="F50" i="54" s="1"/>
  <c r="AT60" i="46"/>
  <c r="W84" i="44"/>
  <c r="C30" i="58" s="1"/>
  <c r="AQ60" i="44"/>
  <c r="C30" i="55" s="1"/>
  <c r="AB84" i="47"/>
  <c r="H70" i="58" s="1"/>
  <c r="AB60" i="47"/>
  <c r="H70" i="54" s="1"/>
  <c r="AV60" i="47"/>
  <c r="H70" i="55" s="1"/>
  <c r="AT36" i="47"/>
  <c r="BP62" i="47" s="1"/>
  <c r="D85" i="44"/>
  <c r="C31" i="57" s="1"/>
  <c r="Q37" i="44"/>
  <c r="AU35" i="44"/>
  <c r="BC58" i="46"/>
  <c r="AA61" i="44"/>
  <c r="G31" i="54" s="1"/>
  <c r="H85" i="44"/>
  <c r="G31" i="57" s="1"/>
  <c r="K85" i="46"/>
  <c r="J51" i="57" s="1"/>
  <c r="CA37" i="46"/>
  <c r="AA61" i="46"/>
  <c r="G51" i="54" s="1"/>
  <c r="H85" i="46"/>
  <c r="G51" i="57" s="1"/>
  <c r="Y84" i="47"/>
  <c r="E70" i="58" s="1"/>
  <c r="Y60" i="47"/>
  <c r="E70" i="54" s="1"/>
  <c r="AS60" i="47"/>
  <c r="E70" i="55" s="1"/>
  <c r="P82" i="44"/>
  <c r="O28" i="57" s="1"/>
  <c r="AI34" i="44"/>
  <c r="X36" i="44"/>
  <c r="AE36" i="44"/>
  <c r="AG36" i="44"/>
  <c r="BP69" i="44"/>
  <c r="BP68" i="44"/>
  <c r="AH36" i="44"/>
  <c r="P35" i="47"/>
  <c r="O69" i="53" s="1"/>
  <c r="AI11" i="47"/>
  <c r="O69" i="59" s="1"/>
  <c r="BU35" i="47"/>
  <c r="BO66" i="47" s="1"/>
  <c r="BO35" i="47"/>
  <c r="BO64" i="47" s="1"/>
  <c r="AA36" i="47"/>
  <c r="I38" i="47"/>
  <c r="H72" i="53" s="1"/>
  <c r="I15" i="47"/>
  <c r="H73" i="51" s="1"/>
  <c r="Z84" i="44"/>
  <c r="F30" i="58" s="1"/>
  <c r="Z60" i="44"/>
  <c r="F30" i="54" s="1"/>
  <c r="AT60" i="44"/>
  <c r="F30" i="55" s="1"/>
  <c r="G85" i="44"/>
  <c r="F31" i="57" s="1"/>
  <c r="AB36" i="46"/>
  <c r="P83" i="46"/>
  <c r="O49" i="57" s="1"/>
  <c r="H15" i="44"/>
  <c r="G33" i="51" s="1"/>
  <c r="H38" i="44"/>
  <c r="BW38" i="44"/>
  <c r="BR67" i="44" s="1"/>
  <c r="AD84" i="44"/>
  <c r="J30" i="58" s="1"/>
  <c r="AD60" i="44"/>
  <c r="J30" i="54" s="1"/>
  <c r="AX60" i="44"/>
  <c r="J30" i="55" s="1"/>
  <c r="M15" i="44"/>
  <c r="L33" i="51" s="1"/>
  <c r="M38" i="44"/>
  <c r="Q14" i="46"/>
  <c r="D15" i="46"/>
  <c r="C53" i="51" s="1"/>
  <c r="BR38" i="46"/>
  <c r="BR65" i="46" s="1"/>
  <c r="D38" i="46"/>
  <c r="C52" i="53" s="1"/>
  <c r="AJ10" i="44"/>
  <c r="Q84" i="44"/>
  <c r="P30" i="57" s="1"/>
  <c r="Y60" i="46"/>
  <c r="E50" i="54" s="1"/>
  <c r="Y84" i="46"/>
  <c r="E50" i="58" s="1"/>
  <c r="AS60" i="46"/>
  <c r="AA84" i="47"/>
  <c r="G70" i="58" s="1"/>
  <c r="AU60" i="47"/>
  <c r="G70" i="55" s="1"/>
  <c r="I85" i="47"/>
  <c r="H71" i="57" s="1"/>
  <c r="I61" i="47"/>
  <c r="H71" i="56" s="1"/>
  <c r="I85" i="46"/>
  <c r="H51" i="57" s="1"/>
  <c r="I61" i="46"/>
  <c r="H51" i="56" s="1"/>
  <c r="J38" i="46"/>
  <c r="I52" i="53" s="1"/>
  <c r="J15" i="46"/>
  <c r="I53" i="51" s="1"/>
  <c r="G38" i="44"/>
  <c r="G15" i="44"/>
  <c r="F33" i="51" s="1"/>
  <c r="F61" i="46"/>
  <c r="E51" i="56" s="1"/>
  <c r="F85" i="46"/>
  <c r="E51" i="57" s="1"/>
  <c r="AB84" i="46"/>
  <c r="H50" i="58" s="1"/>
  <c r="AB60" i="46"/>
  <c r="H50" i="54" s="1"/>
  <c r="AV60" i="46"/>
  <c r="AR36" i="44"/>
  <c r="BP60" i="44" s="1"/>
  <c r="AD36" i="46"/>
  <c r="C70" i="47"/>
  <c r="C46" i="47"/>
  <c r="B80" i="53" s="1"/>
  <c r="C23" i="47"/>
  <c r="B81" i="51" s="1"/>
  <c r="V22" i="47"/>
  <c r="AP22" i="47" s="1"/>
  <c r="AH90" i="47"/>
  <c r="N76" i="58" s="1"/>
  <c r="N16" i="58" s="1"/>
  <c r="AH66" i="47"/>
  <c r="BB66" i="47"/>
  <c r="N76" i="55" s="1"/>
  <c r="C93" i="47"/>
  <c r="B79" i="57" s="1"/>
  <c r="V45" i="47"/>
  <c r="V93" i="47" s="1"/>
  <c r="B79" i="58" s="1"/>
  <c r="B70" i="47"/>
  <c r="B46" i="47"/>
  <c r="A80" i="53" s="1"/>
  <c r="U22" i="47"/>
  <c r="AO22" i="47" s="1"/>
  <c r="B23" i="47"/>
  <c r="A81" i="51" s="1"/>
  <c r="BX44" i="47"/>
  <c r="N44" i="47"/>
  <c r="N21" i="47"/>
  <c r="M79" i="51" s="1"/>
  <c r="AU22" i="47"/>
  <c r="C80" i="52" s="1"/>
  <c r="AE90" i="47"/>
  <c r="K76" i="58" s="1"/>
  <c r="AE66" i="47"/>
  <c r="AY66" i="47"/>
  <c r="K76" i="55" s="1"/>
  <c r="B93" i="47"/>
  <c r="A79" i="57" s="1"/>
  <c r="U45" i="47"/>
  <c r="U93" i="47" s="1"/>
  <c r="A79" i="58" s="1"/>
  <c r="BA41" i="47"/>
  <c r="O44" i="47"/>
  <c r="N78" i="53" s="1"/>
  <c r="O21" i="47"/>
  <c r="N79" i="51" s="1"/>
  <c r="N19" i="51" s="1"/>
  <c r="N91" i="47"/>
  <c r="M77" i="57" s="1"/>
  <c r="O91" i="47"/>
  <c r="N77" i="57" s="1"/>
  <c r="N17" i="57" s="1"/>
  <c r="O67" i="47"/>
  <c r="N77" i="56" s="1"/>
  <c r="N17" i="56" s="1"/>
  <c r="AG90" i="47"/>
  <c r="M76" i="58" s="1"/>
  <c r="AG66" i="47"/>
  <c r="BA66" i="47"/>
  <c r="M76" i="55" s="1"/>
  <c r="AP43" i="47"/>
  <c r="AZ42" i="47"/>
  <c r="AX42" i="47"/>
  <c r="AW42" i="47"/>
  <c r="L44" i="47"/>
  <c r="L21" i="47"/>
  <c r="K79" i="51" s="1"/>
  <c r="L91" i="47"/>
  <c r="K77" i="57" s="1"/>
  <c r="L92" i="46"/>
  <c r="K58" i="57" s="1"/>
  <c r="BD20" i="46"/>
  <c r="J58" i="52" s="1"/>
  <c r="J18" i="52" s="1"/>
  <c r="AU21" i="46"/>
  <c r="C59" i="52" s="1"/>
  <c r="C19" i="52" s="1"/>
  <c r="B68" i="46"/>
  <c r="B44" i="46"/>
  <c r="A58" i="53" s="1"/>
  <c r="B21" i="46"/>
  <c r="A59" i="51" s="1"/>
  <c r="U20" i="46"/>
  <c r="AO20" i="46" s="1"/>
  <c r="N91" i="46"/>
  <c r="M57" i="57" s="1"/>
  <c r="AG90" i="46"/>
  <c r="M56" i="58" s="1"/>
  <c r="AG66" i="46"/>
  <c r="BA66" i="46"/>
  <c r="AH91" i="46"/>
  <c r="N57" i="58" s="1"/>
  <c r="AH67" i="46"/>
  <c r="BB67" i="46"/>
  <c r="BA41" i="46"/>
  <c r="C69" i="46"/>
  <c r="C45" i="46"/>
  <c r="B59" i="53" s="1"/>
  <c r="V21" i="46"/>
  <c r="AP21" i="46" s="1"/>
  <c r="C22" i="46"/>
  <c r="B60" i="51" s="1"/>
  <c r="B91" i="46"/>
  <c r="A57" i="57" s="1"/>
  <c r="U43" i="46"/>
  <c r="U91" i="46" s="1"/>
  <c r="A57" i="58" s="1"/>
  <c r="C92" i="46"/>
  <c r="B58" i="57" s="1"/>
  <c r="V44" i="46"/>
  <c r="V92" i="46" s="1"/>
  <c r="B58" i="58" s="1"/>
  <c r="O22" i="46"/>
  <c r="N60" i="51" s="1"/>
  <c r="O45" i="46"/>
  <c r="N59" i="53" s="1"/>
  <c r="BQ42" i="46"/>
  <c r="BT42" i="46"/>
  <c r="AE91" i="46"/>
  <c r="K57" i="58" s="1"/>
  <c r="AE67" i="46"/>
  <c r="AY67" i="46"/>
  <c r="O92" i="46"/>
  <c r="N58" i="57" s="1"/>
  <c r="O68" i="46"/>
  <c r="N58" i="56" s="1"/>
  <c r="AP43" i="46"/>
  <c r="AZ42" i="46"/>
  <c r="AX42" i="46"/>
  <c r="AW42" i="46"/>
  <c r="N44" i="46"/>
  <c r="BX44" i="46"/>
  <c r="N21" i="46"/>
  <c r="M59" i="51" s="1"/>
  <c r="BL44" i="46"/>
  <c r="BN43" i="46"/>
  <c r="L45" i="46"/>
  <c r="L22" i="46"/>
  <c r="K60" i="51" s="1"/>
  <c r="BT42" i="44"/>
  <c r="BQ42" i="44"/>
  <c r="L91" i="44"/>
  <c r="K37" i="57" s="1"/>
  <c r="AG92" i="44"/>
  <c r="M38" i="58" s="1"/>
  <c r="AG68" i="44"/>
  <c r="M38" i="54" s="1"/>
  <c r="BA68" i="44"/>
  <c r="M38" i="55" s="1"/>
  <c r="O45" i="44"/>
  <c r="O22" i="44"/>
  <c r="N40" i="51" s="1"/>
  <c r="AH91" i="44"/>
  <c r="N37" i="58" s="1"/>
  <c r="AH67" i="44"/>
  <c r="N37" i="54" s="1"/>
  <c r="BB67" i="44"/>
  <c r="N37" i="55" s="1"/>
  <c r="O92" i="44"/>
  <c r="N38" i="57" s="1"/>
  <c r="C40" i="52"/>
  <c r="BA43" i="44"/>
  <c r="AE90" i="44"/>
  <c r="K36" i="58" s="1"/>
  <c r="AE66" i="44"/>
  <c r="K36" i="54" s="1"/>
  <c r="AY66" i="44"/>
  <c r="K36" i="55" s="1"/>
  <c r="AX44" i="44"/>
  <c r="AW44" i="44"/>
  <c r="AP45" i="44"/>
  <c r="AZ44" i="44"/>
  <c r="BL44" i="44"/>
  <c r="BM44" i="44" s="1"/>
  <c r="BN43" i="44"/>
  <c r="L44" i="44"/>
  <c r="L21" i="44"/>
  <c r="K39" i="51" s="1"/>
  <c r="BW36" i="43"/>
  <c r="BP67" i="43" s="1"/>
  <c r="CA35" i="43"/>
  <c r="F59" i="43"/>
  <c r="Y83" i="43" s="1"/>
  <c r="O60" i="43"/>
  <c r="AA59" i="43"/>
  <c r="M59" i="43"/>
  <c r="AF83" i="43" s="1"/>
  <c r="I59" i="43"/>
  <c r="AB83" i="43" s="1"/>
  <c r="E59" i="43"/>
  <c r="X83" i="43" s="1"/>
  <c r="J59" i="43"/>
  <c r="AC83" i="43" s="1"/>
  <c r="G59" i="43"/>
  <c r="Z83" i="43" s="1"/>
  <c r="AD83" i="43"/>
  <c r="H13" i="43"/>
  <c r="H36" i="43"/>
  <c r="L14" i="43"/>
  <c r="L37" i="43"/>
  <c r="L61" i="43" s="1"/>
  <c r="I13" i="43"/>
  <c r="I36" i="43"/>
  <c r="N14" i="43"/>
  <c r="N37" i="43"/>
  <c r="N61" i="43" s="1"/>
  <c r="E13" i="43"/>
  <c r="E36" i="43"/>
  <c r="M13" i="43"/>
  <c r="M36" i="43"/>
  <c r="BQ40" i="43"/>
  <c r="BT40" i="43"/>
  <c r="J13" i="43"/>
  <c r="J36" i="43"/>
  <c r="G13" i="43"/>
  <c r="G36" i="43"/>
  <c r="K13" i="43"/>
  <c r="K36" i="43"/>
  <c r="K60" i="43" s="1"/>
  <c r="F13" i="43"/>
  <c r="F36" i="43"/>
  <c r="O14" i="43"/>
  <c r="O37" i="43"/>
  <c r="Y52" i="43"/>
  <c r="AS52" i="43"/>
  <c r="AF52" i="43"/>
  <c r="AZ52" i="43"/>
  <c r="AD52" i="43"/>
  <c r="AX52" i="43"/>
  <c r="AU52" i="43"/>
  <c r="AC52" i="43"/>
  <c r="AW52" i="43"/>
  <c r="AE52" i="43"/>
  <c r="AY52" i="43"/>
  <c r="Z52" i="43"/>
  <c r="AT52" i="43"/>
  <c r="AB52" i="43"/>
  <c r="AV52" i="43"/>
  <c r="X52" i="43"/>
  <c r="AR52" i="43"/>
  <c r="AG52" i="43"/>
  <c r="BA52" i="43"/>
  <c r="AE53" i="43"/>
  <c r="AY53" i="43"/>
  <c r="AC54" i="43"/>
  <c r="AW54" i="43"/>
  <c r="X54" i="43"/>
  <c r="AR54" i="43"/>
  <c r="Z53" i="43"/>
  <c r="AT53" i="43"/>
  <c r="AH56" i="43"/>
  <c r="BB56" i="43"/>
  <c r="Y57" i="43"/>
  <c r="AS57" i="43"/>
  <c r="AC58" i="43"/>
  <c r="AW58" i="43"/>
  <c r="AH57" i="43"/>
  <c r="BB57" i="43"/>
  <c r="AC53" i="43"/>
  <c r="AW53" i="43"/>
  <c r="X58" i="43"/>
  <c r="AR58" i="43"/>
  <c r="AW11" i="43"/>
  <c r="AE58" i="43"/>
  <c r="AY58" i="43"/>
  <c r="AB53" i="43"/>
  <c r="AV53" i="43"/>
  <c r="AH54" i="43"/>
  <c r="BB54" i="43"/>
  <c r="AG56" i="43"/>
  <c r="BA56" i="43"/>
  <c r="AF56" i="43"/>
  <c r="AZ56" i="43"/>
  <c r="X53" i="43"/>
  <c r="AR53" i="43"/>
  <c r="X56" i="43"/>
  <c r="AR56" i="43"/>
  <c r="AE57" i="43"/>
  <c r="AY57" i="43"/>
  <c r="AE54" i="43"/>
  <c r="AY54" i="43"/>
  <c r="AG59" i="43"/>
  <c r="BA59" i="43"/>
  <c r="AU53" i="43"/>
  <c r="AH59" i="43"/>
  <c r="BB59" i="43"/>
  <c r="AB58" i="43"/>
  <c r="AV58" i="43"/>
  <c r="AU54" i="43"/>
  <c r="AU57" i="43"/>
  <c r="AE59" i="43"/>
  <c r="AY59" i="43"/>
  <c r="AB57" i="43"/>
  <c r="AV57" i="43"/>
  <c r="AD58" i="43"/>
  <c r="AX58" i="43"/>
  <c r="AF55" i="43"/>
  <c r="AZ55" i="43"/>
  <c r="AB56" i="43"/>
  <c r="AV56" i="43"/>
  <c r="Y58" i="43"/>
  <c r="AS58" i="43"/>
  <c r="AD55" i="43"/>
  <c r="AX55" i="43"/>
  <c r="AU58" i="43"/>
  <c r="Y54" i="43"/>
  <c r="AS54" i="43"/>
  <c r="AE55" i="43"/>
  <c r="AY55" i="43"/>
  <c r="Z57" i="43"/>
  <c r="AT57" i="43"/>
  <c r="AC55" i="43"/>
  <c r="AW55" i="43"/>
  <c r="AF58" i="43"/>
  <c r="AZ58" i="43"/>
  <c r="AB55" i="43"/>
  <c r="AV55" i="43"/>
  <c r="AC56" i="43"/>
  <c r="AW56" i="43"/>
  <c r="Y56" i="43"/>
  <c r="AS56" i="43"/>
  <c r="AD57" i="43"/>
  <c r="AX57" i="43"/>
  <c r="Y53" i="43"/>
  <c r="AS53" i="43"/>
  <c r="AC57" i="43"/>
  <c r="AW57" i="43"/>
  <c r="AE56" i="43"/>
  <c r="AY56" i="43"/>
  <c r="Z54" i="43"/>
  <c r="AT54" i="43"/>
  <c r="Z55" i="43"/>
  <c r="AT55" i="43"/>
  <c r="AG53" i="43"/>
  <c r="BA53" i="43"/>
  <c r="AF53" i="43"/>
  <c r="AZ53" i="43"/>
  <c r="AU55" i="43"/>
  <c r="AH53" i="43"/>
  <c r="BB53" i="43"/>
  <c r="AG58" i="43"/>
  <c r="BA58" i="43"/>
  <c r="AU56" i="43"/>
  <c r="AH55" i="43"/>
  <c r="BB55" i="43"/>
  <c r="AB54" i="43"/>
  <c r="AV54" i="43"/>
  <c r="AG54" i="43"/>
  <c r="BA54" i="43"/>
  <c r="AD56" i="43"/>
  <c r="AX56" i="43"/>
  <c r="Z56" i="43"/>
  <c r="AT56" i="43"/>
  <c r="AF57" i="43"/>
  <c r="AZ57" i="43"/>
  <c r="X55" i="43"/>
  <c r="AR55" i="43"/>
  <c r="Y55" i="43"/>
  <c r="AS55" i="43"/>
  <c r="AD54" i="43"/>
  <c r="AX54" i="43"/>
  <c r="AG57" i="43"/>
  <c r="BA57" i="43"/>
  <c r="AD53" i="43"/>
  <c r="AX53" i="43"/>
  <c r="Z58" i="43"/>
  <c r="AT58" i="43"/>
  <c r="X57" i="43"/>
  <c r="AR57" i="43"/>
  <c r="AF54" i="43"/>
  <c r="AZ54" i="43"/>
  <c r="AX11" i="43"/>
  <c r="AV11" i="43"/>
  <c r="AY12" i="43"/>
  <c r="BA12" i="43"/>
  <c r="AU11" i="43"/>
  <c r="AZ12" i="43"/>
  <c r="BL42" i="43"/>
  <c r="BM42" i="43" s="1"/>
  <c r="BN41" i="43"/>
  <c r="AG28" i="43"/>
  <c r="AB28" i="43"/>
  <c r="AE28" i="43"/>
  <c r="AC28" i="43"/>
  <c r="AA28" i="43"/>
  <c r="AD28" i="43"/>
  <c r="BJ4" i="43"/>
  <c r="X28" i="43"/>
  <c r="Y28" i="43"/>
  <c r="AR28" i="43"/>
  <c r="W28" i="43"/>
  <c r="AQ28" i="43"/>
  <c r="BD29" i="43" s="1"/>
  <c r="W52" i="43"/>
  <c r="Q52" i="43"/>
  <c r="AS28" i="43"/>
  <c r="BF29" i="43" s="1"/>
  <c r="AY28" i="43" s="1"/>
  <c r="AY29" i="43" s="1"/>
  <c r="AY30" i="43" s="1"/>
  <c r="AY31" i="43" s="1"/>
  <c r="AY32" i="43" s="1"/>
  <c r="AY33" i="43" s="1"/>
  <c r="AY34" i="43" s="1"/>
  <c r="AY35" i="43" s="1"/>
  <c r="AY36" i="43" s="1"/>
  <c r="AY37" i="43" s="1"/>
  <c r="AY38" i="43" s="1"/>
  <c r="AY39" i="43" s="1"/>
  <c r="AY40" i="43" s="1"/>
  <c r="AY41" i="43" s="1"/>
  <c r="AY42" i="43" s="1"/>
  <c r="AY43" i="43" s="1"/>
  <c r="AY44" i="43" s="1"/>
  <c r="AY45" i="43" s="1"/>
  <c r="AY46" i="43" s="1"/>
  <c r="AY47" i="43" s="1"/>
  <c r="AF28" i="43"/>
  <c r="Z28" i="43"/>
  <c r="AZ43" i="43"/>
  <c r="AX43" i="43"/>
  <c r="AP44" i="43"/>
  <c r="AW44" i="43" s="1"/>
  <c r="AL71" i="43" l="1"/>
  <c r="E21" i="60" s="1"/>
  <c r="E20" i="60"/>
  <c r="P8" i="59"/>
  <c r="P11" i="51"/>
  <c r="L9" i="60"/>
  <c r="J9" i="60"/>
  <c r="D9" i="60"/>
  <c r="H9" i="60"/>
  <c r="P52" i="51"/>
  <c r="P32" i="51"/>
  <c r="P32" i="59"/>
  <c r="AJ18" i="48"/>
  <c r="P96" i="59" s="1"/>
  <c r="O96" i="59"/>
  <c r="AJ11" i="46"/>
  <c r="P49" i="59" s="1"/>
  <c r="O49" i="59"/>
  <c r="P119" i="51"/>
  <c r="P72" i="51"/>
  <c r="P99" i="51"/>
  <c r="AJ11" i="44"/>
  <c r="O29" i="59"/>
  <c r="P139" i="51"/>
  <c r="AA92" i="48"/>
  <c r="G98" i="58" s="1"/>
  <c r="BS55" i="50"/>
  <c r="I46" i="48"/>
  <c r="H100" i="53" s="1"/>
  <c r="I23" i="48"/>
  <c r="H101" i="51" s="1"/>
  <c r="I93" i="48"/>
  <c r="H99" i="57" s="1"/>
  <c r="AU68" i="48"/>
  <c r="G98" i="55" s="1"/>
  <c r="D69" i="48"/>
  <c r="C99" i="56" s="1"/>
  <c r="I69" i="48"/>
  <c r="H99" i="56" s="1"/>
  <c r="H69" i="48"/>
  <c r="G99" i="56" s="1"/>
  <c r="AA69" i="48"/>
  <c r="G99" i="54" s="1"/>
  <c r="H93" i="48"/>
  <c r="G99" i="57" s="1"/>
  <c r="H23" i="48"/>
  <c r="G101" i="51" s="1"/>
  <c r="D23" i="48"/>
  <c r="C101" i="51" s="1"/>
  <c r="AQ68" i="48"/>
  <c r="C98" i="55" s="1"/>
  <c r="W68" i="48"/>
  <c r="C98" i="54" s="1"/>
  <c r="W92" i="48"/>
  <c r="C98" i="58" s="1"/>
  <c r="D93" i="48"/>
  <c r="C99" i="57" s="1"/>
  <c r="D46" i="48"/>
  <c r="C100" i="53" s="1"/>
  <c r="H46" i="48"/>
  <c r="G100" i="53" s="1"/>
  <c r="AV68" i="48"/>
  <c r="H98" i="55" s="1"/>
  <c r="J69" i="48"/>
  <c r="I99" i="56" s="1"/>
  <c r="J93" i="48"/>
  <c r="I99" i="57" s="1"/>
  <c r="J23" i="48"/>
  <c r="I101" i="51" s="1"/>
  <c r="J46" i="48"/>
  <c r="I100" i="53" s="1"/>
  <c r="AB68" i="48"/>
  <c r="H98" i="54" s="1"/>
  <c r="AB92" i="48"/>
  <c r="H98" i="58" s="1"/>
  <c r="AW68" i="48"/>
  <c r="I98" i="55" s="1"/>
  <c r="AC68" i="48"/>
  <c r="I98" i="54" s="1"/>
  <c r="AC92" i="48"/>
  <c r="I98" i="58" s="1"/>
  <c r="BD23" i="48"/>
  <c r="J101" i="52" s="1"/>
  <c r="C101" i="52"/>
  <c r="K17" i="53"/>
  <c r="AX23" i="47"/>
  <c r="F81" i="52" s="1"/>
  <c r="F80" i="52"/>
  <c r="AZ22" i="47"/>
  <c r="BD22" i="47" s="1"/>
  <c r="J80" i="52" s="1"/>
  <c r="H79" i="52"/>
  <c r="H19" i="52" s="1"/>
  <c r="BA23" i="47"/>
  <c r="I81" i="52" s="1"/>
  <c r="I80" i="52"/>
  <c r="M19" i="51"/>
  <c r="K19" i="51"/>
  <c r="AV23" i="47"/>
  <c r="D81" i="52" s="1"/>
  <c r="D80" i="52"/>
  <c r="K17" i="56"/>
  <c r="AW23" i="47"/>
  <c r="E81" i="52" s="1"/>
  <c r="E80" i="52"/>
  <c r="AY23" i="47"/>
  <c r="G81" i="52" s="1"/>
  <c r="G80" i="52"/>
  <c r="N16" i="55"/>
  <c r="F13" i="51"/>
  <c r="AI12" i="46"/>
  <c r="G19" i="52"/>
  <c r="D19" i="52"/>
  <c r="AW23" i="46"/>
  <c r="E61" i="52" s="1"/>
  <c r="E60" i="52"/>
  <c r="AX23" i="46"/>
  <c r="F61" i="52" s="1"/>
  <c r="F60" i="52"/>
  <c r="BA23" i="46"/>
  <c r="I61" i="52" s="1"/>
  <c r="I60" i="52"/>
  <c r="AV23" i="46"/>
  <c r="D61" i="52" s="1"/>
  <c r="D60" i="52"/>
  <c r="F19" i="52"/>
  <c r="AZ23" i="46"/>
  <c r="H61" i="52" s="1"/>
  <c r="H60" i="52"/>
  <c r="AY23" i="46"/>
  <c r="G61" i="52" s="1"/>
  <c r="G60" i="52"/>
  <c r="I19" i="52"/>
  <c r="N69" i="44"/>
  <c r="M39" i="56" s="1"/>
  <c r="M39" i="53"/>
  <c r="N46" i="44"/>
  <c r="M40" i="53" s="1"/>
  <c r="N23" i="44"/>
  <c r="M41" i="51" s="1"/>
  <c r="BX46" i="44"/>
  <c r="BL55" i="44"/>
  <c r="AZ23" i="44"/>
  <c r="H41" i="52" s="1"/>
  <c r="H40" i="52"/>
  <c r="AV23" i="44"/>
  <c r="D41" i="52" s="1"/>
  <c r="D40" i="52"/>
  <c r="AX23" i="44"/>
  <c r="F41" i="52" s="1"/>
  <c r="F40" i="52"/>
  <c r="AY23" i="44"/>
  <c r="G41" i="52" s="1"/>
  <c r="G40" i="52"/>
  <c r="BA23" i="44"/>
  <c r="I41" i="52" s="1"/>
  <c r="I40" i="52"/>
  <c r="AW22" i="44"/>
  <c r="BD22" i="44" s="1"/>
  <c r="J40" i="52" s="1"/>
  <c r="E39" i="52"/>
  <c r="E19" i="52" s="1"/>
  <c r="BU36" i="46"/>
  <c r="BP66" i="46" s="1"/>
  <c r="W61" i="44"/>
  <c r="C31" i="54" s="1"/>
  <c r="BO36" i="46"/>
  <c r="BP64" i="46" s="1"/>
  <c r="P36" i="46"/>
  <c r="O50" i="53" s="1"/>
  <c r="BA42" i="46"/>
  <c r="H60" i="43"/>
  <c r="AA84" i="43" s="1"/>
  <c r="BA44" i="44"/>
  <c r="BI21" i="46"/>
  <c r="B59" i="52"/>
  <c r="V70" i="47"/>
  <c r="B80" i="56"/>
  <c r="V70" i="48"/>
  <c r="B100" i="56"/>
  <c r="AP71" i="50"/>
  <c r="B141" i="55" s="1"/>
  <c r="B141" i="54"/>
  <c r="AO68" i="44"/>
  <c r="A38" i="55" s="1"/>
  <c r="A38" i="54"/>
  <c r="BI21" i="44"/>
  <c r="B39" i="52"/>
  <c r="AP69" i="48"/>
  <c r="B99" i="55" s="1"/>
  <c r="B99" i="54"/>
  <c r="AP69" i="47"/>
  <c r="B79" i="55" s="1"/>
  <c r="B79" i="54"/>
  <c r="V69" i="46"/>
  <c r="AP69" i="46" s="1"/>
  <c r="B59" i="56"/>
  <c r="V69" i="44"/>
  <c r="B39" i="56"/>
  <c r="AO70" i="48"/>
  <c r="A100" i="55" s="1"/>
  <c r="A100" i="54"/>
  <c r="BH20" i="46"/>
  <c r="A58" i="52"/>
  <c r="BH23" i="48"/>
  <c r="A101" i="52"/>
  <c r="B40" i="51"/>
  <c r="C46" i="44"/>
  <c r="C23" i="44"/>
  <c r="V22" i="44"/>
  <c r="AP22" i="44" s="1"/>
  <c r="C70" i="44"/>
  <c r="U69" i="44"/>
  <c r="A39" i="56"/>
  <c r="C93" i="44"/>
  <c r="B39" i="57" s="1"/>
  <c r="B39" i="53"/>
  <c r="V45" i="44"/>
  <c r="V93" i="44" s="1"/>
  <c r="B39" i="58" s="1"/>
  <c r="A40" i="51"/>
  <c r="B46" i="44"/>
  <c r="B23" i="44"/>
  <c r="B70" i="44"/>
  <c r="U22" i="44"/>
  <c r="AO22" i="44" s="1"/>
  <c r="BA42" i="47"/>
  <c r="BH22" i="47"/>
  <c r="A80" i="52"/>
  <c r="BI22" i="47"/>
  <c r="B80" i="52"/>
  <c r="U71" i="48"/>
  <c r="A101" i="56"/>
  <c r="BI22" i="48"/>
  <c r="B100" i="52"/>
  <c r="AP68" i="44"/>
  <c r="B38" i="55" s="1"/>
  <c r="B38" i="54"/>
  <c r="BH21" i="44"/>
  <c r="A39" i="52"/>
  <c r="A57" i="55"/>
  <c r="A57" i="54"/>
  <c r="AO69" i="47"/>
  <c r="A79" i="55" s="1"/>
  <c r="A79" i="54"/>
  <c r="U68" i="46"/>
  <c r="AO68" i="46" s="1"/>
  <c r="A58" i="56"/>
  <c r="A39" i="53"/>
  <c r="U45" i="44"/>
  <c r="U93" i="44" s="1"/>
  <c r="A39" i="58" s="1"/>
  <c r="B93" i="44"/>
  <c r="A39" i="57" s="1"/>
  <c r="U70" i="47"/>
  <c r="A80" i="56"/>
  <c r="B58" i="55"/>
  <c r="B58" i="54"/>
  <c r="BS63" i="50"/>
  <c r="C10" i="58"/>
  <c r="AI35" i="46"/>
  <c r="F11" i="57"/>
  <c r="M17" i="56"/>
  <c r="N16" i="54"/>
  <c r="M17" i="57"/>
  <c r="K16" i="58"/>
  <c r="L68" i="44"/>
  <c r="K38" i="56" s="1"/>
  <c r="K38" i="53"/>
  <c r="K17" i="57"/>
  <c r="K59" i="53"/>
  <c r="L69" i="46"/>
  <c r="K59" i="56" s="1"/>
  <c r="M17" i="53"/>
  <c r="K16" i="55"/>
  <c r="M16" i="58"/>
  <c r="K100" i="53"/>
  <c r="L70" i="48"/>
  <c r="K100" i="56" s="1"/>
  <c r="K16" i="54"/>
  <c r="N68" i="47"/>
  <c r="M78" i="56" s="1"/>
  <c r="M78" i="53"/>
  <c r="BT55" i="48"/>
  <c r="M56" i="55"/>
  <c r="M16" i="55" s="1"/>
  <c r="M16" i="54"/>
  <c r="BT63" i="48"/>
  <c r="N39" i="53"/>
  <c r="O69" i="44"/>
  <c r="N39" i="56" s="1"/>
  <c r="K57" i="55"/>
  <c r="N57" i="55"/>
  <c r="K78" i="53"/>
  <c r="L68" i="47"/>
  <c r="K78" i="56" s="1"/>
  <c r="M58" i="53"/>
  <c r="N68" i="46"/>
  <c r="M58" i="56" s="1"/>
  <c r="M101" i="53"/>
  <c r="N71" i="48"/>
  <c r="M101" i="56" s="1"/>
  <c r="N18" i="53"/>
  <c r="Q61" i="44"/>
  <c r="P31" i="56" s="1"/>
  <c r="H13" i="51"/>
  <c r="L13" i="51"/>
  <c r="G10" i="58"/>
  <c r="P10" i="57"/>
  <c r="C11" i="57"/>
  <c r="O6" i="55"/>
  <c r="L10" i="58"/>
  <c r="C13" i="51"/>
  <c r="I11" i="57"/>
  <c r="M62" i="44"/>
  <c r="L32" i="56" s="1"/>
  <c r="L32" i="53"/>
  <c r="L12" i="53" s="1"/>
  <c r="C50" i="55"/>
  <c r="C10" i="55" s="1"/>
  <c r="C10" i="54"/>
  <c r="D50" i="55"/>
  <c r="D10" i="55" s="1"/>
  <c r="D10" i="54"/>
  <c r="BD64" i="50"/>
  <c r="P134" i="55" s="1"/>
  <c r="O134" i="55"/>
  <c r="J11" i="53"/>
  <c r="BL63" i="44"/>
  <c r="H62" i="46"/>
  <c r="G52" i="56" s="1"/>
  <c r="G52" i="53"/>
  <c r="I13" i="51"/>
  <c r="D62" i="44"/>
  <c r="C32" i="56" s="1"/>
  <c r="C32" i="53"/>
  <c r="C12" i="53" s="1"/>
  <c r="P36" i="44"/>
  <c r="O30" i="53" s="1"/>
  <c r="O30" i="51"/>
  <c r="O10" i="51" s="1"/>
  <c r="AR44" i="48"/>
  <c r="BX60" i="48" s="1"/>
  <c r="P98" i="53"/>
  <c r="BD65" i="49"/>
  <c r="P115" i="55" s="1"/>
  <c r="O115" i="55"/>
  <c r="P10" i="56"/>
  <c r="J11" i="56"/>
  <c r="P82" i="47"/>
  <c r="O68" i="57" s="1"/>
  <c r="O8" i="57" s="1"/>
  <c r="O68" i="56"/>
  <c r="O8" i="56" s="1"/>
  <c r="F50" i="55"/>
  <c r="F10" i="55" s="1"/>
  <c r="F10" i="54"/>
  <c r="J62" i="44"/>
  <c r="I32" i="56" s="1"/>
  <c r="I32" i="53"/>
  <c r="I12" i="53" s="1"/>
  <c r="H11" i="57"/>
  <c r="AQ37" i="47"/>
  <c r="BQ59" i="47" s="1"/>
  <c r="P71" i="53"/>
  <c r="E13" i="51"/>
  <c r="G50" i="55"/>
  <c r="G10" i="55" s="1"/>
  <c r="G10" i="54"/>
  <c r="BD57" i="47"/>
  <c r="BM55" i="47" s="1"/>
  <c r="O67" i="55"/>
  <c r="O7" i="55" s="1"/>
  <c r="AK66" i="48"/>
  <c r="BV58" i="48" s="1"/>
  <c r="P96" i="54"/>
  <c r="K69" i="50"/>
  <c r="J139" i="56" s="1"/>
  <c r="J139" i="53"/>
  <c r="D99" i="53"/>
  <c r="E69" i="48"/>
  <c r="E93" i="48"/>
  <c r="D99" i="57" s="1"/>
  <c r="L11" i="56"/>
  <c r="G11" i="53"/>
  <c r="P5" i="55"/>
  <c r="D11" i="56"/>
  <c r="J98" i="56"/>
  <c r="AX68" i="48"/>
  <c r="J98" i="55" s="1"/>
  <c r="AD92" i="48"/>
  <c r="J98" i="58" s="1"/>
  <c r="AD68" i="48"/>
  <c r="J98" i="54" s="1"/>
  <c r="AK59" i="44"/>
  <c r="BO58" i="44" s="1"/>
  <c r="P29" i="54"/>
  <c r="E10" i="58"/>
  <c r="D98" i="56"/>
  <c r="AR68" i="48"/>
  <c r="D98" i="55" s="1"/>
  <c r="X92" i="48"/>
  <c r="D98" i="58" s="1"/>
  <c r="X68" i="48"/>
  <c r="D98" i="54" s="1"/>
  <c r="G62" i="44"/>
  <c r="F32" i="56" s="1"/>
  <c r="F32" i="53"/>
  <c r="F12" i="53" s="1"/>
  <c r="J10" i="58"/>
  <c r="D13" i="51"/>
  <c r="L50" i="55"/>
  <c r="L10" i="55" s="1"/>
  <c r="L10" i="54"/>
  <c r="J50" i="55"/>
  <c r="J10" i="55" s="1"/>
  <c r="J10" i="54"/>
  <c r="F62" i="44"/>
  <c r="E32" i="56" s="1"/>
  <c r="E32" i="53"/>
  <c r="E12" i="53" s="1"/>
  <c r="I10" i="58"/>
  <c r="AK59" i="47"/>
  <c r="BO58" i="47" s="1"/>
  <c r="P69" i="54"/>
  <c r="AA44" i="50"/>
  <c r="P138" i="53"/>
  <c r="AK66" i="50"/>
  <c r="BV58" i="50" s="1"/>
  <c r="P136" i="54"/>
  <c r="D100" i="51"/>
  <c r="E23" i="48"/>
  <c r="E46" i="48"/>
  <c r="G11" i="56"/>
  <c r="D11" i="57"/>
  <c r="L11" i="57"/>
  <c r="AK66" i="49"/>
  <c r="BV58" i="49" s="1"/>
  <c r="P116" i="54"/>
  <c r="G11" i="57"/>
  <c r="J11" i="57"/>
  <c r="E62" i="44"/>
  <c r="D32" i="56" s="1"/>
  <c r="D32" i="53"/>
  <c r="D12" i="53" s="1"/>
  <c r="D10" i="58"/>
  <c r="AI35" i="44"/>
  <c r="O29" i="53"/>
  <c r="O9" i="53" s="1"/>
  <c r="BD64" i="49"/>
  <c r="P114" i="55" s="1"/>
  <c r="O114" i="55"/>
  <c r="E11" i="56"/>
  <c r="BM63" i="44"/>
  <c r="P27" i="55"/>
  <c r="P10" i="53"/>
  <c r="F11" i="56"/>
  <c r="K62" i="46"/>
  <c r="J52" i="56" s="1"/>
  <c r="J52" i="53"/>
  <c r="AF37" i="44"/>
  <c r="P31" i="53"/>
  <c r="H50" i="55"/>
  <c r="H10" i="55" s="1"/>
  <c r="H10" i="54"/>
  <c r="H62" i="44"/>
  <c r="G32" i="56" s="1"/>
  <c r="G32" i="53"/>
  <c r="F10" i="58"/>
  <c r="H10" i="58"/>
  <c r="E11" i="57"/>
  <c r="AQ37" i="46"/>
  <c r="BQ59" i="46" s="1"/>
  <c r="P51" i="53"/>
  <c r="K62" i="47"/>
  <c r="J72" i="56" s="1"/>
  <c r="J72" i="53"/>
  <c r="K62" i="44"/>
  <c r="J32" i="56" s="1"/>
  <c r="J32" i="53"/>
  <c r="P43" i="48"/>
  <c r="O97" i="53" s="1"/>
  <c r="O97" i="51"/>
  <c r="I11" i="56"/>
  <c r="H11" i="56"/>
  <c r="BM63" i="46"/>
  <c r="P47" i="55"/>
  <c r="P47" i="54"/>
  <c r="P7" i="54" s="1"/>
  <c r="J100" i="51"/>
  <c r="K46" i="48"/>
  <c r="K23" i="48"/>
  <c r="AI42" i="48"/>
  <c r="O96" i="53"/>
  <c r="K69" i="49"/>
  <c r="J119" i="56" s="1"/>
  <c r="J119" i="53"/>
  <c r="E50" i="55"/>
  <c r="E10" i="55" s="1"/>
  <c r="E10" i="54"/>
  <c r="G13" i="51"/>
  <c r="BD58" i="46"/>
  <c r="BN55" i="46" s="1"/>
  <c r="O48" i="55"/>
  <c r="O8" i="54"/>
  <c r="I50" i="55"/>
  <c r="I10" i="55" s="1"/>
  <c r="I10" i="54"/>
  <c r="P9" i="58"/>
  <c r="I62" i="44"/>
  <c r="H32" i="56" s="1"/>
  <c r="H32" i="53"/>
  <c r="H12" i="53" s="1"/>
  <c r="J13" i="51"/>
  <c r="X44" i="49"/>
  <c r="P118" i="53"/>
  <c r="BD65" i="50"/>
  <c r="P135" i="55" s="1"/>
  <c r="O135" i="55"/>
  <c r="C11" i="56"/>
  <c r="BL63" i="47"/>
  <c r="P66" i="55"/>
  <c r="P6" i="55" s="1"/>
  <c r="K69" i="48"/>
  <c r="J99" i="53"/>
  <c r="K93" i="48"/>
  <c r="J99" i="57" s="1"/>
  <c r="AA44" i="49"/>
  <c r="Y44" i="50"/>
  <c r="Z44" i="50"/>
  <c r="AJ43" i="50"/>
  <c r="AS44" i="50"/>
  <c r="BX61" i="50" s="1"/>
  <c r="AJ43" i="49"/>
  <c r="Q92" i="50"/>
  <c r="P138" i="57" s="1"/>
  <c r="AD68" i="50"/>
  <c r="J138" i="54" s="1"/>
  <c r="AD92" i="50"/>
  <c r="J138" i="58" s="1"/>
  <c r="AX68" i="50"/>
  <c r="J138" i="55" s="1"/>
  <c r="AJ18" i="49"/>
  <c r="P116" i="59" s="1"/>
  <c r="I46" i="49"/>
  <c r="H120" i="53" s="1"/>
  <c r="I23" i="49"/>
  <c r="H121" i="51" s="1"/>
  <c r="Y44" i="49"/>
  <c r="AC92" i="49"/>
  <c r="I118" i="58" s="1"/>
  <c r="AC68" i="49"/>
  <c r="I118" i="54" s="1"/>
  <c r="AW68" i="49"/>
  <c r="I118" i="55" s="1"/>
  <c r="AB44" i="50"/>
  <c r="AJ91" i="49"/>
  <c r="P117" i="58" s="1"/>
  <c r="E93" i="49"/>
  <c r="D119" i="57" s="1"/>
  <c r="E69" i="49"/>
  <c r="D119" i="56" s="1"/>
  <c r="I93" i="49"/>
  <c r="H119" i="57" s="1"/>
  <c r="I69" i="49"/>
  <c r="H119" i="56" s="1"/>
  <c r="AU43" i="50"/>
  <c r="Y68" i="49"/>
  <c r="E118" i="54" s="1"/>
  <c r="AS68" i="49"/>
  <c r="E118" i="55" s="1"/>
  <c r="Y92" i="49"/>
  <c r="E118" i="58" s="1"/>
  <c r="AB92" i="50"/>
  <c r="H138" i="58" s="1"/>
  <c r="AB68" i="50"/>
  <c r="H138" i="54" s="1"/>
  <c r="AV68" i="50"/>
  <c r="H138" i="55" s="1"/>
  <c r="AJ67" i="49"/>
  <c r="AU43" i="49"/>
  <c r="BW59" i="49"/>
  <c r="BO43" i="50"/>
  <c r="BW64" i="50" s="1"/>
  <c r="BU43" i="50"/>
  <c r="BW66" i="50" s="1"/>
  <c r="P43" i="50"/>
  <c r="O137" i="53" s="1"/>
  <c r="AI19" i="50"/>
  <c r="O137" i="59" s="1"/>
  <c r="H93" i="49"/>
  <c r="G119" i="57" s="1"/>
  <c r="AA69" i="49"/>
  <c r="G119" i="54" s="1"/>
  <c r="H69" i="49"/>
  <c r="G119" i="56" s="1"/>
  <c r="AF44" i="49"/>
  <c r="E93" i="50"/>
  <c r="D139" i="57" s="1"/>
  <c r="E69" i="50"/>
  <c r="D139" i="56" s="1"/>
  <c r="F23" i="49"/>
  <c r="F46" i="49"/>
  <c r="E120" i="53" s="1"/>
  <c r="K93" i="49"/>
  <c r="J119" i="57" s="1"/>
  <c r="CA45" i="49"/>
  <c r="H93" i="50"/>
  <c r="G139" i="57" s="1"/>
  <c r="H69" i="50"/>
  <c r="G139" i="56" s="1"/>
  <c r="AA69" i="50"/>
  <c r="G139" i="54" s="1"/>
  <c r="AD44" i="49"/>
  <c r="I23" i="50"/>
  <c r="H141" i="51" s="1"/>
  <c r="I46" i="50"/>
  <c r="H140" i="53" s="1"/>
  <c r="Z92" i="50"/>
  <c r="F138" i="58" s="1"/>
  <c r="Z68" i="50"/>
  <c r="F138" i="54" s="1"/>
  <c r="AT68" i="50"/>
  <c r="F138" i="55" s="1"/>
  <c r="AI42" i="50"/>
  <c r="P90" i="50"/>
  <c r="O136" i="57" s="1"/>
  <c r="K46" i="50"/>
  <c r="K23" i="50"/>
  <c r="J46" i="50"/>
  <c r="I140" i="53" s="1"/>
  <c r="J23" i="50"/>
  <c r="M23" i="49"/>
  <c r="L121" i="51" s="1"/>
  <c r="M46" i="49"/>
  <c r="L120" i="53" s="1"/>
  <c r="H46" i="49"/>
  <c r="G120" i="53" s="1"/>
  <c r="H23" i="49"/>
  <c r="G121" i="51" s="1"/>
  <c r="BW46" i="49"/>
  <c r="BZ67" i="49" s="1"/>
  <c r="X44" i="50"/>
  <c r="AF92" i="49"/>
  <c r="L118" i="58" s="1"/>
  <c r="AF68" i="49"/>
  <c r="L118" i="54" s="1"/>
  <c r="AZ68" i="49"/>
  <c r="L118" i="55" s="1"/>
  <c r="AS44" i="49"/>
  <c r="BX61" i="49" s="1"/>
  <c r="F93" i="49"/>
  <c r="E119" i="57" s="1"/>
  <c r="F69" i="49"/>
  <c r="E119" i="56" s="1"/>
  <c r="H46" i="50"/>
  <c r="G140" i="53" s="1"/>
  <c r="H23" i="50"/>
  <c r="G141" i="51" s="1"/>
  <c r="BW46" i="50"/>
  <c r="BZ67" i="50" s="1"/>
  <c r="I69" i="50"/>
  <c r="H139" i="56" s="1"/>
  <c r="I93" i="50"/>
  <c r="H139" i="57" s="1"/>
  <c r="D93" i="49"/>
  <c r="C119" i="57" s="1"/>
  <c r="D69" i="49"/>
  <c r="C119" i="56" s="1"/>
  <c r="Q45" i="49"/>
  <c r="W45" i="49" s="1"/>
  <c r="K23" i="49"/>
  <c r="K46" i="49"/>
  <c r="AQ44" i="50"/>
  <c r="AC44" i="50"/>
  <c r="D23" i="50"/>
  <c r="C141" i="51" s="1"/>
  <c r="D46" i="50"/>
  <c r="C140" i="53" s="1"/>
  <c r="BR46" i="50"/>
  <c r="BZ65" i="50" s="1"/>
  <c r="Q22" i="50"/>
  <c r="AJ91" i="50"/>
  <c r="P137" i="58" s="1"/>
  <c r="K93" i="50"/>
  <c r="J139" i="57" s="1"/>
  <c r="CA45" i="50"/>
  <c r="J93" i="50"/>
  <c r="I139" i="57" s="1"/>
  <c r="J69" i="50"/>
  <c r="I139" i="56" s="1"/>
  <c r="M93" i="49"/>
  <c r="L119" i="57" s="1"/>
  <c r="M69" i="49"/>
  <c r="L119" i="56" s="1"/>
  <c r="W44" i="49"/>
  <c r="X92" i="50"/>
  <c r="D138" i="58" s="1"/>
  <c r="X68" i="50"/>
  <c r="D138" i="54" s="1"/>
  <c r="AR68" i="50"/>
  <c r="D138" i="55" s="1"/>
  <c r="Z44" i="49"/>
  <c r="G46" i="49"/>
  <c r="F120" i="53" s="1"/>
  <c r="G23" i="49"/>
  <c r="J46" i="49"/>
  <c r="I120" i="53" s="1"/>
  <c r="J23" i="49"/>
  <c r="I121" i="51" s="1"/>
  <c r="AI19" i="49"/>
  <c r="O117" i="59" s="1"/>
  <c r="BO43" i="49"/>
  <c r="BW64" i="49" s="1"/>
  <c r="BU43" i="49"/>
  <c r="BW66" i="49" s="1"/>
  <c r="P43" i="49"/>
  <c r="O117" i="53" s="1"/>
  <c r="G46" i="50"/>
  <c r="F140" i="53" s="1"/>
  <c r="G23" i="50"/>
  <c r="F141" i="51" s="1"/>
  <c r="AB68" i="49"/>
  <c r="H118" i="54" s="1"/>
  <c r="AB92" i="49"/>
  <c r="H118" i="58" s="1"/>
  <c r="AV68" i="49"/>
  <c r="H118" i="55" s="1"/>
  <c r="E46" i="50"/>
  <c r="D140" i="53" s="1"/>
  <c r="E23" i="50"/>
  <c r="AC92" i="50"/>
  <c r="I138" i="58" s="1"/>
  <c r="AC68" i="50"/>
  <c r="I138" i="54" s="1"/>
  <c r="AW68" i="50"/>
  <c r="I138" i="55" s="1"/>
  <c r="AJ18" i="50"/>
  <c r="P136" i="59" s="1"/>
  <c r="BC66" i="50"/>
  <c r="D69" i="50"/>
  <c r="C139" i="56" s="1"/>
  <c r="D93" i="50"/>
  <c r="C139" i="57" s="1"/>
  <c r="Q45" i="50"/>
  <c r="Y45" i="50" s="1"/>
  <c r="AJ67" i="50"/>
  <c r="AA92" i="49"/>
  <c r="G118" i="58" s="1"/>
  <c r="AU68" i="49"/>
  <c r="G118" i="55" s="1"/>
  <c r="AQ44" i="49"/>
  <c r="AR44" i="49"/>
  <c r="BX60" i="49" s="1"/>
  <c r="AH44" i="49"/>
  <c r="AT44" i="49"/>
  <c r="BX62" i="49" s="1"/>
  <c r="BJ20" i="49"/>
  <c r="BK20" i="49" s="1"/>
  <c r="BL20" i="49" s="1"/>
  <c r="P20" i="49" s="1"/>
  <c r="O118" i="51" s="1"/>
  <c r="BX68" i="49"/>
  <c r="AG44" i="49"/>
  <c r="AE44" i="49"/>
  <c r="BX69" i="49"/>
  <c r="Z92" i="49"/>
  <c r="F118" i="58" s="1"/>
  <c r="Z68" i="49"/>
  <c r="F118" i="54" s="1"/>
  <c r="AT68" i="49"/>
  <c r="F118" i="55" s="1"/>
  <c r="AA92" i="50"/>
  <c r="G138" i="58" s="1"/>
  <c r="AU68" i="50"/>
  <c r="G138" i="55" s="1"/>
  <c r="G93" i="49"/>
  <c r="F119" i="57" s="1"/>
  <c r="G69" i="49"/>
  <c r="F119" i="56" s="1"/>
  <c r="X92" i="49"/>
  <c r="D118" i="58" s="1"/>
  <c r="X68" i="49"/>
  <c r="D118" i="54" s="1"/>
  <c r="AR68" i="49"/>
  <c r="D118" i="55" s="1"/>
  <c r="J93" i="49"/>
  <c r="I119" i="57" s="1"/>
  <c r="J69" i="49"/>
  <c r="I119" i="56" s="1"/>
  <c r="AD92" i="49"/>
  <c r="J118" i="58" s="1"/>
  <c r="AD68" i="49"/>
  <c r="J118" i="54" s="1"/>
  <c r="AX68" i="49"/>
  <c r="J118" i="55" s="1"/>
  <c r="G93" i="50"/>
  <c r="F139" i="57" s="1"/>
  <c r="G69" i="50"/>
  <c r="F139" i="56" s="1"/>
  <c r="AD44" i="50"/>
  <c r="BX69" i="50"/>
  <c r="AT44" i="50"/>
  <c r="BX62" i="50" s="1"/>
  <c r="AR44" i="50"/>
  <c r="BX60" i="50" s="1"/>
  <c r="BX68" i="50"/>
  <c r="BJ20" i="50"/>
  <c r="BK20" i="50" s="1"/>
  <c r="BL20" i="50" s="1"/>
  <c r="P20" i="50" s="1"/>
  <c r="O138" i="51" s="1"/>
  <c r="AE44" i="50"/>
  <c r="AH44" i="50"/>
  <c r="AG44" i="50"/>
  <c r="M69" i="50"/>
  <c r="L139" i="56" s="1"/>
  <c r="M93" i="50"/>
  <c r="L139" i="57" s="1"/>
  <c r="W68" i="49"/>
  <c r="C118" i="54" s="1"/>
  <c r="Q68" i="49"/>
  <c r="P118" i="56" s="1"/>
  <c r="AQ68" i="49"/>
  <c r="C118" i="55" s="1"/>
  <c r="W92" i="49"/>
  <c r="C118" i="58" s="1"/>
  <c r="F46" i="50"/>
  <c r="E140" i="53" s="1"/>
  <c r="F23" i="50"/>
  <c r="E141" i="51" s="1"/>
  <c r="AF44" i="50"/>
  <c r="W92" i="50"/>
  <c r="C138" i="58" s="1"/>
  <c r="W68" i="50"/>
  <c r="C138" i="54" s="1"/>
  <c r="Q68" i="50"/>
  <c r="P138" i="56" s="1"/>
  <c r="AQ68" i="50"/>
  <c r="C138" i="55" s="1"/>
  <c r="M23" i="50"/>
  <c r="L141" i="51" s="1"/>
  <c r="M46" i="50"/>
  <c r="L140" i="53" s="1"/>
  <c r="AB44" i="49"/>
  <c r="P90" i="49"/>
  <c r="O116" i="57" s="1"/>
  <c r="AI42" i="49"/>
  <c r="D23" i="49"/>
  <c r="C121" i="51" s="1"/>
  <c r="D46" i="49"/>
  <c r="C120" i="53" s="1"/>
  <c r="BR46" i="49"/>
  <c r="BZ65" i="49" s="1"/>
  <c r="Q22" i="49"/>
  <c r="Y92" i="50"/>
  <c r="E138" i="58" s="1"/>
  <c r="Y68" i="50"/>
  <c r="E138" i="54" s="1"/>
  <c r="AS68" i="50"/>
  <c r="E138" i="55" s="1"/>
  <c r="Q92" i="49"/>
  <c r="P118" i="57" s="1"/>
  <c r="F93" i="50"/>
  <c r="E139" i="57" s="1"/>
  <c r="F69" i="50"/>
  <c r="E139" i="56" s="1"/>
  <c r="AC44" i="49"/>
  <c r="E46" i="49"/>
  <c r="D120" i="53" s="1"/>
  <c r="E23" i="49"/>
  <c r="D121" i="51" s="1"/>
  <c r="AF92" i="50"/>
  <c r="L138" i="58" s="1"/>
  <c r="AF68" i="50"/>
  <c r="L138" i="54" s="1"/>
  <c r="AZ68" i="50"/>
  <c r="L138" i="55" s="1"/>
  <c r="F84" i="43"/>
  <c r="I84" i="43"/>
  <c r="AV12" i="43"/>
  <c r="AX12" i="43"/>
  <c r="AX13" i="43" s="1"/>
  <c r="K84" i="43"/>
  <c r="M84" i="43"/>
  <c r="L85" i="43"/>
  <c r="G84" i="43"/>
  <c r="E84" i="43"/>
  <c r="H84" i="43"/>
  <c r="AW12" i="43"/>
  <c r="O85" i="43"/>
  <c r="J84" i="43"/>
  <c r="N85" i="43"/>
  <c r="BX38" i="43"/>
  <c r="BR46" i="48"/>
  <c r="BZ65" i="48" s="1"/>
  <c r="BC65" i="48"/>
  <c r="AJ43" i="48"/>
  <c r="BO43" i="48"/>
  <c r="BW64" i="48" s="1"/>
  <c r="AU43" i="48"/>
  <c r="AD44" i="48"/>
  <c r="BU43" i="48"/>
  <c r="BW66" i="48" s="1"/>
  <c r="AI19" i="48"/>
  <c r="P90" i="48"/>
  <c r="O96" i="57" s="1"/>
  <c r="Y44" i="48"/>
  <c r="X44" i="48"/>
  <c r="BJ20" i="48"/>
  <c r="BK20" i="48" s="1"/>
  <c r="BL20" i="48" s="1"/>
  <c r="P20" i="48" s="1"/>
  <c r="AH44" i="48"/>
  <c r="AT44" i="48"/>
  <c r="BX62" i="48" s="1"/>
  <c r="Z44" i="48"/>
  <c r="BX68" i="48"/>
  <c r="AG44" i="48"/>
  <c r="BX69" i="48"/>
  <c r="AF44" i="48"/>
  <c r="Q45" i="48"/>
  <c r="AS44" i="48"/>
  <c r="BX61" i="48" s="1"/>
  <c r="AJ67" i="48"/>
  <c r="Q92" i="48"/>
  <c r="P98" i="57" s="1"/>
  <c r="AJ91" i="48"/>
  <c r="P97" i="58" s="1"/>
  <c r="P83" i="44"/>
  <c r="O29" i="57" s="1"/>
  <c r="BA46" i="50"/>
  <c r="AZ47" i="50"/>
  <c r="AX47" i="50"/>
  <c r="AW47" i="50"/>
  <c r="BA46" i="49"/>
  <c r="AW47" i="49"/>
  <c r="AZ47" i="49"/>
  <c r="AX47" i="49"/>
  <c r="AH95" i="49"/>
  <c r="N121" i="58" s="1"/>
  <c r="AH71" i="49"/>
  <c r="BB71" i="49"/>
  <c r="N121" i="55" s="1"/>
  <c r="AE95" i="49"/>
  <c r="K121" i="58" s="1"/>
  <c r="AE71" i="49"/>
  <c r="AY71" i="49"/>
  <c r="K121" i="55" s="1"/>
  <c r="AG95" i="49"/>
  <c r="M121" i="58" s="1"/>
  <c r="AG71" i="49"/>
  <c r="BA71" i="49"/>
  <c r="M121" i="55" s="1"/>
  <c r="M93" i="48"/>
  <c r="L99" i="57" s="1"/>
  <c r="M69" i="48"/>
  <c r="L99" i="56" s="1"/>
  <c r="Q22" i="48"/>
  <c r="BW46" i="48"/>
  <c r="BZ67" i="48" s="1"/>
  <c r="AF92" i="48"/>
  <c r="L98" i="58" s="1"/>
  <c r="AF68" i="48"/>
  <c r="L98" i="54" s="1"/>
  <c r="AZ68" i="48"/>
  <c r="L98" i="55" s="1"/>
  <c r="AQ44" i="48"/>
  <c r="BX59" i="48" s="1"/>
  <c r="W44" i="48"/>
  <c r="AB44" i="48"/>
  <c r="AC44" i="48"/>
  <c r="AA44" i="48"/>
  <c r="AE44" i="48"/>
  <c r="Y92" i="48"/>
  <c r="E98" i="58" s="1"/>
  <c r="Y68" i="48"/>
  <c r="E98" i="54" s="1"/>
  <c r="AS68" i="48"/>
  <c r="E98" i="55" s="1"/>
  <c r="F46" i="48"/>
  <c r="E100" i="53" s="1"/>
  <c r="F23" i="48"/>
  <c r="AT68" i="48"/>
  <c r="F98" i="55" s="1"/>
  <c r="Z92" i="48"/>
  <c r="F98" i="58" s="1"/>
  <c r="Z68" i="48"/>
  <c r="F98" i="54" s="1"/>
  <c r="F69" i="48"/>
  <c r="E99" i="56" s="1"/>
  <c r="F93" i="48"/>
  <c r="E99" i="57" s="1"/>
  <c r="CA45" i="48"/>
  <c r="Q68" i="48"/>
  <c r="P98" i="56" s="1"/>
  <c r="G46" i="48"/>
  <c r="F100" i="53" s="1"/>
  <c r="G23" i="48"/>
  <c r="M46" i="48"/>
  <c r="M23" i="48"/>
  <c r="G69" i="48"/>
  <c r="F99" i="56" s="1"/>
  <c r="G93" i="48"/>
  <c r="F99" i="57" s="1"/>
  <c r="AE93" i="48"/>
  <c r="K99" i="58" s="1"/>
  <c r="AE69" i="48"/>
  <c r="K99" i="54" s="1"/>
  <c r="AY69" i="48"/>
  <c r="K99" i="55" s="1"/>
  <c r="B95" i="48"/>
  <c r="A101" i="57" s="1"/>
  <c r="U47" i="48"/>
  <c r="U95" i="48" s="1"/>
  <c r="A101" i="58" s="1"/>
  <c r="C94" i="48"/>
  <c r="B100" i="57" s="1"/>
  <c r="V46" i="48"/>
  <c r="V94" i="48" s="1"/>
  <c r="B100" i="58" s="1"/>
  <c r="BA44" i="48"/>
  <c r="N95" i="48"/>
  <c r="M101" i="57" s="1"/>
  <c r="AH95" i="48"/>
  <c r="N101" i="58" s="1"/>
  <c r="AH71" i="48"/>
  <c r="N101" i="54" s="1"/>
  <c r="BB71" i="48"/>
  <c r="N101" i="55" s="1"/>
  <c r="AP46" i="48"/>
  <c r="AZ45" i="48"/>
  <c r="AX45" i="48"/>
  <c r="AW45" i="48"/>
  <c r="P91" i="48"/>
  <c r="O97" i="57" s="1"/>
  <c r="AG94" i="48"/>
  <c r="M100" i="58" s="1"/>
  <c r="AG70" i="48"/>
  <c r="M100" i="54" s="1"/>
  <c r="BA70" i="48"/>
  <c r="M100" i="55" s="1"/>
  <c r="L47" i="48"/>
  <c r="L94" i="48"/>
  <c r="K100" i="57" s="1"/>
  <c r="C71" i="48"/>
  <c r="C47" i="48"/>
  <c r="B101" i="53" s="1"/>
  <c r="V23" i="48"/>
  <c r="AP23" i="48" s="1"/>
  <c r="AA37" i="46"/>
  <c r="AF37" i="46"/>
  <c r="BU36" i="44"/>
  <c r="BP66" i="44" s="1"/>
  <c r="BO36" i="44"/>
  <c r="BP64" i="44" s="1"/>
  <c r="AI12" i="44"/>
  <c r="AS37" i="44"/>
  <c r="BQ61" i="44" s="1"/>
  <c r="Z37" i="44"/>
  <c r="AT37" i="44"/>
  <c r="BQ62" i="44" s="1"/>
  <c r="W37" i="44"/>
  <c r="AB37" i="47"/>
  <c r="AU36" i="46"/>
  <c r="AJ36" i="47"/>
  <c r="AJ36" i="46"/>
  <c r="AD37" i="46"/>
  <c r="Z37" i="46"/>
  <c r="AB37" i="46"/>
  <c r="BJ13" i="46"/>
  <c r="BK13" i="46" s="1"/>
  <c r="BL13" i="46" s="1"/>
  <c r="P13" i="46" s="1"/>
  <c r="AR37" i="46"/>
  <c r="BQ60" i="46" s="1"/>
  <c r="AS37" i="46"/>
  <c r="BQ61" i="46" s="1"/>
  <c r="Y37" i="46"/>
  <c r="X37" i="46"/>
  <c r="BC59" i="46"/>
  <c r="AT37" i="46"/>
  <c r="BQ62" i="46" s="1"/>
  <c r="BC58" i="44"/>
  <c r="G16" i="44"/>
  <c r="F34" i="51" s="1"/>
  <c r="G39" i="44"/>
  <c r="AJ11" i="47"/>
  <c r="P69" i="59" s="1"/>
  <c r="AD61" i="46"/>
  <c r="J51" i="54" s="1"/>
  <c r="AD85" i="46"/>
  <c r="J51" i="58" s="1"/>
  <c r="AX61" i="46"/>
  <c r="J39" i="47"/>
  <c r="I73" i="53" s="1"/>
  <c r="J16" i="47"/>
  <c r="I74" i="51" s="1"/>
  <c r="AG37" i="47"/>
  <c r="AH37" i="47"/>
  <c r="BQ69" i="47"/>
  <c r="BQ68" i="47"/>
  <c r="AE37" i="47"/>
  <c r="X61" i="44"/>
  <c r="D31" i="54" s="1"/>
  <c r="X85" i="44"/>
  <c r="D31" i="58" s="1"/>
  <c r="AR61" i="44"/>
  <c r="D31" i="55" s="1"/>
  <c r="BC58" i="47"/>
  <c r="K39" i="47"/>
  <c r="K16" i="47"/>
  <c r="J74" i="51" s="1"/>
  <c r="AC61" i="46"/>
  <c r="I51" i="54" s="1"/>
  <c r="AC85" i="46"/>
  <c r="I51" i="58" s="1"/>
  <c r="AW61" i="46"/>
  <c r="BR39" i="47"/>
  <c r="BS65" i="47" s="1"/>
  <c r="D16" i="47"/>
  <c r="C74" i="51" s="1"/>
  <c r="Q15" i="47"/>
  <c r="D39" i="47"/>
  <c r="C73" i="53" s="1"/>
  <c r="AH60" i="43"/>
  <c r="AH84" i="43"/>
  <c r="G86" i="44"/>
  <c r="F32" i="57" s="1"/>
  <c r="Q38" i="46"/>
  <c r="D86" i="46"/>
  <c r="C52" i="57" s="1"/>
  <c r="D62" i="46"/>
  <c r="C52" i="56" s="1"/>
  <c r="P59" i="47"/>
  <c r="AI35" i="47"/>
  <c r="AA85" i="46"/>
  <c r="G51" i="58" s="1"/>
  <c r="AU61" i="46"/>
  <c r="AA37" i="44"/>
  <c r="AQ37" i="44"/>
  <c r="H39" i="47"/>
  <c r="G73" i="53" s="1"/>
  <c r="H16" i="47"/>
  <c r="G74" i="51" s="1"/>
  <c r="BW39" i="47"/>
  <c r="BS67" i="47" s="1"/>
  <c r="Y37" i="47"/>
  <c r="W85" i="47"/>
  <c r="C71" i="58" s="1"/>
  <c r="Q61" i="47"/>
  <c r="P71" i="56" s="1"/>
  <c r="W61" i="47"/>
  <c r="C71" i="54" s="1"/>
  <c r="AQ61" i="47"/>
  <c r="C71" i="55" s="1"/>
  <c r="AC37" i="47"/>
  <c r="G86" i="47"/>
  <c r="F72" i="57" s="1"/>
  <c r="G62" i="47"/>
  <c r="F72" i="56" s="1"/>
  <c r="E86" i="47"/>
  <c r="D72" i="57" s="1"/>
  <c r="E62" i="47"/>
  <c r="D72" i="56" s="1"/>
  <c r="M86" i="46"/>
  <c r="L52" i="57" s="1"/>
  <c r="M62" i="46"/>
  <c r="L52" i="56" s="1"/>
  <c r="AT37" i="47"/>
  <c r="BQ62" i="47" s="1"/>
  <c r="AC37" i="44"/>
  <c r="CA38" i="47"/>
  <c r="K86" i="47"/>
  <c r="J72" i="57" s="1"/>
  <c r="AG60" i="43"/>
  <c r="AG84" i="43"/>
  <c r="AU36" i="47"/>
  <c r="H86" i="47"/>
  <c r="G72" i="57" s="1"/>
  <c r="AA62" i="47"/>
  <c r="G72" i="54" s="1"/>
  <c r="H62" i="47"/>
  <c r="G72" i="56" s="1"/>
  <c r="X85" i="46"/>
  <c r="D51" i="58" s="1"/>
  <c r="X61" i="46"/>
  <c r="D51" i="54" s="1"/>
  <c r="AR61" i="46"/>
  <c r="E39" i="44"/>
  <c r="E16" i="44"/>
  <c r="D34" i="51" s="1"/>
  <c r="Q85" i="47"/>
  <c r="P71" i="57" s="1"/>
  <c r="G16" i="47"/>
  <c r="F74" i="51" s="1"/>
  <c r="G39" i="47"/>
  <c r="F73" i="53" s="1"/>
  <c r="P84" i="44"/>
  <c r="O30" i="57" s="1"/>
  <c r="E39" i="47"/>
  <c r="D73" i="53" s="1"/>
  <c r="E16" i="47"/>
  <c r="D74" i="51" s="1"/>
  <c r="M16" i="46"/>
  <c r="L54" i="51" s="1"/>
  <c r="M39" i="46"/>
  <c r="L53" i="53" s="1"/>
  <c r="AA37" i="47"/>
  <c r="AC61" i="44"/>
  <c r="I31" i="54" s="1"/>
  <c r="AC85" i="44"/>
  <c r="I31" i="58" s="1"/>
  <c r="AW61" i="44"/>
  <c r="I31" i="55" s="1"/>
  <c r="K86" i="44"/>
  <c r="J32" i="57" s="1"/>
  <c r="CA38" i="44"/>
  <c r="Q38" i="47"/>
  <c r="D86" i="47"/>
  <c r="C72" i="57" s="1"/>
  <c r="D62" i="47"/>
  <c r="C72" i="56" s="1"/>
  <c r="J16" i="46"/>
  <c r="I54" i="51" s="1"/>
  <c r="J39" i="46"/>
  <c r="I53" i="53" s="1"/>
  <c r="AB85" i="47"/>
  <c r="H71" i="58" s="1"/>
  <c r="AB61" i="47"/>
  <c r="H71" i="54" s="1"/>
  <c r="AV61" i="47"/>
  <c r="H71" i="55" s="1"/>
  <c r="D39" i="46"/>
  <c r="C53" i="53" s="1"/>
  <c r="Q15" i="46"/>
  <c r="BR39" i="46"/>
  <c r="BS65" i="46" s="1"/>
  <c r="D16" i="46"/>
  <c r="C54" i="51" s="1"/>
  <c r="I16" i="47"/>
  <c r="H74" i="51" s="1"/>
  <c r="I39" i="47"/>
  <c r="H73" i="53" s="1"/>
  <c r="AD37" i="44"/>
  <c r="AE37" i="44"/>
  <c r="AG37" i="44"/>
  <c r="BQ68" i="44"/>
  <c r="BQ69" i="44"/>
  <c r="AH37" i="44"/>
  <c r="AJ60" i="44"/>
  <c r="E86" i="46"/>
  <c r="D52" i="57" s="1"/>
  <c r="E62" i="46"/>
  <c r="D52" i="56" s="1"/>
  <c r="BJ13" i="44"/>
  <c r="BK13" i="44" s="1"/>
  <c r="BL13" i="44" s="1"/>
  <c r="P13" i="44" s="1"/>
  <c r="O31" i="51" s="1"/>
  <c r="Y85" i="47"/>
  <c r="E71" i="58" s="1"/>
  <c r="Y61" i="47"/>
  <c r="E71" i="54" s="1"/>
  <c r="AS61" i="47"/>
  <c r="E71" i="55" s="1"/>
  <c r="BP59" i="44"/>
  <c r="AU36" i="44"/>
  <c r="E86" i="44"/>
  <c r="D32" i="57" s="1"/>
  <c r="AC61" i="47"/>
  <c r="I71" i="54" s="1"/>
  <c r="AC85" i="47"/>
  <c r="I71" i="58" s="1"/>
  <c r="AW61" i="47"/>
  <c r="I71" i="55" s="1"/>
  <c r="Q38" i="44"/>
  <c r="D86" i="44"/>
  <c r="C32" i="57" s="1"/>
  <c r="M16" i="47"/>
  <c r="L74" i="51" s="1"/>
  <c r="M39" i="47"/>
  <c r="L73" i="53" s="1"/>
  <c r="Y37" i="44"/>
  <c r="AA85" i="47"/>
  <c r="G71" i="58" s="1"/>
  <c r="AU61" i="47"/>
  <c r="G71" i="55" s="1"/>
  <c r="K39" i="44"/>
  <c r="K16" i="44"/>
  <c r="J34" i="51" s="1"/>
  <c r="I86" i="46"/>
  <c r="H52" i="57" s="1"/>
  <c r="I62" i="46"/>
  <c r="H52" i="56" s="1"/>
  <c r="J86" i="46"/>
  <c r="I52" i="57" s="1"/>
  <c r="J62" i="46"/>
  <c r="I52" i="56" s="1"/>
  <c r="I62" i="47"/>
  <c r="H72" i="56" s="1"/>
  <c r="I86" i="47"/>
  <c r="H72" i="57" s="1"/>
  <c r="AA85" i="44"/>
  <c r="G31" i="58" s="1"/>
  <c r="AU61" i="44"/>
  <c r="G31" i="55" s="1"/>
  <c r="W85" i="44"/>
  <c r="C31" i="58" s="1"/>
  <c r="AQ61" i="44"/>
  <c r="C31" i="55" s="1"/>
  <c r="E39" i="46"/>
  <c r="D53" i="53" s="1"/>
  <c r="E16" i="46"/>
  <c r="D54" i="51" s="1"/>
  <c r="K86" i="46"/>
  <c r="J52" i="57" s="1"/>
  <c r="CA38" i="46"/>
  <c r="AD61" i="44"/>
  <c r="J31" i="54" s="1"/>
  <c r="AD85" i="44"/>
  <c r="J31" i="58" s="1"/>
  <c r="AX61" i="44"/>
  <c r="J31" i="55" s="1"/>
  <c r="J39" i="44"/>
  <c r="J16" i="44"/>
  <c r="I34" i="51" s="1"/>
  <c r="G39" i="46"/>
  <c r="F53" i="53" s="1"/>
  <c r="G16" i="46"/>
  <c r="F54" i="51" s="1"/>
  <c r="Z37" i="47"/>
  <c r="P36" i="47"/>
  <c r="O70" i="53" s="1"/>
  <c r="AI12" i="47"/>
  <c r="O70" i="59" s="1"/>
  <c r="BU36" i="47"/>
  <c r="BP66" i="47" s="1"/>
  <c r="BO36" i="47"/>
  <c r="BP64" i="47" s="1"/>
  <c r="AF37" i="47"/>
  <c r="D39" i="44"/>
  <c r="D16" i="44"/>
  <c r="C34" i="51" s="1"/>
  <c r="BR39" i="44"/>
  <c r="BS65" i="44" s="1"/>
  <c r="Q15" i="44"/>
  <c r="AJ84" i="47"/>
  <c r="P70" i="58" s="1"/>
  <c r="I86" i="44"/>
  <c r="H32" i="57" s="1"/>
  <c r="M62" i="47"/>
  <c r="L72" i="56" s="1"/>
  <c r="M86" i="47"/>
  <c r="L72" i="57" s="1"/>
  <c r="P84" i="46"/>
  <c r="O50" i="57" s="1"/>
  <c r="I39" i="46"/>
  <c r="H53" i="53" s="1"/>
  <c r="I16" i="46"/>
  <c r="H54" i="51" s="1"/>
  <c r="AF85" i="44"/>
  <c r="L31" i="58" s="1"/>
  <c r="AF61" i="44"/>
  <c r="L31" i="54" s="1"/>
  <c r="AZ61" i="44"/>
  <c r="L31" i="55" s="1"/>
  <c r="AE60" i="43"/>
  <c r="AE84" i="43"/>
  <c r="H86" i="44"/>
  <c r="G32" i="57" s="1"/>
  <c r="AA62" i="44"/>
  <c r="G32" i="54" s="1"/>
  <c r="Q85" i="44"/>
  <c r="P31" i="57" s="1"/>
  <c r="AJ84" i="44"/>
  <c r="P30" i="58" s="1"/>
  <c r="AA62" i="46"/>
  <c r="G52" i="54" s="1"/>
  <c r="H86" i="46"/>
  <c r="G52" i="57" s="1"/>
  <c r="K16" i="46"/>
  <c r="J54" i="51" s="1"/>
  <c r="K39" i="46"/>
  <c r="J86" i="44"/>
  <c r="I32" i="57" s="1"/>
  <c r="G86" i="46"/>
  <c r="F52" i="57" s="1"/>
  <c r="G62" i="46"/>
  <c r="F52" i="56" s="1"/>
  <c r="AS37" i="47"/>
  <c r="BQ61" i="47" s="1"/>
  <c r="AB37" i="44"/>
  <c r="AF85" i="46"/>
  <c r="L51" i="58" s="1"/>
  <c r="AF61" i="46"/>
  <c r="L51" i="54" s="1"/>
  <c r="AZ61" i="46"/>
  <c r="F39" i="47"/>
  <c r="E73" i="53" s="1"/>
  <c r="F16" i="47"/>
  <c r="E74" i="51" s="1"/>
  <c r="I39" i="44"/>
  <c r="I16" i="44"/>
  <c r="H34" i="51" s="1"/>
  <c r="Y85" i="44"/>
  <c r="E31" i="58" s="1"/>
  <c r="Y61" i="44"/>
  <c r="E31" i="54" s="1"/>
  <c r="AS61" i="44"/>
  <c r="E31" i="55" s="1"/>
  <c r="Q85" i="46"/>
  <c r="P51" i="57" s="1"/>
  <c r="F39" i="46"/>
  <c r="E53" i="53" s="1"/>
  <c r="F16" i="46"/>
  <c r="E54" i="51" s="1"/>
  <c r="AR37" i="47"/>
  <c r="BQ60" i="47" s="1"/>
  <c r="BJ13" i="47"/>
  <c r="BK13" i="47" s="1"/>
  <c r="BL13" i="47" s="1"/>
  <c r="P13" i="47" s="1"/>
  <c r="O71" i="51" s="1"/>
  <c r="Y85" i="46"/>
  <c r="E51" i="58" s="1"/>
  <c r="Y61" i="46"/>
  <c r="E51" i="54" s="1"/>
  <c r="AS61" i="46"/>
  <c r="AB85" i="46"/>
  <c r="H51" i="58" s="1"/>
  <c r="AB61" i="46"/>
  <c r="H51" i="54" s="1"/>
  <c r="AV61" i="46"/>
  <c r="M86" i="44"/>
  <c r="L32" i="57" s="1"/>
  <c r="H16" i="44"/>
  <c r="G34" i="51" s="1"/>
  <c r="H39" i="44"/>
  <c r="BW39" i="44"/>
  <c r="BS67" i="44" s="1"/>
  <c r="Z61" i="44"/>
  <c r="F31" i="54" s="1"/>
  <c r="Z85" i="44"/>
  <c r="F31" i="58" s="1"/>
  <c r="AT61" i="44"/>
  <c r="F31" i="55" s="1"/>
  <c r="Z85" i="47"/>
  <c r="F71" i="58" s="1"/>
  <c r="Z61" i="47"/>
  <c r="F71" i="54" s="1"/>
  <c r="AT61" i="47"/>
  <c r="F71" i="55" s="1"/>
  <c r="AB61" i="44"/>
  <c r="H31" i="54" s="1"/>
  <c r="AB85" i="44"/>
  <c r="H31" i="58" s="1"/>
  <c r="AV61" i="44"/>
  <c r="H31" i="55" s="1"/>
  <c r="AF85" i="47"/>
  <c r="L71" i="58" s="1"/>
  <c r="AF61" i="47"/>
  <c r="L71" i="54" s="1"/>
  <c r="AZ61" i="47"/>
  <c r="L71" i="55" s="1"/>
  <c r="F86" i="47"/>
  <c r="E72" i="57" s="1"/>
  <c r="F62" i="47"/>
  <c r="E72" i="56" s="1"/>
  <c r="Z61" i="46"/>
  <c r="F51" i="54" s="1"/>
  <c r="Z85" i="46"/>
  <c r="F51" i="58" s="1"/>
  <c r="AT61" i="46"/>
  <c r="AJ60" i="47"/>
  <c r="AR37" i="44"/>
  <c r="BQ60" i="44" s="1"/>
  <c r="F39" i="44"/>
  <c r="F16" i="44"/>
  <c r="E34" i="51" s="1"/>
  <c r="AJ60" i="46"/>
  <c r="AK60" i="46" s="1"/>
  <c r="BP58" i="46" s="1"/>
  <c r="W61" i="46"/>
  <c r="C51" i="54" s="1"/>
  <c r="W85" i="46"/>
  <c r="C51" i="58" s="1"/>
  <c r="Q61" i="46"/>
  <c r="P51" i="56" s="1"/>
  <c r="AQ61" i="46"/>
  <c r="F86" i="46"/>
  <c r="E52" i="57" s="1"/>
  <c r="F62" i="46"/>
  <c r="E52" i="56" s="1"/>
  <c r="X37" i="47"/>
  <c r="AD37" i="47"/>
  <c r="M16" i="44"/>
  <c r="L34" i="51" s="1"/>
  <c r="M39" i="44"/>
  <c r="BW39" i="46"/>
  <c r="BS67" i="46" s="1"/>
  <c r="H39" i="46"/>
  <c r="H16" i="46"/>
  <c r="G54" i="51" s="1"/>
  <c r="J62" i="47"/>
  <c r="I72" i="56" s="1"/>
  <c r="J86" i="47"/>
  <c r="I72" i="57" s="1"/>
  <c r="W37" i="47"/>
  <c r="AJ36" i="44"/>
  <c r="X37" i="44"/>
  <c r="F86" i="44"/>
  <c r="E32" i="57" s="1"/>
  <c r="AJ84" i="46"/>
  <c r="P50" i="58" s="1"/>
  <c r="W37" i="46"/>
  <c r="AG37" i="46"/>
  <c r="BQ68" i="46"/>
  <c r="AE37" i="46"/>
  <c r="AH37" i="46"/>
  <c r="BQ69" i="46"/>
  <c r="AC37" i="46"/>
  <c r="X85" i="47"/>
  <c r="D71" i="58" s="1"/>
  <c r="X61" i="47"/>
  <c r="D71" i="54" s="1"/>
  <c r="AR61" i="47"/>
  <c r="D71" i="55" s="1"/>
  <c r="AD85" i="47"/>
  <c r="J71" i="58" s="1"/>
  <c r="AD61" i="47"/>
  <c r="J71" i="54" s="1"/>
  <c r="AX61" i="47"/>
  <c r="J71" i="55" s="1"/>
  <c r="AE91" i="47"/>
  <c r="K77" i="58" s="1"/>
  <c r="AE67" i="47"/>
  <c r="AY67" i="47"/>
  <c r="K77" i="55" s="1"/>
  <c r="L45" i="47"/>
  <c r="L22" i="47"/>
  <c r="K80" i="51" s="1"/>
  <c r="C71" i="47"/>
  <c r="C47" i="47"/>
  <c r="B81" i="53" s="1"/>
  <c r="V23" i="47"/>
  <c r="AP23" i="47" s="1"/>
  <c r="L92" i="47"/>
  <c r="K78" i="57" s="1"/>
  <c r="AW43" i="47"/>
  <c r="AZ43" i="47"/>
  <c r="AP44" i="47"/>
  <c r="AX43" i="47"/>
  <c r="N45" i="47"/>
  <c r="BX45" i="47"/>
  <c r="N22" i="47"/>
  <c r="M80" i="51" s="1"/>
  <c r="B71" i="47"/>
  <c r="B47" i="47"/>
  <c r="A81" i="53" s="1"/>
  <c r="U23" i="47"/>
  <c r="AO23" i="47" s="1"/>
  <c r="C94" i="47"/>
  <c r="B80" i="57" s="1"/>
  <c r="V46" i="47"/>
  <c r="V94" i="47" s="1"/>
  <c r="B80" i="58" s="1"/>
  <c r="AH91" i="47"/>
  <c r="N77" i="58" s="1"/>
  <c r="N17" i="58" s="1"/>
  <c r="AH67" i="47"/>
  <c r="BB67" i="47"/>
  <c r="N77" i="55" s="1"/>
  <c r="AU23" i="47"/>
  <c r="N92" i="47"/>
  <c r="M78" i="57" s="1"/>
  <c r="O45" i="47"/>
  <c r="N79" i="53" s="1"/>
  <c r="O22" i="47"/>
  <c r="N80" i="51" s="1"/>
  <c r="N20" i="51" s="1"/>
  <c r="B94" i="47"/>
  <c r="A80" i="57" s="1"/>
  <c r="U46" i="47"/>
  <c r="U94" i="47" s="1"/>
  <c r="A80" i="58" s="1"/>
  <c r="AG91" i="47"/>
  <c r="M77" i="58" s="1"/>
  <c r="AG67" i="47"/>
  <c r="BA67" i="47"/>
  <c r="M77" i="55" s="1"/>
  <c r="O92" i="47"/>
  <c r="N78" i="57" s="1"/>
  <c r="N18" i="57" s="1"/>
  <c r="O68" i="47"/>
  <c r="N78" i="56" s="1"/>
  <c r="N18" i="56" s="1"/>
  <c r="O46" i="46"/>
  <c r="N60" i="53" s="1"/>
  <c r="O23" i="46"/>
  <c r="N61" i="51" s="1"/>
  <c r="L46" i="46"/>
  <c r="L23" i="46"/>
  <c r="K61" i="51" s="1"/>
  <c r="N92" i="46"/>
  <c r="M58" i="57" s="1"/>
  <c r="AP44" i="46"/>
  <c r="AW43" i="46"/>
  <c r="AZ43" i="46"/>
  <c r="AX43" i="46"/>
  <c r="AU22" i="46"/>
  <c r="C60" i="52" s="1"/>
  <c r="C20" i="52" s="1"/>
  <c r="BD21" i="46"/>
  <c r="J59" i="52" s="1"/>
  <c r="J19" i="52" s="1"/>
  <c r="L93" i="46"/>
  <c r="K59" i="57" s="1"/>
  <c r="AH92" i="46"/>
  <c r="N58" i="58" s="1"/>
  <c r="AH68" i="46"/>
  <c r="BB68" i="46"/>
  <c r="C70" i="46"/>
  <c r="C46" i="46"/>
  <c r="B60" i="53" s="1"/>
  <c r="C23" i="46"/>
  <c r="B61" i="51" s="1"/>
  <c r="V22" i="46"/>
  <c r="AP22" i="46" s="1"/>
  <c r="AG91" i="46"/>
  <c r="M57" i="58" s="1"/>
  <c r="AG67" i="46"/>
  <c r="BA67" i="46"/>
  <c r="BT43" i="46"/>
  <c r="BQ43" i="46"/>
  <c r="AE92" i="46"/>
  <c r="K58" i="58" s="1"/>
  <c r="AE68" i="46"/>
  <c r="AY68" i="46"/>
  <c r="BL45" i="46"/>
  <c r="BN44" i="46"/>
  <c r="C93" i="46"/>
  <c r="B59" i="57" s="1"/>
  <c r="V45" i="46"/>
  <c r="V93" i="46" s="1"/>
  <c r="B59" i="58" s="1"/>
  <c r="B69" i="46"/>
  <c r="B45" i="46"/>
  <c r="A59" i="53" s="1"/>
  <c r="B22" i="46"/>
  <c r="A60" i="51" s="1"/>
  <c r="U21" i="46"/>
  <c r="AO21" i="46" s="1"/>
  <c r="N45" i="46"/>
  <c r="BX45" i="46"/>
  <c r="N22" i="46"/>
  <c r="M60" i="51" s="1"/>
  <c r="O93" i="46"/>
  <c r="N59" i="57" s="1"/>
  <c r="O69" i="46"/>
  <c r="N59" i="56" s="1"/>
  <c r="B92" i="46"/>
  <c r="A58" i="57" s="1"/>
  <c r="U44" i="46"/>
  <c r="U92" i="46" s="1"/>
  <c r="A58" i="58" s="1"/>
  <c r="L45" i="44"/>
  <c r="L22" i="44"/>
  <c r="K40" i="51" s="1"/>
  <c r="O46" i="44"/>
  <c r="O23" i="44"/>
  <c r="N41" i="51" s="1"/>
  <c r="L92" i="44"/>
  <c r="K38" i="57" s="1"/>
  <c r="O93" i="44"/>
  <c r="N39" i="57" s="1"/>
  <c r="AH92" i="44"/>
  <c r="N38" i="58" s="1"/>
  <c r="AH68" i="44"/>
  <c r="N38" i="54" s="1"/>
  <c r="BB68" i="44"/>
  <c r="N38" i="55" s="1"/>
  <c r="BQ43" i="44"/>
  <c r="BT43" i="44"/>
  <c r="BL45" i="44"/>
  <c r="BM45" i="44" s="1"/>
  <c r="BN44" i="44"/>
  <c r="AP46" i="44"/>
  <c r="AX45" i="44"/>
  <c r="AZ45" i="44"/>
  <c r="AW45" i="44"/>
  <c r="AE91" i="44"/>
  <c r="K37" i="58" s="1"/>
  <c r="AE67" i="44"/>
  <c r="K37" i="54" s="1"/>
  <c r="AY67" i="44"/>
  <c r="K37" i="55" s="1"/>
  <c r="AD59" i="43"/>
  <c r="AU59" i="43"/>
  <c r="Z59" i="43"/>
  <c r="AC59" i="43"/>
  <c r="X59" i="43"/>
  <c r="Y59" i="43"/>
  <c r="AB59" i="43"/>
  <c r="AF59" i="43"/>
  <c r="BW37" i="43"/>
  <c r="BQ67" i="43" s="1"/>
  <c r="CA36" i="43"/>
  <c r="BK4" i="43"/>
  <c r="BL4" i="43" s="1"/>
  <c r="BU28" i="43" s="1"/>
  <c r="AS59" i="43"/>
  <c r="AZ59" i="43"/>
  <c r="BA35" i="43"/>
  <c r="AT59" i="43"/>
  <c r="BB60" i="43"/>
  <c r="AW59" i="43"/>
  <c r="AX59" i="43"/>
  <c r="AV59" i="43"/>
  <c r="AY60" i="43"/>
  <c r="BA60" i="43"/>
  <c r="AR59" i="43"/>
  <c r="O61" i="43"/>
  <c r="J60" i="43"/>
  <c r="AC84" i="43" s="1"/>
  <c r="F60" i="43"/>
  <c r="Y84" i="43" s="1"/>
  <c r="I60" i="43"/>
  <c r="AB84" i="43" s="1"/>
  <c r="AD84" i="43"/>
  <c r="M60" i="43"/>
  <c r="AF84" i="43" s="1"/>
  <c r="G60" i="43"/>
  <c r="Z84" i="43" s="1"/>
  <c r="E60" i="43"/>
  <c r="X84" i="43" s="1"/>
  <c r="AA60" i="43"/>
  <c r="O15" i="43"/>
  <c r="O38" i="43"/>
  <c r="J14" i="43"/>
  <c r="J37" i="43"/>
  <c r="N15" i="43"/>
  <c r="N38" i="43"/>
  <c r="N62" i="43" s="1"/>
  <c r="F14" i="43"/>
  <c r="F37" i="43"/>
  <c r="I14" i="43"/>
  <c r="I37" i="43"/>
  <c r="K14" i="43"/>
  <c r="K37" i="43"/>
  <c r="K61" i="43" s="1"/>
  <c r="M14" i="43"/>
  <c r="M37" i="43"/>
  <c r="L15" i="43"/>
  <c r="L38" i="43"/>
  <c r="L62" i="43" s="1"/>
  <c r="BQ41" i="43"/>
  <c r="BT41" i="43"/>
  <c r="G14" i="43"/>
  <c r="G37" i="43"/>
  <c r="E14" i="43"/>
  <c r="E37" i="43"/>
  <c r="H14" i="43"/>
  <c r="H37" i="43"/>
  <c r="AJ52" i="43"/>
  <c r="AW30" i="43"/>
  <c r="BH29" i="43"/>
  <c r="AW28" i="43"/>
  <c r="AW33" i="43"/>
  <c r="AW29" i="43"/>
  <c r="AW34" i="43"/>
  <c r="AW32" i="43"/>
  <c r="AW31" i="43"/>
  <c r="BD11" i="43"/>
  <c r="AY13" i="43"/>
  <c r="BA13" i="43"/>
  <c r="AU12" i="43"/>
  <c r="AZ13" i="43"/>
  <c r="BL43" i="43"/>
  <c r="BM43" i="43" s="1"/>
  <c r="BN42" i="43"/>
  <c r="AJ28" i="43"/>
  <c r="AU28" i="43"/>
  <c r="AX44" i="43"/>
  <c r="AZ44" i="43"/>
  <c r="AP45" i="43"/>
  <c r="AW45" i="43" s="1"/>
  <c r="P9" i="59" l="1"/>
  <c r="O9" i="59"/>
  <c r="BA30" i="43"/>
  <c r="G4" i="60"/>
  <c r="P12" i="51"/>
  <c r="BA32" i="43"/>
  <c r="G6" i="60"/>
  <c r="BA34" i="43"/>
  <c r="G8" i="60"/>
  <c r="L10" i="60"/>
  <c r="D10" i="60"/>
  <c r="J10" i="60"/>
  <c r="H10" i="60"/>
  <c r="BA33" i="43"/>
  <c r="G7" i="60"/>
  <c r="BA31" i="43"/>
  <c r="G5" i="60"/>
  <c r="BA29" i="43"/>
  <c r="G3" i="60"/>
  <c r="BA28" i="43"/>
  <c r="G2" i="60"/>
  <c r="P33" i="51"/>
  <c r="P33" i="59"/>
  <c r="P100" i="51"/>
  <c r="P120" i="51"/>
  <c r="P73" i="51"/>
  <c r="AJ12" i="46"/>
  <c r="P50" i="59" s="1"/>
  <c r="O50" i="59"/>
  <c r="AJ19" i="48"/>
  <c r="P97" i="59" s="1"/>
  <c r="O97" i="59"/>
  <c r="AJ12" i="44"/>
  <c r="O30" i="59"/>
  <c r="P53" i="51"/>
  <c r="P140" i="51"/>
  <c r="W93" i="48"/>
  <c r="C99" i="58" s="1"/>
  <c r="I70" i="48"/>
  <c r="H100" i="56" s="1"/>
  <c r="I94" i="48"/>
  <c r="H100" i="57" s="1"/>
  <c r="BN63" i="46"/>
  <c r="AA93" i="48"/>
  <c r="G99" i="58" s="1"/>
  <c r="W69" i="48"/>
  <c r="C99" i="54" s="1"/>
  <c r="J94" i="48"/>
  <c r="I100" i="57" s="1"/>
  <c r="AQ69" i="48"/>
  <c r="C99" i="55" s="1"/>
  <c r="BT63" i="50"/>
  <c r="BT63" i="49"/>
  <c r="AF45" i="49"/>
  <c r="AC45" i="49"/>
  <c r="BT55" i="49"/>
  <c r="AU69" i="48"/>
  <c r="G99" i="55" s="1"/>
  <c r="I47" i="48"/>
  <c r="H101" i="53" s="1"/>
  <c r="AA70" i="48"/>
  <c r="G100" i="54" s="1"/>
  <c r="D47" i="48"/>
  <c r="C101" i="53" s="1"/>
  <c r="AB69" i="48"/>
  <c r="H99" i="54" s="1"/>
  <c r="AB93" i="48"/>
  <c r="H99" i="58" s="1"/>
  <c r="AV69" i="48"/>
  <c r="H99" i="55" s="1"/>
  <c r="H47" i="48"/>
  <c r="G101" i="53" s="1"/>
  <c r="H94" i="48"/>
  <c r="G100" i="57" s="1"/>
  <c r="D70" i="48"/>
  <c r="C100" i="56" s="1"/>
  <c r="D94" i="48"/>
  <c r="C100" i="57" s="1"/>
  <c r="H70" i="48"/>
  <c r="G100" i="56" s="1"/>
  <c r="AC69" i="48"/>
  <c r="I99" i="54" s="1"/>
  <c r="J70" i="48"/>
  <c r="I100" i="56" s="1"/>
  <c r="AW69" i="48"/>
  <c r="I99" i="55" s="1"/>
  <c r="AC93" i="48"/>
  <c r="I99" i="58" s="1"/>
  <c r="J47" i="48"/>
  <c r="I101" i="53" s="1"/>
  <c r="AI43" i="48"/>
  <c r="K18" i="57"/>
  <c r="K17" i="58"/>
  <c r="M17" i="58"/>
  <c r="M20" i="51"/>
  <c r="C81" i="52"/>
  <c r="AZ23" i="47"/>
  <c r="H81" i="52" s="1"/>
  <c r="H21" i="52" s="1"/>
  <c r="H80" i="52"/>
  <c r="H20" i="52" s="1"/>
  <c r="K20" i="51"/>
  <c r="M18" i="53"/>
  <c r="G20" i="52"/>
  <c r="I20" i="52"/>
  <c r="G21" i="52"/>
  <c r="AI36" i="46"/>
  <c r="F20" i="52"/>
  <c r="D20" i="52"/>
  <c r="F21" i="52"/>
  <c r="D21" i="52"/>
  <c r="I21" i="52"/>
  <c r="BA69" i="44"/>
  <c r="M39" i="55" s="1"/>
  <c r="AG69" i="44"/>
  <c r="M39" i="54" s="1"/>
  <c r="AG93" i="44"/>
  <c r="M39" i="58" s="1"/>
  <c r="N94" i="44"/>
  <c r="M40" i="57" s="1"/>
  <c r="N70" i="44"/>
  <c r="M40" i="56" s="1"/>
  <c r="N47" i="44"/>
  <c r="M41" i="53" s="1"/>
  <c r="BX47" i="44"/>
  <c r="C41" i="52"/>
  <c r="AW23" i="44"/>
  <c r="E41" i="52" s="1"/>
  <c r="E21" i="52" s="1"/>
  <c r="E40" i="52"/>
  <c r="E20" i="52" s="1"/>
  <c r="P11" i="56"/>
  <c r="G12" i="53"/>
  <c r="BU55" i="50"/>
  <c r="H11" i="58"/>
  <c r="BU63" i="50"/>
  <c r="BU55" i="49"/>
  <c r="BU63" i="49"/>
  <c r="H61" i="43"/>
  <c r="AA85" i="43" s="1"/>
  <c r="AO70" i="47"/>
  <c r="A80" i="55" s="1"/>
  <c r="A80" i="54"/>
  <c r="U70" i="44"/>
  <c r="A40" i="56"/>
  <c r="AO69" i="44"/>
  <c r="A39" i="55" s="1"/>
  <c r="A39" i="54"/>
  <c r="AO71" i="48"/>
  <c r="A101" i="55" s="1"/>
  <c r="A101" i="54"/>
  <c r="V70" i="44"/>
  <c r="B40" i="56"/>
  <c r="BA43" i="46"/>
  <c r="BH23" i="47"/>
  <c r="A81" i="52"/>
  <c r="BI23" i="48"/>
  <c r="B101" i="52"/>
  <c r="A40" i="53"/>
  <c r="U46" i="44"/>
  <c r="U94" i="44" s="1"/>
  <c r="A40" i="58" s="1"/>
  <c r="B94" i="44"/>
  <c r="A40" i="57" s="1"/>
  <c r="BI22" i="44"/>
  <c r="B40" i="52"/>
  <c r="U69" i="46"/>
  <c r="AO69" i="46" s="1"/>
  <c r="A59" i="56"/>
  <c r="B41" i="51"/>
  <c r="C47" i="44"/>
  <c r="C71" i="44"/>
  <c r="V23" i="44"/>
  <c r="AP23" i="44" s="1"/>
  <c r="AP70" i="48"/>
  <c r="B100" i="55" s="1"/>
  <c r="B100" i="54"/>
  <c r="U71" i="47"/>
  <c r="A81" i="56"/>
  <c r="V71" i="48"/>
  <c r="B101" i="56"/>
  <c r="BA47" i="49"/>
  <c r="B40" i="53"/>
  <c r="V46" i="44"/>
  <c r="V94" i="44" s="1"/>
  <c r="B40" i="58" s="1"/>
  <c r="C94" i="44"/>
  <c r="B40" i="57" s="1"/>
  <c r="A41" i="51"/>
  <c r="B47" i="44"/>
  <c r="U23" i="44"/>
  <c r="AO23" i="44" s="1"/>
  <c r="B71" i="44"/>
  <c r="BI23" i="47"/>
  <c r="B81" i="52"/>
  <c r="A58" i="55"/>
  <c r="A58" i="54"/>
  <c r="AP69" i="44"/>
  <c r="B39" i="55" s="1"/>
  <c r="B39" i="54"/>
  <c r="AP70" i="47"/>
  <c r="B80" i="55" s="1"/>
  <c r="B80" i="54"/>
  <c r="V70" i="46"/>
  <c r="AP70" i="46" s="1"/>
  <c r="B60" i="56"/>
  <c r="BH21" i="46"/>
  <c r="A59" i="52"/>
  <c r="BI22" i="46"/>
  <c r="B60" i="52"/>
  <c r="V71" i="47"/>
  <c r="B81" i="56"/>
  <c r="BH22" i="44"/>
  <c r="A40" i="52"/>
  <c r="B59" i="55"/>
  <c r="B59" i="54"/>
  <c r="D12" i="57"/>
  <c r="AS45" i="49"/>
  <c r="BY61" i="49" s="1"/>
  <c r="H12" i="57"/>
  <c r="Z45" i="49"/>
  <c r="G11" i="58"/>
  <c r="C11" i="58"/>
  <c r="C12" i="57"/>
  <c r="N17" i="54"/>
  <c r="K18" i="56"/>
  <c r="N17" i="55"/>
  <c r="P11" i="57"/>
  <c r="AI36" i="44"/>
  <c r="W62" i="44"/>
  <c r="C32" i="54" s="1"/>
  <c r="N58" i="55"/>
  <c r="M18" i="56"/>
  <c r="K79" i="53"/>
  <c r="L69" i="47"/>
  <c r="K79" i="56" s="1"/>
  <c r="K17" i="55"/>
  <c r="M57" i="55"/>
  <c r="M17" i="55" s="1"/>
  <c r="M17" i="54"/>
  <c r="N19" i="53"/>
  <c r="K17" i="54"/>
  <c r="O70" i="44"/>
  <c r="N40" i="56" s="1"/>
  <c r="N40" i="53"/>
  <c r="M18" i="57"/>
  <c r="M59" i="53"/>
  <c r="N69" i="46"/>
  <c r="M59" i="56" s="1"/>
  <c r="K39" i="53"/>
  <c r="L69" i="44"/>
  <c r="K39" i="56" s="1"/>
  <c r="K58" i="55"/>
  <c r="K60" i="53"/>
  <c r="L70" i="46"/>
  <c r="K60" i="56" s="1"/>
  <c r="K101" i="53"/>
  <c r="L71" i="48"/>
  <c r="K101" i="56" s="1"/>
  <c r="K18" i="53"/>
  <c r="M79" i="53"/>
  <c r="N69" i="47"/>
  <c r="M79" i="56" s="1"/>
  <c r="E12" i="57"/>
  <c r="D14" i="51"/>
  <c r="J12" i="53"/>
  <c r="C14" i="51"/>
  <c r="J12" i="56"/>
  <c r="G14" i="51"/>
  <c r="E11" i="58"/>
  <c r="H63" i="46"/>
  <c r="G53" i="56" s="1"/>
  <c r="G53" i="53"/>
  <c r="C51" i="55"/>
  <c r="C11" i="55" s="1"/>
  <c r="C11" i="54"/>
  <c r="AK60" i="47"/>
  <c r="BP58" i="47" s="1"/>
  <c r="P70" i="54"/>
  <c r="L12" i="57"/>
  <c r="H14" i="51"/>
  <c r="P10" i="58"/>
  <c r="L11" i="58"/>
  <c r="J11" i="58"/>
  <c r="J14" i="51"/>
  <c r="AT38" i="44"/>
  <c r="BR62" i="44" s="1"/>
  <c r="P32" i="53"/>
  <c r="F12" i="57"/>
  <c r="AK67" i="50"/>
  <c r="BW58" i="50" s="1"/>
  <c r="P137" i="54"/>
  <c r="P11" i="53"/>
  <c r="D12" i="56"/>
  <c r="E12" i="56"/>
  <c r="C12" i="56"/>
  <c r="H51" i="55"/>
  <c r="H11" i="55" s="1"/>
  <c r="H11" i="54"/>
  <c r="G51" i="55"/>
  <c r="G11" i="55" s="1"/>
  <c r="G11" i="54"/>
  <c r="AQ45" i="50"/>
  <c r="BY59" i="50" s="1"/>
  <c r="P139" i="53"/>
  <c r="E47" i="50"/>
  <c r="D141" i="53" s="1"/>
  <c r="D141" i="51"/>
  <c r="M63" i="44"/>
  <c r="L33" i="56" s="1"/>
  <c r="L33" i="53"/>
  <c r="L13" i="53" s="1"/>
  <c r="E63" i="44"/>
  <c r="D33" i="56" s="1"/>
  <c r="D33" i="53"/>
  <c r="D13" i="53" s="1"/>
  <c r="BT55" i="50"/>
  <c r="J99" i="56"/>
  <c r="AX69" i="48"/>
  <c r="J99" i="55" s="1"/>
  <c r="AD69" i="48"/>
  <c r="J99" i="54" s="1"/>
  <c r="AD93" i="48"/>
  <c r="J99" i="58" s="1"/>
  <c r="F51" i="55"/>
  <c r="F11" i="55" s="1"/>
  <c r="F11" i="54"/>
  <c r="BD65" i="48"/>
  <c r="BU55" i="48" s="1"/>
  <c r="O95" i="55"/>
  <c r="L14" i="51"/>
  <c r="F11" i="58"/>
  <c r="I12" i="57"/>
  <c r="G12" i="57"/>
  <c r="J12" i="57"/>
  <c r="D51" i="55"/>
  <c r="D11" i="55" s="1"/>
  <c r="D11" i="54"/>
  <c r="K63" i="47"/>
  <c r="J73" i="56" s="1"/>
  <c r="J73" i="53"/>
  <c r="G63" i="44"/>
  <c r="F33" i="56" s="1"/>
  <c r="F33" i="53"/>
  <c r="F13" i="53" s="1"/>
  <c r="K70" i="49"/>
  <c r="J120" i="56" s="1"/>
  <c r="J120" i="53"/>
  <c r="G12" i="56"/>
  <c r="BM63" i="47"/>
  <c r="P67" i="55"/>
  <c r="P7" i="55" s="1"/>
  <c r="K63" i="44"/>
  <c r="J33" i="56" s="1"/>
  <c r="J33" i="53"/>
  <c r="E51" i="55"/>
  <c r="E11" i="55" s="1"/>
  <c r="E11" i="54"/>
  <c r="L51" i="55"/>
  <c r="L11" i="55" s="1"/>
  <c r="L11" i="54"/>
  <c r="K63" i="46"/>
  <c r="J53" i="56" s="1"/>
  <c r="J53" i="53"/>
  <c r="D63" i="44"/>
  <c r="C33" i="56" s="1"/>
  <c r="C33" i="53"/>
  <c r="C13" i="53" s="1"/>
  <c r="P83" i="47"/>
  <c r="O69" i="57" s="1"/>
  <c r="O9" i="57" s="1"/>
  <c r="O69" i="56"/>
  <c r="O9" i="56" s="1"/>
  <c r="BD58" i="47"/>
  <c r="P68" i="55" s="1"/>
  <c r="O68" i="55"/>
  <c r="F14" i="51"/>
  <c r="P37" i="46"/>
  <c r="O51" i="53" s="1"/>
  <c r="O51" i="51"/>
  <c r="O11" i="51" s="1"/>
  <c r="M47" i="48"/>
  <c r="M71" i="48" s="1"/>
  <c r="L101" i="51"/>
  <c r="BD66" i="50"/>
  <c r="P136" i="55" s="1"/>
  <c r="O136" i="55"/>
  <c r="K47" i="49"/>
  <c r="K95" i="49" s="1"/>
  <c r="J121" i="57" s="1"/>
  <c r="J121" i="51"/>
  <c r="J47" i="50"/>
  <c r="I141" i="53" s="1"/>
  <c r="I141" i="51"/>
  <c r="D100" i="53"/>
  <c r="E94" i="48"/>
  <c r="D100" i="57" s="1"/>
  <c r="E70" i="48"/>
  <c r="D99" i="56"/>
  <c r="X69" i="48"/>
  <c r="D99" i="54" s="1"/>
  <c r="AR69" i="48"/>
  <c r="D99" i="55" s="1"/>
  <c r="X93" i="48"/>
  <c r="D99" i="58" s="1"/>
  <c r="O10" i="53"/>
  <c r="I63" i="44"/>
  <c r="H33" i="56" s="1"/>
  <c r="H33" i="53"/>
  <c r="H13" i="53" s="1"/>
  <c r="AA38" i="47"/>
  <c r="P72" i="53"/>
  <c r="F12" i="56"/>
  <c r="E14" i="51"/>
  <c r="I14" i="51"/>
  <c r="AK60" i="44"/>
  <c r="BP58" i="44" s="1"/>
  <c r="P30" i="54"/>
  <c r="I11" i="58"/>
  <c r="BD58" i="44"/>
  <c r="BN63" i="44" s="1"/>
  <c r="O28" i="55"/>
  <c r="CA46" i="48"/>
  <c r="L100" i="53"/>
  <c r="AK67" i="48"/>
  <c r="BW58" i="48" s="1"/>
  <c r="P97" i="54"/>
  <c r="H12" i="56"/>
  <c r="P48" i="55"/>
  <c r="P48" i="54"/>
  <c r="P8" i="54" s="1"/>
  <c r="D101" i="51"/>
  <c r="E47" i="48"/>
  <c r="I12" i="56"/>
  <c r="F63" i="44"/>
  <c r="E33" i="56" s="1"/>
  <c r="E33" i="53"/>
  <c r="E13" i="53" s="1"/>
  <c r="H63" i="44"/>
  <c r="G33" i="56" s="1"/>
  <c r="G33" i="53"/>
  <c r="J63" i="44"/>
  <c r="I33" i="56" s="1"/>
  <c r="I33" i="53"/>
  <c r="I13" i="53" s="1"/>
  <c r="D11" i="58"/>
  <c r="G47" i="48"/>
  <c r="G71" i="48" s="1"/>
  <c r="F101" i="51"/>
  <c r="AS45" i="50"/>
  <c r="BY61" i="50" s="1"/>
  <c r="G47" i="49"/>
  <c r="F121" i="53" s="1"/>
  <c r="F121" i="51"/>
  <c r="AQ45" i="49"/>
  <c r="BY59" i="49" s="1"/>
  <c r="P119" i="53"/>
  <c r="K47" i="50"/>
  <c r="K95" i="50" s="1"/>
  <c r="J141" i="57" s="1"/>
  <c r="J141" i="51"/>
  <c r="F47" i="49"/>
  <c r="E121" i="53" s="1"/>
  <c r="E121" i="51"/>
  <c r="J101" i="51"/>
  <c r="K47" i="48"/>
  <c r="AF38" i="46"/>
  <c r="P52" i="53"/>
  <c r="I51" i="55"/>
  <c r="I11" i="55" s="1"/>
  <c r="I11" i="54"/>
  <c r="J51" i="55"/>
  <c r="J11" i="55" s="1"/>
  <c r="J11" i="54"/>
  <c r="BD59" i="46"/>
  <c r="BO55" i="46" s="1"/>
  <c r="O49" i="55"/>
  <c r="O9" i="54"/>
  <c r="F47" i="48"/>
  <c r="F71" i="48" s="1"/>
  <c r="E101" i="51"/>
  <c r="AC45" i="48"/>
  <c r="P99" i="53"/>
  <c r="BU44" i="48"/>
  <c r="BX66" i="48" s="1"/>
  <c r="O98" i="51"/>
  <c r="K70" i="50"/>
  <c r="J140" i="56" s="1"/>
  <c r="J140" i="53"/>
  <c r="AK67" i="49"/>
  <c r="BW58" i="49" s="1"/>
  <c r="P117" i="54"/>
  <c r="Q62" i="44"/>
  <c r="P32" i="56" s="1"/>
  <c r="K70" i="48"/>
  <c r="J100" i="53"/>
  <c r="K94" i="48"/>
  <c r="J100" i="57" s="1"/>
  <c r="L12" i="56"/>
  <c r="AJ44" i="50"/>
  <c r="AJ92" i="50"/>
  <c r="P138" i="58" s="1"/>
  <c r="AF45" i="50"/>
  <c r="AD45" i="50"/>
  <c r="AA45" i="50"/>
  <c r="AJ68" i="49"/>
  <c r="AJ68" i="50"/>
  <c r="BO44" i="50"/>
  <c r="BX64" i="50" s="1"/>
  <c r="BU44" i="50"/>
  <c r="BX66" i="50" s="1"/>
  <c r="P44" i="50"/>
  <c r="O138" i="53" s="1"/>
  <c r="AI20" i="50"/>
  <c r="O138" i="59" s="1"/>
  <c r="AC69" i="50"/>
  <c r="I139" i="54" s="1"/>
  <c r="AW69" i="50"/>
  <c r="I139" i="55" s="1"/>
  <c r="AC93" i="50"/>
  <c r="I139" i="58" s="1"/>
  <c r="AB69" i="50"/>
  <c r="H139" i="54" s="1"/>
  <c r="AB93" i="50"/>
  <c r="H139" i="58" s="1"/>
  <c r="AV69" i="50"/>
  <c r="H139" i="55" s="1"/>
  <c r="H47" i="49"/>
  <c r="BW47" i="49"/>
  <c r="CA67" i="49" s="1"/>
  <c r="AD69" i="49"/>
  <c r="J119" i="54" s="1"/>
  <c r="AD93" i="49"/>
  <c r="J119" i="58" s="1"/>
  <c r="AX69" i="49"/>
  <c r="J119" i="55" s="1"/>
  <c r="X93" i="49"/>
  <c r="D119" i="58" s="1"/>
  <c r="X69" i="49"/>
  <c r="D119" i="54" s="1"/>
  <c r="AR69" i="49"/>
  <c r="D119" i="55" s="1"/>
  <c r="Z93" i="50"/>
  <c r="F139" i="58" s="1"/>
  <c r="Z69" i="50"/>
  <c r="F139" i="54" s="1"/>
  <c r="AT69" i="50"/>
  <c r="F139" i="55" s="1"/>
  <c r="F70" i="49"/>
  <c r="E120" i="56" s="1"/>
  <c r="F94" i="49"/>
  <c r="E120" i="57" s="1"/>
  <c r="E47" i="49"/>
  <c r="D121" i="53" s="1"/>
  <c r="D94" i="50"/>
  <c r="C140" i="57" s="1"/>
  <c r="D70" i="50"/>
  <c r="C140" i="56" s="1"/>
  <c r="Q46" i="50"/>
  <c r="AC46" i="50" s="1"/>
  <c r="M94" i="49"/>
  <c r="L120" i="57" s="1"/>
  <c r="M70" i="49"/>
  <c r="L120" i="56" s="1"/>
  <c r="AJ19" i="50"/>
  <c r="P137" i="59" s="1"/>
  <c r="BC67" i="50"/>
  <c r="I70" i="49"/>
  <c r="H120" i="56" s="1"/>
  <c r="I94" i="49"/>
  <c r="H120" i="57" s="1"/>
  <c r="E94" i="49"/>
  <c r="D120" i="57" s="1"/>
  <c r="E70" i="49"/>
  <c r="D120" i="56" s="1"/>
  <c r="BU44" i="49"/>
  <c r="BX66" i="49" s="1"/>
  <c r="AI20" i="49"/>
  <c r="O118" i="59" s="1"/>
  <c r="P44" i="49"/>
  <c r="O118" i="53" s="1"/>
  <c r="BO44" i="49"/>
  <c r="BX64" i="49" s="1"/>
  <c r="W45" i="50"/>
  <c r="J47" i="49"/>
  <c r="I121" i="53" s="1"/>
  <c r="AJ44" i="49"/>
  <c r="D47" i="50"/>
  <c r="C141" i="53" s="1"/>
  <c r="BR47" i="50"/>
  <c r="CA65" i="50" s="1"/>
  <c r="Q23" i="50"/>
  <c r="Y45" i="49"/>
  <c r="AR45" i="49"/>
  <c r="BY60" i="49" s="1"/>
  <c r="AH45" i="49"/>
  <c r="AT45" i="49"/>
  <c r="BY62" i="49" s="1"/>
  <c r="BJ21" i="49"/>
  <c r="BK21" i="49" s="1"/>
  <c r="BL21" i="49" s="1"/>
  <c r="P21" i="49" s="1"/>
  <c r="O119" i="51" s="1"/>
  <c r="BY69" i="49"/>
  <c r="AE45" i="49"/>
  <c r="AG45" i="49"/>
  <c r="BY68" i="49"/>
  <c r="H47" i="50"/>
  <c r="G141" i="53" s="1"/>
  <c r="BW47" i="50"/>
  <c r="CA67" i="50" s="1"/>
  <c r="M47" i="49"/>
  <c r="L121" i="53" s="1"/>
  <c r="AA93" i="50"/>
  <c r="G139" i="58" s="1"/>
  <c r="AU69" i="50"/>
  <c r="G139" i="55" s="1"/>
  <c r="X69" i="50"/>
  <c r="D139" i="54" s="1"/>
  <c r="AR69" i="50"/>
  <c r="D139" i="55" s="1"/>
  <c r="X93" i="50"/>
  <c r="D139" i="58" s="1"/>
  <c r="P91" i="50"/>
  <c r="O137" i="57" s="1"/>
  <c r="AI43" i="50"/>
  <c r="BC66" i="49"/>
  <c r="M70" i="50"/>
  <c r="L140" i="56" s="1"/>
  <c r="M94" i="50"/>
  <c r="L140" i="57" s="1"/>
  <c r="F47" i="50"/>
  <c r="E141" i="53" s="1"/>
  <c r="AF93" i="50"/>
  <c r="L139" i="58" s="1"/>
  <c r="AF69" i="50"/>
  <c r="L139" i="54" s="1"/>
  <c r="AZ69" i="50"/>
  <c r="L139" i="55" s="1"/>
  <c r="G47" i="50"/>
  <c r="F141" i="53" s="1"/>
  <c r="J94" i="49"/>
  <c r="I120" i="57" s="1"/>
  <c r="J70" i="49"/>
  <c r="I120" i="56" s="1"/>
  <c r="AD93" i="50"/>
  <c r="J139" i="58" s="1"/>
  <c r="AD69" i="50"/>
  <c r="J139" i="54" s="1"/>
  <c r="AX69" i="50"/>
  <c r="J139" i="55" s="1"/>
  <c r="W69" i="49"/>
  <c r="C119" i="54" s="1"/>
  <c r="AQ69" i="49"/>
  <c r="C119" i="55" s="1"/>
  <c r="Q69" i="49"/>
  <c r="P119" i="56" s="1"/>
  <c r="W93" i="49"/>
  <c r="C119" i="58" s="1"/>
  <c r="AA70" i="50"/>
  <c r="G140" i="54" s="1"/>
  <c r="H70" i="50"/>
  <c r="G140" i="56" s="1"/>
  <c r="H94" i="50"/>
  <c r="G140" i="57" s="1"/>
  <c r="AB45" i="49"/>
  <c r="M47" i="50"/>
  <c r="L141" i="53" s="1"/>
  <c r="F94" i="50"/>
  <c r="E140" i="57" s="1"/>
  <c r="F70" i="50"/>
  <c r="E140" i="56" s="1"/>
  <c r="X45" i="50"/>
  <c r="BJ21" i="50"/>
  <c r="BK21" i="50" s="1"/>
  <c r="BL21" i="50" s="1"/>
  <c r="P21" i="50" s="1"/>
  <c r="O139" i="51" s="1"/>
  <c r="AR45" i="50"/>
  <c r="BY60" i="50" s="1"/>
  <c r="AE45" i="50"/>
  <c r="AG45" i="50"/>
  <c r="BY68" i="50"/>
  <c r="BY69" i="50"/>
  <c r="AT45" i="50"/>
  <c r="BY62" i="50" s="1"/>
  <c r="AH45" i="50"/>
  <c r="G94" i="50"/>
  <c r="F140" i="57" s="1"/>
  <c r="G70" i="50"/>
  <c r="F140" i="56" s="1"/>
  <c r="AZ69" i="49"/>
  <c r="L119" i="55" s="1"/>
  <c r="AF93" i="49"/>
  <c r="L119" i="58" s="1"/>
  <c r="AF69" i="49"/>
  <c r="L119" i="54" s="1"/>
  <c r="BX59" i="50"/>
  <c r="AU44" i="50"/>
  <c r="Q93" i="49"/>
  <c r="P119" i="57" s="1"/>
  <c r="Y93" i="49"/>
  <c r="E119" i="58" s="1"/>
  <c r="Y69" i="49"/>
  <c r="E119" i="54" s="1"/>
  <c r="AS69" i="49"/>
  <c r="E119" i="55" s="1"/>
  <c r="J94" i="50"/>
  <c r="I140" i="57" s="1"/>
  <c r="J70" i="50"/>
  <c r="I140" i="56" s="1"/>
  <c r="AD45" i="49"/>
  <c r="AB69" i="49"/>
  <c r="H119" i="54" s="1"/>
  <c r="AB93" i="49"/>
  <c r="H119" i="58" s="1"/>
  <c r="AV69" i="49"/>
  <c r="H119" i="55" s="1"/>
  <c r="Y93" i="50"/>
  <c r="E139" i="58" s="1"/>
  <c r="Y69" i="50"/>
  <c r="E139" i="54" s="1"/>
  <c r="AS69" i="50"/>
  <c r="E139" i="55" s="1"/>
  <c r="Q46" i="49"/>
  <c r="W46" i="49" s="1"/>
  <c r="D70" i="49"/>
  <c r="C120" i="56" s="1"/>
  <c r="D94" i="49"/>
  <c r="C120" i="57" s="1"/>
  <c r="AJ92" i="49"/>
  <c r="P118" i="58" s="1"/>
  <c r="Z93" i="49"/>
  <c r="F119" i="58" s="1"/>
  <c r="Z69" i="49"/>
  <c r="F119" i="54" s="1"/>
  <c r="AT69" i="49"/>
  <c r="F119" i="55" s="1"/>
  <c r="Q93" i="50"/>
  <c r="P139" i="57" s="1"/>
  <c r="P91" i="49"/>
  <c r="O117" i="57" s="1"/>
  <c r="AI43" i="49"/>
  <c r="G94" i="49"/>
  <c r="F120" i="57" s="1"/>
  <c r="G70" i="49"/>
  <c r="F120" i="56" s="1"/>
  <c r="AB45" i="50"/>
  <c r="I70" i="50"/>
  <c r="H140" i="56" s="1"/>
  <c r="I94" i="50"/>
  <c r="H140" i="57" s="1"/>
  <c r="AA45" i="49"/>
  <c r="AJ19" i="49"/>
  <c r="P117" i="59" s="1"/>
  <c r="BC67" i="49"/>
  <c r="AA70" i="49"/>
  <c r="G120" i="54" s="1"/>
  <c r="H70" i="49"/>
  <c r="G120" i="56" s="1"/>
  <c r="H94" i="49"/>
  <c r="G120" i="57" s="1"/>
  <c r="I47" i="49"/>
  <c r="H121" i="53" s="1"/>
  <c r="BR47" i="49"/>
  <c r="CA65" i="49" s="1"/>
  <c r="D47" i="49"/>
  <c r="C121" i="53" s="1"/>
  <c r="Q23" i="49"/>
  <c r="Z45" i="50"/>
  <c r="AC93" i="49"/>
  <c r="I119" i="58" s="1"/>
  <c r="AC69" i="49"/>
  <c r="I119" i="54" s="1"/>
  <c r="AW69" i="49"/>
  <c r="I119" i="55" s="1"/>
  <c r="BX59" i="49"/>
  <c r="AU44" i="49"/>
  <c r="W93" i="50"/>
  <c r="C139" i="58" s="1"/>
  <c r="W69" i="50"/>
  <c r="C139" i="54" s="1"/>
  <c r="Q69" i="50"/>
  <c r="P139" i="56" s="1"/>
  <c r="AQ69" i="50"/>
  <c r="C139" i="55" s="1"/>
  <c r="E94" i="50"/>
  <c r="D140" i="57" s="1"/>
  <c r="E70" i="50"/>
  <c r="D140" i="56" s="1"/>
  <c r="AC45" i="50"/>
  <c r="K94" i="49"/>
  <c r="J120" i="57" s="1"/>
  <c r="CA46" i="49"/>
  <c r="CA46" i="50"/>
  <c r="K94" i="50"/>
  <c r="J140" i="57" s="1"/>
  <c r="I47" i="50"/>
  <c r="H141" i="53" s="1"/>
  <c r="AA93" i="49"/>
  <c r="G119" i="58" s="1"/>
  <c r="AU69" i="49"/>
  <c r="G119" i="55" s="1"/>
  <c r="X45" i="49"/>
  <c r="AV13" i="43"/>
  <c r="AW13" i="43"/>
  <c r="H85" i="43"/>
  <c r="BD12" i="43"/>
  <c r="BX39" i="43"/>
  <c r="N86" i="43"/>
  <c r="K85" i="43"/>
  <c r="BC66" i="48"/>
  <c r="AB45" i="48"/>
  <c r="AJ68" i="48"/>
  <c r="AJ92" i="48"/>
  <c r="P98" i="58" s="1"/>
  <c r="BW47" i="48"/>
  <c r="CA67" i="48" s="1"/>
  <c r="AU44" i="48"/>
  <c r="AG45" i="48"/>
  <c r="AR45" i="48"/>
  <c r="BY60" i="48" s="1"/>
  <c r="P44" i="48"/>
  <c r="X45" i="48"/>
  <c r="BY68" i="48"/>
  <c r="AI20" i="48"/>
  <c r="Z45" i="48"/>
  <c r="BY69" i="48"/>
  <c r="AS45" i="48"/>
  <c r="BY61" i="48" s="1"/>
  <c r="AH45" i="48"/>
  <c r="AF45" i="48"/>
  <c r="BO44" i="48"/>
  <c r="BX64" i="48" s="1"/>
  <c r="Y45" i="48"/>
  <c r="BJ21" i="48"/>
  <c r="BK21" i="48" s="1"/>
  <c r="BL21" i="48" s="1"/>
  <c r="P21" i="48" s="1"/>
  <c r="AQ45" i="48"/>
  <c r="BY59" i="48" s="1"/>
  <c r="AA45" i="48"/>
  <c r="AD45" i="48"/>
  <c r="AT45" i="48"/>
  <c r="BY62" i="48" s="1"/>
  <c r="AE45" i="48"/>
  <c r="W45" i="48"/>
  <c r="Q93" i="48"/>
  <c r="P99" i="57" s="1"/>
  <c r="Q69" i="48"/>
  <c r="P99" i="56" s="1"/>
  <c r="AJ44" i="48"/>
  <c r="AC38" i="47"/>
  <c r="Y38" i="47"/>
  <c r="BC59" i="44"/>
  <c r="BA47" i="50"/>
  <c r="G94" i="48"/>
  <c r="F100" i="57" s="1"/>
  <c r="G70" i="48"/>
  <c r="F100" i="56" s="1"/>
  <c r="F94" i="48"/>
  <c r="E100" i="57" s="1"/>
  <c r="F70" i="48"/>
  <c r="E100" i="56" s="1"/>
  <c r="AF93" i="48"/>
  <c r="L99" i="58" s="1"/>
  <c r="AF69" i="48"/>
  <c r="L99" i="54" s="1"/>
  <c r="AZ69" i="48"/>
  <c r="L99" i="55" s="1"/>
  <c r="Z93" i="48"/>
  <c r="F99" i="58" s="1"/>
  <c r="Z69" i="48"/>
  <c r="F99" i="54" s="1"/>
  <c r="AT69" i="48"/>
  <c r="F99" i="55" s="1"/>
  <c r="Y93" i="48"/>
  <c r="E99" i="58" s="1"/>
  <c r="Y69" i="48"/>
  <c r="E99" i="54" s="1"/>
  <c r="AS69" i="48"/>
  <c r="E99" i="55" s="1"/>
  <c r="Q23" i="48"/>
  <c r="M70" i="48"/>
  <c r="L100" i="56" s="1"/>
  <c r="M94" i="48"/>
  <c r="L100" i="57" s="1"/>
  <c r="Q46" i="48"/>
  <c r="BR47" i="48"/>
  <c r="CA65" i="48" s="1"/>
  <c r="BC67" i="48"/>
  <c r="AZ46" i="48"/>
  <c r="AX46" i="48"/>
  <c r="AW46" i="48"/>
  <c r="AP47" i="48"/>
  <c r="L95" i="48"/>
  <c r="K101" i="57" s="1"/>
  <c r="AE94" i="48"/>
  <c r="K100" i="58" s="1"/>
  <c r="AE70" i="48"/>
  <c r="K100" i="54" s="1"/>
  <c r="AY70" i="48"/>
  <c r="K100" i="55" s="1"/>
  <c r="BA45" i="48"/>
  <c r="AG95" i="48"/>
  <c r="M101" i="58" s="1"/>
  <c r="AG71" i="48"/>
  <c r="M101" i="54" s="1"/>
  <c r="BA71" i="48"/>
  <c r="M101" i="55" s="1"/>
  <c r="C95" i="48"/>
  <c r="B101" i="57" s="1"/>
  <c r="V47" i="48"/>
  <c r="V95" i="48" s="1"/>
  <c r="B101" i="58" s="1"/>
  <c r="AB38" i="47"/>
  <c r="W38" i="47"/>
  <c r="Y38" i="44"/>
  <c r="AT38" i="47"/>
  <c r="BR62" i="47" s="1"/>
  <c r="X38" i="47"/>
  <c r="AD38" i="47"/>
  <c r="AR38" i="47"/>
  <c r="BR60" i="47" s="1"/>
  <c r="AI13" i="46"/>
  <c r="BU37" i="46"/>
  <c r="BQ66" i="46" s="1"/>
  <c r="X38" i="46"/>
  <c r="BJ14" i="44"/>
  <c r="BK14" i="44" s="1"/>
  <c r="BL14" i="44" s="1"/>
  <c r="P14" i="44" s="1"/>
  <c r="AF38" i="47"/>
  <c r="Z38" i="47"/>
  <c r="AB38" i="46"/>
  <c r="AR38" i="46"/>
  <c r="BR60" i="46" s="1"/>
  <c r="AU37" i="46"/>
  <c r="AS38" i="46"/>
  <c r="BR61" i="46" s="1"/>
  <c r="AA38" i="46"/>
  <c r="BO37" i="46"/>
  <c r="BQ64" i="46" s="1"/>
  <c r="Y38" i="46"/>
  <c r="BC60" i="46"/>
  <c r="Z38" i="46"/>
  <c r="AT38" i="46"/>
  <c r="BR62" i="46" s="1"/>
  <c r="W38" i="46"/>
  <c r="BJ14" i="46"/>
  <c r="BK14" i="46" s="1"/>
  <c r="BL14" i="46" s="1"/>
  <c r="P14" i="46" s="1"/>
  <c r="AD38" i="46"/>
  <c r="AQ38" i="46"/>
  <c r="AJ37" i="44"/>
  <c r="Z38" i="44"/>
  <c r="AF38" i="44"/>
  <c r="AC38" i="44"/>
  <c r="AE86" i="43"/>
  <c r="L86" i="43"/>
  <c r="F61" i="43"/>
  <c r="Y85" i="43" s="1"/>
  <c r="F85" i="43"/>
  <c r="AE61" i="43"/>
  <c r="AE85" i="43"/>
  <c r="K40" i="46"/>
  <c r="K17" i="46"/>
  <c r="J55" i="51" s="1"/>
  <c r="H40" i="46"/>
  <c r="H17" i="46"/>
  <c r="G55" i="51" s="1"/>
  <c r="BW40" i="46"/>
  <c r="BT67" i="46" s="1"/>
  <c r="F17" i="47"/>
  <c r="E75" i="51" s="1"/>
  <c r="F40" i="47"/>
  <c r="E74" i="53" s="1"/>
  <c r="G61" i="43"/>
  <c r="Z85" i="43" s="1"/>
  <c r="G85" i="43"/>
  <c r="J61" i="43"/>
  <c r="AC85" i="43" s="1"/>
  <c r="J85" i="43"/>
  <c r="Y86" i="44"/>
  <c r="E32" i="58" s="1"/>
  <c r="Y62" i="44"/>
  <c r="E32" i="54" s="1"/>
  <c r="AS62" i="44"/>
  <c r="E32" i="55" s="1"/>
  <c r="P60" i="47"/>
  <c r="AI36" i="47"/>
  <c r="BR40" i="46"/>
  <c r="BT65" i="46" s="1"/>
  <c r="D17" i="46"/>
  <c r="C55" i="51" s="1"/>
  <c r="D40" i="46"/>
  <c r="C54" i="53" s="1"/>
  <c r="Q16" i="46"/>
  <c r="J63" i="46"/>
  <c r="I53" i="56" s="1"/>
  <c r="J87" i="46"/>
  <c r="I53" i="57" s="1"/>
  <c r="E87" i="44"/>
  <c r="D33" i="57" s="1"/>
  <c r="D63" i="47"/>
  <c r="C73" i="56" s="1"/>
  <c r="D87" i="47"/>
  <c r="C73" i="57" s="1"/>
  <c r="Q39" i="47"/>
  <c r="K17" i="47"/>
  <c r="J75" i="51" s="1"/>
  <c r="K40" i="47"/>
  <c r="AA63" i="46"/>
  <c r="G53" i="54" s="1"/>
  <c r="H87" i="46"/>
  <c r="G53" i="57" s="1"/>
  <c r="AI13" i="47"/>
  <c r="O71" i="59" s="1"/>
  <c r="P37" i="47"/>
  <c r="O71" i="53" s="1"/>
  <c r="BO37" i="47"/>
  <c r="BQ64" i="47" s="1"/>
  <c r="BU37" i="47"/>
  <c r="BQ66" i="47" s="1"/>
  <c r="F87" i="47"/>
  <c r="E73" i="57" s="1"/>
  <c r="F63" i="47"/>
  <c r="E73" i="56" s="1"/>
  <c r="Z62" i="46"/>
  <c r="F52" i="54" s="1"/>
  <c r="Z86" i="46"/>
  <c r="F52" i="58" s="1"/>
  <c r="AT62" i="46"/>
  <c r="AF62" i="47"/>
  <c r="L72" i="54" s="1"/>
  <c r="AF86" i="47"/>
  <c r="L72" i="58" s="1"/>
  <c r="AZ62" i="47"/>
  <c r="L72" i="55" s="1"/>
  <c r="AD38" i="44"/>
  <c r="BR68" i="44"/>
  <c r="AG38" i="44"/>
  <c r="BR69" i="44"/>
  <c r="AE38" i="44"/>
  <c r="AH38" i="44"/>
  <c r="X86" i="44"/>
  <c r="D32" i="58" s="1"/>
  <c r="X62" i="44"/>
  <c r="D32" i="54" s="1"/>
  <c r="AR62" i="44"/>
  <c r="D32" i="55" s="1"/>
  <c r="J40" i="46"/>
  <c r="I54" i="53" s="1"/>
  <c r="J17" i="46"/>
  <c r="I55" i="51" s="1"/>
  <c r="M63" i="46"/>
  <c r="L53" i="56" s="1"/>
  <c r="M87" i="46"/>
  <c r="L53" i="57" s="1"/>
  <c r="Z62" i="47"/>
  <c r="F72" i="54" s="1"/>
  <c r="Z86" i="47"/>
  <c r="F72" i="58" s="1"/>
  <c r="AT62" i="47"/>
  <c r="F72" i="55" s="1"/>
  <c r="AS38" i="44"/>
  <c r="BR61" i="44" s="1"/>
  <c r="K87" i="47"/>
  <c r="J73" i="57" s="1"/>
  <c r="CA39" i="47"/>
  <c r="Q86" i="44"/>
  <c r="P32" i="57" s="1"/>
  <c r="AG61" i="43"/>
  <c r="AG85" i="43"/>
  <c r="E61" i="43"/>
  <c r="X85" i="43" s="1"/>
  <c r="E85" i="43"/>
  <c r="M61" i="43"/>
  <c r="AF85" i="43" s="1"/>
  <c r="M85" i="43"/>
  <c r="Y62" i="46"/>
  <c r="E52" i="54" s="1"/>
  <c r="Y86" i="46"/>
  <c r="E52" i="58" s="1"/>
  <c r="AS62" i="46"/>
  <c r="F17" i="44"/>
  <c r="E35" i="51" s="1"/>
  <c r="F40" i="44"/>
  <c r="Y86" i="47"/>
  <c r="E72" i="58" s="1"/>
  <c r="Y62" i="47"/>
  <c r="E72" i="54" s="1"/>
  <c r="AS62" i="47"/>
  <c r="E72" i="55" s="1"/>
  <c r="AF62" i="44"/>
  <c r="L32" i="54" s="1"/>
  <c r="AF86" i="44"/>
  <c r="L32" i="58" s="1"/>
  <c r="AZ62" i="44"/>
  <c r="L32" i="55" s="1"/>
  <c r="P85" i="46"/>
  <c r="O51" i="57" s="1"/>
  <c r="AB38" i="44"/>
  <c r="BR40" i="44"/>
  <c r="BT65" i="44" s="1"/>
  <c r="D17" i="44"/>
  <c r="C35" i="51" s="1"/>
  <c r="D40" i="44"/>
  <c r="Q16" i="44"/>
  <c r="E17" i="46"/>
  <c r="D55" i="51" s="1"/>
  <c r="E40" i="46"/>
  <c r="D54" i="53" s="1"/>
  <c r="W86" i="44"/>
  <c r="C32" i="58" s="1"/>
  <c r="AQ62" i="44"/>
  <c r="C32" i="55" s="1"/>
  <c r="X86" i="46"/>
  <c r="D52" i="58" s="1"/>
  <c r="X62" i="46"/>
  <c r="D52" i="54" s="1"/>
  <c r="AR62" i="46"/>
  <c r="AD62" i="44"/>
  <c r="J32" i="54" s="1"/>
  <c r="AD86" i="44"/>
  <c r="J32" i="58" s="1"/>
  <c r="AX62" i="44"/>
  <c r="J32" i="55" s="1"/>
  <c r="M40" i="46"/>
  <c r="L54" i="53" s="1"/>
  <c r="M17" i="46"/>
  <c r="L55" i="51" s="1"/>
  <c r="G63" i="47"/>
  <c r="F73" i="56" s="1"/>
  <c r="G87" i="47"/>
  <c r="F73" i="57" s="1"/>
  <c r="Z62" i="44"/>
  <c r="F32" i="54" s="1"/>
  <c r="Z86" i="44"/>
  <c r="F32" i="58" s="1"/>
  <c r="AT62" i="44"/>
  <c r="F32" i="55" s="1"/>
  <c r="D40" i="47"/>
  <c r="C74" i="53" s="1"/>
  <c r="D17" i="47"/>
  <c r="C75" i="51" s="1"/>
  <c r="Q16" i="47"/>
  <c r="BR40" i="47"/>
  <c r="BT65" i="47" s="1"/>
  <c r="AH61" i="43"/>
  <c r="AH85" i="43"/>
  <c r="AJ37" i="47"/>
  <c r="F87" i="44"/>
  <c r="E33" i="57" s="1"/>
  <c r="I40" i="46"/>
  <c r="H54" i="53" s="1"/>
  <c r="I17" i="46"/>
  <c r="H55" i="51" s="1"/>
  <c r="Q39" i="44"/>
  <c r="D87" i="44"/>
  <c r="C33" i="57" s="1"/>
  <c r="G17" i="46"/>
  <c r="F55" i="51" s="1"/>
  <c r="G40" i="46"/>
  <c r="F54" i="53" s="1"/>
  <c r="E87" i="46"/>
  <c r="D53" i="57" s="1"/>
  <c r="E63" i="46"/>
  <c r="D53" i="56" s="1"/>
  <c r="AB62" i="46"/>
  <c r="H52" i="54" s="1"/>
  <c r="AB86" i="46"/>
  <c r="H52" i="58" s="1"/>
  <c r="AV62" i="46"/>
  <c r="Q39" i="46"/>
  <c r="D87" i="46"/>
  <c r="C53" i="57" s="1"/>
  <c r="D63" i="46"/>
  <c r="C53" i="56" s="1"/>
  <c r="AQ38" i="47"/>
  <c r="G40" i="47"/>
  <c r="F74" i="53" s="1"/>
  <c r="G17" i="47"/>
  <c r="F75" i="51" s="1"/>
  <c r="AD62" i="47"/>
  <c r="J72" i="54" s="1"/>
  <c r="AD86" i="47"/>
  <c r="J72" i="58" s="1"/>
  <c r="AX62" i="47"/>
  <c r="J72" i="55" s="1"/>
  <c r="X86" i="47"/>
  <c r="D72" i="58" s="1"/>
  <c r="X62" i="47"/>
  <c r="D72" i="54" s="1"/>
  <c r="AR62" i="47"/>
  <c r="D72" i="55" s="1"/>
  <c r="H40" i="47"/>
  <c r="G74" i="53" s="1"/>
  <c r="H17" i="47"/>
  <c r="G75" i="51" s="1"/>
  <c r="BW40" i="47"/>
  <c r="BT67" i="47" s="1"/>
  <c r="I87" i="46"/>
  <c r="H53" i="57" s="1"/>
  <c r="I63" i="46"/>
  <c r="H53" i="56" s="1"/>
  <c r="M87" i="47"/>
  <c r="L73" i="57" s="1"/>
  <c r="M63" i="47"/>
  <c r="L73" i="56" s="1"/>
  <c r="I87" i="47"/>
  <c r="H73" i="57" s="1"/>
  <c r="I63" i="47"/>
  <c r="H73" i="56" s="1"/>
  <c r="H87" i="47"/>
  <c r="G73" i="57" s="1"/>
  <c r="AA63" i="47"/>
  <c r="G73" i="54" s="1"/>
  <c r="H63" i="47"/>
  <c r="G73" i="56" s="1"/>
  <c r="BC59" i="47"/>
  <c r="M87" i="44"/>
  <c r="L33" i="57" s="1"/>
  <c r="F40" i="46"/>
  <c r="E54" i="53" s="1"/>
  <c r="F17" i="46"/>
  <c r="E55" i="51" s="1"/>
  <c r="AC86" i="44"/>
  <c r="I32" i="58" s="1"/>
  <c r="AC62" i="44"/>
  <c r="I32" i="54" s="1"/>
  <c r="AW62" i="44"/>
  <c r="I32" i="55" s="1"/>
  <c r="AB62" i="44"/>
  <c r="H32" i="54" s="1"/>
  <c r="AB86" i="44"/>
  <c r="H32" i="58" s="1"/>
  <c r="AV62" i="44"/>
  <c r="H32" i="55" s="1"/>
  <c r="G63" i="46"/>
  <c r="F53" i="56" s="1"/>
  <c r="G87" i="46"/>
  <c r="F53" i="57" s="1"/>
  <c r="AB86" i="47"/>
  <c r="H72" i="58" s="1"/>
  <c r="AB62" i="47"/>
  <c r="H72" i="54" s="1"/>
  <c r="AV62" i="47"/>
  <c r="H72" i="55" s="1"/>
  <c r="M40" i="44"/>
  <c r="M17" i="44"/>
  <c r="L35" i="51" s="1"/>
  <c r="AU37" i="47"/>
  <c r="F63" i="46"/>
  <c r="E53" i="56" s="1"/>
  <c r="F87" i="46"/>
  <c r="E53" i="57" s="1"/>
  <c r="I40" i="44"/>
  <c r="I17" i="44"/>
  <c r="H35" i="51" s="1"/>
  <c r="AA38" i="44"/>
  <c r="AC86" i="46"/>
  <c r="I52" i="58" s="1"/>
  <c r="AC62" i="46"/>
  <c r="I52" i="54" s="1"/>
  <c r="AW62" i="46"/>
  <c r="M40" i="47"/>
  <c r="L74" i="53" s="1"/>
  <c r="M17" i="47"/>
  <c r="L75" i="51" s="1"/>
  <c r="I40" i="47"/>
  <c r="H74" i="53" s="1"/>
  <c r="I17" i="47"/>
  <c r="H75" i="51" s="1"/>
  <c r="W86" i="47"/>
  <c r="C72" i="58" s="1"/>
  <c r="W62" i="47"/>
  <c r="C72" i="54" s="1"/>
  <c r="Q62" i="47"/>
  <c r="P72" i="56" s="1"/>
  <c r="AQ62" i="47"/>
  <c r="C72" i="55" s="1"/>
  <c r="E40" i="47"/>
  <c r="D74" i="53" s="1"/>
  <c r="E17" i="47"/>
  <c r="D75" i="51" s="1"/>
  <c r="BC60" i="44"/>
  <c r="AJ61" i="47"/>
  <c r="BQ59" i="44"/>
  <c r="AU37" i="44"/>
  <c r="W62" i="46"/>
  <c r="C52" i="54" s="1"/>
  <c r="Q62" i="46"/>
  <c r="P52" i="56" s="1"/>
  <c r="W86" i="46"/>
  <c r="C52" i="58" s="1"/>
  <c r="AQ62" i="46"/>
  <c r="AJ37" i="46"/>
  <c r="AC86" i="47"/>
  <c r="I72" i="58" s="1"/>
  <c r="AC62" i="47"/>
  <c r="I72" i="54" s="1"/>
  <c r="AW62" i="47"/>
  <c r="I72" i="55" s="1"/>
  <c r="AJ85" i="46"/>
  <c r="P51" i="58" s="1"/>
  <c r="H87" i="44"/>
  <c r="G33" i="57" s="1"/>
  <c r="AA63" i="44"/>
  <c r="G33" i="54" s="1"/>
  <c r="I87" i="44"/>
  <c r="H33" i="57" s="1"/>
  <c r="AA86" i="44"/>
  <c r="G32" i="58" s="1"/>
  <c r="AU62" i="44"/>
  <c r="G32" i="55" s="1"/>
  <c r="J17" i="44"/>
  <c r="I35" i="51" s="1"/>
  <c r="J40" i="44"/>
  <c r="AD62" i="46"/>
  <c r="J52" i="54" s="1"/>
  <c r="AD86" i="46"/>
  <c r="J52" i="58" s="1"/>
  <c r="AX62" i="46"/>
  <c r="AJ61" i="44"/>
  <c r="K17" i="44"/>
  <c r="J35" i="51" s="1"/>
  <c r="K40" i="44"/>
  <c r="AQ38" i="44"/>
  <c r="X38" i="44"/>
  <c r="Q86" i="47"/>
  <c r="P72" i="57" s="1"/>
  <c r="E87" i="47"/>
  <c r="D73" i="57" s="1"/>
  <c r="E63" i="47"/>
  <c r="D73" i="56" s="1"/>
  <c r="AA86" i="47"/>
  <c r="G72" i="58" s="1"/>
  <c r="AU62" i="47"/>
  <c r="G72" i="55" s="1"/>
  <c r="Q86" i="46"/>
  <c r="P52" i="57" s="1"/>
  <c r="J17" i="47"/>
  <c r="I75" i="51" s="1"/>
  <c r="J40" i="47"/>
  <c r="I74" i="53" s="1"/>
  <c r="G87" i="44"/>
  <c r="F33" i="57" s="1"/>
  <c r="AA86" i="46"/>
  <c r="G52" i="58" s="1"/>
  <c r="AU62" i="46"/>
  <c r="I61" i="43"/>
  <c r="AB85" i="43" s="1"/>
  <c r="I85" i="43"/>
  <c r="O62" i="43"/>
  <c r="AH86" i="43" s="1"/>
  <c r="O86" i="43"/>
  <c r="AJ61" i="46"/>
  <c r="AK61" i="46" s="1"/>
  <c r="BQ58" i="46" s="1"/>
  <c r="H40" i="44"/>
  <c r="H17" i="44"/>
  <c r="G35" i="51" s="1"/>
  <c r="BW40" i="44"/>
  <c r="BT67" i="44" s="1"/>
  <c r="K87" i="46"/>
  <c r="J53" i="57" s="1"/>
  <c r="CA39" i="46"/>
  <c r="AJ12" i="47"/>
  <c r="P70" i="59" s="1"/>
  <c r="J87" i="44"/>
  <c r="I33" i="57" s="1"/>
  <c r="AJ85" i="44"/>
  <c r="P31" i="58" s="1"/>
  <c r="CA39" i="44"/>
  <c r="K87" i="44"/>
  <c r="J33" i="57" s="1"/>
  <c r="W38" i="44"/>
  <c r="AR38" i="44"/>
  <c r="BR60" i="44" s="1"/>
  <c r="P37" i="44"/>
  <c r="O31" i="53" s="1"/>
  <c r="AI13" i="44"/>
  <c r="O31" i="59" s="1"/>
  <c r="BU37" i="44"/>
  <c r="BQ66" i="44" s="1"/>
  <c r="BO37" i="44"/>
  <c r="BQ64" i="44" s="1"/>
  <c r="AG38" i="47"/>
  <c r="BR69" i="47"/>
  <c r="AH38" i="47"/>
  <c r="BR68" i="47"/>
  <c r="AE38" i="47"/>
  <c r="E40" i="44"/>
  <c r="E17" i="44"/>
  <c r="D35" i="51" s="1"/>
  <c r="BJ14" i="47"/>
  <c r="BK14" i="47" s="1"/>
  <c r="BL14" i="47" s="1"/>
  <c r="P14" i="47" s="1"/>
  <c r="O72" i="51" s="1"/>
  <c r="AF86" i="46"/>
  <c r="L52" i="58" s="1"/>
  <c r="AF62" i="46"/>
  <c r="L52" i="54" s="1"/>
  <c r="AZ62" i="46"/>
  <c r="AS38" i="47"/>
  <c r="BR61" i="47" s="1"/>
  <c r="AJ85" i="47"/>
  <c r="P71" i="58" s="1"/>
  <c r="AC38" i="46"/>
  <c r="AG38" i="46"/>
  <c r="AE38" i="46"/>
  <c r="BR68" i="46"/>
  <c r="BR69" i="46"/>
  <c r="AH38" i="46"/>
  <c r="J87" i="47"/>
  <c r="I73" i="57" s="1"/>
  <c r="J63" i="47"/>
  <c r="I73" i="56" s="1"/>
  <c r="G17" i="44"/>
  <c r="F35" i="51" s="1"/>
  <c r="G40" i="44"/>
  <c r="BA43" i="47"/>
  <c r="L93" i="47"/>
  <c r="K79" i="57" s="1"/>
  <c r="L46" i="47"/>
  <c r="L23" i="47"/>
  <c r="K81" i="51" s="1"/>
  <c r="N93" i="47"/>
  <c r="M79" i="57" s="1"/>
  <c r="AH92" i="47"/>
  <c r="N78" i="58" s="1"/>
  <c r="N18" i="58" s="1"/>
  <c r="AH68" i="47"/>
  <c r="BB68" i="47"/>
  <c r="N78" i="55" s="1"/>
  <c r="AE92" i="47"/>
  <c r="K78" i="58" s="1"/>
  <c r="AE68" i="47"/>
  <c r="AY68" i="47"/>
  <c r="K78" i="55" s="1"/>
  <c r="AG92" i="47"/>
  <c r="M78" i="58" s="1"/>
  <c r="AG68" i="47"/>
  <c r="BA68" i="47"/>
  <c r="M78" i="55" s="1"/>
  <c r="B95" i="47"/>
  <c r="A81" i="57" s="1"/>
  <c r="U47" i="47"/>
  <c r="U95" i="47" s="1"/>
  <c r="A81" i="58" s="1"/>
  <c r="O46" i="47"/>
  <c r="N80" i="53" s="1"/>
  <c r="O23" i="47"/>
  <c r="N81" i="51" s="1"/>
  <c r="N21" i="51" s="1"/>
  <c r="O93" i="47"/>
  <c r="N79" i="57" s="1"/>
  <c r="N19" i="57" s="1"/>
  <c r="O69" i="47"/>
  <c r="N79" i="56" s="1"/>
  <c r="N19" i="56" s="1"/>
  <c r="AW44" i="47"/>
  <c r="AX44" i="47"/>
  <c r="AP45" i="47"/>
  <c r="AZ44" i="47"/>
  <c r="C95" i="47"/>
  <c r="B81" i="57" s="1"/>
  <c r="V47" i="47"/>
  <c r="V95" i="47" s="1"/>
  <c r="B81" i="58" s="1"/>
  <c r="N46" i="47"/>
  <c r="N23" i="47"/>
  <c r="M81" i="51" s="1"/>
  <c r="BX46" i="47"/>
  <c r="AP45" i="46"/>
  <c r="AW44" i="46"/>
  <c r="AZ44" i="46"/>
  <c r="AX44" i="46"/>
  <c r="L47" i="46"/>
  <c r="N46" i="46"/>
  <c r="BX46" i="46"/>
  <c r="N23" i="46"/>
  <c r="M61" i="51" s="1"/>
  <c r="C71" i="46"/>
  <c r="C47" i="46"/>
  <c r="B61" i="53" s="1"/>
  <c r="V23" i="46"/>
  <c r="AP23" i="46" s="1"/>
  <c r="L94" i="46"/>
  <c r="K60" i="57" s="1"/>
  <c r="N93" i="46"/>
  <c r="M59" i="57" s="1"/>
  <c r="AG92" i="46"/>
  <c r="M58" i="58" s="1"/>
  <c r="AG68" i="46"/>
  <c r="BA68" i="46"/>
  <c r="AH93" i="46"/>
  <c r="N59" i="58" s="1"/>
  <c r="AH69" i="46"/>
  <c r="BB69" i="46"/>
  <c r="C94" i="46"/>
  <c r="B60" i="57" s="1"/>
  <c r="V46" i="46"/>
  <c r="V94" i="46" s="1"/>
  <c r="B60" i="58" s="1"/>
  <c r="BT44" i="46"/>
  <c r="BQ44" i="46"/>
  <c r="AU23" i="46"/>
  <c r="BD22" i="46"/>
  <c r="J60" i="52" s="1"/>
  <c r="J20" i="52" s="1"/>
  <c r="B70" i="46"/>
  <c r="B46" i="46"/>
  <c r="A60" i="53" s="1"/>
  <c r="U22" i="46"/>
  <c r="AO22" i="46" s="1"/>
  <c r="B23" i="46"/>
  <c r="A61" i="51" s="1"/>
  <c r="B93" i="46"/>
  <c r="A59" i="57" s="1"/>
  <c r="U45" i="46"/>
  <c r="U93" i="46" s="1"/>
  <c r="A59" i="58" s="1"/>
  <c r="BL46" i="46"/>
  <c r="BN45" i="46"/>
  <c r="O47" i="46"/>
  <c r="N61" i="53" s="1"/>
  <c r="AE93" i="46"/>
  <c r="K59" i="58" s="1"/>
  <c r="AE69" i="46"/>
  <c r="AY69" i="46"/>
  <c r="O94" i="46"/>
  <c r="N60" i="57" s="1"/>
  <c r="O70" i="46"/>
  <c r="N60" i="56" s="1"/>
  <c r="O94" i="44"/>
  <c r="N40" i="57" s="1"/>
  <c r="AE92" i="44"/>
  <c r="K38" i="58" s="1"/>
  <c r="AE68" i="44"/>
  <c r="K38" i="54" s="1"/>
  <c r="AY68" i="44"/>
  <c r="K38" i="55" s="1"/>
  <c r="BA45" i="44"/>
  <c r="AH93" i="44"/>
  <c r="N39" i="58" s="1"/>
  <c r="AH69" i="44"/>
  <c r="N39" i="54" s="1"/>
  <c r="BB69" i="44"/>
  <c r="N39" i="55" s="1"/>
  <c r="BT44" i="44"/>
  <c r="BQ44" i="44"/>
  <c r="AP47" i="44"/>
  <c r="AX46" i="44"/>
  <c r="AW46" i="44"/>
  <c r="AZ46" i="44"/>
  <c r="BN45" i="44"/>
  <c r="BL46" i="44"/>
  <c r="BM46" i="44" s="1"/>
  <c r="L46" i="44"/>
  <c r="L23" i="44"/>
  <c r="K41" i="51" s="1"/>
  <c r="O47" i="44"/>
  <c r="L93" i="44"/>
  <c r="K39" i="57" s="1"/>
  <c r="AF60" i="43"/>
  <c r="AD60" i="43"/>
  <c r="AB60" i="43"/>
  <c r="AU60" i="43"/>
  <c r="Y60" i="43"/>
  <c r="Z60" i="43"/>
  <c r="X60" i="43"/>
  <c r="AC60" i="43"/>
  <c r="BW38" i="43"/>
  <c r="BR67" i="43" s="1"/>
  <c r="AD85" i="43"/>
  <c r="CA37" i="43"/>
  <c r="P28" i="43"/>
  <c r="AI28" i="43" s="1"/>
  <c r="BO28" i="43"/>
  <c r="BA36" i="43"/>
  <c r="AR60" i="43"/>
  <c r="BB61" i="43"/>
  <c r="AW60" i="43"/>
  <c r="AY61" i="43"/>
  <c r="AV60" i="43"/>
  <c r="AT60" i="43"/>
  <c r="AS60" i="43"/>
  <c r="AZ60" i="43"/>
  <c r="AX60" i="43"/>
  <c r="BA61" i="43"/>
  <c r="AA61" i="43"/>
  <c r="BQ42" i="43"/>
  <c r="BT42" i="43"/>
  <c r="H15" i="43"/>
  <c r="H38" i="43"/>
  <c r="L16" i="43"/>
  <c r="L39" i="43"/>
  <c r="L63" i="43" s="1"/>
  <c r="F15" i="43"/>
  <c r="F38" i="43"/>
  <c r="E15" i="43"/>
  <c r="E38" i="43"/>
  <c r="M15" i="43"/>
  <c r="M38" i="43"/>
  <c r="N16" i="43"/>
  <c r="N39" i="43"/>
  <c r="N63" i="43" s="1"/>
  <c r="G15" i="43"/>
  <c r="G38" i="43"/>
  <c r="K15" i="43"/>
  <c r="K38" i="43"/>
  <c r="K62" i="43" s="1"/>
  <c r="J15" i="43"/>
  <c r="J38" i="43"/>
  <c r="I15" i="43"/>
  <c r="I38" i="43"/>
  <c r="O16" i="43"/>
  <c r="O39" i="43"/>
  <c r="BA14" i="43"/>
  <c r="AY14" i="43"/>
  <c r="AU13" i="43"/>
  <c r="BL44" i="43"/>
  <c r="BM44" i="43" s="1"/>
  <c r="BN43" i="43"/>
  <c r="AX14" i="43"/>
  <c r="AZ14" i="43"/>
  <c r="AZ45" i="43"/>
  <c r="AX45" i="43"/>
  <c r="AP46" i="43"/>
  <c r="AW46" i="43" s="1"/>
  <c r="O10" i="59" l="1"/>
  <c r="P10" i="59"/>
  <c r="P13" i="51"/>
  <c r="L11" i="60"/>
  <c r="J11" i="60"/>
  <c r="D11" i="60"/>
  <c r="H11" i="60"/>
  <c r="P54" i="51"/>
  <c r="P141" i="51"/>
  <c r="AJ13" i="46"/>
  <c r="P51" i="59" s="1"/>
  <c r="O51" i="59"/>
  <c r="O11" i="59" s="1"/>
  <c r="P74" i="51"/>
  <c r="P101" i="51"/>
  <c r="P34" i="51"/>
  <c r="P34" i="59"/>
  <c r="AJ20" i="48"/>
  <c r="P98" i="59" s="1"/>
  <c r="O98" i="59"/>
  <c r="P121" i="51"/>
  <c r="AB70" i="48"/>
  <c r="H100" i="54" s="1"/>
  <c r="AB94" i="48"/>
  <c r="H100" i="58" s="1"/>
  <c r="AV70" i="48"/>
  <c r="H100" i="55" s="1"/>
  <c r="E95" i="50"/>
  <c r="D141" i="57" s="1"/>
  <c r="G71" i="49"/>
  <c r="F121" i="56" s="1"/>
  <c r="G95" i="49"/>
  <c r="F121" i="57" s="1"/>
  <c r="H95" i="48"/>
  <c r="G101" i="57" s="1"/>
  <c r="I71" i="48"/>
  <c r="H101" i="56" s="1"/>
  <c r="I95" i="48"/>
  <c r="H101" i="57" s="1"/>
  <c r="D71" i="48"/>
  <c r="C101" i="56" s="1"/>
  <c r="D95" i="48"/>
  <c r="C101" i="57" s="1"/>
  <c r="H71" i="48"/>
  <c r="G101" i="56" s="1"/>
  <c r="AU70" i="48"/>
  <c r="G100" i="55" s="1"/>
  <c r="AA71" i="48"/>
  <c r="G101" i="54" s="1"/>
  <c r="AA94" i="48"/>
  <c r="G100" i="58" s="1"/>
  <c r="AQ70" i="48"/>
  <c r="C100" i="55" s="1"/>
  <c r="AC70" i="48"/>
  <c r="I100" i="54" s="1"/>
  <c r="AC94" i="48"/>
  <c r="I100" i="58" s="1"/>
  <c r="W70" i="48"/>
  <c r="C100" i="54" s="1"/>
  <c r="W94" i="48"/>
  <c r="C100" i="58" s="1"/>
  <c r="J95" i="48"/>
  <c r="I101" i="57" s="1"/>
  <c r="AW70" i="48"/>
  <c r="I100" i="55" s="1"/>
  <c r="J71" i="48"/>
  <c r="I101" i="56" s="1"/>
  <c r="BN55" i="47"/>
  <c r="K21" i="51"/>
  <c r="K19" i="57"/>
  <c r="K18" i="58"/>
  <c r="M21" i="51"/>
  <c r="BD23" i="47"/>
  <c r="J81" i="52" s="1"/>
  <c r="N18" i="54"/>
  <c r="N18" i="55"/>
  <c r="K18" i="55"/>
  <c r="K18" i="54"/>
  <c r="BD23" i="46"/>
  <c r="J61" i="52" s="1"/>
  <c r="C61" i="52"/>
  <c r="C21" i="52" s="1"/>
  <c r="N95" i="44"/>
  <c r="M41" i="57" s="1"/>
  <c r="BA70" i="44"/>
  <c r="M40" i="55" s="1"/>
  <c r="AG70" i="44"/>
  <c r="M40" i="54" s="1"/>
  <c r="AG94" i="44"/>
  <c r="M40" i="58" s="1"/>
  <c r="N71" i="44"/>
  <c r="M41" i="56" s="1"/>
  <c r="BD23" i="44"/>
  <c r="J41" i="52" s="1"/>
  <c r="J15" i="51"/>
  <c r="H13" i="57"/>
  <c r="H62" i="43"/>
  <c r="AA86" i="43" s="1"/>
  <c r="BH22" i="46"/>
  <c r="A60" i="52"/>
  <c r="V71" i="44"/>
  <c r="B41" i="56"/>
  <c r="BI23" i="46"/>
  <c r="B61" i="52"/>
  <c r="U71" i="44"/>
  <c r="A41" i="56"/>
  <c r="B41" i="53"/>
  <c r="C95" i="44"/>
  <c r="B41" i="57" s="1"/>
  <c r="V47" i="44"/>
  <c r="V95" i="44" s="1"/>
  <c r="B41" i="58" s="1"/>
  <c r="AP71" i="47"/>
  <c r="B81" i="55" s="1"/>
  <c r="B81" i="54"/>
  <c r="BH23" i="44"/>
  <c r="A41" i="52"/>
  <c r="AP71" i="48"/>
  <c r="B101" i="55" s="1"/>
  <c r="B101" i="54"/>
  <c r="A41" i="53"/>
  <c r="B95" i="44"/>
  <c r="A41" i="57" s="1"/>
  <c r="U47" i="44"/>
  <c r="U95" i="44" s="1"/>
  <c r="A41" i="58" s="1"/>
  <c r="U70" i="46"/>
  <c r="AO70" i="46" s="1"/>
  <c r="A60" i="56"/>
  <c r="V71" i="46"/>
  <c r="AP71" i="46" s="1"/>
  <c r="B61" i="56"/>
  <c r="AO71" i="47"/>
  <c r="A81" i="55" s="1"/>
  <c r="A81" i="54"/>
  <c r="A59" i="55"/>
  <c r="A59" i="54"/>
  <c r="AO70" i="44"/>
  <c r="A40" i="55" s="1"/>
  <c r="A40" i="54"/>
  <c r="BI23" i="44"/>
  <c r="B41" i="52"/>
  <c r="BA46" i="44"/>
  <c r="B60" i="55"/>
  <c r="B60" i="54"/>
  <c r="AP70" i="44"/>
  <c r="B40" i="55" s="1"/>
  <c r="B40" i="54"/>
  <c r="BN63" i="47"/>
  <c r="F15" i="51"/>
  <c r="G15" i="51"/>
  <c r="O8" i="55"/>
  <c r="O11" i="53"/>
  <c r="AI37" i="46"/>
  <c r="F71" i="49"/>
  <c r="E121" i="56" s="1"/>
  <c r="G13" i="53"/>
  <c r="E71" i="50"/>
  <c r="D141" i="56" s="1"/>
  <c r="G12" i="58"/>
  <c r="K19" i="56"/>
  <c r="M19" i="57"/>
  <c r="F13" i="57"/>
  <c r="M19" i="56"/>
  <c r="C13" i="57"/>
  <c r="J71" i="50"/>
  <c r="I141" i="56" s="1"/>
  <c r="J95" i="50"/>
  <c r="I141" i="57" s="1"/>
  <c r="L15" i="51"/>
  <c r="N59" i="55"/>
  <c r="I12" i="58"/>
  <c r="BV63" i="50"/>
  <c r="M19" i="53"/>
  <c r="K40" i="53"/>
  <c r="L70" i="44"/>
  <c r="K40" i="56" s="1"/>
  <c r="M58" i="55"/>
  <c r="M18" i="55" s="1"/>
  <c r="M18" i="54"/>
  <c r="Z46" i="49"/>
  <c r="J12" i="58"/>
  <c r="D13" i="57"/>
  <c r="K19" i="53"/>
  <c r="O71" i="44"/>
  <c r="N41" i="56" s="1"/>
  <c r="N41" i="53"/>
  <c r="M18" i="58"/>
  <c r="M60" i="53"/>
  <c r="N70" i="46"/>
  <c r="M60" i="56" s="1"/>
  <c r="N70" i="47"/>
  <c r="M80" i="56" s="1"/>
  <c r="M80" i="53"/>
  <c r="K80" i="53"/>
  <c r="L70" i="47"/>
  <c r="K80" i="56" s="1"/>
  <c r="G13" i="57"/>
  <c r="K59" i="55"/>
  <c r="K61" i="53"/>
  <c r="L71" i="46"/>
  <c r="K61" i="56" s="1"/>
  <c r="H12" i="58"/>
  <c r="N20" i="53"/>
  <c r="F95" i="49"/>
  <c r="E121" i="57" s="1"/>
  <c r="CA47" i="48"/>
  <c r="Q47" i="48"/>
  <c r="P101" i="53" s="1"/>
  <c r="BV55" i="50"/>
  <c r="L52" i="55"/>
  <c r="L12" i="55" s="1"/>
  <c r="L12" i="54"/>
  <c r="J100" i="56"/>
  <c r="AD94" i="48"/>
  <c r="J100" i="58" s="1"/>
  <c r="AD70" i="48"/>
  <c r="J100" i="54" s="1"/>
  <c r="AX70" i="48"/>
  <c r="J100" i="55" s="1"/>
  <c r="J13" i="53"/>
  <c r="F13" i="56"/>
  <c r="J13" i="57"/>
  <c r="I52" i="55"/>
  <c r="I12" i="55" s="1"/>
  <c r="I12" i="54"/>
  <c r="L13" i="57"/>
  <c r="F12" i="58"/>
  <c r="L12" i="58"/>
  <c r="P12" i="57"/>
  <c r="AB46" i="48"/>
  <c r="P100" i="53"/>
  <c r="AF71" i="48"/>
  <c r="L101" i="54" s="1"/>
  <c r="L101" i="56"/>
  <c r="X46" i="49"/>
  <c r="P120" i="53"/>
  <c r="P12" i="56"/>
  <c r="BN55" i="44"/>
  <c r="P28" i="55"/>
  <c r="P8" i="55" s="1"/>
  <c r="K71" i="49"/>
  <c r="J121" i="56" s="1"/>
  <c r="J121" i="53"/>
  <c r="J13" i="56"/>
  <c r="H64" i="44"/>
  <c r="G34" i="56" s="1"/>
  <c r="G34" i="53"/>
  <c r="BD59" i="47"/>
  <c r="P69" i="55" s="1"/>
  <c r="O69" i="55"/>
  <c r="X39" i="46"/>
  <c r="P53" i="53"/>
  <c r="D52" i="55"/>
  <c r="D12" i="55" s="1"/>
  <c r="D12" i="54"/>
  <c r="D64" i="44"/>
  <c r="C34" i="56" s="1"/>
  <c r="C34" i="53"/>
  <c r="C14" i="53" s="1"/>
  <c r="BO38" i="44"/>
  <c r="BR64" i="44" s="1"/>
  <c r="O32" i="51"/>
  <c r="Z95" i="48"/>
  <c r="F101" i="58" s="1"/>
  <c r="F101" i="56"/>
  <c r="BO45" i="48"/>
  <c r="BY64" i="48" s="1"/>
  <c r="O99" i="51"/>
  <c r="AK68" i="50"/>
  <c r="BX58" i="50" s="1"/>
  <c r="P138" i="54"/>
  <c r="Q63" i="44"/>
  <c r="P33" i="56" s="1"/>
  <c r="G95" i="48"/>
  <c r="F101" i="57" s="1"/>
  <c r="F101" i="53"/>
  <c r="L13" i="56"/>
  <c r="E52" i="55"/>
  <c r="E12" i="55" s="1"/>
  <c r="E12" i="54"/>
  <c r="P11" i="58"/>
  <c r="J64" i="44"/>
  <c r="I34" i="56" s="1"/>
  <c r="I34" i="53"/>
  <c r="I14" i="53" s="1"/>
  <c r="M64" i="44"/>
  <c r="L34" i="56" s="1"/>
  <c r="L34" i="53"/>
  <c r="L14" i="53" s="1"/>
  <c r="H52" i="55"/>
  <c r="H12" i="55" s="1"/>
  <c r="H12" i="54"/>
  <c r="AR39" i="44"/>
  <c r="BS60" i="44" s="1"/>
  <c r="P33" i="53"/>
  <c r="C15" i="51"/>
  <c r="K64" i="47"/>
  <c r="J74" i="56" s="1"/>
  <c r="J74" i="53"/>
  <c r="E12" i="58"/>
  <c r="BU38" i="46"/>
  <c r="BR66" i="46" s="1"/>
  <c r="O52" i="51"/>
  <c r="AS71" i="48"/>
  <c r="E101" i="55" s="1"/>
  <c r="E101" i="56"/>
  <c r="BD67" i="49"/>
  <c r="P117" i="55" s="1"/>
  <c r="O117" i="55"/>
  <c r="W63" i="44"/>
  <c r="C33" i="54" s="1"/>
  <c r="F95" i="48"/>
  <c r="E101" i="57" s="1"/>
  <c r="E101" i="53"/>
  <c r="K71" i="50"/>
  <c r="J141" i="56" s="1"/>
  <c r="J141" i="53"/>
  <c r="G13" i="56"/>
  <c r="D100" i="56"/>
  <c r="X70" i="48"/>
  <c r="D100" i="54" s="1"/>
  <c r="X94" i="48"/>
  <c r="D100" i="58" s="1"/>
  <c r="AR70" i="48"/>
  <c r="D100" i="55" s="1"/>
  <c r="BU63" i="48"/>
  <c r="P95" i="55"/>
  <c r="G52" i="55"/>
  <c r="G12" i="55" s="1"/>
  <c r="G12" i="54"/>
  <c r="G64" i="44"/>
  <c r="F34" i="56" s="1"/>
  <c r="F34" i="53"/>
  <c r="F14" i="53" s="1"/>
  <c r="I15" i="51"/>
  <c r="H64" i="46"/>
  <c r="G54" i="56" s="1"/>
  <c r="G54" i="53"/>
  <c r="BD59" i="44"/>
  <c r="BO55" i="44" s="1"/>
  <c r="O29" i="55"/>
  <c r="AK68" i="48"/>
  <c r="BX58" i="48" s="1"/>
  <c r="P98" i="54"/>
  <c r="BD66" i="49"/>
  <c r="P116" i="55" s="1"/>
  <c r="O116" i="55"/>
  <c r="AQ46" i="50"/>
  <c r="BZ59" i="50" s="1"/>
  <c r="P140" i="53"/>
  <c r="CA47" i="49"/>
  <c r="G121" i="53"/>
  <c r="AK68" i="49"/>
  <c r="BX58" i="49" s="1"/>
  <c r="P118" i="54"/>
  <c r="D13" i="56"/>
  <c r="J12" i="54"/>
  <c r="J52" i="55"/>
  <c r="J12" i="55" s="1"/>
  <c r="F52" i="55"/>
  <c r="F12" i="55" s="1"/>
  <c r="F12" i="54"/>
  <c r="D15" i="51"/>
  <c r="I13" i="57"/>
  <c r="E64" i="44"/>
  <c r="D34" i="56" s="1"/>
  <c r="D34" i="53"/>
  <c r="D14" i="53" s="1"/>
  <c r="K64" i="44"/>
  <c r="J34" i="56" s="1"/>
  <c r="J34" i="53"/>
  <c r="AK61" i="47"/>
  <c r="BQ58" i="47" s="1"/>
  <c r="P71" i="54"/>
  <c r="H15" i="51"/>
  <c r="AQ39" i="47"/>
  <c r="BS59" i="47" s="1"/>
  <c r="P73" i="53"/>
  <c r="P92" i="48"/>
  <c r="O98" i="57" s="1"/>
  <c r="O98" i="53"/>
  <c r="E13" i="56"/>
  <c r="H13" i="56"/>
  <c r="M95" i="48"/>
  <c r="L101" i="57" s="1"/>
  <c r="L101" i="53"/>
  <c r="P12" i="53"/>
  <c r="P84" i="47"/>
  <c r="O70" i="57" s="1"/>
  <c r="O10" i="57" s="1"/>
  <c r="O70" i="56"/>
  <c r="O10" i="56" s="1"/>
  <c r="BD60" i="44"/>
  <c r="P30" i="55" s="1"/>
  <c r="O30" i="55"/>
  <c r="I64" i="44"/>
  <c r="H34" i="56" s="1"/>
  <c r="H34" i="53"/>
  <c r="H14" i="53" s="1"/>
  <c r="E13" i="57"/>
  <c r="C12" i="58"/>
  <c r="F64" i="44"/>
  <c r="E34" i="56" s="1"/>
  <c r="E34" i="53"/>
  <c r="E14" i="53" s="1"/>
  <c r="D12" i="58"/>
  <c r="K64" i="46"/>
  <c r="J54" i="56" s="1"/>
  <c r="J54" i="53"/>
  <c r="BD67" i="50"/>
  <c r="P137" i="55" s="1"/>
  <c r="O137" i="55"/>
  <c r="BO63" i="46"/>
  <c r="P49" i="55"/>
  <c r="P49" i="54"/>
  <c r="P9" i="54" s="1"/>
  <c r="K71" i="48"/>
  <c r="J101" i="53"/>
  <c r="K95" i="48"/>
  <c r="J101" i="57" s="1"/>
  <c r="AK61" i="44"/>
  <c r="BQ58" i="44" s="1"/>
  <c r="P31" i="54"/>
  <c r="C52" i="55"/>
  <c r="C12" i="55" s="1"/>
  <c r="C12" i="54"/>
  <c r="E15" i="51"/>
  <c r="BD60" i="46"/>
  <c r="BP63" i="46" s="1"/>
  <c r="O50" i="55"/>
  <c r="O10" i="54"/>
  <c r="BD67" i="48"/>
  <c r="BW63" i="48" s="1"/>
  <c r="O97" i="55"/>
  <c r="BD66" i="48"/>
  <c r="BV55" i="48" s="1"/>
  <c r="O96" i="55"/>
  <c r="I13" i="56"/>
  <c r="D101" i="53"/>
  <c r="E71" i="48"/>
  <c r="E95" i="48"/>
  <c r="D101" i="57" s="1"/>
  <c r="C13" i="56"/>
  <c r="AJ93" i="50"/>
  <c r="P139" i="58" s="1"/>
  <c r="AJ45" i="49"/>
  <c r="AB46" i="50"/>
  <c r="AU45" i="49"/>
  <c r="AA46" i="50"/>
  <c r="Y46" i="50"/>
  <c r="AF46" i="50"/>
  <c r="AD46" i="50"/>
  <c r="AS46" i="50"/>
  <c r="BZ61" i="50" s="1"/>
  <c r="Z46" i="50"/>
  <c r="W46" i="50"/>
  <c r="AJ69" i="50"/>
  <c r="AJ20" i="49"/>
  <c r="P118" i="59" s="1"/>
  <c r="Q47" i="49"/>
  <c r="P121" i="53" s="1"/>
  <c r="D95" i="49"/>
  <c r="C121" i="57" s="1"/>
  <c r="D71" i="49"/>
  <c r="C121" i="56" s="1"/>
  <c r="Q94" i="49"/>
  <c r="P120" i="57" s="1"/>
  <c r="Y94" i="50"/>
  <c r="E140" i="58" s="1"/>
  <c r="Y70" i="50"/>
  <c r="E140" i="54" s="1"/>
  <c r="AS70" i="50"/>
  <c r="E140" i="55" s="1"/>
  <c r="M95" i="49"/>
  <c r="L121" i="57" s="1"/>
  <c r="M71" i="49"/>
  <c r="L121" i="56" s="1"/>
  <c r="P45" i="49"/>
  <c r="O119" i="53" s="1"/>
  <c r="AI21" i="49"/>
  <c r="O119" i="59" s="1"/>
  <c r="BU45" i="49"/>
  <c r="BY66" i="49" s="1"/>
  <c r="BO45" i="49"/>
  <c r="BY64" i="49" s="1"/>
  <c r="D71" i="50"/>
  <c r="C141" i="56" s="1"/>
  <c r="D95" i="50"/>
  <c r="C141" i="57" s="1"/>
  <c r="Q47" i="50"/>
  <c r="Y70" i="49"/>
  <c r="E120" i="54" s="1"/>
  <c r="AS70" i="49"/>
  <c r="E120" i="55" s="1"/>
  <c r="Y94" i="49"/>
  <c r="E120" i="58" s="1"/>
  <c r="AJ20" i="50"/>
  <c r="P138" i="59" s="1"/>
  <c r="I71" i="50"/>
  <c r="H141" i="56" s="1"/>
  <c r="I95" i="50"/>
  <c r="H141" i="57" s="1"/>
  <c r="AD94" i="49"/>
  <c r="J120" i="58" s="1"/>
  <c r="AD70" i="49"/>
  <c r="J120" i="54" s="1"/>
  <c r="AX70" i="49"/>
  <c r="J120" i="55" s="1"/>
  <c r="W70" i="49"/>
  <c r="C120" i="54" s="1"/>
  <c r="Q70" i="49"/>
  <c r="P120" i="56" s="1"/>
  <c r="AQ70" i="49"/>
  <c r="C120" i="55" s="1"/>
  <c r="W94" i="49"/>
  <c r="C120" i="58" s="1"/>
  <c r="AA94" i="50"/>
  <c r="G140" i="58" s="1"/>
  <c r="AU70" i="50"/>
  <c r="G140" i="55" s="1"/>
  <c r="X46" i="50"/>
  <c r="BJ22" i="50"/>
  <c r="BK22" i="50" s="1"/>
  <c r="BL22" i="50" s="1"/>
  <c r="P22" i="50" s="1"/>
  <c r="O140" i="51" s="1"/>
  <c r="AE46" i="50"/>
  <c r="AR46" i="50"/>
  <c r="BZ60" i="50" s="1"/>
  <c r="BZ68" i="50"/>
  <c r="AH46" i="50"/>
  <c r="BZ69" i="50"/>
  <c r="AG46" i="50"/>
  <c r="AT46" i="50"/>
  <c r="BZ62" i="50" s="1"/>
  <c r="P92" i="50"/>
  <c r="O138" i="57" s="1"/>
  <c r="AI44" i="50"/>
  <c r="AS46" i="49"/>
  <c r="BZ61" i="49" s="1"/>
  <c r="BZ68" i="49"/>
  <c r="AH46" i="49"/>
  <c r="BZ69" i="49"/>
  <c r="AR46" i="49"/>
  <c r="BZ60" i="49" s="1"/>
  <c r="AT46" i="49"/>
  <c r="BZ62" i="49" s="1"/>
  <c r="AE46" i="49"/>
  <c r="BJ22" i="49"/>
  <c r="BK22" i="49" s="1"/>
  <c r="BL22" i="49" s="1"/>
  <c r="P22" i="49" s="1"/>
  <c r="O120" i="51" s="1"/>
  <c r="AG46" i="49"/>
  <c r="AC46" i="49"/>
  <c r="X94" i="49"/>
  <c r="D120" i="58" s="1"/>
  <c r="X70" i="49"/>
  <c r="D120" i="54" s="1"/>
  <c r="AR70" i="49"/>
  <c r="D120" i="55" s="1"/>
  <c r="W94" i="50"/>
  <c r="C140" i="58" s="1"/>
  <c r="W70" i="50"/>
  <c r="C140" i="54" s="1"/>
  <c r="Q70" i="50"/>
  <c r="P140" i="56" s="1"/>
  <c r="AQ70" i="50"/>
  <c r="C140" i="55" s="1"/>
  <c r="AD94" i="50"/>
  <c r="J140" i="58" s="1"/>
  <c r="AX70" i="50"/>
  <c r="J140" i="55" s="1"/>
  <c r="AD70" i="50"/>
  <c r="J140" i="54" s="1"/>
  <c r="X70" i="50"/>
  <c r="D140" i="54" s="1"/>
  <c r="X94" i="50"/>
  <c r="D140" i="58" s="1"/>
  <c r="AR70" i="50"/>
  <c r="D140" i="55" s="1"/>
  <c r="I71" i="49"/>
  <c r="H121" i="56" s="1"/>
  <c r="I95" i="49"/>
  <c r="H121" i="57" s="1"/>
  <c r="AT70" i="49"/>
  <c r="F120" i="55" s="1"/>
  <c r="Z94" i="49"/>
  <c r="F120" i="58" s="1"/>
  <c r="Z70" i="49"/>
  <c r="F120" i="54" s="1"/>
  <c r="M95" i="50"/>
  <c r="L141" i="57" s="1"/>
  <c r="M71" i="50"/>
  <c r="L141" i="56" s="1"/>
  <c r="AJ93" i="49"/>
  <c r="P119" i="58" s="1"/>
  <c r="AC94" i="49"/>
  <c r="I120" i="58" s="1"/>
  <c r="AC70" i="49"/>
  <c r="I120" i="54" s="1"/>
  <c r="AW70" i="49"/>
  <c r="I120" i="55" s="1"/>
  <c r="F95" i="50"/>
  <c r="E141" i="57" s="1"/>
  <c r="F71" i="50"/>
  <c r="E141" i="56" s="1"/>
  <c r="H95" i="50"/>
  <c r="G141" i="57" s="1"/>
  <c r="AA71" i="50"/>
  <c r="G141" i="54" s="1"/>
  <c r="H71" i="50"/>
  <c r="G141" i="56" s="1"/>
  <c r="J71" i="49"/>
  <c r="I121" i="56" s="1"/>
  <c r="J95" i="49"/>
  <c r="I121" i="57" s="1"/>
  <c r="AF46" i="49"/>
  <c r="Q94" i="50"/>
  <c r="P140" i="57" s="1"/>
  <c r="AA46" i="49"/>
  <c r="Z94" i="50"/>
  <c r="F140" i="58" s="1"/>
  <c r="Z70" i="50"/>
  <c r="F140" i="54" s="1"/>
  <c r="AT70" i="50"/>
  <c r="F140" i="55" s="1"/>
  <c r="AJ45" i="50"/>
  <c r="AB46" i="49"/>
  <c r="AF70" i="49"/>
  <c r="L120" i="54" s="1"/>
  <c r="AZ70" i="49"/>
  <c r="L120" i="55" s="1"/>
  <c r="AF94" i="49"/>
  <c r="L120" i="58" s="1"/>
  <c r="AA71" i="49"/>
  <c r="G121" i="54" s="1"/>
  <c r="H71" i="49"/>
  <c r="G121" i="56" s="1"/>
  <c r="H95" i="49"/>
  <c r="G121" i="57" s="1"/>
  <c r="AB94" i="50"/>
  <c r="H140" i="58" s="1"/>
  <c r="AB70" i="50"/>
  <c r="H140" i="54" s="1"/>
  <c r="AV70" i="50"/>
  <c r="H140" i="55" s="1"/>
  <c r="AW70" i="50"/>
  <c r="I140" i="55" s="1"/>
  <c r="AC94" i="50"/>
  <c r="I140" i="58" s="1"/>
  <c r="AC70" i="50"/>
  <c r="I140" i="54" s="1"/>
  <c r="P45" i="50"/>
  <c r="O139" i="53" s="1"/>
  <c r="AI21" i="50"/>
  <c r="O139" i="59" s="1"/>
  <c r="BO45" i="50"/>
  <c r="BY64" i="50" s="1"/>
  <c r="BU45" i="50"/>
  <c r="BY66" i="50" s="1"/>
  <c r="E95" i="49"/>
  <c r="D121" i="57" s="1"/>
  <c r="E71" i="49"/>
  <c r="D121" i="56" s="1"/>
  <c r="AU45" i="50"/>
  <c r="AD46" i="49"/>
  <c r="AA94" i="49"/>
  <c r="G120" i="58" s="1"/>
  <c r="AU70" i="49"/>
  <c r="G120" i="55" s="1"/>
  <c r="CA47" i="50"/>
  <c r="AQ46" i="49"/>
  <c r="AJ69" i="49"/>
  <c r="G95" i="50"/>
  <c r="F141" i="57" s="1"/>
  <c r="G71" i="50"/>
  <c r="F141" i="56" s="1"/>
  <c r="AF94" i="50"/>
  <c r="L140" i="58" s="1"/>
  <c r="AF70" i="50"/>
  <c r="L140" i="54" s="1"/>
  <c r="AZ70" i="50"/>
  <c r="L140" i="55" s="1"/>
  <c r="P92" i="49"/>
  <c r="O118" i="57" s="1"/>
  <c r="AI44" i="49"/>
  <c r="AB70" i="49"/>
  <c r="H120" i="54" s="1"/>
  <c r="AB94" i="49"/>
  <c r="H120" i="58" s="1"/>
  <c r="AV70" i="49"/>
  <c r="H120" i="55" s="1"/>
  <c r="Y46" i="49"/>
  <c r="AV14" i="43"/>
  <c r="AW14" i="43"/>
  <c r="H86" i="43"/>
  <c r="K86" i="43"/>
  <c r="BX40" i="43"/>
  <c r="BD13" i="43"/>
  <c r="AZ71" i="48"/>
  <c r="L101" i="55" s="1"/>
  <c r="AF95" i="48"/>
  <c r="L101" i="58" s="1"/>
  <c r="AJ45" i="48"/>
  <c r="AU45" i="48"/>
  <c r="AI44" i="48"/>
  <c r="AI21" i="48"/>
  <c r="BU45" i="48"/>
  <c r="BY66" i="48" s="1"/>
  <c r="BZ69" i="48"/>
  <c r="P45" i="48"/>
  <c r="Y46" i="48"/>
  <c r="AG46" i="48"/>
  <c r="Z71" i="48"/>
  <c r="F101" i="54" s="1"/>
  <c r="Y71" i="48"/>
  <c r="E101" i="54" s="1"/>
  <c r="AT46" i="48"/>
  <c r="BZ62" i="48" s="1"/>
  <c r="AQ46" i="48"/>
  <c r="BZ59" i="48" s="1"/>
  <c r="BZ68" i="48"/>
  <c r="AF46" i="48"/>
  <c r="Q94" i="48"/>
  <c r="P100" i="57" s="1"/>
  <c r="AT71" i="48"/>
  <c r="F101" i="55" s="1"/>
  <c r="AJ69" i="48"/>
  <c r="AJ93" i="48"/>
  <c r="P99" i="58" s="1"/>
  <c r="Y95" i="48"/>
  <c r="E101" i="58" s="1"/>
  <c r="AS46" i="48"/>
  <c r="BZ61" i="48" s="1"/>
  <c r="W46" i="48"/>
  <c r="AH46" i="48"/>
  <c r="AA46" i="48"/>
  <c r="AE46" i="48"/>
  <c r="Z46" i="48"/>
  <c r="AD46" i="48"/>
  <c r="BJ22" i="48"/>
  <c r="BK22" i="48" s="1"/>
  <c r="BL22" i="48" s="1"/>
  <c r="P22" i="48" s="1"/>
  <c r="X46" i="48"/>
  <c r="AR46" i="48"/>
  <c r="AF94" i="48"/>
  <c r="L100" i="58" s="1"/>
  <c r="AF70" i="48"/>
  <c r="L100" i="54" s="1"/>
  <c r="AZ70" i="48"/>
  <c r="L100" i="55" s="1"/>
  <c r="Y94" i="48"/>
  <c r="E100" i="58" s="1"/>
  <c r="Y70" i="48"/>
  <c r="E100" i="54" s="1"/>
  <c r="AS70" i="48"/>
  <c r="E100" i="55" s="1"/>
  <c r="Z94" i="48"/>
  <c r="F100" i="58" s="1"/>
  <c r="Z70" i="48"/>
  <c r="F100" i="54" s="1"/>
  <c r="AT70" i="48"/>
  <c r="F100" i="55" s="1"/>
  <c r="AC46" i="48"/>
  <c r="Q70" i="48"/>
  <c r="P100" i="56" s="1"/>
  <c r="BC68" i="48"/>
  <c r="BA46" i="48"/>
  <c r="AE95" i="48"/>
  <c r="K101" i="58" s="1"/>
  <c r="AE71" i="48"/>
  <c r="K101" i="54" s="1"/>
  <c r="AY71" i="48"/>
  <c r="K101" i="55" s="1"/>
  <c r="AX47" i="48"/>
  <c r="AW47" i="48"/>
  <c r="AZ47" i="48"/>
  <c r="X39" i="47"/>
  <c r="BU38" i="44"/>
  <c r="BR66" i="44" s="1"/>
  <c r="P38" i="44"/>
  <c r="AI14" i="44"/>
  <c r="AJ62" i="47"/>
  <c r="P38" i="46"/>
  <c r="BO38" i="46"/>
  <c r="BR64" i="46" s="1"/>
  <c r="BJ15" i="44"/>
  <c r="BK15" i="44" s="1"/>
  <c r="BL15" i="44" s="1"/>
  <c r="P15" i="44" s="1"/>
  <c r="AD39" i="44"/>
  <c r="BJ15" i="47"/>
  <c r="BK15" i="47" s="1"/>
  <c r="BL15" i="47" s="1"/>
  <c r="P15" i="47" s="1"/>
  <c r="AS39" i="44"/>
  <c r="BS61" i="44" s="1"/>
  <c r="AB39" i="44"/>
  <c r="AA39" i="44"/>
  <c r="AT39" i="44"/>
  <c r="BS62" i="44" s="1"/>
  <c r="AQ39" i="44"/>
  <c r="BS59" i="44" s="1"/>
  <c r="Z39" i="44"/>
  <c r="AF39" i="44"/>
  <c r="BC60" i="47"/>
  <c r="AI14" i="46"/>
  <c r="AU38" i="46"/>
  <c r="AJ38" i="47"/>
  <c r="AT39" i="47"/>
  <c r="BS62" i="47" s="1"/>
  <c r="AR39" i="47"/>
  <c r="BS60" i="47" s="1"/>
  <c r="AS39" i="47"/>
  <c r="BS61" i="47" s="1"/>
  <c r="AD39" i="47"/>
  <c r="Z39" i="47"/>
  <c r="AB39" i="47"/>
  <c r="AC39" i="47"/>
  <c r="Y39" i="47"/>
  <c r="AA39" i="47"/>
  <c r="AF39" i="47"/>
  <c r="BC61" i="46"/>
  <c r="Y39" i="46"/>
  <c r="AS39" i="46"/>
  <c r="BS61" i="46" s="1"/>
  <c r="BR59" i="46"/>
  <c r="AD39" i="46"/>
  <c r="AJ38" i="46"/>
  <c r="Z39" i="46"/>
  <c r="BJ15" i="46"/>
  <c r="BK15" i="46" s="1"/>
  <c r="BL15" i="46" s="1"/>
  <c r="P15" i="46" s="1"/>
  <c r="W39" i="44"/>
  <c r="Y39" i="44"/>
  <c r="AJ38" i="44"/>
  <c r="I62" i="43"/>
  <c r="AB86" i="43" s="1"/>
  <c r="I86" i="43"/>
  <c r="AD63" i="44"/>
  <c r="J33" i="54" s="1"/>
  <c r="AD87" i="44"/>
  <c r="J33" i="58" s="1"/>
  <c r="AX63" i="44"/>
  <c r="J33" i="55" s="1"/>
  <c r="H88" i="44"/>
  <c r="G34" i="57" s="1"/>
  <c r="AA64" i="44"/>
  <c r="G34" i="54" s="1"/>
  <c r="AB87" i="44"/>
  <c r="H33" i="58" s="1"/>
  <c r="AB63" i="44"/>
  <c r="H33" i="54" s="1"/>
  <c r="AV63" i="44"/>
  <c r="H33" i="55" s="1"/>
  <c r="E41" i="47"/>
  <c r="D75" i="53" s="1"/>
  <c r="E18" i="47"/>
  <c r="D76" i="51" s="1"/>
  <c r="I88" i="47"/>
  <c r="H74" i="57" s="1"/>
  <c r="I64" i="47"/>
  <c r="H74" i="56" s="1"/>
  <c r="AB87" i="47"/>
  <c r="H73" i="58" s="1"/>
  <c r="AB63" i="47"/>
  <c r="H73" i="54" s="1"/>
  <c r="AV63" i="47"/>
  <c r="H73" i="55" s="1"/>
  <c r="AQ39" i="46"/>
  <c r="G88" i="46"/>
  <c r="F54" i="57" s="1"/>
  <c r="G64" i="46"/>
  <c r="F54" i="56" s="1"/>
  <c r="I18" i="46"/>
  <c r="H56" i="51" s="1"/>
  <c r="I41" i="46"/>
  <c r="H55" i="53" s="1"/>
  <c r="D18" i="47"/>
  <c r="C76" i="51" s="1"/>
  <c r="Q17" i="47"/>
  <c r="BR41" i="47"/>
  <c r="BU65" i="47" s="1"/>
  <c r="D41" i="47"/>
  <c r="C75" i="53" s="1"/>
  <c r="Z87" i="47"/>
  <c r="F73" i="58" s="1"/>
  <c r="Z63" i="47"/>
  <c r="F73" i="54" s="1"/>
  <c r="AT63" i="47"/>
  <c r="F73" i="55" s="1"/>
  <c r="E88" i="46"/>
  <c r="D54" i="57" s="1"/>
  <c r="E64" i="46"/>
  <c r="D54" i="56" s="1"/>
  <c r="J88" i="46"/>
  <c r="I54" i="57" s="1"/>
  <c r="J64" i="46"/>
  <c r="I54" i="56" s="1"/>
  <c r="AA87" i="46"/>
  <c r="G53" i="58" s="1"/>
  <c r="AU63" i="46"/>
  <c r="Q87" i="47"/>
  <c r="P73" i="57" s="1"/>
  <c r="AC63" i="46"/>
  <c r="I53" i="54" s="1"/>
  <c r="AC87" i="46"/>
  <c r="I53" i="58" s="1"/>
  <c r="AW63" i="46"/>
  <c r="K41" i="46"/>
  <c r="K18" i="46"/>
  <c r="J56" i="51" s="1"/>
  <c r="AG87" i="43"/>
  <c r="N87" i="43"/>
  <c r="J62" i="43"/>
  <c r="AC86" i="43" s="1"/>
  <c r="J86" i="43"/>
  <c r="AC87" i="47"/>
  <c r="I73" i="58" s="1"/>
  <c r="AC63" i="47"/>
  <c r="I73" i="54" s="1"/>
  <c r="AW63" i="47"/>
  <c r="I73" i="55" s="1"/>
  <c r="E41" i="44"/>
  <c r="E18" i="44"/>
  <c r="D36" i="51" s="1"/>
  <c r="BR59" i="44"/>
  <c r="AU38" i="44"/>
  <c r="AJ62" i="46"/>
  <c r="AK62" i="46" s="1"/>
  <c r="BR58" i="46" s="1"/>
  <c r="E64" i="47"/>
  <c r="D74" i="56" s="1"/>
  <c r="E88" i="47"/>
  <c r="D74" i="57" s="1"/>
  <c r="M41" i="44"/>
  <c r="M18" i="44"/>
  <c r="L36" i="51" s="1"/>
  <c r="Q63" i="46"/>
  <c r="P53" i="56" s="1"/>
  <c r="W87" i="46"/>
  <c r="C53" i="58" s="1"/>
  <c r="W63" i="46"/>
  <c r="C53" i="54" s="1"/>
  <c r="AQ63" i="46"/>
  <c r="X87" i="46"/>
  <c r="D53" i="58" s="1"/>
  <c r="X63" i="46"/>
  <c r="D53" i="54" s="1"/>
  <c r="AR63" i="46"/>
  <c r="G41" i="46"/>
  <c r="F55" i="53" s="1"/>
  <c r="G18" i="46"/>
  <c r="F56" i="51" s="1"/>
  <c r="I88" i="46"/>
  <c r="H54" i="57" s="1"/>
  <c r="I64" i="46"/>
  <c r="H54" i="56" s="1"/>
  <c r="D64" i="47"/>
  <c r="C74" i="56" s="1"/>
  <c r="Q40" i="47"/>
  <c r="D88" i="47"/>
  <c r="C74" i="57" s="1"/>
  <c r="E41" i="46"/>
  <c r="D55" i="53" s="1"/>
  <c r="E18" i="46"/>
  <c r="D56" i="51" s="1"/>
  <c r="Y87" i="47"/>
  <c r="E73" i="58" s="1"/>
  <c r="Y63" i="47"/>
  <c r="E73" i="54" s="1"/>
  <c r="AS63" i="47"/>
  <c r="E73" i="55" s="1"/>
  <c r="W87" i="47"/>
  <c r="C73" i="58" s="1"/>
  <c r="Q63" i="47"/>
  <c r="P73" i="56" s="1"/>
  <c r="W63" i="47"/>
  <c r="C73" i="54" s="1"/>
  <c r="AQ63" i="47"/>
  <c r="C73" i="55" s="1"/>
  <c r="F88" i="47"/>
  <c r="E74" i="57" s="1"/>
  <c r="F64" i="47"/>
  <c r="E74" i="56" s="1"/>
  <c r="K88" i="46"/>
  <c r="J54" i="57" s="1"/>
  <c r="CA40" i="46"/>
  <c r="AE87" i="43"/>
  <c r="L87" i="43"/>
  <c r="M62" i="43"/>
  <c r="AF86" i="43" s="1"/>
  <c r="M86" i="43"/>
  <c r="E62" i="43"/>
  <c r="X86" i="43" s="1"/>
  <c r="E86" i="43"/>
  <c r="E88" i="44"/>
  <c r="D34" i="57" s="1"/>
  <c r="AJ13" i="44"/>
  <c r="J88" i="44"/>
  <c r="I34" i="57" s="1"/>
  <c r="M41" i="47"/>
  <c r="L75" i="53" s="1"/>
  <c r="M18" i="47"/>
  <c r="L76" i="51" s="1"/>
  <c r="I41" i="44"/>
  <c r="I18" i="44"/>
  <c r="H36" i="51" s="1"/>
  <c r="M88" i="44"/>
  <c r="L34" i="57" s="1"/>
  <c r="Z63" i="46"/>
  <c r="F53" i="54" s="1"/>
  <c r="Z87" i="46"/>
  <c r="F53" i="58" s="1"/>
  <c r="AT63" i="46"/>
  <c r="F18" i="46"/>
  <c r="E56" i="51" s="1"/>
  <c r="F41" i="46"/>
  <c r="E55" i="53" s="1"/>
  <c r="Q87" i="46"/>
  <c r="P53" i="57" s="1"/>
  <c r="M41" i="46"/>
  <c r="L55" i="53" s="1"/>
  <c r="M18" i="46"/>
  <c r="L56" i="51" s="1"/>
  <c r="F88" i="44"/>
  <c r="E34" i="57" s="1"/>
  <c r="X39" i="44"/>
  <c r="F41" i="47"/>
  <c r="E75" i="53" s="1"/>
  <c r="F18" i="47"/>
  <c r="E76" i="51" s="1"/>
  <c r="AI37" i="44"/>
  <c r="P85" i="44"/>
  <c r="O31" i="57" s="1"/>
  <c r="AD87" i="46"/>
  <c r="J53" i="58" s="1"/>
  <c r="AD63" i="46"/>
  <c r="J53" i="54" s="1"/>
  <c r="AX63" i="46"/>
  <c r="CA40" i="44"/>
  <c r="K88" i="44"/>
  <c r="J34" i="57" s="1"/>
  <c r="J41" i="44"/>
  <c r="J18" i="44"/>
  <c r="I36" i="51" s="1"/>
  <c r="M64" i="47"/>
  <c r="L74" i="56" s="1"/>
  <c r="M88" i="47"/>
  <c r="L74" i="57" s="1"/>
  <c r="I88" i="44"/>
  <c r="H34" i="57" s="1"/>
  <c r="F64" i="46"/>
  <c r="E54" i="56" s="1"/>
  <c r="F88" i="46"/>
  <c r="E54" i="57" s="1"/>
  <c r="AF63" i="47"/>
  <c r="L73" i="54" s="1"/>
  <c r="AF87" i="47"/>
  <c r="L73" i="58" s="1"/>
  <c r="AZ63" i="47"/>
  <c r="L73" i="55" s="1"/>
  <c r="H41" i="47"/>
  <c r="G75" i="53" s="1"/>
  <c r="H18" i="47"/>
  <c r="G76" i="51" s="1"/>
  <c r="BW41" i="47"/>
  <c r="BU67" i="47" s="1"/>
  <c r="AA39" i="46"/>
  <c r="AG39" i="46"/>
  <c r="AE39" i="46"/>
  <c r="BS68" i="46"/>
  <c r="BS69" i="46"/>
  <c r="AH39" i="46"/>
  <c r="M88" i="46"/>
  <c r="L54" i="57" s="1"/>
  <c r="M64" i="46"/>
  <c r="L54" i="56" s="1"/>
  <c r="AJ86" i="44"/>
  <c r="P32" i="58" s="1"/>
  <c r="F18" i="44"/>
  <c r="E36" i="51" s="1"/>
  <c r="F41" i="44"/>
  <c r="AF39" i="46"/>
  <c r="G62" i="43"/>
  <c r="Z86" i="43" s="1"/>
  <c r="G86" i="43"/>
  <c r="F62" i="43"/>
  <c r="Y86" i="43" s="1"/>
  <c r="F86" i="43"/>
  <c r="AG62" i="43"/>
  <c r="AG86" i="43"/>
  <c r="AC63" i="44"/>
  <c r="I33" i="54" s="1"/>
  <c r="AC87" i="44"/>
  <c r="I33" i="58" s="1"/>
  <c r="AW63" i="44"/>
  <c r="I33" i="55" s="1"/>
  <c r="Z63" i="44"/>
  <c r="F33" i="54" s="1"/>
  <c r="Z87" i="44"/>
  <c r="F33" i="58" s="1"/>
  <c r="AT63" i="44"/>
  <c r="F33" i="55" s="1"/>
  <c r="K18" i="44"/>
  <c r="J36" i="51" s="1"/>
  <c r="K41" i="44"/>
  <c r="AA87" i="47"/>
  <c r="G73" i="58" s="1"/>
  <c r="AU63" i="47"/>
  <c r="G73" i="55" s="1"/>
  <c r="H88" i="47"/>
  <c r="G74" i="57" s="1"/>
  <c r="AA64" i="47"/>
  <c r="G74" i="54" s="1"/>
  <c r="H64" i="47"/>
  <c r="G74" i="56" s="1"/>
  <c r="G18" i="47"/>
  <c r="F76" i="51" s="1"/>
  <c r="G41" i="47"/>
  <c r="F75" i="53" s="1"/>
  <c r="Q87" i="44"/>
  <c r="P33" i="57" s="1"/>
  <c r="AJ62" i="44"/>
  <c r="CA40" i="47"/>
  <c r="K88" i="47"/>
  <c r="J74" i="57" s="1"/>
  <c r="D88" i="46"/>
  <c r="C54" i="57" s="1"/>
  <c r="Q40" i="46"/>
  <c r="D64" i="46"/>
  <c r="C54" i="56" s="1"/>
  <c r="O63" i="43"/>
  <c r="AH87" i="43" s="1"/>
  <c r="O87" i="43"/>
  <c r="X87" i="47"/>
  <c r="D73" i="58" s="1"/>
  <c r="X63" i="47"/>
  <c r="D73" i="54" s="1"/>
  <c r="AR63" i="47"/>
  <c r="D73" i="55" s="1"/>
  <c r="AA87" i="44"/>
  <c r="G33" i="58" s="1"/>
  <c r="AU63" i="44"/>
  <c r="G33" i="55" s="1"/>
  <c r="AJ86" i="47"/>
  <c r="P72" i="58" s="1"/>
  <c r="AF63" i="44"/>
  <c r="L33" i="54" s="1"/>
  <c r="AF87" i="44"/>
  <c r="L33" i="58" s="1"/>
  <c r="AZ63" i="44"/>
  <c r="L33" i="55" s="1"/>
  <c r="AB39" i="46"/>
  <c r="G88" i="47"/>
  <c r="F74" i="57" s="1"/>
  <c r="G64" i="47"/>
  <c r="F74" i="56" s="1"/>
  <c r="AC39" i="44"/>
  <c r="AE39" i="44"/>
  <c r="AG39" i="44"/>
  <c r="BS68" i="44"/>
  <c r="BS69" i="44"/>
  <c r="AH39" i="44"/>
  <c r="Y63" i="44"/>
  <c r="E33" i="54" s="1"/>
  <c r="Y87" i="44"/>
  <c r="E33" i="58" s="1"/>
  <c r="AS63" i="44"/>
  <c r="E33" i="55" s="1"/>
  <c r="D88" i="44"/>
  <c r="C34" i="57" s="1"/>
  <c r="Q40" i="44"/>
  <c r="AD87" i="47"/>
  <c r="J73" i="58" s="1"/>
  <c r="AD63" i="47"/>
  <c r="J73" i="54" s="1"/>
  <c r="AX63" i="47"/>
  <c r="J73" i="55" s="1"/>
  <c r="AF87" i="46"/>
  <c r="L53" i="58" s="1"/>
  <c r="AF63" i="46"/>
  <c r="L53" i="54" s="1"/>
  <c r="AZ63" i="46"/>
  <c r="P61" i="47"/>
  <c r="AI37" i="47"/>
  <c r="K41" i="47"/>
  <c r="K18" i="47"/>
  <c r="J76" i="51" s="1"/>
  <c r="X87" i="44"/>
  <c r="D33" i="58" s="1"/>
  <c r="X63" i="44"/>
  <c r="D33" i="54" s="1"/>
  <c r="AR63" i="44"/>
  <c r="D33" i="55" s="1"/>
  <c r="Q17" i="46"/>
  <c r="D18" i="46"/>
  <c r="C56" i="51" s="1"/>
  <c r="BR41" i="46"/>
  <c r="BU65" i="46" s="1"/>
  <c r="D41" i="46"/>
  <c r="C55" i="53" s="1"/>
  <c r="H41" i="46"/>
  <c r="H18" i="46"/>
  <c r="G56" i="51" s="1"/>
  <c r="BW41" i="46"/>
  <c r="BU67" i="46" s="1"/>
  <c r="G88" i="44"/>
  <c r="F34" i="57" s="1"/>
  <c r="AI14" i="47"/>
  <c r="O72" i="59" s="1"/>
  <c r="P38" i="47"/>
  <c r="O72" i="53" s="1"/>
  <c r="BU38" i="47"/>
  <c r="BR66" i="47" s="1"/>
  <c r="BO38" i="47"/>
  <c r="BR64" i="47" s="1"/>
  <c r="J88" i="47"/>
  <c r="I74" i="57" s="1"/>
  <c r="J64" i="47"/>
  <c r="I74" i="56" s="1"/>
  <c r="Y87" i="46"/>
  <c r="E53" i="58" s="1"/>
  <c r="Y63" i="46"/>
  <c r="E53" i="54" s="1"/>
  <c r="AS63" i="46"/>
  <c r="AB87" i="46"/>
  <c r="H53" i="58" s="1"/>
  <c r="AB63" i="46"/>
  <c r="H53" i="54" s="1"/>
  <c r="AV63" i="46"/>
  <c r="BR59" i="47"/>
  <c r="AU38" i="47"/>
  <c r="W87" i="44"/>
  <c r="C33" i="58" s="1"/>
  <c r="AQ63" i="44"/>
  <c r="C33" i="55" s="1"/>
  <c r="Q17" i="44"/>
  <c r="D18" i="44"/>
  <c r="C36" i="51" s="1"/>
  <c r="D41" i="44"/>
  <c r="BR41" i="44"/>
  <c r="BU65" i="44" s="1"/>
  <c r="AJ13" i="47"/>
  <c r="P71" i="59" s="1"/>
  <c r="AC39" i="46"/>
  <c r="H88" i="46"/>
  <c r="G54" i="57" s="1"/>
  <c r="AA64" i="46"/>
  <c r="G54" i="54" s="1"/>
  <c r="G41" i="44"/>
  <c r="G18" i="44"/>
  <c r="F36" i="51" s="1"/>
  <c r="H41" i="44"/>
  <c r="H18" i="44"/>
  <c r="G36" i="51" s="1"/>
  <c r="BW41" i="44"/>
  <c r="BU67" i="44" s="1"/>
  <c r="J18" i="47"/>
  <c r="I76" i="51" s="1"/>
  <c r="J41" i="47"/>
  <c r="I75" i="53" s="1"/>
  <c r="AJ86" i="46"/>
  <c r="P52" i="58" s="1"/>
  <c r="I18" i="47"/>
  <c r="H76" i="51" s="1"/>
  <c r="I41" i="47"/>
  <c r="H75" i="53" s="1"/>
  <c r="W39" i="46"/>
  <c r="AR39" i="46"/>
  <c r="BS60" i="46" s="1"/>
  <c r="J18" i="46"/>
  <c r="I56" i="51" s="1"/>
  <c r="J41" i="46"/>
  <c r="I55" i="53" s="1"/>
  <c r="AT39" i="46"/>
  <c r="BS62" i="46" s="1"/>
  <c r="W39" i="47"/>
  <c r="AH39" i="47"/>
  <c r="AG39" i="47"/>
  <c r="AE39" i="47"/>
  <c r="BS69" i="47"/>
  <c r="BS68" i="47"/>
  <c r="L47" i="47"/>
  <c r="BX47" i="47"/>
  <c r="N47" i="47"/>
  <c r="O47" i="47"/>
  <c r="N81" i="53" s="1"/>
  <c r="L94" i="47"/>
  <c r="K80" i="57" s="1"/>
  <c r="N94" i="47"/>
  <c r="M80" i="57" s="1"/>
  <c r="O94" i="47"/>
  <c r="N80" i="57" s="1"/>
  <c r="N20" i="57" s="1"/>
  <c r="O70" i="47"/>
  <c r="N80" i="56" s="1"/>
  <c r="N20" i="56" s="1"/>
  <c r="AG93" i="47"/>
  <c r="M79" i="58" s="1"/>
  <c r="AG69" i="47"/>
  <c r="BA69" i="47"/>
  <c r="M79" i="55" s="1"/>
  <c r="AH93" i="47"/>
  <c r="N79" i="58" s="1"/>
  <c r="N19" i="58" s="1"/>
  <c r="AH69" i="47"/>
  <c r="BB69" i="47"/>
  <c r="N79" i="55" s="1"/>
  <c r="AP46" i="47"/>
  <c r="AZ45" i="47"/>
  <c r="AW45" i="47"/>
  <c r="AX45" i="47"/>
  <c r="AE93" i="47"/>
  <c r="K79" i="58" s="1"/>
  <c r="AE69" i="47"/>
  <c r="AY69" i="47"/>
  <c r="K79" i="55" s="1"/>
  <c r="BA44" i="47"/>
  <c r="B71" i="46"/>
  <c r="B47" i="46"/>
  <c r="A61" i="53" s="1"/>
  <c r="U23" i="46"/>
  <c r="AO23" i="46" s="1"/>
  <c r="AG93" i="46"/>
  <c r="M59" i="58" s="1"/>
  <c r="AG69" i="46"/>
  <c r="BA69" i="46"/>
  <c r="BA44" i="46"/>
  <c r="C95" i="46"/>
  <c r="B61" i="57" s="1"/>
  <c r="V47" i="46"/>
  <c r="V95" i="46" s="1"/>
  <c r="B61" i="58" s="1"/>
  <c r="AW45" i="46"/>
  <c r="AP46" i="46"/>
  <c r="AX45" i="46"/>
  <c r="AZ45" i="46"/>
  <c r="BQ45" i="46"/>
  <c r="BT45" i="46"/>
  <c r="O95" i="46"/>
  <c r="N61" i="57" s="1"/>
  <c r="O71" i="46"/>
  <c r="N61" i="56" s="1"/>
  <c r="BL47" i="46"/>
  <c r="BN47" i="46" s="1"/>
  <c r="BN46" i="46"/>
  <c r="AH94" i="46"/>
  <c r="N60" i="58" s="1"/>
  <c r="AH70" i="46"/>
  <c r="BB70" i="46"/>
  <c r="AE94" i="46"/>
  <c r="K60" i="58" s="1"/>
  <c r="AE70" i="46"/>
  <c r="AY70" i="46"/>
  <c r="N47" i="46"/>
  <c r="BX47" i="46"/>
  <c r="L95" i="46"/>
  <c r="K61" i="57" s="1"/>
  <c r="B94" i="46"/>
  <c r="A60" i="57" s="1"/>
  <c r="U46" i="46"/>
  <c r="U94" i="46" s="1"/>
  <c r="A60" i="58" s="1"/>
  <c r="N94" i="46"/>
  <c r="M60" i="57" s="1"/>
  <c r="L94" i="44"/>
  <c r="K40" i="57" s="1"/>
  <c r="BL47" i="44"/>
  <c r="BN46" i="44"/>
  <c r="AE93" i="44"/>
  <c r="K39" i="58" s="1"/>
  <c r="AE69" i="44"/>
  <c r="K39" i="54" s="1"/>
  <c r="AY69" i="44"/>
  <c r="K39" i="55" s="1"/>
  <c r="BT45" i="44"/>
  <c r="BQ45" i="44"/>
  <c r="AH94" i="44"/>
  <c r="N40" i="58" s="1"/>
  <c r="AH70" i="44"/>
  <c r="N40" i="54" s="1"/>
  <c r="BB70" i="44"/>
  <c r="N40" i="55" s="1"/>
  <c r="O95" i="44"/>
  <c r="N41" i="57" s="1"/>
  <c r="AZ47" i="44"/>
  <c r="AW47" i="44"/>
  <c r="AX47" i="44"/>
  <c r="L47" i="44"/>
  <c r="BW39" i="43"/>
  <c r="BS67" i="43" s="1"/>
  <c r="AD86" i="43"/>
  <c r="CA38" i="43"/>
  <c r="BC52" i="43"/>
  <c r="BD52" i="43" s="1"/>
  <c r="BA37" i="43"/>
  <c r="BA62" i="43"/>
  <c r="AA62" i="43"/>
  <c r="O17" i="43"/>
  <c r="O40" i="43"/>
  <c r="G16" i="43"/>
  <c r="G39" i="43"/>
  <c r="F16" i="43"/>
  <c r="F39" i="43"/>
  <c r="I16" i="43"/>
  <c r="I39" i="43"/>
  <c r="N17" i="43"/>
  <c r="N40" i="43"/>
  <c r="N64" i="43" s="1"/>
  <c r="L17" i="43"/>
  <c r="L40" i="43"/>
  <c r="L64" i="43" s="1"/>
  <c r="J16" i="43"/>
  <c r="J39" i="43"/>
  <c r="M16" i="43"/>
  <c r="M39" i="43"/>
  <c r="H16" i="43"/>
  <c r="H39" i="43"/>
  <c r="BQ43" i="43"/>
  <c r="BT43" i="43"/>
  <c r="K16" i="43"/>
  <c r="K39" i="43"/>
  <c r="K63" i="43" s="1"/>
  <c r="E16" i="43"/>
  <c r="E39" i="43"/>
  <c r="AE62" i="43"/>
  <c r="AY62" i="43"/>
  <c r="AH62" i="43"/>
  <c r="BB62" i="43"/>
  <c r="AF61" i="43"/>
  <c r="AZ61" i="43"/>
  <c r="AD61" i="43"/>
  <c r="AX61" i="43"/>
  <c r="Y61" i="43"/>
  <c r="AS61" i="43"/>
  <c r="AC61" i="43"/>
  <c r="AW61" i="43"/>
  <c r="AB61" i="43"/>
  <c r="AV61" i="43"/>
  <c r="Z61" i="43"/>
  <c r="AT61" i="43"/>
  <c r="AU61" i="43"/>
  <c r="X61" i="43"/>
  <c r="AR61" i="43"/>
  <c r="BA15" i="43"/>
  <c r="AY15" i="43"/>
  <c r="AU14" i="43"/>
  <c r="AX15" i="43"/>
  <c r="AZ15" i="43"/>
  <c r="BL45" i="43"/>
  <c r="BM45" i="43" s="1"/>
  <c r="BN44" i="43"/>
  <c r="AX46" i="43"/>
  <c r="AP47" i="43"/>
  <c r="AW47" i="43" s="1"/>
  <c r="AZ46" i="43"/>
  <c r="P11" i="59" l="1"/>
  <c r="P14" i="51"/>
  <c r="J12" i="60"/>
  <c r="D12" i="60"/>
  <c r="L12" i="60"/>
  <c r="H12" i="60"/>
  <c r="AJ14" i="44"/>
  <c r="O32" i="59"/>
  <c r="P35" i="51"/>
  <c r="P35" i="59"/>
  <c r="P55" i="51"/>
  <c r="AJ14" i="46"/>
  <c r="P52" i="59" s="1"/>
  <c r="O52" i="59"/>
  <c r="AJ21" i="48"/>
  <c r="P99" i="59" s="1"/>
  <c r="O99" i="59"/>
  <c r="P75" i="51"/>
  <c r="AA95" i="48"/>
  <c r="G101" i="58" s="1"/>
  <c r="BP55" i="44"/>
  <c r="AR71" i="50"/>
  <c r="D141" i="55" s="1"/>
  <c r="X95" i="50"/>
  <c r="D141" i="58" s="1"/>
  <c r="Z95" i="49"/>
  <c r="F121" i="58" s="1"/>
  <c r="AT71" i="49"/>
  <c r="F121" i="55" s="1"/>
  <c r="Z71" i="49"/>
  <c r="F121" i="54" s="1"/>
  <c r="AV71" i="48"/>
  <c r="H101" i="55" s="1"/>
  <c r="AB95" i="48"/>
  <c r="H101" i="58" s="1"/>
  <c r="AU71" i="48"/>
  <c r="G101" i="55" s="1"/>
  <c r="AB71" i="48"/>
  <c r="H101" i="54" s="1"/>
  <c r="AQ71" i="48"/>
  <c r="C101" i="55" s="1"/>
  <c r="W71" i="48"/>
  <c r="C101" i="54" s="1"/>
  <c r="W95" i="48"/>
  <c r="C101" i="58" s="1"/>
  <c r="AW71" i="48"/>
  <c r="I101" i="55" s="1"/>
  <c r="AC71" i="48"/>
  <c r="I101" i="54" s="1"/>
  <c r="AC95" i="48"/>
  <c r="I101" i="58" s="1"/>
  <c r="AR47" i="48"/>
  <c r="CA60" i="48" s="1"/>
  <c r="BJ23" i="48"/>
  <c r="BK23" i="48" s="1"/>
  <c r="BL23" i="48" s="1"/>
  <c r="P23" i="48" s="1"/>
  <c r="O101" i="51" s="1"/>
  <c r="AE47" i="48"/>
  <c r="AS47" i="48"/>
  <c r="CA61" i="48" s="1"/>
  <c r="AG47" i="48"/>
  <c r="AD47" i="48"/>
  <c r="AA47" i="48"/>
  <c r="AB47" i="48"/>
  <c r="AH47" i="48"/>
  <c r="AC47" i="48"/>
  <c r="CA68" i="48"/>
  <c r="X47" i="48"/>
  <c r="Q71" i="48"/>
  <c r="P101" i="56" s="1"/>
  <c r="AQ47" i="48"/>
  <c r="CA59" i="48" s="1"/>
  <c r="BO55" i="47"/>
  <c r="BO63" i="47"/>
  <c r="M20" i="56"/>
  <c r="K19" i="58"/>
  <c r="M20" i="53"/>
  <c r="I13" i="58"/>
  <c r="J21" i="52"/>
  <c r="BA71" i="44"/>
  <c r="M41" i="55" s="1"/>
  <c r="AG71" i="44"/>
  <c r="M41" i="54" s="1"/>
  <c r="AG95" i="44"/>
  <c r="M41" i="58" s="1"/>
  <c r="AC71" i="50"/>
  <c r="I141" i="54" s="1"/>
  <c r="AW71" i="50"/>
  <c r="I141" i="55" s="1"/>
  <c r="F16" i="51"/>
  <c r="AX71" i="50"/>
  <c r="J141" i="55" s="1"/>
  <c r="AD71" i="50"/>
  <c r="J141" i="54" s="1"/>
  <c r="AS71" i="49"/>
  <c r="E121" i="55" s="1"/>
  <c r="AD95" i="50"/>
  <c r="J141" i="58" s="1"/>
  <c r="Y71" i="49"/>
  <c r="E121" i="54" s="1"/>
  <c r="Y95" i="49"/>
  <c r="E121" i="58" s="1"/>
  <c r="H63" i="43"/>
  <c r="AA87" i="43" s="1"/>
  <c r="BM47" i="44"/>
  <c r="BN47" i="44" s="1"/>
  <c r="BH23" i="46"/>
  <c r="A61" i="52"/>
  <c r="U71" i="46"/>
  <c r="AO71" i="46" s="1"/>
  <c r="A61" i="56"/>
  <c r="B61" i="55"/>
  <c r="B61" i="54"/>
  <c r="AO71" i="44"/>
  <c r="A41" i="55" s="1"/>
  <c r="A41" i="54"/>
  <c r="A60" i="55"/>
  <c r="A60" i="54"/>
  <c r="AP71" i="44"/>
  <c r="B41" i="55" s="1"/>
  <c r="B41" i="54"/>
  <c r="BP63" i="44"/>
  <c r="Y47" i="48"/>
  <c r="AT47" i="48"/>
  <c r="CA62" i="48" s="1"/>
  <c r="W47" i="48"/>
  <c r="Z47" i="48"/>
  <c r="CA69" i="48"/>
  <c r="AC95" i="50"/>
  <c r="I141" i="58" s="1"/>
  <c r="X71" i="50"/>
  <c r="D141" i="54" s="1"/>
  <c r="AF47" i="48"/>
  <c r="BV55" i="49"/>
  <c r="P13" i="57"/>
  <c r="G16" i="51"/>
  <c r="C16" i="51"/>
  <c r="C14" i="57"/>
  <c r="X47" i="49"/>
  <c r="K20" i="57"/>
  <c r="AB47" i="49"/>
  <c r="BW63" i="49"/>
  <c r="BW55" i="49"/>
  <c r="K19" i="55"/>
  <c r="N19" i="54"/>
  <c r="N19" i="55"/>
  <c r="AD95" i="49"/>
  <c r="J121" i="58" s="1"/>
  <c r="AD71" i="49"/>
  <c r="J121" i="54" s="1"/>
  <c r="AX71" i="49"/>
  <c r="J121" i="55" s="1"/>
  <c r="W64" i="44"/>
  <c r="C34" i="54" s="1"/>
  <c r="K41" i="53"/>
  <c r="L71" i="44"/>
  <c r="K41" i="56" s="1"/>
  <c r="N71" i="46"/>
  <c r="M61" i="56" s="1"/>
  <c r="M61" i="53"/>
  <c r="K20" i="53"/>
  <c r="K19" i="54"/>
  <c r="M20" i="57"/>
  <c r="K60" i="55"/>
  <c r="N21" i="53"/>
  <c r="M19" i="54"/>
  <c r="M59" i="55"/>
  <c r="M19" i="55" s="1"/>
  <c r="M81" i="53"/>
  <c r="N71" i="47"/>
  <c r="M81" i="56" s="1"/>
  <c r="N60" i="55"/>
  <c r="M19" i="58"/>
  <c r="K81" i="53"/>
  <c r="L71" i="47"/>
  <c r="K81" i="56" s="1"/>
  <c r="K20" i="56"/>
  <c r="O12" i="51"/>
  <c r="H14" i="57"/>
  <c r="Q95" i="48"/>
  <c r="P101" i="57" s="1"/>
  <c r="AJ46" i="50"/>
  <c r="F13" i="58"/>
  <c r="C13" i="58"/>
  <c r="BW63" i="50"/>
  <c r="BW55" i="50"/>
  <c r="J14" i="56"/>
  <c r="L13" i="58"/>
  <c r="G14" i="57"/>
  <c r="BD68" i="48"/>
  <c r="BX55" i="48" s="1"/>
  <c r="O98" i="55"/>
  <c r="H65" i="44"/>
  <c r="G35" i="56" s="1"/>
  <c r="G35" i="53"/>
  <c r="D65" i="44"/>
  <c r="C35" i="56" s="1"/>
  <c r="C35" i="53"/>
  <c r="C15" i="53" s="1"/>
  <c r="AC40" i="44"/>
  <c r="P34" i="53"/>
  <c r="AK62" i="44"/>
  <c r="BR58" i="44" s="1"/>
  <c r="P32" i="54"/>
  <c r="F65" i="44"/>
  <c r="E35" i="56" s="1"/>
  <c r="E35" i="53"/>
  <c r="E15" i="53" s="1"/>
  <c r="J14" i="57"/>
  <c r="F53" i="55"/>
  <c r="F13" i="55" s="1"/>
  <c r="F13" i="54"/>
  <c r="I14" i="57"/>
  <c r="C13" i="54"/>
  <c r="C53" i="55"/>
  <c r="C13" i="55" s="1"/>
  <c r="BD61" i="46"/>
  <c r="BQ55" i="46" s="1"/>
  <c r="O51" i="55"/>
  <c r="O11" i="54"/>
  <c r="AK69" i="49"/>
  <c r="BY58" i="49" s="1"/>
  <c r="P119" i="54"/>
  <c r="K65" i="47"/>
  <c r="J75" i="56" s="1"/>
  <c r="J75" i="53"/>
  <c r="P39" i="47"/>
  <c r="O73" i="53" s="1"/>
  <c r="O73" i="51"/>
  <c r="P85" i="47"/>
  <c r="O71" i="57" s="1"/>
  <c r="O11" i="57" s="1"/>
  <c r="O71" i="56"/>
  <c r="O11" i="56" s="1"/>
  <c r="K65" i="44"/>
  <c r="J35" i="56" s="1"/>
  <c r="J35" i="53"/>
  <c r="E16" i="51"/>
  <c r="J13" i="58"/>
  <c r="P39" i="46"/>
  <c r="O53" i="53" s="1"/>
  <c r="O53" i="51"/>
  <c r="BO39" i="44"/>
  <c r="BS64" i="44" s="1"/>
  <c r="O33" i="51"/>
  <c r="AK69" i="48"/>
  <c r="BY58" i="48" s="1"/>
  <c r="P99" i="54"/>
  <c r="AK69" i="50"/>
  <c r="BY58" i="50" s="1"/>
  <c r="P139" i="54"/>
  <c r="D101" i="56"/>
  <c r="AR71" i="48"/>
  <c r="D101" i="55" s="1"/>
  <c r="X71" i="48"/>
  <c r="D101" i="54" s="1"/>
  <c r="X95" i="48"/>
  <c r="D101" i="58" s="1"/>
  <c r="H14" i="56"/>
  <c r="D14" i="56"/>
  <c r="H53" i="55"/>
  <c r="H13" i="55" s="1"/>
  <c r="H13" i="54"/>
  <c r="BW55" i="48"/>
  <c r="P97" i="55"/>
  <c r="G65" i="44"/>
  <c r="F35" i="56" s="1"/>
  <c r="F35" i="53"/>
  <c r="F15" i="53" s="1"/>
  <c r="E53" i="55"/>
  <c r="E13" i="55" s="1"/>
  <c r="E13" i="54"/>
  <c r="L53" i="55"/>
  <c r="L13" i="55" s="1"/>
  <c r="L13" i="54"/>
  <c r="J16" i="51"/>
  <c r="P12" i="58"/>
  <c r="J53" i="55"/>
  <c r="J13" i="55" s="1"/>
  <c r="J13" i="54"/>
  <c r="E14" i="57"/>
  <c r="D14" i="57"/>
  <c r="G53" i="55"/>
  <c r="G13" i="55" s="1"/>
  <c r="G13" i="54"/>
  <c r="BV63" i="49"/>
  <c r="BP55" i="46"/>
  <c r="P50" i="55"/>
  <c r="P50" i="54"/>
  <c r="P10" i="54" s="1"/>
  <c r="BD60" i="47"/>
  <c r="BP63" i="47" s="1"/>
  <c r="O70" i="55"/>
  <c r="O10" i="55" s="1"/>
  <c r="AQ47" i="50"/>
  <c r="CA59" i="50" s="1"/>
  <c r="P141" i="53"/>
  <c r="F14" i="57"/>
  <c r="E13" i="58"/>
  <c r="L14" i="57"/>
  <c r="D16" i="51"/>
  <c r="AI38" i="46"/>
  <c r="O52" i="53"/>
  <c r="J101" i="56"/>
  <c r="AD71" i="48"/>
  <c r="J101" i="54" s="1"/>
  <c r="AX71" i="48"/>
  <c r="J101" i="55" s="1"/>
  <c r="AD95" i="48"/>
  <c r="J101" i="58" s="1"/>
  <c r="C14" i="56"/>
  <c r="G14" i="53"/>
  <c r="W40" i="47"/>
  <c r="P74" i="53"/>
  <c r="BU46" i="48"/>
  <c r="BZ66" i="48" s="1"/>
  <c r="O100" i="51"/>
  <c r="AC40" i="46"/>
  <c r="P54" i="53"/>
  <c r="H16" i="51"/>
  <c r="L16" i="51"/>
  <c r="E65" i="44"/>
  <c r="D35" i="56" s="1"/>
  <c r="D35" i="53"/>
  <c r="D15" i="53" s="1"/>
  <c r="AK62" i="47"/>
  <c r="BR58" i="47" s="1"/>
  <c r="P72" i="54"/>
  <c r="P93" i="48"/>
  <c r="O99" i="57" s="1"/>
  <c r="O99" i="53"/>
  <c r="O9" i="55"/>
  <c r="F14" i="56"/>
  <c r="L14" i="56"/>
  <c r="G14" i="56"/>
  <c r="D13" i="58"/>
  <c r="G13" i="58"/>
  <c r="I65" i="44"/>
  <c r="H35" i="56" s="1"/>
  <c r="H35" i="53"/>
  <c r="H15" i="53" s="1"/>
  <c r="D53" i="55"/>
  <c r="D13" i="55" s="1"/>
  <c r="D13" i="54"/>
  <c r="M65" i="44"/>
  <c r="L35" i="56" s="1"/>
  <c r="L35" i="53"/>
  <c r="L15" i="53" s="1"/>
  <c r="K65" i="46"/>
  <c r="J55" i="56" s="1"/>
  <c r="J55" i="53"/>
  <c r="H13" i="58"/>
  <c r="Z47" i="50"/>
  <c r="BV63" i="48"/>
  <c r="P96" i="55"/>
  <c r="E14" i="56"/>
  <c r="BO63" i="44"/>
  <c r="P29" i="55"/>
  <c r="P9" i="55" s="1"/>
  <c r="P13" i="56"/>
  <c r="J65" i="44"/>
  <c r="I35" i="56" s="1"/>
  <c r="I35" i="53"/>
  <c r="I15" i="53" s="1"/>
  <c r="H65" i="46"/>
  <c r="G55" i="56" s="1"/>
  <c r="G55" i="53"/>
  <c r="I16" i="51"/>
  <c r="I53" i="55"/>
  <c r="I13" i="55" s="1"/>
  <c r="I13" i="54"/>
  <c r="P86" i="44"/>
  <c r="O32" i="57" s="1"/>
  <c r="O32" i="53"/>
  <c r="Q64" i="44"/>
  <c r="P34" i="56" s="1"/>
  <c r="J14" i="53"/>
  <c r="P13" i="53"/>
  <c r="I14" i="56"/>
  <c r="AS47" i="50"/>
  <c r="CA61" i="50" s="1"/>
  <c r="AJ46" i="49"/>
  <c r="AF47" i="50"/>
  <c r="Y47" i="50"/>
  <c r="AB47" i="50"/>
  <c r="AA47" i="50"/>
  <c r="W47" i="50"/>
  <c r="AA95" i="50"/>
  <c r="G141" i="58" s="1"/>
  <c r="AU71" i="50"/>
  <c r="G141" i="55" s="1"/>
  <c r="AI45" i="49"/>
  <c r="P93" i="49"/>
  <c r="O119" i="57" s="1"/>
  <c r="AQ47" i="49"/>
  <c r="AR47" i="49"/>
  <c r="CA60" i="49" s="1"/>
  <c r="AG47" i="49"/>
  <c r="CA69" i="49"/>
  <c r="BJ23" i="49"/>
  <c r="BK23" i="49" s="1"/>
  <c r="BL23" i="49" s="1"/>
  <c r="P23" i="49" s="1"/>
  <c r="O121" i="51" s="1"/>
  <c r="Z47" i="49"/>
  <c r="AH47" i="49"/>
  <c r="AE47" i="49"/>
  <c r="AS47" i="49"/>
  <c r="CA61" i="49" s="1"/>
  <c r="CA68" i="49"/>
  <c r="AD47" i="49"/>
  <c r="Y47" i="49"/>
  <c r="AT47" i="49"/>
  <c r="CA62" i="49" s="1"/>
  <c r="X95" i="49"/>
  <c r="D121" i="58" s="1"/>
  <c r="X71" i="49"/>
  <c r="D121" i="54" s="1"/>
  <c r="AR71" i="49"/>
  <c r="D121" i="55" s="1"/>
  <c r="AI45" i="50"/>
  <c r="P93" i="50"/>
  <c r="O139" i="57" s="1"/>
  <c r="AA47" i="49"/>
  <c r="AF47" i="49"/>
  <c r="BC68" i="49"/>
  <c r="P46" i="49"/>
  <c r="O120" i="53" s="1"/>
  <c r="AI22" i="49"/>
  <c r="O120" i="59" s="1"/>
  <c r="BO46" i="49"/>
  <c r="BZ64" i="49" s="1"/>
  <c r="BU46" i="49"/>
  <c r="BZ66" i="49" s="1"/>
  <c r="AB95" i="50"/>
  <c r="H141" i="58" s="1"/>
  <c r="AB71" i="50"/>
  <c r="H141" i="54" s="1"/>
  <c r="AV71" i="50"/>
  <c r="H141" i="55" s="1"/>
  <c r="BZ59" i="49"/>
  <c r="AU46" i="49"/>
  <c r="AB95" i="49"/>
  <c r="H121" i="58" s="1"/>
  <c r="AB71" i="49"/>
  <c r="H121" i="54" s="1"/>
  <c r="AV71" i="49"/>
  <c r="H121" i="55" s="1"/>
  <c r="AJ70" i="49"/>
  <c r="AC47" i="50"/>
  <c r="AD47" i="50"/>
  <c r="CA69" i="50"/>
  <c r="CA68" i="50"/>
  <c r="AT47" i="50"/>
  <c r="CA62" i="50" s="1"/>
  <c r="X47" i="50"/>
  <c r="BJ23" i="50"/>
  <c r="BK23" i="50" s="1"/>
  <c r="BL23" i="50" s="1"/>
  <c r="P23" i="50" s="1"/>
  <c r="O141" i="51" s="1"/>
  <c r="AR47" i="50"/>
  <c r="CA60" i="50" s="1"/>
  <c r="AG47" i="50"/>
  <c r="AE47" i="50"/>
  <c r="AH47" i="50"/>
  <c r="AF71" i="49"/>
  <c r="L121" i="54" s="1"/>
  <c r="AF95" i="49"/>
  <c r="L121" i="58" s="1"/>
  <c r="AZ71" i="49"/>
  <c r="L121" i="55" s="1"/>
  <c r="AA95" i="49"/>
  <c r="G121" i="58" s="1"/>
  <c r="AU71" i="49"/>
  <c r="G121" i="55" s="1"/>
  <c r="AF71" i="50"/>
  <c r="L141" i="54" s="1"/>
  <c r="AF95" i="50"/>
  <c r="L141" i="58" s="1"/>
  <c r="AZ71" i="50"/>
  <c r="L141" i="55" s="1"/>
  <c r="BO46" i="50"/>
  <c r="BZ64" i="50" s="1"/>
  <c r="P46" i="50"/>
  <c r="O140" i="53" s="1"/>
  <c r="BU46" i="50"/>
  <c r="BZ66" i="50" s="1"/>
  <c r="AI22" i="50"/>
  <c r="O140" i="59" s="1"/>
  <c r="BC68" i="50"/>
  <c r="Q95" i="50"/>
  <c r="P141" i="57" s="1"/>
  <c r="AC47" i="49"/>
  <c r="Y95" i="50"/>
  <c r="E141" i="58" s="1"/>
  <c r="Y71" i="50"/>
  <c r="E141" i="54" s="1"/>
  <c r="AS71" i="50"/>
  <c r="E141" i="55" s="1"/>
  <c r="W95" i="50"/>
  <c r="C141" i="58" s="1"/>
  <c r="W71" i="50"/>
  <c r="C141" i="54" s="1"/>
  <c r="Q71" i="50"/>
  <c r="P141" i="56" s="1"/>
  <c r="AQ71" i="50"/>
  <c r="C141" i="55" s="1"/>
  <c r="W47" i="49"/>
  <c r="AJ21" i="50"/>
  <c r="P139" i="59" s="1"/>
  <c r="BC69" i="50"/>
  <c r="AC71" i="49"/>
  <c r="I121" i="54" s="1"/>
  <c r="AC95" i="49"/>
  <c r="I121" i="58" s="1"/>
  <c r="AW71" i="49"/>
  <c r="I121" i="55" s="1"/>
  <c r="AJ70" i="50"/>
  <c r="W95" i="49"/>
  <c r="C121" i="58" s="1"/>
  <c r="Q71" i="49"/>
  <c r="P121" i="56" s="1"/>
  <c r="AQ71" i="49"/>
  <c r="C121" i="55" s="1"/>
  <c r="W71" i="49"/>
  <c r="C121" i="54" s="1"/>
  <c r="AU46" i="50"/>
  <c r="Z95" i="50"/>
  <c r="F141" i="58" s="1"/>
  <c r="Z71" i="50"/>
  <c r="F141" i="54" s="1"/>
  <c r="AT71" i="50"/>
  <c r="F141" i="55" s="1"/>
  <c r="AJ94" i="50"/>
  <c r="P140" i="58" s="1"/>
  <c r="AJ94" i="49"/>
  <c r="P120" i="58" s="1"/>
  <c r="AJ21" i="49"/>
  <c r="P119" i="59" s="1"/>
  <c r="BC69" i="49"/>
  <c r="Q95" i="49"/>
  <c r="P121" i="57" s="1"/>
  <c r="AV15" i="43"/>
  <c r="AW15" i="43"/>
  <c r="J87" i="43"/>
  <c r="BD14" i="43"/>
  <c r="K87" i="43"/>
  <c r="BA16" i="43"/>
  <c r="O88" i="43"/>
  <c r="BX41" i="43"/>
  <c r="H87" i="43"/>
  <c r="AI45" i="48"/>
  <c r="AU46" i="48"/>
  <c r="AJ94" i="48"/>
  <c r="P100" i="58" s="1"/>
  <c r="BO46" i="48"/>
  <c r="BZ64" i="48" s="1"/>
  <c r="AI22" i="48"/>
  <c r="AJ70" i="48"/>
  <c r="AJ46" i="48"/>
  <c r="P46" i="48"/>
  <c r="BZ60" i="48"/>
  <c r="BA47" i="48"/>
  <c r="BC69" i="48"/>
  <c r="AD40" i="47"/>
  <c r="AA40" i="47"/>
  <c r="BU39" i="47"/>
  <c r="BS66" i="47" s="1"/>
  <c r="P86" i="46"/>
  <c r="O52" i="57" s="1"/>
  <c r="BC61" i="47"/>
  <c r="BO39" i="47"/>
  <c r="BS64" i="47" s="1"/>
  <c r="AI38" i="44"/>
  <c r="P39" i="44"/>
  <c r="AT40" i="47"/>
  <c r="BT62" i="47" s="1"/>
  <c r="Z40" i="47"/>
  <c r="AS40" i="47"/>
  <c r="BT61" i="47" s="1"/>
  <c r="AF40" i="47"/>
  <c r="AU39" i="44"/>
  <c r="AC40" i="47"/>
  <c r="AI15" i="47"/>
  <c r="BJ16" i="47"/>
  <c r="BK16" i="47" s="1"/>
  <c r="BL16" i="47" s="1"/>
  <c r="P16" i="47" s="1"/>
  <c r="AI15" i="44"/>
  <c r="BU39" i="44"/>
  <c r="BS66" i="44" s="1"/>
  <c r="Y40" i="47"/>
  <c r="Q88" i="47"/>
  <c r="P74" i="57" s="1"/>
  <c r="AJ63" i="44"/>
  <c r="Q88" i="44"/>
  <c r="P34" i="57" s="1"/>
  <c r="Q88" i="46"/>
  <c r="P54" i="57" s="1"/>
  <c r="BU39" i="46"/>
  <c r="BS66" i="46" s="1"/>
  <c r="W40" i="46"/>
  <c r="AT40" i="46"/>
  <c r="BT62" i="46" s="1"/>
  <c r="AB40" i="44"/>
  <c r="BC61" i="44"/>
  <c r="AU39" i="47"/>
  <c r="AJ39" i="47"/>
  <c r="BO39" i="46"/>
  <c r="BS64" i="46" s="1"/>
  <c r="AI15" i="46"/>
  <c r="AA40" i="46"/>
  <c r="AS40" i="44"/>
  <c r="BT61" i="44" s="1"/>
  <c r="AJ39" i="44"/>
  <c r="Z40" i="44"/>
  <c r="W64" i="46"/>
  <c r="C54" i="54" s="1"/>
  <c r="W88" i="46"/>
  <c r="C54" i="58" s="1"/>
  <c r="Q64" i="46"/>
  <c r="P54" i="56" s="1"/>
  <c r="AQ64" i="46"/>
  <c r="J89" i="44"/>
  <c r="I35" i="57" s="1"/>
  <c r="G89" i="46"/>
  <c r="F55" i="57" s="1"/>
  <c r="G65" i="46"/>
  <c r="F55" i="56" s="1"/>
  <c r="D19" i="47"/>
  <c r="C77" i="51" s="1"/>
  <c r="D42" i="47"/>
  <c r="C76" i="53" s="1"/>
  <c r="BR42" i="47"/>
  <c r="BV65" i="47" s="1"/>
  <c r="Q18" i="47"/>
  <c r="E63" i="43"/>
  <c r="X87" i="43" s="1"/>
  <c r="E87" i="43"/>
  <c r="I63" i="43"/>
  <c r="AB87" i="43" s="1"/>
  <c r="I87" i="43"/>
  <c r="J19" i="47"/>
  <c r="I77" i="51" s="1"/>
  <c r="J42" i="47"/>
  <c r="I76" i="53" s="1"/>
  <c r="AJ14" i="47"/>
  <c r="P72" i="59" s="1"/>
  <c r="H89" i="46"/>
  <c r="G55" i="57" s="1"/>
  <c r="AA65" i="46"/>
  <c r="G55" i="54" s="1"/>
  <c r="W88" i="44"/>
  <c r="C34" i="58" s="1"/>
  <c r="AQ64" i="44"/>
  <c r="C34" i="55" s="1"/>
  <c r="AQ40" i="46"/>
  <c r="AA88" i="47"/>
  <c r="G74" i="58" s="1"/>
  <c r="AU64" i="47"/>
  <c r="G74" i="55" s="1"/>
  <c r="K42" i="44"/>
  <c r="K19" i="44"/>
  <c r="J37" i="51" s="1"/>
  <c r="Y64" i="46"/>
  <c r="E54" i="54" s="1"/>
  <c r="Y88" i="46"/>
  <c r="E54" i="58" s="1"/>
  <c r="AS64" i="46"/>
  <c r="J19" i="44"/>
  <c r="I37" i="51" s="1"/>
  <c r="J42" i="44"/>
  <c r="M19" i="46"/>
  <c r="L57" i="51" s="1"/>
  <c r="M42" i="46"/>
  <c r="L56" i="53" s="1"/>
  <c r="F65" i="46"/>
  <c r="E55" i="56" s="1"/>
  <c r="F89" i="46"/>
  <c r="E55" i="57" s="1"/>
  <c r="G19" i="46"/>
  <c r="F57" i="51" s="1"/>
  <c r="G42" i="46"/>
  <c r="F56" i="53" s="1"/>
  <c r="K42" i="46"/>
  <c r="K19" i="46"/>
  <c r="J57" i="51" s="1"/>
  <c r="AT40" i="44"/>
  <c r="BT62" i="44" s="1"/>
  <c r="I42" i="44"/>
  <c r="I19" i="44"/>
  <c r="H37" i="51" s="1"/>
  <c r="K89" i="46"/>
  <c r="J55" i="57" s="1"/>
  <c r="CA41" i="46"/>
  <c r="J65" i="46"/>
  <c r="I55" i="56" s="1"/>
  <c r="J89" i="46"/>
  <c r="I55" i="57" s="1"/>
  <c r="AA88" i="46"/>
  <c r="G54" i="58" s="1"/>
  <c r="AU64" i="46"/>
  <c r="AG40" i="46"/>
  <c r="BT69" i="46"/>
  <c r="BT68" i="46"/>
  <c r="AE40" i="46"/>
  <c r="AH40" i="46"/>
  <c r="F89" i="44"/>
  <c r="E35" i="57" s="1"/>
  <c r="H65" i="47"/>
  <c r="G75" i="56" s="1"/>
  <c r="AA65" i="47"/>
  <c r="G75" i="54" s="1"/>
  <c r="H89" i="47"/>
  <c r="G75" i="57" s="1"/>
  <c r="AB88" i="44"/>
  <c r="H34" i="58" s="1"/>
  <c r="AB64" i="44"/>
  <c r="H34" i="54" s="1"/>
  <c r="AV64" i="44"/>
  <c r="H34" i="55" s="1"/>
  <c r="BJ16" i="44"/>
  <c r="BK16" i="44" s="1"/>
  <c r="BL16" i="44" s="1"/>
  <c r="P16" i="44" s="1"/>
  <c r="O34" i="51" s="1"/>
  <c r="I89" i="44"/>
  <c r="H35" i="57" s="1"/>
  <c r="Y88" i="47"/>
  <c r="E74" i="58" s="1"/>
  <c r="Y64" i="47"/>
  <c r="E74" i="54" s="1"/>
  <c r="AS64" i="47"/>
  <c r="E74" i="55" s="1"/>
  <c r="AH40" i="47"/>
  <c r="AG40" i="47"/>
  <c r="BT68" i="47"/>
  <c r="BT69" i="47"/>
  <c r="AE40" i="47"/>
  <c r="M19" i="44"/>
  <c r="L37" i="51" s="1"/>
  <c r="M42" i="44"/>
  <c r="E42" i="47"/>
  <c r="D76" i="53" s="1"/>
  <c r="E19" i="47"/>
  <c r="D77" i="51" s="1"/>
  <c r="AA88" i="44"/>
  <c r="G34" i="58" s="1"/>
  <c r="AU64" i="44"/>
  <c r="G34" i="55" s="1"/>
  <c r="F63" i="43"/>
  <c r="Y87" i="43" s="1"/>
  <c r="F87" i="43"/>
  <c r="I65" i="47"/>
  <c r="H75" i="56" s="1"/>
  <c r="I89" i="47"/>
  <c r="H75" i="57" s="1"/>
  <c r="Q41" i="44"/>
  <c r="D89" i="44"/>
  <c r="C35" i="57" s="1"/>
  <c r="Z64" i="44"/>
  <c r="F34" i="54" s="1"/>
  <c r="Z88" i="44"/>
  <c r="F34" i="58" s="1"/>
  <c r="AT64" i="44"/>
  <c r="F34" i="55" s="1"/>
  <c r="D65" i="46"/>
  <c r="C55" i="56" s="1"/>
  <c r="Q41" i="46"/>
  <c r="D89" i="46"/>
  <c r="C55" i="57" s="1"/>
  <c r="K42" i="47"/>
  <c r="K19" i="47"/>
  <c r="J77" i="51" s="1"/>
  <c r="F42" i="44"/>
  <c r="F19" i="44"/>
  <c r="E37" i="51" s="1"/>
  <c r="AD40" i="44"/>
  <c r="AR40" i="44"/>
  <c r="BT60" i="44" s="1"/>
  <c r="W88" i="47"/>
  <c r="C74" i="58" s="1"/>
  <c r="Q64" i="47"/>
  <c r="P74" i="56" s="1"/>
  <c r="W64" i="47"/>
  <c r="C74" i="54" s="1"/>
  <c r="AQ64" i="47"/>
  <c r="C74" i="55" s="1"/>
  <c r="M89" i="44"/>
  <c r="L35" i="57" s="1"/>
  <c r="BC62" i="44"/>
  <c r="I65" i="46"/>
  <c r="H55" i="56" s="1"/>
  <c r="I89" i="46"/>
  <c r="H55" i="57" s="1"/>
  <c r="E65" i="47"/>
  <c r="D75" i="56" s="1"/>
  <c r="E89" i="47"/>
  <c r="D75" i="57" s="1"/>
  <c r="AC64" i="46"/>
  <c r="I54" i="54" s="1"/>
  <c r="AC88" i="46"/>
  <c r="I54" i="58" s="1"/>
  <c r="AW64" i="46"/>
  <c r="J19" i="46"/>
  <c r="I57" i="51" s="1"/>
  <c r="J42" i="46"/>
  <c r="I56" i="53" s="1"/>
  <c r="H42" i="44"/>
  <c r="H19" i="44"/>
  <c r="G37" i="51" s="1"/>
  <c r="BW42" i="44"/>
  <c r="BV67" i="44" s="1"/>
  <c r="I42" i="47"/>
  <c r="H76" i="53" s="1"/>
  <c r="I19" i="47"/>
  <c r="H77" i="51" s="1"/>
  <c r="H89" i="44"/>
  <c r="G35" i="57" s="1"/>
  <c r="AA65" i="44"/>
  <c r="G35" i="54" s="1"/>
  <c r="D19" i="44"/>
  <c r="C37" i="51" s="1"/>
  <c r="BR42" i="44"/>
  <c r="BV65" i="44" s="1"/>
  <c r="D42" i="44"/>
  <c r="Q18" i="44"/>
  <c r="K89" i="47"/>
  <c r="J75" i="57" s="1"/>
  <c r="CA41" i="47"/>
  <c r="G89" i="47"/>
  <c r="F75" i="57" s="1"/>
  <c r="G65" i="47"/>
  <c r="F75" i="56" s="1"/>
  <c r="Y40" i="44"/>
  <c r="M19" i="47"/>
  <c r="L77" i="51" s="1"/>
  <c r="M42" i="47"/>
  <c r="L76" i="53" s="1"/>
  <c r="X64" i="44"/>
  <c r="D34" i="54" s="1"/>
  <c r="X88" i="44"/>
  <c r="D34" i="58" s="1"/>
  <c r="AR64" i="44"/>
  <c r="D34" i="55" s="1"/>
  <c r="BJ16" i="46"/>
  <c r="BK16" i="46" s="1"/>
  <c r="BL16" i="46" s="1"/>
  <c r="P16" i="46" s="1"/>
  <c r="O54" i="51" s="1"/>
  <c r="AB40" i="46"/>
  <c r="X40" i="47"/>
  <c r="I42" i="46"/>
  <c r="H56" i="53" s="1"/>
  <c r="I19" i="46"/>
  <c r="H57" i="51" s="1"/>
  <c r="G63" i="43"/>
  <c r="Z87" i="43" s="1"/>
  <c r="G87" i="43"/>
  <c r="AG88" i="43"/>
  <c r="N88" i="43"/>
  <c r="AC88" i="47"/>
  <c r="I74" i="58" s="1"/>
  <c r="AC64" i="47"/>
  <c r="I74" i="54" s="1"/>
  <c r="AW64" i="47"/>
  <c r="I74" i="55" s="1"/>
  <c r="D19" i="46"/>
  <c r="C57" i="51" s="1"/>
  <c r="D42" i="46"/>
  <c r="C56" i="53" s="1"/>
  <c r="BR42" i="46"/>
  <c r="BV65" i="46" s="1"/>
  <c r="Q18" i="46"/>
  <c r="AQ40" i="44"/>
  <c r="G42" i="47"/>
  <c r="F76" i="53" s="1"/>
  <c r="G19" i="47"/>
  <c r="F77" i="51" s="1"/>
  <c r="AF40" i="46"/>
  <c r="F42" i="47"/>
  <c r="E76" i="53" s="1"/>
  <c r="F19" i="47"/>
  <c r="E77" i="51" s="1"/>
  <c r="Y88" i="44"/>
  <c r="E34" i="58" s="1"/>
  <c r="Y64" i="44"/>
  <c r="E34" i="54" s="1"/>
  <c r="AS64" i="44"/>
  <c r="E34" i="55" s="1"/>
  <c r="AF40" i="44"/>
  <c r="M89" i="47"/>
  <c r="L75" i="57" s="1"/>
  <c r="M65" i="47"/>
  <c r="L75" i="56" s="1"/>
  <c r="AD40" i="46"/>
  <c r="AJ63" i="47"/>
  <c r="E42" i="46"/>
  <c r="D56" i="53" s="1"/>
  <c r="E19" i="46"/>
  <c r="D57" i="51" s="1"/>
  <c r="AB88" i="46"/>
  <c r="H54" i="58" s="1"/>
  <c r="AB64" i="46"/>
  <c r="H54" i="54" s="1"/>
  <c r="AV64" i="46"/>
  <c r="AR40" i="47"/>
  <c r="BT60" i="47" s="1"/>
  <c r="E19" i="44"/>
  <c r="D37" i="51" s="1"/>
  <c r="E42" i="44"/>
  <c r="X40" i="46"/>
  <c r="Z40" i="46"/>
  <c r="AB40" i="47"/>
  <c r="AJ87" i="44"/>
  <c r="P33" i="58" s="1"/>
  <c r="M65" i="46"/>
  <c r="L55" i="56" s="1"/>
  <c r="M89" i="46"/>
  <c r="L55" i="57" s="1"/>
  <c r="F42" i="46"/>
  <c r="E56" i="53" s="1"/>
  <c r="F19" i="46"/>
  <c r="E57" i="51" s="1"/>
  <c r="BS59" i="46"/>
  <c r="AU39" i="46"/>
  <c r="AE88" i="43"/>
  <c r="L88" i="43"/>
  <c r="G42" i="44"/>
  <c r="G19" i="44"/>
  <c r="F37" i="51" s="1"/>
  <c r="W40" i="44"/>
  <c r="AF88" i="46"/>
  <c r="L54" i="58" s="1"/>
  <c r="AF64" i="46"/>
  <c r="L54" i="54" s="1"/>
  <c r="AZ64" i="46"/>
  <c r="Y40" i="46"/>
  <c r="AF88" i="47"/>
  <c r="L74" i="58" s="1"/>
  <c r="AF64" i="47"/>
  <c r="L74" i="54" s="1"/>
  <c r="AZ64" i="47"/>
  <c r="L74" i="55" s="1"/>
  <c r="AD88" i="44"/>
  <c r="J34" i="58" s="1"/>
  <c r="AD64" i="44"/>
  <c r="J34" i="54" s="1"/>
  <c r="AX64" i="44"/>
  <c r="J34" i="55" s="1"/>
  <c r="F89" i="47"/>
  <c r="E75" i="57" s="1"/>
  <c r="F65" i="47"/>
  <c r="E75" i="56" s="1"/>
  <c r="AF64" i="44"/>
  <c r="L34" i="54" s="1"/>
  <c r="AF88" i="44"/>
  <c r="L34" i="58" s="1"/>
  <c r="AZ64" i="44"/>
  <c r="L34" i="55" s="1"/>
  <c r="E65" i="46"/>
  <c r="D55" i="56" s="1"/>
  <c r="E89" i="46"/>
  <c r="D55" i="57" s="1"/>
  <c r="AJ63" i="46"/>
  <c r="AK63" i="46" s="1"/>
  <c r="BS58" i="46" s="1"/>
  <c r="E89" i="44"/>
  <c r="D35" i="57" s="1"/>
  <c r="AR40" i="46"/>
  <c r="BT60" i="46" s="1"/>
  <c r="D89" i="47"/>
  <c r="C75" i="57" s="1"/>
  <c r="D65" i="47"/>
  <c r="C75" i="56" s="1"/>
  <c r="Q41" i="47"/>
  <c r="AS40" i="46"/>
  <c r="BT61" i="46" s="1"/>
  <c r="AB88" i="47"/>
  <c r="H74" i="58" s="1"/>
  <c r="AB64" i="47"/>
  <c r="H74" i="54" s="1"/>
  <c r="AV64" i="47"/>
  <c r="H74" i="55" s="1"/>
  <c r="H19" i="47"/>
  <c r="G77" i="51" s="1"/>
  <c r="H42" i="47"/>
  <c r="G76" i="53" s="1"/>
  <c r="BW42" i="47"/>
  <c r="BV67" i="47" s="1"/>
  <c r="M63" i="43"/>
  <c r="AF87" i="43" s="1"/>
  <c r="M87" i="43"/>
  <c r="AJ39" i="46"/>
  <c r="J65" i="47"/>
  <c r="I75" i="56" s="1"/>
  <c r="J89" i="47"/>
  <c r="I75" i="57" s="1"/>
  <c r="G89" i="44"/>
  <c r="F35" i="57" s="1"/>
  <c r="AI38" i="47"/>
  <c r="P62" i="47"/>
  <c r="H42" i="46"/>
  <c r="BW42" i="46"/>
  <c r="BV67" i="46" s="1"/>
  <c r="H19" i="46"/>
  <c r="G57" i="51" s="1"/>
  <c r="X40" i="44"/>
  <c r="BT68" i="44"/>
  <c r="AH40" i="44"/>
  <c r="AE40" i="44"/>
  <c r="AG40" i="44"/>
  <c r="BT69" i="44"/>
  <c r="Z64" i="47"/>
  <c r="F74" i="54" s="1"/>
  <c r="Z88" i="47"/>
  <c r="F74" i="58" s="1"/>
  <c r="AT64" i="47"/>
  <c r="F74" i="55" s="1"/>
  <c r="AD88" i="47"/>
  <c r="J74" i="58" s="1"/>
  <c r="AD64" i="47"/>
  <c r="J74" i="54" s="1"/>
  <c r="AX64" i="47"/>
  <c r="J74" i="55" s="1"/>
  <c r="K89" i="44"/>
  <c r="J35" i="57" s="1"/>
  <c r="CA41" i="44"/>
  <c r="AC64" i="44"/>
  <c r="I34" i="54" s="1"/>
  <c r="AC88" i="44"/>
  <c r="I34" i="58" s="1"/>
  <c r="AW64" i="44"/>
  <c r="I34" i="55" s="1"/>
  <c r="AD88" i="46"/>
  <c r="J54" i="58" s="1"/>
  <c r="AD64" i="46"/>
  <c r="J54" i="54" s="1"/>
  <c r="AX64" i="46"/>
  <c r="AJ87" i="47"/>
  <c r="P73" i="58" s="1"/>
  <c r="AQ40" i="47"/>
  <c r="AJ87" i="46"/>
  <c r="P53" i="58" s="1"/>
  <c r="X88" i="47"/>
  <c r="D74" i="58" s="1"/>
  <c r="X64" i="47"/>
  <c r="D74" i="54" s="1"/>
  <c r="AR64" i="47"/>
  <c r="D74" i="55" s="1"/>
  <c r="X88" i="46"/>
  <c r="D54" i="58" s="1"/>
  <c r="X64" i="46"/>
  <c r="D54" i="54" s="1"/>
  <c r="AR64" i="46"/>
  <c r="Z88" i="46"/>
  <c r="F54" i="58" s="1"/>
  <c r="Z64" i="46"/>
  <c r="F54" i="54" s="1"/>
  <c r="AT64" i="46"/>
  <c r="AA40" i="44"/>
  <c r="P87" i="46"/>
  <c r="O53" i="57" s="1"/>
  <c r="AE94" i="47"/>
  <c r="K80" i="58" s="1"/>
  <c r="AE70" i="47"/>
  <c r="AY70" i="47"/>
  <c r="K80" i="55" s="1"/>
  <c r="BA45" i="47"/>
  <c r="AH94" i="47"/>
  <c r="N80" i="58" s="1"/>
  <c r="N20" i="58" s="1"/>
  <c r="AH70" i="47"/>
  <c r="BB70" i="47"/>
  <c r="N80" i="55" s="1"/>
  <c r="AP47" i="47"/>
  <c r="AZ46" i="47"/>
  <c r="AX46" i="47"/>
  <c r="AW46" i="47"/>
  <c r="O95" i="47"/>
  <c r="N81" i="57" s="1"/>
  <c r="N21" i="57" s="1"/>
  <c r="O71" i="47"/>
  <c r="N81" i="56" s="1"/>
  <c r="N21" i="56" s="1"/>
  <c r="L95" i="47"/>
  <c r="K81" i="57" s="1"/>
  <c r="AG94" i="47"/>
  <c r="M80" i="58" s="1"/>
  <c r="AG70" i="47"/>
  <c r="BA70" i="47"/>
  <c r="M80" i="55" s="1"/>
  <c r="N95" i="47"/>
  <c r="M81" i="57" s="1"/>
  <c r="AG94" i="46"/>
  <c r="M60" i="58" s="1"/>
  <c r="AG70" i="46"/>
  <c r="BA70" i="46"/>
  <c r="AE95" i="46"/>
  <c r="K61" i="58" s="1"/>
  <c r="AE71" i="46"/>
  <c r="AY71" i="46"/>
  <c r="AW46" i="46"/>
  <c r="AP47" i="46"/>
  <c r="AZ46" i="46"/>
  <c r="AX46" i="46"/>
  <c r="N95" i="46"/>
  <c r="M61" i="57" s="1"/>
  <c r="BA45" i="46"/>
  <c r="BT46" i="46"/>
  <c r="BQ46" i="46"/>
  <c r="BT47" i="46"/>
  <c r="BQ47" i="46"/>
  <c r="B95" i="46"/>
  <c r="A61" i="57" s="1"/>
  <c r="U47" i="46"/>
  <c r="U95" i="46" s="1"/>
  <c r="A61" i="58" s="1"/>
  <c r="AH95" i="46"/>
  <c r="N61" i="58" s="1"/>
  <c r="AH71" i="46"/>
  <c r="BB71" i="46"/>
  <c r="BA47" i="44"/>
  <c r="BT46" i="44"/>
  <c r="BQ46" i="44"/>
  <c r="L95" i="44"/>
  <c r="K41" i="57" s="1"/>
  <c r="AH95" i="44"/>
  <c r="N41" i="58" s="1"/>
  <c r="AH71" i="44"/>
  <c r="N41" i="54" s="1"/>
  <c r="BB71" i="44"/>
  <c r="N41" i="55" s="1"/>
  <c r="AE94" i="44"/>
  <c r="K40" i="58" s="1"/>
  <c r="AE70" i="44"/>
  <c r="K40" i="54" s="1"/>
  <c r="AY70" i="44"/>
  <c r="K40" i="55" s="1"/>
  <c r="BW40" i="43"/>
  <c r="BT67" i="43" s="1"/>
  <c r="AD87" i="43"/>
  <c r="CA39" i="43"/>
  <c r="BA38" i="43"/>
  <c r="O64" i="43"/>
  <c r="AA63" i="43"/>
  <c r="J63" i="43"/>
  <c r="AC87" i="43" s="1"/>
  <c r="E17" i="43"/>
  <c r="E40" i="43"/>
  <c r="M17" i="43"/>
  <c r="M40" i="43"/>
  <c r="I17" i="43"/>
  <c r="I40" i="43"/>
  <c r="K17" i="43"/>
  <c r="K40" i="43"/>
  <c r="K64" i="43" s="1"/>
  <c r="J17" i="43"/>
  <c r="J40" i="43"/>
  <c r="F17" i="43"/>
  <c r="F40" i="43"/>
  <c r="L18" i="43"/>
  <c r="L41" i="43"/>
  <c r="L65" i="43" s="1"/>
  <c r="G17" i="43"/>
  <c r="G40" i="43"/>
  <c r="BQ44" i="43"/>
  <c r="BT44" i="43"/>
  <c r="H17" i="43"/>
  <c r="H40" i="43"/>
  <c r="N18" i="43"/>
  <c r="N41" i="43"/>
  <c r="N65" i="43" s="1"/>
  <c r="O18" i="43"/>
  <c r="O41" i="43"/>
  <c r="AF62" i="43"/>
  <c r="AZ62" i="43"/>
  <c r="AG63" i="43"/>
  <c r="BA63" i="43"/>
  <c r="AH63" i="43"/>
  <c r="BB63" i="43"/>
  <c r="Y62" i="43"/>
  <c r="AS62" i="43"/>
  <c r="AC62" i="43"/>
  <c r="AW62" i="43"/>
  <c r="AD62" i="43"/>
  <c r="AX62" i="43"/>
  <c r="AE63" i="43"/>
  <c r="AY63" i="43"/>
  <c r="X62" i="43"/>
  <c r="AR62" i="43"/>
  <c r="AU62" i="43"/>
  <c r="AB62" i="43"/>
  <c r="AV62" i="43"/>
  <c r="Z62" i="43"/>
  <c r="AT62" i="43"/>
  <c r="AU15" i="43"/>
  <c r="AY16" i="43"/>
  <c r="BL46" i="43"/>
  <c r="BM46" i="43" s="1"/>
  <c r="BN45" i="43"/>
  <c r="AX16" i="43"/>
  <c r="AZ16" i="43"/>
  <c r="AZ47" i="43"/>
  <c r="AX47" i="43"/>
  <c r="P12" i="59" l="1"/>
  <c r="J13" i="60"/>
  <c r="D13" i="60"/>
  <c r="L13" i="60"/>
  <c r="H13" i="60"/>
  <c r="P15" i="51"/>
  <c r="P36" i="51"/>
  <c r="P36" i="59"/>
  <c r="P56" i="51"/>
  <c r="AJ22" i="48"/>
  <c r="P100" i="59" s="1"/>
  <c r="O100" i="59"/>
  <c r="P76" i="51"/>
  <c r="AJ15" i="47"/>
  <c r="P73" i="59" s="1"/>
  <c r="O73" i="59"/>
  <c r="AJ15" i="44"/>
  <c r="O33" i="59"/>
  <c r="O12" i="59"/>
  <c r="AJ15" i="46"/>
  <c r="P53" i="59" s="1"/>
  <c r="P13" i="59" s="1"/>
  <c r="O53" i="59"/>
  <c r="AI23" i="48"/>
  <c r="BO47" i="48"/>
  <c r="CA64" i="48" s="1"/>
  <c r="BU47" i="48"/>
  <c r="CA66" i="48" s="1"/>
  <c r="P47" i="48"/>
  <c r="O101" i="53" s="1"/>
  <c r="AU47" i="48"/>
  <c r="AJ47" i="48"/>
  <c r="M21" i="57"/>
  <c r="K20" i="58"/>
  <c r="K21" i="57"/>
  <c r="K20" i="54"/>
  <c r="N20" i="54"/>
  <c r="K20" i="55"/>
  <c r="H64" i="43"/>
  <c r="AA88" i="43" s="1"/>
  <c r="BQ47" i="44"/>
  <c r="BT47" i="44"/>
  <c r="A61" i="54"/>
  <c r="A61" i="55"/>
  <c r="F15" i="57"/>
  <c r="F17" i="51"/>
  <c r="M21" i="53"/>
  <c r="M21" i="56"/>
  <c r="AJ95" i="48"/>
  <c r="P101" i="58" s="1"/>
  <c r="N20" i="55"/>
  <c r="AI39" i="46"/>
  <c r="AI39" i="47"/>
  <c r="P63" i="47"/>
  <c r="O73" i="56" s="1"/>
  <c r="O13" i="56" s="1"/>
  <c r="K61" i="55"/>
  <c r="E14" i="58"/>
  <c r="G14" i="58"/>
  <c r="M60" i="55"/>
  <c r="M20" i="55" s="1"/>
  <c r="M20" i="54"/>
  <c r="K21" i="56"/>
  <c r="N61" i="55"/>
  <c r="M20" i="58"/>
  <c r="K21" i="53"/>
  <c r="J14" i="58"/>
  <c r="D17" i="51"/>
  <c r="G17" i="51"/>
  <c r="L14" i="58"/>
  <c r="AJ71" i="48"/>
  <c r="P101" i="54" s="1"/>
  <c r="J15" i="53"/>
  <c r="D15" i="57"/>
  <c r="E17" i="51"/>
  <c r="P14" i="56"/>
  <c r="K66" i="47"/>
  <c r="J76" i="56" s="1"/>
  <c r="J76" i="53"/>
  <c r="AC41" i="44"/>
  <c r="P35" i="53"/>
  <c r="D14" i="58"/>
  <c r="F54" i="55"/>
  <c r="F14" i="55" s="1"/>
  <c r="F14" i="54"/>
  <c r="I14" i="58"/>
  <c r="E66" i="44"/>
  <c r="D36" i="56" s="1"/>
  <c r="D36" i="53"/>
  <c r="D16" i="53" s="1"/>
  <c r="AK63" i="47"/>
  <c r="BS58" i="47" s="1"/>
  <c r="P73" i="54"/>
  <c r="C15" i="57"/>
  <c r="H14" i="58"/>
  <c r="H17" i="51"/>
  <c r="J17" i="51"/>
  <c r="P94" i="48"/>
  <c r="O100" i="57" s="1"/>
  <c r="O100" i="53"/>
  <c r="O12" i="53"/>
  <c r="F15" i="56"/>
  <c r="P14" i="53"/>
  <c r="D66" i="44"/>
  <c r="C36" i="56" s="1"/>
  <c r="C36" i="53"/>
  <c r="C16" i="53" s="1"/>
  <c r="H66" i="44"/>
  <c r="G36" i="56" s="1"/>
  <c r="G36" i="53"/>
  <c r="M66" i="44"/>
  <c r="L36" i="56" s="1"/>
  <c r="L36" i="53"/>
  <c r="L16" i="53" s="1"/>
  <c r="G54" i="55"/>
  <c r="G14" i="55" s="1"/>
  <c r="G14" i="54"/>
  <c r="AK70" i="48"/>
  <c r="BZ58" i="48" s="1"/>
  <c r="P100" i="54"/>
  <c r="BD69" i="49"/>
  <c r="P119" i="55" s="1"/>
  <c r="O119" i="55"/>
  <c r="BD69" i="50"/>
  <c r="P139" i="55" s="1"/>
  <c r="O139" i="55"/>
  <c r="D15" i="56"/>
  <c r="BQ63" i="46"/>
  <c r="P51" i="55"/>
  <c r="P51" i="54"/>
  <c r="P11" i="54" s="1"/>
  <c r="BU40" i="47"/>
  <c r="BT66" i="47" s="1"/>
  <c r="O74" i="51"/>
  <c r="O14" i="51" s="1"/>
  <c r="J15" i="57"/>
  <c r="H54" i="55"/>
  <c r="H14" i="55" s="1"/>
  <c r="H14" i="54"/>
  <c r="C17" i="51"/>
  <c r="AD41" i="46"/>
  <c r="P55" i="53"/>
  <c r="L17" i="51"/>
  <c r="J66" i="44"/>
  <c r="I36" i="56" s="1"/>
  <c r="I36" i="53"/>
  <c r="I16" i="53" s="1"/>
  <c r="P14" i="57"/>
  <c r="BD69" i="48"/>
  <c r="P99" i="55" s="1"/>
  <c r="O99" i="55"/>
  <c r="BD68" i="49"/>
  <c r="P118" i="55" s="1"/>
  <c r="O118" i="55"/>
  <c r="I15" i="56"/>
  <c r="H15" i="56"/>
  <c r="BP55" i="47"/>
  <c r="P70" i="55"/>
  <c r="P10" i="55" s="1"/>
  <c r="E15" i="56"/>
  <c r="C15" i="56"/>
  <c r="H66" i="46"/>
  <c r="G56" i="56" s="1"/>
  <c r="G56" i="53"/>
  <c r="W41" i="47"/>
  <c r="P75" i="53"/>
  <c r="D14" i="54"/>
  <c r="D54" i="55"/>
  <c r="D14" i="55" s="1"/>
  <c r="P86" i="47"/>
  <c r="O72" i="57" s="1"/>
  <c r="O12" i="57" s="1"/>
  <c r="O72" i="56"/>
  <c r="O12" i="56" s="1"/>
  <c r="G66" i="44"/>
  <c r="F36" i="56" s="1"/>
  <c r="F36" i="53"/>
  <c r="F16" i="53" s="1"/>
  <c r="J54" i="55"/>
  <c r="J14" i="55" s="1"/>
  <c r="J14" i="54"/>
  <c r="P13" i="58"/>
  <c r="BD62" i="44"/>
  <c r="P32" i="55" s="1"/>
  <c r="O32" i="55"/>
  <c r="H15" i="57"/>
  <c r="E15" i="57"/>
  <c r="K66" i="46"/>
  <c r="J56" i="56" s="1"/>
  <c r="J56" i="53"/>
  <c r="I17" i="51"/>
  <c r="BD61" i="44"/>
  <c r="BQ55" i="44" s="1"/>
  <c r="O31" i="55"/>
  <c r="AK63" i="44"/>
  <c r="BS58" i="44" s="1"/>
  <c r="P33" i="54"/>
  <c r="BD61" i="47"/>
  <c r="BQ63" i="47" s="1"/>
  <c r="O71" i="55"/>
  <c r="G15" i="53"/>
  <c r="K66" i="44"/>
  <c r="J36" i="56" s="1"/>
  <c r="J36" i="53"/>
  <c r="G15" i="57"/>
  <c r="I54" i="55"/>
  <c r="I14" i="55" s="1"/>
  <c r="I14" i="54"/>
  <c r="L15" i="57"/>
  <c r="E54" i="55"/>
  <c r="E14" i="55" s="1"/>
  <c r="E14" i="54"/>
  <c r="G15" i="56"/>
  <c r="I66" i="44"/>
  <c r="H36" i="56" s="1"/>
  <c r="H36" i="53"/>
  <c r="H16" i="53" s="1"/>
  <c r="L54" i="55"/>
  <c r="L14" i="55" s="1"/>
  <c r="L14" i="54"/>
  <c r="F14" i="58"/>
  <c r="C14" i="58"/>
  <c r="I15" i="57"/>
  <c r="AK70" i="50"/>
  <c r="BZ58" i="50" s="1"/>
  <c r="P140" i="54"/>
  <c r="BD68" i="50"/>
  <c r="P138" i="55" s="1"/>
  <c r="O138" i="55"/>
  <c r="AK70" i="49"/>
  <c r="BZ58" i="49" s="1"/>
  <c r="P120" i="54"/>
  <c r="J15" i="56"/>
  <c r="AI39" i="44"/>
  <c r="O33" i="53"/>
  <c r="O13" i="53" s="1"/>
  <c r="F66" i="44"/>
  <c r="E36" i="56" s="1"/>
  <c r="E36" i="53"/>
  <c r="E16" i="53" s="1"/>
  <c r="C54" i="55"/>
  <c r="C14" i="55" s="1"/>
  <c r="C14" i="54"/>
  <c r="L15" i="56"/>
  <c r="O13" i="51"/>
  <c r="BX63" i="48"/>
  <c r="P98" i="55"/>
  <c r="AJ47" i="49"/>
  <c r="AJ47" i="50"/>
  <c r="AJ95" i="50"/>
  <c r="P141" i="58" s="1"/>
  <c r="AJ71" i="50"/>
  <c r="AJ22" i="50"/>
  <c r="P140" i="59" s="1"/>
  <c r="BC70" i="50"/>
  <c r="P47" i="50"/>
  <c r="O141" i="53" s="1"/>
  <c r="AI23" i="50"/>
  <c r="O141" i="59" s="1"/>
  <c r="BU47" i="50"/>
  <c r="CA66" i="50" s="1"/>
  <c r="BO47" i="50"/>
  <c r="CA64" i="50" s="1"/>
  <c r="P94" i="50"/>
  <c r="O140" i="57" s="1"/>
  <c r="AI46" i="50"/>
  <c r="AJ71" i="49"/>
  <c r="AJ22" i="49"/>
  <c r="P120" i="59" s="1"/>
  <c r="CA59" i="49"/>
  <c r="AU47" i="49"/>
  <c r="P94" i="49"/>
  <c r="O120" i="57" s="1"/>
  <c r="AI46" i="49"/>
  <c r="BU47" i="49"/>
  <c r="CA66" i="49" s="1"/>
  <c r="BO47" i="49"/>
  <c r="CA64" i="49" s="1"/>
  <c r="AI23" i="49"/>
  <c r="O121" i="59" s="1"/>
  <c r="P47" i="49"/>
  <c r="O121" i="53" s="1"/>
  <c r="AJ95" i="49"/>
  <c r="P121" i="58" s="1"/>
  <c r="AU47" i="50"/>
  <c r="AV16" i="43"/>
  <c r="AW16" i="43"/>
  <c r="BA17" i="43"/>
  <c r="H88" i="43"/>
  <c r="K88" i="43"/>
  <c r="BD15" i="43"/>
  <c r="BX42" i="43"/>
  <c r="AI46" i="48"/>
  <c r="BC70" i="48"/>
  <c r="P95" i="48"/>
  <c r="O101" i="57" s="1"/>
  <c r="BC62" i="46"/>
  <c r="P87" i="44"/>
  <c r="O33" i="57" s="1"/>
  <c r="AR41" i="46"/>
  <c r="BU60" i="46" s="1"/>
  <c r="BO40" i="47"/>
  <c r="BT64" i="47" s="1"/>
  <c r="AI16" i="47"/>
  <c r="P40" i="47"/>
  <c r="X41" i="46"/>
  <c r="AF41" i="46"/>
  <c r="Z41" i="44"/>
  <c r="BJ17" i="44"/>
  <c r="BK17" i="44" s="1"/>
  <c r="BL17" i="44" s="1"/>
  <c r="P17" i="44" s="1"/>
  <c r="AD41" i="44"/>
  <c r="AA41" i="44"/>
  <c r="Y41" i="44"/>
  <c r="X41" i="44"/>
  <c r="AR41" i="44"/>
  <c r="BU60" i="44" s="1"/>
  <c r="AT41" i="44"/>
  <c r="BU62" i="44" s="1"/>
  <c r="AB41" i="44"/>
  <c r="AQ41" i="44"/>
  <c r="BU59" i="44" s="1"/>
  <c r="AS41" i="44"/>
  <c r="BU61" i="44" s="1"/>
  <c r="AF41" i="44"/>
  <c r="W41" i="44"/>
  <c r="AJ40" i="47"/>
  <c r="AQ41" i="47"/>
  <c r="BU59" i="47" s="1"/>
  <c r="AB41" i="46"/>
  <c r="AJ40" i="46"/>
  <c r="AH64" i="43"/>
  <c r="AH88" i="43"/>
  <c r="BW43" i="46"/>
  <c r="BW67" i="46" s="1"/>
  <c r="H43" i="46"/>
  <c r="H20" i="46"/>
  <c r="G58" i="51" s="1"/>
  <c r="X89" i="46"/>
  <c r="D55" i="58" s="1"/>
  <c r="X65" i="46"/>
  <c r="D55" i="54" s="1"/>
  <c r="AR65" i="46"/>
  <c r="E90" i="44"/>
  <c r="D36" i="57" s="1"/>
  <c r="E20" i="46"/>
  <c r="D58" i="51" s="1"/>
  <c r="E43" i="46"/>
  <c r="D57" i="53" s="1"/>
  <c r="G20" i="47"/>
  <c r="F78" i="51" s="1"/>
  <c r="G43" i="47"/>
  <c r="F77" i="53" s="1"/>
  <c r="D43" i="46"/>
  <c r="C57" i="53" s="1"/>
  <c r="Q19" i="46"/>
  <c r="D20" i="46"/>
  <c r="C58" i="51" s="1"/>
  <c r="BR43" i="46"/>
  <c r="BW65" i="46" s="1"/>
  <c r="P40" i="46"/>
  <c r="O54" i="53" s="1"/>
  <c r="AI16" i="46"/>
  <c r="O54" i="59" s="1"/>
  <c r="BU40" i="46"/>
  <c r="BT66" i="46" s="1"/>
  <c r="BO40" i="46"/>
  <c r="BT64" i="46" s="1"/>
  <c r="Z41" i="47"/>
  <c r="BJ17" i="47"/>
  <c r="BK17" i="47" s="1"/>
  <c r="BL17" i="47" s="1"/>
  <c r="P17" i="47" s="1"/>
  <c r="O75" i="51" s="1"/>
  <c r="H43" i="44"/>
  <c r="H20" i="44"/>
  <c r="G38" i="51" s="1"/>
  <c r="BW43" i="44"/>
  <c r="BW67" i="44" s="1"/>
  <c r="X41" i="47"/>
  <c r="K90" i="47"/>
  <c r="J76" i="57" s="1"/>
  <c r="CA42" i="47"/>
  <c r="AB41" i="47"/>
  <c r="AB89" i="44"/>
  <c r="H35" i="58" s="1"/>
  <c r="AB65" i="44"/>
  <c r="H35" i="54" s="1"/>
  <c r="AV65" i="44"/>
  <c r="H35" i="55" s="1"/>
  <c r="AA41" i="47"/>
  <c r="AC41" i="46"/>
  <c r="G66" i="46"/>
  <c r="F56" i="56" s="1"/>
  <c r="G90" i="46"/>
  <c r="F56" i="57" s="1"/>
  <c r="CA42" i="44"/>
  <c r="K90" i="44"/>
  <c r="J36" i="57" s="1"/>
  <c r="AA41" i="46"/>
  <c r="J90" i="47"/>
  <c r="I76" i="57" s="1"/>
  <c r="J66" i="47"/>
  <c r="I76" i="56" s="1"/>
  <c r="F64" i="43"/>
  <c r="Y88" i="43" s="1"/>
  <c r="F88" i="43"/>
  <c r="M64" i="43"/>
  <c r="AF88" i="43" s="1"/>
  <c r="M88" i="43"/>
  <c r="Z89" i="44"/>
  <c r="F35" i="58" s="1"/>
  <c r="Z65" i="44"/>
  <c r="F35" i="54" s="1"/>
  <c r="AT65" i="44"/>
  <c r="F35" i="55" s="1"/>
  <c r="AJ40" i="44"/>
  <c r="AF89" i="46"/>
  <c r="L55" i="58" s="1"/>
  <c r="AF65" i="46"/>
  <c r="L55" i="54" s="1"/>
  <c r="AZ65" i="46"/>
  <c r="E43" i="44"/>
  <c r="E20" i="44"/>
  <c r="D38" i="51" s="1"/>
  <c r="E90" i="46"/>
  <c r="D56" i="57" s="1"/>
  <c r="E66" i="46"/>
  <c r="D56" i="56" s="1"/>
  <c r="G90" i="47"/>
  <c r="F76" i="57" s="1"/>
  <c r="G66" i="47"/>
  <c r="F76" i="56" s="1"/>
  <c r="AS41" i="47"/>
  <c r="BU61" i="47" s="1"/>
  <c r="AD41" i="47"/>
  <c r="AA89" i="44"/>
  <c r="G35" i="58" s="1"/>
  <c r="AU65" i="44"/>
  <c r="G35" i="55" s="1"/>
  <c r="H90" i="44"/>
  <c r="G36" i="57" s="1"/>
  <c r="AA66" i="44"/>
  <c r="G36" i="54" s="1"/>
  <c r="AR41" i="47"/>
  <c r="BU60" i="47" s="1"/>
  <c r="AF89" i="44"/>
  <c r="L35" i="58" s="1"/>
  <c r="AF65" i="44"/>
  <c r="L35" i="54" s="1"/>
  <c r="AZ65" i="44"/>
  <c r="L35" i="55" s="1"/>
  <c r="W41" i="46"/>
  <c r="E43" i="47"/>
  <c r="D77" i="53" s="1"/>
  <c r="E20" i="47"/>
  <c r="D78" i="51" s="1"/>
  <c r="I43" i="44"/>
  <c r="I20" i="44"/>
  <c r="H38" i="51" s="1"/>
  <c r="G20" i="46"/>
  <c r="F58" i="51" s="1"/>
  <c r="G43" i="46"/>
  <c r="F57" i="53" s="1"/>
  <c r="J90" i="44"/>
  <c r="I36" i="57" s="1"/>
  <c r="AT41" i="46"/>
  <c r="BU62" i="46" s="1"/>
  <c r="J43" i="47"/>
  <c r="I77" i="53" s="1"/>
  <c r="J20" i="47"/>
  <c r="I78" i="51" s="1"/>
  <c r="AC65" i="44"/>
  <c r="I35" i="54" s="1"/>
  <c r="AC89" i="44"/>
  <c r="I35" i="58" s="1"/>
  <c r="AW65" i="44"/>
  <c r="I35" i="55" s="1"/>
  <c r="H90" i="46"/>
  <c r="G56" i="57" s="1"/>
  <c r="AA66" i="46"/>
  <c r="G56" i="54" s="1"/>
  <c r="AC41" i="47"/>
  <c r="H90" i="47"/>
  <c r="G76" i="57" s="1"/>
  <c r="AA66" i="47"/>
  <c r="G76" i="54" s="1"/>
  <c r="H66" i="47"/>
  <c r="G76" i="56" s="1"/>
  <c r="X65" i="44"/>
  <c r="D35" i="54" s="1"/>
  <c r="X89" i="44"/>
  <c r="D35" i="58" s="1"/>
  <c r="AR65" i="44"/>
  <c r="D35" i="55" s="1"/>
  <c r="BT59" i="44"/>
  <c r="AU40" i="44"/>
  <c r="Z65" i="47"/>
  <c r="F75" i="54" s="1"/>
  <c r="Z89" i="47"/>
  <c r="F75" i="58" s="1"/>
  <c r="AT65" i="47"/>
  <c r="F75" i="55" s="1"/>
  <c r="Q42" i="44"/>
  <c r="D90" i="44"/>
  <c r="C36" i="57" s="1"/>
  <c r="AQ41" i="46"/>
  <c r="AB89" i="47"/>
  <c r="H75" i="58" s="1"/>
  <c r="AB65" i="47"/>
  <c r="H75" i="54" s="1"/>
  <c r="AV65" i="47"/>
  <c r="H75" i="55" s="1"/>
  <c r="E90" i="47"/>
  <c r="D76" i="57" s="1"/>
  <c r="E66" i="47"/>
  <c r="D76" i="56" s="1"/>
  <c r="AC89" i="46"/>
  <c r="I55" i="58" s="1"/>
  <c r="AC65" i="46"/>
  <c r="I55" i="54" s="1"/>
  <c r="AW65" i="46"/>
  <c r="I90" i="44"/>
  <c r="H36" i="57" s="1"/>
  <c r="Y41" i="46"/>
  <c r="J43" i="44"/>
  <c r="J20" i="44"/>
  <c r="I38" i="51" s="1"/>
  <c r="AA89" i="46"/>
  <c r="G55" i="58" s="1"/>
  <c r="AU65" i="46"/>
  <c r="D90" i="47"/>
  <c r="C76" i="57" s="1"/>
  <c r="D66" i="47"/>
  <c r="C76" i="56" s="1"/>
  <c r="Q42" i="47"/>
  <c r="H43" i="47"/>
  <c r="G77" i="53" s="1"/>
  <c r="H20" i="47"/>
  <c r="G78" i="51" s="1"/>
  <c r="BW43" i="47"/>
  <c r="BW67" i="47" s="1"/>
  <c r="I43" i="47"/>
  <c r="H77" i="53" s="1"/>
  <c r="I20" i="47"/>
  <c r="H78" i="51" s="1"/>
  <c r="CA42" i="46"/>
  <c r="J90" i="46"/>
  <c r="I56" i="57" s="1"/>
  <c r="J66" i="46"/>
  <c r="I56" i="56" s="1"/>
  <c r="X65" i="47"/>
  <c r="D75" i="54" s="1"/>
  <c r="X89" i="47"/>
  <c r="D75" i="58" s="1"/>
  <c r="AR65" i="47"/>
  <c r="D75" i="55" s="1"/>
  <c r="Q89" i="46"/>
  <c r="P55" i="57" s="1"/>
  <c r="P40" i="44"/>
  <c r="O34" i="53" s="1"/>
  <c r="AI16" i="44"/>
  <c r="O34" i="59" s="1"/>
  <c r="BU40" i="44"/>
  <c r="BT66" i="44" s="1"/>
  <c r="BO40" i="44"/>
  <c r="BT64" i="44" s="1"/>
  <c r="AA89" i="47"/>
  <c r="G75" i="58" s="1"/>
  <c r="AU65" i="47"/>
  <c r="G75" i="55" s="1"/>
  <c r="BT59" i="46"/>
  <c r="AU40" i="46"/>
  <c r="D43" i="47"/>
  <c r="C77" i="53" s="1"/>
  <c r="Q19" i="47"/>
  <c r="BR43" i="47"/>
  <c r="BW65" i="47" s="1"/>
  <c r="D20" i="47"/>
  <c r="C78" i="51" s="1"/>
  <c r="E64" i="43"/>
  <c r="X88" i="43" s="1"/>
  <c r="E88" i="43"/>
  <c r="AC89" i="47"/>
  <c r="I75" i="58" s="1"/>
  <c r="AC65" i="47"/>
  <c r="I75" i="54" s="1"/>
  <c r="AW65" i="47"/>
  <c r="I75" i="55" s="1"/>
  <c r="BC63" i="46"/>
  <c r="AH41" i="47"/>
  <c r="BU68" i="47"/>
  <c r="AG41" i="47"/>
  <c r="BU69" i="47"/>
  <c r="AE41" i="47"/>
  <c r="Y41" i="47"/>
  <c r="AF41" i="47"/>
  <c r="F20" i="47"/>
  <c r="E78" i="51" s="1"/>
  <c r="F43" i="47"/>
  <c r="E77" i="53" s="1"/>
  <c r="I20" i="46"/>
  <c r="H58" i="51" s="1"/>
  <c r="I43" i="46"/>
  <c r="H57" i="53" s="1"/>
  <c r="AD65" i="47"/>
  <c r="J75" i="54" s="1"/>
  <c r="AD89" i="47"/>
  <c r="J75" i="58" s="1"/>
  <c r="AX65" i="47"/>
  <c r="J75" i="55" s="1"/>
  <c r="D20" i="44"/>
  <c r="C38" i="51" s="1"/>
  <c r="D43" i="44"/>
  <c r="BR43" i="44"/>
  <c r="BW65" i="44" s="1"/>
  <c r="Q19" i="44"/>
  <c r="I66" i="47"/>
  <c r="H76" i="56" s="1"/>
  <c r="I90" i="47"/>
  <c r="H76" i="57" s="1"/>
  <c r="J43" i="46"/>
  <c r="I57" i="53" s="1"/>
  <c r="J20" i="46"/>
  <c r="I58" i="51" s="1"/>
  <c r="AJ64" i="47"/>
  <c r="F43" i="44"/>
  <c r="F20" i="44"/>
  <c r="E38" i="51" s="1"/>
  <c r="AG41" i="46"/>
  <c r="BU68" i="46"/>
  <c r="BU69" i="46"/>
  <c r="AE41" i="46"/>
  <c r="AH41" i="46"/>
  <c r="M90" i="44"/>
  <c r="L36" i="57" s="1"/>
  <c r="BJ17" i="46"/>
  <c r="BK17" i="46" s="1"/>
  <c r="BL17" i="46" s="1"/>
  <c r="P17" i="46" s="1"/>
  <c r="O55" i="51" s="1"/>
  <c r="Y89" i="46"/>
  <c r="E55" i="58" s="1"/>
  <c r="Y65" i="46"/>
  <c r="E55" i="54" s="1"/>
  <c r="AS65" i="46"/>
  <c r="Z41" i="46"/>
  <c r="J64" i="43"/>
  <c r="AC88" i="43" s="1"/>
  <c r="J88" i="43"/>
  <c r="O65" i="43"/>
  <c r="AH89" i="43" s="1"/>
  <c r="O89" i="43"/>
  <c r="G64" i="43"/>
  <c r="Z88" i="43" s="1"/>
  <c r="G88" i="43"/>
  <c r="BT59" i="47"/>
  <c r="AU40" i="47"/>
  <c r="Q65" i="47"/>
  <c r="P75" i="56" s="1"/>
  <c r="W65" i="47"/>
  <c r="C75" i="54" s="1"/>
  <c r="W89" i="47"/>
  <c r="C75" i="58" s="1"/>
  <c r="AQ65" i="47"/>
  <c r="C75" i="55" s="1"/>
  <c r="Y89" i="47"/>
  <c r="E75" i="58" s="1"/>
  <c r="Y65" i="47"/>
  <c r="E75" i="54" s="1"/>
  <c r="AS65" i="47"/>
  <c r="E75" i="55" s="1"/>
  <c r="G20" i="44"/>
  <c r="F38" i="51" s="1"/>
  <c r="G43" i="44"/>
  <c r="F43" i="46"/>
  <c r="E57" i="53" s="1"/>
  <c r="F20" i="46"/>
  <c r="E58" i="51" s="1"/>
  <c r="AF89" i="47"/>
  <c r="L75" i="58" s="1"/>
  <c r="AF65" i="47"/>
  <c r="L75" i="54" s="1"/>
  <c r="AZ65" i="47"/>
  <c r="L75" i="55" s="1"/>
  <c r="F90" i="47"/>
  <c r="E76" i="57" s="1"/>
  <c r="F66" i="47"/>
  <c r="E76" i="56" s="1"/>
  <c r="I66" i="46"/>
  <c r="H56" i="56" s="1"/>
  <c r="I90" i="46"/>
  <c r="H56" i="57" s="1"/>
  <c r="M90" i="47"/>
  <c r="L76" i="57" s="1"/>
  <c r="M66" i="47"/>
  <c r="L76" i="56" s="1"/>
  <c r="F90" i="44"/>
  <c r="E36" i="57" s="1"/>
  <c r="Q65" i="46"/>
  <c r="P55" i="56" s="1"/>
  <c r="W89" i="46"/>
  <c r="C55" i="58" s="1"/>
  <c r="W65" i="46"/>
  <c r="C55" i="54" s="1"/>
  <c r="AQ65" i="46"/>
  <c r="W89" i="44"/>
  <c r="C35" i="58" s="1"/>
  <c r="W65" i="44"/>
  <c r="C35" i="54" s="1"/>
  <c r="Q65" i="44"/>
  <c r="P35" i="56" s="1"/>
  <c r="AQ65" i="44"/>
  <c r="C35" i="55" s="1"/>
  <c r="M43" i="44"/>
  <c r="M20" i="44"/>
  <c r="L38" i="51" s="1"/>
  <c r="Y89" i="44"/>
  <c r="E35" i="58" s="1"/>
  <c r="Y65" i="44"/>
  <c r="E35" i="54" s="1"/>
  <c r="AS65" i="44"/>
  <c r="E35" i="55" s="1"/>
  <c r="K43" i="46"/>
  <c r="K20" i="46"/>
  <c r="J58" i="51" s="1"/>
  <c r="BC62" i="47"/>
  <c r="AS41" i="46"/>
  <c r="BU61" i="46" s="1"/>
  <c r="AJ88" i="46"/>
  <c r="P54" i="58" s="1"/>
  <c r="Q89" i="47"/>
  <c r="P75" i="57" s="1"/>
  <c r="G90" i="44"/>
  <c r="F36" i="57" s="1"/>
  <c r="F66" i="46"/>
  <c r="E56" i="56" s="1"/>
  <c r="F90" i="46"/>
  <c r="E56" i="57" s="1"/>
  <c r="M43" i="47"/>
  <c r="L77" i="53" s="1"/>
  <c r="M20" i="47"/>
  <c r="L78" i="51" s="1"/>
  <c r="AB89" i="46"/>
  <c r="H55" i="58" s="1"/>
  <c r="AB65" i="46"/>
  <c r="H55" i="54" s="1"/>
  <c r="AV65" i="46"/>
  <c r="AJ88" i="47"/>
  <c r="P74" i="58" s="1"/>
  <c r="Q89" i="44"/>
  <c r="P35" i="57" s="1"/>
  <c r="AD89" i="46"/>
  <c r="J55" i="58" s="1"/>
  <c r="AD65" i="46"/>
  <c r="J55" i="54" s="1"/>
  <c r="AX65" i="46"/>
  <c r="K90" i="46"/>
  <c r="J56" i="57" s="1"/>
  <c r="M90" i="46"/>
  <c r="L56" i="57" s="1"/>
  <c r="M66" i="46"/>
  <c r="L56" i="56" s="1"/>
  <c r="AJ64" i="44"/>
  <c r="Z65" i="46"/>
  <c r="F55" i="54" s="1"/>
  <c r="Z89" i="46"/>
  <c r="F55" i="58" s="1"/>
  <c r="AT65" i="46"/>
  <c r="AJ64" i="46"/>
  <c r="AK64" i="46" s="1"/>
  <c r="BT58" i="46" s="1"/>
  <c r="AG89" i="43"/>
  <c r="N89" i="43"/>
  <c r="AE89" i="43"/>
  <c r="L89" i="43"/>
  <c r="I64" i="43"/>
  <c r="AB88" i="43" s="1"/>
  <c r="I88" i="43"/>
  <c r="AD65" i="44"/>
  <c r="J35" i="54" s="1"/>
  <c r="AD89" i="44"/>
  <c r="J35" i="58" s="1"/>
  <c r="AX65" i="44"/>
  <c r="J35" i="55" s="1"/>
  <c r="D90" i="46"/>
  <c r="C56" i="57" s="1"/>
  <c r="D66" i="46"/>
  <c r="C56" i="56" s="1"/>
  <c r="Q42" i="46"/>
  <c r="K43" i="47"/>
  <c r="K20" i="47"/>
  <c r="J78" i="51" s="1"/>
  <c r="AE41" i="44"/>
  <c r="AH41" i="44"/>
  <c r="AG41" i="44"/>
  <c r="BU68" i="44"/>
  <c r="BU69" i="44"/>
  <c r="AT41" i="47"/>
  <c r="BU62" i="47" s="1"/>
  <c r="M43" i="46"/>
  <c r="L57" i="53" s="1"/>
  <c r="M20" i="46"/>
  <c r="L58" i="51" s="1"/>
  <c r="K43" i="44"/>
  <c r="K20" i="44"/>
  <c r="J38" i="51" s="1"/>
  <c r="AJ88" i="44"/>
  <c r="P34" i="58" s="1"/>
  <c r="BA46" i="47"/>
  <c r="AE95" i="47"/>
  <c r="K81" i="58" s="1"/>
  <c r="AE71" i="47"/>
  <c r="AY71" i="47"/>
  <c r="K81" i="55" s="1"/>
  <c r="AW47" i="47"/>
  <c r="AZ47" i="47"/>
  <c r="AX47" i="47"/>
  <c r="AG95" i="47"/>
  <c r="M81" i="58" s="1"/>
  <c r="AG71" i="47"/>
  <c r="BA71" i="47"/>
  <c r="M81" i="55" s="1"/>
  <c r="AH95" i="47"/>
  <c r="N81" i="58" s="1"/>
  <c r="N21" i="58" s="1"/>
  <c r="AH71" i="47"/>
  <c r="BB71" i="47"/>
  <c r="N81" i="55" s="1"/>
  <c r="AG95" i="46"/>
  <c r="M61" i="58" s="1"/>
  <c r="AG71" i="46"/>
  <c r="BA71" i="46"/>
  <c r="AW47" i="46"/>
  <c r="AZ47" i="46"/>
  <c r="AX47" i="46"/>
  <c r="BA46" i="46"/>
  <c r="AE95" i="44"/>
  <c r="K41" i="58" s="1"/>
  <c r="AE71" i="44"/>
  <c r="K41" i="54" s="1"/>
  <c r="AY71" i="44"/>
  <c r="K41" i="55" s="1"/>
  <c r="AC63" i="43"/>
  <c r="BW41" i="43"/>
  <c r="BU67" i="43" s="1"/>
  <c r="AD88" i="43"/>
  <c r="CA40" i="43"/>
  <c r="BA39" i="43"/>
  <c r="AW63" i="43"/>
  <c r="BB64" i="43"/>
  <c r="AA64" i="43"/>
  <c r="O19" i="43"/>
  <c r="O42" i="43"/>
  <c r="K18" i="43"/>
  <c r="K41" i="43"/>
  <c r="K65" i="43" s="1"/>
  <c r="N19" i="43"/>
  <c r="N42" i="43"/>
  <c r="N66" i="43" s="1"/>
  <c r="L19" i="43"/>
  <c r="L42" i="43"/>
  <c r="L66" i="43" s="1"/>
  <c r="I18" i="43"/>
  <c r="I41" i="43"/>
  <c r="H18" i="43"/>
  <c r="H41" i="43"/>
  <c r="F18" i="43"/>
  <c r="F41" i="43"/>
  <c r="M18" i="43"/>
  <c r="M41" i="43"/>
  <c r="G18" i="43"/>
  <c r="G41" i="43"/>
  <c r="BQ45" i="43"/>
  <c r="BT45" i="43"/>
  <c r="J18" i="43"/>
  <c r="J41" i="43"/>
  <c r="E18" i="43"/>
  <c r="E41" i="43"/>
  <c r="X63" i="43"/>
  <c r="AR63" i="43"/>
  <c r="AF63" i="43"/>
  <c r="AZ63" i="43"/>
  <c r="AB63" i="43"/>
  <c r="AV63" i="43"/>
  <c r="AD63" i="43"/>
  <c r="AX63" i="43"/>
  <c r="AU63" i="43"/>
  <c r="Z63" i="43"/>
  <c r="AT63" i="43"/>
  <c r="AG64" i="43"/>
  <c r="BA64" i="43"/>
  <c r="AE64" i="43"/>
  <c r="AY64" i="43"/>
  <c r="Y63" i="43"/>
  <c r="AS63" i="43"/>
  <c r="AU16" i="43"/>
  <c r="AY17" i="43"/>
  <c r="BL47" i="43"/>
  <c r="BN46" i="43"/>
  <c r="AX17" i="43"/>
  <c r="AZ17" i="43"/>
  <c r="P16" i="51" l="1"/>
  <c r="J14" i="60"/>
  <c r="D14" i="60"/>
  <c r="L14" i="60"/>
  <c r="H14" i="60"/>
  <c r="P57" i="51"/>
  <c r="P37" i="51"/>
  <c r="P37" i="59"/>
  <c r="AJ16" i="47"/>
  <c r="P74" i="59" s="1"/>
  <c r="O74" i="59"/>
  <c r="O14" i="59" s="1"/>
  <c r="O13" i="59"/>
  <c r="P77" i="51"/>
  <c r="AJ23" i="48"/>
  <c r="P101" i="59" s="1"/>
  <c r="O101" i="59"/>
  <c r="N21" i="55"/>
  <c r="BX55" i="49"/>
  <c r="BX63" i="49"/>
  <c r="AI47" i="48"/>
  <c r="K21" i="58"/>
  <c r="J16" i="56"/>
  <c r="BR63" i="44"/>
  <c r="F18" i="51"/>
  <c r="BR55" i="44"/>
  <c r="BC63" i="47"/>
  <c r="BD63" i="47" s="1"/>
  <c r="BM47" i="43"/>
  <c r="BN47" i="43" s="1"/>
  <c r="H65" i="43"/>
  <c r="AA89" i="43" s="1"/>
  <c r="BY55" i="48"/>
  <c r="C18" i="51"/>
  <c r="BY63" i="48"/>
  <c r="BY55" i="49"/>
  <c r="J16" i="53"/>
  <c r="BY55" i="50"/>
  <c r="N21" i="54"/>
  <c r="P87" i="47"/>
  <c r="O73" i="57" s="1"/>
  <c r="O13" i="57" s="1"/>
  <c r="BY63" i="49"/>
  <c r="K21" i="54"/>
  <c r="M21" i="58"/>
  <c r="M61" i="55"/>
  <c r="M21" i="55" s="1"/>
  <c r="M21" i="54"/>
  <c r="K21" i="55"/>
  <c r="J16" i="57"/>
  <c r="H15" i="58"/>
  <c r="F16" i="57"/>
  <c r="I18" i="51"/>
  <c r="J18" i="51"/>
  <c r="D18" i="51"/>
  <c r="F15" i="58"/>
  <c r="AK71" i="48"/>
  <c r="CA58" i="48" s="1"/>
  <c r="BX55" i="50"/>
  <c r="I16" i="56"/>
  <c r="L18" i="51"/>
  <c r="BX63" i="50"/>
  <c r="J15" i="58"/>
  <c r="BD62" i="46"/>
  <c r="BR55" i="46" s="1"/>
  <c r="O52" i="55"/>
  <c r="O12" i="54"/>
  <c r="L16" i="56"/>
  <c r="K67" i="44"/>
  <c r="J37" i="56" s="1"/>
  <c r="J37" i="53"/>
  <c r="M67" i="44"/>
  <c r="L37" i="56" s="1"/>
  <c r="L37" i="53"/>
  <c r="L17" i="53" s="1"/>
  <c r="AC42" i="47"/>
  <c r="P76" i="53"/>
  <c r="H16" i="57"/>
  <c r="I16" i="57"/>
  <c r="G15" i="58"/>
  <c r="E67" i="44"/>
  <c r="D37" i="56" s="1"/>
  <c r="D37" i="53"/>
  <c r="D17" i="53" s="1"/>
  <c r="BY63" i="50"/>
  <c r="G16" i="53"/>
  <c r="J55" i="55"/>
  <c r="J15" i="55" s="1"/>
  <c r="J15" i="54"/>
  <c r="BD62" i="47"/>
  <c r="P72" i="55" s="1"/>
  <c r="O72" i="55"/>
  <c r="E16" i="57"/>
  <c r="E18" i="51"/>
  <c r="I55" i="55"/>
  <c r="I15" i="55" s="1"/>
  <c r="I15" i="54"/>
  <c r="L55" i="55"/>
  <c r="L15" i="55" s="1"/>
  <c r="L15" i="54"/>
  <c r="AK71" i="49"/>
  <c r="CA58" i="49" s="1"/>
  <c r="P121" i="54"/>
  <c r="E16" i="56"/>
  <c r="O11" i="55"/>
  <c r="G16" i="56"/>
  <c r="K67" i="47"/>
  <c r="J77" i="56" s="1"/>
  <c r="J77" i="53"/>
  <c r="F55" i="55"/>
  <c r="F15" i="55" s="1"/>
  <c r="F15" i="54"/>
  <c r="P15" i="56"/>
  <c r="F67" i="44"/>
  <c r="E37" i="56" s="1"/>
  <c r="E37" i="53"/>
  <c r="E17" i="53" s="1"/>
  <c r="D67" i="44"/>
  <c r="C37" i="56" s="1"/>
  <c r="C37" i="53"/>
  <c r="C17" i="53" s="1"/>
  <c r="BD63" i="46"/>
  <c r="BS55" i="46" s="1"/>
  <c r="O53" i="55"/>
  <c r="O13" i="54"/>
  <c r="C16" i="57"/>
  <c r="D15" i="58"/>
  <c r="H67" i="46"/>
  <c r="G57" i="56" s="1"/>
  <c r="G57" i="53"/>
  <c r="AI40" i="47"/>
  <c r="O74" i="53"/>
  <c r="O14" i="53" s="1"/>
  <c r="BD70" i="50"/>
  <c r="P140" i="55" s="1"/>
  <c r="O140" i="55"/>
  <c r="BQ63" i="44"/>
  <c r="P31" i="55"/>
  <c r="F16" i="56"/>
  <c r="D16" i="56"/>
  <c r="P15" i="53"/>
  <c r="L16" i="57"/>
  <c r="AK64" i="47"/>
  <c r="BT58" i="47" s="1"/>
  <c r="P74" i="54"/>
  <c r="G55" i="55"/>
  <c r="G15" i="55" s="1"/>
  <c r="G15" i="54"/>
  <c r="AB42" i="44"/>
  <c r="P36" i="53"/>
  <c r="I15" i="58"/>
  <c r="H18" i="51"/>
  <c r="L15" i="58"/>
  <c r="C16" i="56"/>
  <c r="K67" i="46"/>
  <c r="J57" i="56" s="1"/>
  <c r="J57" i="53"/>
  <c r="P15" i="57"/>
  <c r="C15" i="58"/>
  <c r="I67" i="44"/>
  <c r="H37" i="56" s="1"/>
  <c r="H37" i="53"/>
  <c r="H17" i="53" s="1"/>
  <c r="AK71" i="50"/>
  <c r="CA58" i="50" s="1"/>
  <c r="P141" i="54"/>
  <c r="AK64" i="44"/>
  <c r="BT58" i="44" s="1"/>
  <c r="P34" i="54"/>
  <c r="C55" i="55"/>
  <c r="C15" i="55" s="1"/>
  <c r="C15" i="54"/>
  <c r="G67" i="44"/>
  <c r="F37" i="56" s="1"/>
  <c r="F37" i="53"/>
  <c r="F17" i="53" s="1"/>
  <c r="G18" i="51"/>
  <c r="D16" i="57"/>
  <c r="BO41" i="44"/>
  <c r="BU64" i="44" s="1"/>
  <c r="O35" i="51"/>
  <c r="O15" i="51" s="1"/>
  <c r="H16" i="56"/>
  <c r="E15" i="54"/>
  <c r="E55" i="55"/>
  <c r="E15" i="55" s="1"/>
  <c r="AS42" i="46"/>
  <c r="BV61" i="46" s="1"/>
  <c r="P56" i="53"/>
  <c r="P14" i="58"/>
  <c r="H55" i="55"/>
  <c r="H15" i="55" s="1"/>
  <c r="H15" i="54"/>
  <c r="E15" i="58"/>
  <c r="J67" i="44"/>
  <c r="I37" i="56" s="1"/>
  <c r="I37" i="53"/>
  <c r="I17" i="53" s="1"/>
  <c r="G16" i="57"/>
  <c r="H67" i="44"/>
  <c r="G37" i="56" s="1"/>
  <c r="G37" i="53"/>
  <c r="D55" i="55"/>
  <c r="D15" i="55" s="1"/>
  <c r="D15" i="54"/>
  <c r="BD70" i="48"/>
  <c r="BZ63" i="48" s="1"/>
  <c r="O100" i="55"/>
  <c r="BQ55" i="47"/>
  <c r="P71" i="55"/>
  <c r="AJ23" i="50"/>
  <c r="P141" i="59" s="1"/>
  <c r="AI47" i="50"/>
  <c r="P95" i="50"/>
  <c r="O141" i="57" s="1"/>
  <c r="P95" i="49"/>
  <c r="O121" i="57" s="1"/>
  <c r="AI47" i="49"/>
  <c r="AJ23" i="49"/>
  <c r="P121" i="59" s="1"/>
  <c r="BC70" i="49"/>
  <c r="AV17" i="43"/>
  <c r="AW17" i="43"/>
  <c r="AW18" i="43" s="1"/>
  <c r="BA18" i="43"/>
  <c r="BX43" i="43"/>
  <c r="H89" i="43"/>
  <c r="K89" i="43"/>
  <c r="BD16" i="43"/>
  <c r="P41" i="44"/>
  <c r="BC63" i="44"/>
  <c r="BC71" i="48"/>
  <c r="P64" i="47"/>
  <c r="AI17" i="44"/>
  <c r="BU41" i="44"/>
  <c r="BU66" i="44" s="1"/>
  <c r="Y42" i="44"/>
  <c r="AF42" i="44"/>
  <c r="Z42" i="44"/>
  <c r="W42" i="44"/>
  <c r="AS42" i="44"/>
  <c r="BV61" i="44" s="1"/>
  <c r="AF42" i="47"/>
  <c r="AU41" i="44"/>
  <c r="Q90" i="44"/>
  <c r="P36" i="57" s="1"/>
  <c r="AJ65" i="44"/>
  <c r="W42" i="46"/>
  <c r="AC42" i="44"/>
  <c r="AJ41" i="47"/>
  <c r="Z42" i="46"/>
  <c r="AF42" i="46"/>
  <c r="AD42" i="46"/>
  <c r="AB42" i="46"/>
  <c r="AJ41" i="44"/>
  <c r="M91" i="47"/>
  <c r="L77" i="57" s="1"/>
  <c r="M67" i="47"/>
  <c r="L77" i="56" s="1"/>
  <c r="Y66" i="44"/>
  <c r="E36" i="54" s="1"/>
  <c r="Y90" i="44"/>
  <c r="E36" i="58" s="1"/>
  <c r="AS66" i="44"/>
  <c r="E36" i="55" s="1"/>
  <c r="AB90" i="46"/>
  <c r="H56" i="58" s="1"/>
  <c r="AB66" i="46"/>
  <c r="H56" i="54" s="1"/>
  <c r="AV66" i="46"/>
  <c r="F44" i="46"/>
  <c r="E58" i="53" s="1"/>
  <c r="F21" i="46"/>
  <c r="E59" i="51" s="1"/>
  <c r="AF90" i="44"/>
  <c r="L36" i="58" s="1"/>
  <c r="AF66" i="44"/>
  <c r="L36" i="54" s="1"/>
  <c r="AZ66" i="44"/>
  <c r="L36" i="55" s="1"/>
  <c r="BR44" i="47"/>
  <c r="BX65" i="47" s="1"/>
  <c r="D21" i="47"/>
  <c r="C79" i="51" s="1"/>
  <c r="D44" i="47"/>
  <c r="C78" i="53" s="1"/>
  <c r="Q20" i="47"/>
  <c r="X66" i="46"/>
  <c r="D56" i="54" s="1"/>
  <c r="X90" i="46"/>
  <c r="D56" i="58" s="1"/>
  <c r="AR66" i="46"/>
  <c r="E44" i="46"/>
  <c r="D58" i="53" s="1"/>
  <c r="E21" i="46"/>
  <c r="D59" i="51" s="1"/>
  <c r="K21" i="44"/>
  <c r="J39" i="51" s="1"/>
  <c r="K44" i="44"/>
  <c r="BJ18" i="46"/>
  <c r="BK18" i="46" s="1"/>
  <c r="BL18" i="46" s="1"/>
  <c r="P18" i="46" s="1"/>
  <c r="O56" i="51" s="1"/>
  <c r="Y42" i="46"/>
  <c r="AJ89" i="44"/>
  <c r="P35" i="58" s="1"/>
  <c r="Y42" i="47"/>
  <c r="F91" i="46"/>
  <c r="E57" i="57" s="1"/>
  <c r="F67" i="46"/>
  <c r="E57" i="56" s="1"/>
  <c r="AJ89" i="47"/>
  <c r="P75" i="58" s="1"/>
  <c r="F21" i="44"/>
  <c r="E39" i="51" s="1"/>
  <c r="F44" i="44"/>
  <c r="AB90" i="47"/>
  <c r="H76" i="58" s="1"/>
  <c r="AB66" i="47"/>
  <c r="H76" i="54" s="1"/>
  <c r="AV66" i="47"/>
  <c r="H76" i="55" s="1"/>
  <c r="AU41" i="47"/>
  <c r="Q66" i="47"/>
  <c r="P76" i="56" s="1"/>
  <c r="W90" i="47"/>
  <c r="C76" i="58" s="1"/>
  <c r="W66" i="47"/>
  <c r="C76" i="54" s="1"/>
  <c r="AQ66" i="47"/>
  <c r="C76" i="55" s="1"/>
  <c r="X90" i="47"/>
  <c r="D76" i="58" s="1"/>
  <c r="X66" i="47"/>
  <c r="D76" i="54" s="1"/>
  <c r="AR66" i="47"/>
  <c r="D76" i="55" s="1"/>
  <c r="AQ42" i="44"/>
  <c r="AG42" i="44"/>
  <c r="BV69" i="44"/>
  <c r="AH42" i="44"/>
  <c r="AE42" i="44"/>
  <c r="BV68" i="44"/>
  <c r="AA42" i="46"/>
  <c r="AT42" i="44"/>
  <c r="BV62" i="44" s="1"/>
  <c r="Q43" i="46"/>
  <c r="D91" i="46"/>
  <c r="C57" i="57" s="1"/>
  <c r="D67" i="46"/>
  <c r="C57" i="56" s="1"/>
  <c r="X42" i="44"/>
  <c r="H44" i="46"/>
  <c r="H21" i="46"/>
  <c r="G59" i="51" s="1"/>
  <c r="BW44" i="46"/>
  <c r="BX67" i="46" s="1"/>
  <c r="M65" i="43"/>
  <c r="AF89" i="43" s="1"/>
  <c r="M89" i="43"/>
  <c r="F44" i="47"/>
  <c r="E78" i="53" s="1"/>
  <c r="F21" i="47"/>
  <c r="E79" i="51" s="1"/>
  <c r="I67" i="47"/>
  <c r="H77" i="56" s="1"/>
  <c r="I91" i="47"/>
  <c r="H77" i="57" s="1"/>
  <c r="AQ42" i="47"/>
  <c r="AE42" i="47"/>
  <c r="AH42" i="47"/>
  <c r="BV68" i="47"/>
  <c r="BV69" i="47"/>
  <c r="AG42" i="47"/>
  <c r="AR42" i="47"/>
  <c r="BV60" i="47" s="1"/>
  <c r="AC90" i="44"/>
  <c r="I36" i="58" s="1"/>
  <c r="AC66" i="44"/>
  <c r="I36" i="54" s="1"/>
  <c r="AW66" i="44"/>
  <c r="I36" i="55" s="1"/>
  <c r="AD90" i="44"/>
  <c r="J36" i="58" s="1"/>
  <c r="AD66" i="44"/>
  <c r="J36" i="54" s="1"/>
  <c r="AX66" i="44"/>
  <c r="J36" i="55" s="1"/>
  <c r="J65" i="43"/>
  <c r="AC89" i="43" s="1"/>
  <c r="J89" i="43"/>
  <c r="F65" i="43"/>
  <c r="Y89" i="43" s="1"/>
  <c r="F89" i="43"/>
  <c r="AG90" i="43"/>
  <c r="N90" i="43"/>
  <c r="K91" i="44"/>
  <c r="J37" i="57" s="1"/>
  <c r="CA43" i="44"/>
  <c r="AD90" i="46"/>
  <c r="J56" i="58" s="1"/>
  <c r="AD66" i="46"/>
  <c r="J56" i="54" s="1"/>
  <c r="AX66" i="46"/>
  <c r="Y90" i="47"/>
  <c r="E76" i="58" s="1"/>
  <c r="Y66" i="47"/>
  <c r="E76" i="54" s="1"/>
  <c r="AS66" i="47"/>
  <c r="E76" i="55" s="1"/>
  <c r="AJ65" i="47"/>
  <c r="F91" i="44"/>
  <c r="E37" i="57" s="1"/>
  <c r="AJ16" i="44"/>
  <c r="AC42" i="46"/>
  <c r="Q90" i="47"/>
  <c r="P76" i="57" s="1"/>
  <c r="W90" i="44"/>
  <c r="C36" i="58" s="1"/>
  <c r="W66" i="44"/>
  <c r="C36" i="54" s="1"/>
  <c r="Q66" i="44"/>
  <c r="P36" i="56" s="1"/>
  <c r="AQ66" i="44"/>
  <c r="C36" i="55" s="1"/>
  <c r="AT42" i="46"/>
  <c r="BV62" i="46" s="1"/>
  <c r="G91" i="46"/>
  <c r="F57" i="57" s="1"/>
  <c r="G67" i="46"/>
  <c r="F57" i="56" s="1"/>
  <c r="E44" i="47"/>
  <c r="D78" i="53" s="1"/>
  <c r="E21" i="47"/>
  <c r="D79" i="51" s="1"/>
  <c r="AA42" i="44"/>
  <c r="AS42" i="47"/>
  <c r="BV61" i="47" s="1"/>
  <c r="AC90" i="47"/>
  <c r="I76" i="58" s="1"/>
  <c r="AC66" i="47"/>
  <c r="I76" i="54" s="1"/>
  <c r="AW66" i="47"/>
  <c r="I76" i="55" s="1"/>
  <c r="AJ16" i="46"/>
  <c r="P54" i="59" s="1"/>
  <c r="P14" i="59" s="1"/>
  <c r="AR42" i="44"/>
  <c r="BV60" i="44" s="1"/>
  <c r="H91" i="46"/>
  <c r="G57" i="57" s="1"/>
  <c r="AA67" i="46"/>
  <c r="G57" i="54" s="1"/>
  <c r="Y66" i="46"/>
  <c r="E56" i="54" s="1"/>
  <c r="Y90" i="46"/>
  <c r="E56" i="58" s="1"/>
  <c r="AS66" i="46"/>
  <c r="AJ65" i="46"/>
  <c r="AK65" i="46" s="1"/>
  <c r="BU58" i="46" s="1"/>
  <c r="D91" i="47"/>
  <c r="C77" i="57" s="1"/>
  <c r="D67" i="47"/>
  <c r="C77" i="56" s="1"/>
  <c r="Q43" i="47"/>
  <c r="AC90" i="46"/>
  <c r="I56" i="58" s="1"/>
  <c r="AC66" i="46"/>
  <c r="I56" i="54" s="1"/>
  <c r="AW66" i="46"/>
  <c r="AA42" i="47"/>
  <c r="J44" i="47"/>
  <c r="I78" i="53" s="1"/>
  <c r="J21" i="47"/>
  <c r="I79" i="51" s="1"/>
  <c r="G44" i="46"/>
  <c r="F58" i="53" s="1"/>
  <c r="G21" i="46"/>
  <c r="F59" i="51" s="1"/>
  <c r="E91" i="47"/>
  <c r="D77" i="57" s="1"/>
  <c r="E67" i="47"/>
  <c r="D77" i="56" s="1"/>
  <c r="Z42" i="47"/>
  <c r="AI40" i="46"/>
  <c r="P88" i="46"/>
  <c r="O54" i="57" s="1"/>
  <c r="G91" i="47"/>
  <c r="F77" i="57" s="1"/>
  <c r="G67" i="47"/>
  <c r="F77" i="56" s="1"/>
  <c r="X90" i="44"/>
  <c r="D36" i="58" s="1"/>
  <c r="X66" i="44"/>
  <c r="D36" i="54" s="1"/>
  <c r="AR66" i="44"/>
  <c r="D36" i="55" s="1"/>
  <c r="AE90" i="43"/>
  <c r="L90" i="43"/>
  <c r="G91" i="44"/>
  <c r="F37" i="57" s="1"/>
  <c r="P88" i="44"/>
  <c r="O34" i="57" s="1"/>
  <c r="AI40" i="44"/>
  <c r="AB90" i="44"/>
  <c r="H36" i="58" s="1"/>
  <c r="AB66" i="44"/>
  <c r="H36" i="54" s="1"/>
  <c r="AV66" i="44"/>
  <c r="H36" i="55" s="1"/>
  <c r="M44" i="46"/>
  <c r="L58" i="53" s="1"/>
  <c r="M21" i="46"/>
  <c r="L59" i="51" s="1"/>
  <c r="AQ42" i="46"/>
  <c r="AG42" i="46"/>
  <c r="BV69" i="46"/>
  <c r="BV68" i="46"/>
  <c r="AH42" i="46"/>
  <c r="AE42" i="46"/>
  <c r="M44" i="44"/>
  <c r="M21" i="44"/>
  <c r="L39" i="51" s="1"/>
  <c r="AJ89" i="46"/>
  <c r="P55" i="58" s="1"/>
  <c r="AF90" i="47"/>
  <c r="L76" i="58" s="1"/>
  <c r="AF66" i="47"/>
  <c r="L76" i="54" s="1"/>
  <c r="AZ66" i="47"/>
  <c r="L76" i="55" s="1"/>
  <c r="G44" i="44"/>
  <c r="G21" i="44"/>
  <c r="F39" i="51" s="1"/>
  <c r="I91" i="46"/>
  <c r="H57" i="57" s="1"/>
  <c r="I67" i="46"/>
  <c r="H57" i="56" s="1"/>
  <c r="AT42" i="47"/>
  <c r="BV62" i="47" s="1"/>
  <c r="AA90" i="46"/>
  <c r="G56" i="58" s="1"/>
  <c r="AU66" i="46"/>
  <c r="J91" i="47"/>
  <c r="I77" i="57" s="1"/>
  <c r="J67" i="47"/>
  <c r="I77" i="56" s="1"/>
  <c r="AJ41" i="46"/>
  <c r="Z90" i="47"/>
  <c r="F76" i="58" s="1"/>
  <c r="Z66" i="47"/>
  <c r="F76" i="54" s="1"/>
  <c r="AT66" i="47"/>
  <c r="F76" i="55" s="1"/>
  <c r="E44" i="44"/>
  <c r="E21" i="44"/>
  <c r="D39" i="51" s="1"/>
  <c r="AD42" i="47"/>
  <c r="H44" i="44"/>
  <c r="H21" i="44"/>
  <c r="G39" i="51" s="1"/>
  <c r="BW44" i="44"/>
  <c r="BX67" i="44" s="1"/>
  <c r="G44" i="47"/>
  <c r="F78" i="53" s="1"/>
  <c r="G21" i="47"/>
  <c r="F79" i="51" s="1"/>
  <c r="M67" i="46"/>
  <c r="L57" i="56" s="1"/>
  <c r="M91" i="46"/>
  <c r="L57" i="57" s="1"/>
  <c r="K44" i="47"/>
  <c r="K21" i="47"/>
  <c r="J79" i="51" s="1"/>
  <c r="W90" i="46"/>
  <c r="C56" i="58" s="1"/>
  <c r="W66" i="46"/>
  <c r="C56" i="54" s="1"/>
  <c r="Q66" i="46"/>
  <c r="P56" i="56" s="1"/>
  <c r="AQ66" i="46"/>
  <c r="M91" i="44"/>
  <c r="L37" i="57" s="1"/>
  <c r="J44" i="46"/>
  <c r="I58" i="53" s="1"/>
  <c r="J21" i="46"/>
  <c r="I59" i="51" s="1"/>
  <c r="I44" i="46"/>
  <c r="H58" i="53" s="1"/>
  <c r="I21" i="46"/>
  <c r="H59" i="51" s="1"/>
  <c r="H44" i="47"/>
  <c r="G78" i="53" s="1"/>
  <c r="H21" i="47"/>
  <c r="G79" i="51" s="1"/>
  <c r="BW44" i="47"/>
  <c r="BX67" i="47" s="1"/>
  <c r="AA90" i="47"/>
  <c r="G76" i="58" s="1"/>
  <c r="AU66" i="47"/>
  <c r="G76" i="55" s="1"/>
  <c r="I44" i="44"/>
  <c r="I21" i="44"/>
  <c r="H39" i="51" s="1"/>
  <c r="AA90" i="44"/>
  <c r="G36" i="58" s="1"/>
  <c r="AU66" i="44"/>
  <c r="G36" i="55" s="1"/>
  <c r="E91" i="44"/>
  <c r="D37" i="57" s="1"/>
  <c r="AD42" i="44"/>
  <c r="Z90" i="46"/>
  <c r="F56" i="58" s="1"/>
  <c r="Z66" i="46"/>
  <c r="F56" i="54" s="1"/>
  <c r="AT66" i="46"/>
  <c r="BJ18" i="47"/>
  <c r="BK18" i="47" s="1"/>
  <c r="BL18" i="47" s="1"/>
  <c r="P18" i="47" s="1"/>
  <c r="O76" i="51" s="1"/>
  <c r="H91" i="44"/>
  <c r="G37" i="57" s="1"/>
  <c r="AA67" i="44"/>
  <c r="G37" i="54" s="1"/>
  <c r="E65" i="43"/>
  <c r="X89" i="43" s="1"/>
  <c r="E89" i="43"/>
  <c r="I65" i="43"/>
  <c r="AB89" i="43" s="1"/>
  <c r="I89" i="43"/>
  <c r="CA43" i="47"/>
  <c r="K91" i="47"/>
  <c r="J77" i="57" s="1"/>
  <c r="Q90" i="46"/>
  <c r="P56" i="57" s="1"/>
  <c r="Z90" i="44"/>
  <c r="F36" i="58" s="1"/>
  <c r="Z66" i="44"/>
  <c r="F36" i="54" s="1"/>
  <c r="AT66" i="44"/>
  <c r="F36" i="55" s="1"/>
  <c r="K44" i="46"/>
  <c r="K21" i="46"/>
  <c r="J59" i="51" s="1"/>
  <c r="P41" i="46"/>
  <c r="O55" i="53" s="1"/>
  <c r="AI17" i="46"/>
  <c r="O55" i="59" s="1"/>
  <c r="BO41" i="46"/>
  <c r="BU64" i="46" s="1"/>
  <c r="BU41" i="46"/>
  <c r="BU66" i="46" s="1"/>
  <c r="J91" i="46"/>
  <c r="I57" i="57" s="1"/>
  <c r="J67" i="46"/>
  <c r="I57" i="56" s="1"/>
  <c r="D91" i="44"/>
  <c r="C37" i="57" s="1"/>
  <c r="Q43" i="44"/>
  <c r="H67" i="47"/>
  <c r="G77" i="56" s="1"/>
  <c r="AA67" i="47"/>
  <c r="G77" i="54" s="1"/>
  <c r="H91" i="47"/>
  <c r="G77" i="57" s="1"/>
  <c r="J44" i="44"/>
  <c r="J21" i="44"/>
  <c r="I39" i="51" s="1"/>
  <c r="AU41" i="46"/>
  <c r="BU59" i="46"/>
  <c r="I91" i="44"/>
  <c r="H37" i="57" s="1"/>
  <c r="X42" i="46"/>
  <c r="BJ18" i="44"/>
  <c r="BK18" i="44" s="1"/>
  <c r="BL18" i="44" s="1"/>
  <c r="P18" i="44" s="1"/>
  <c r="O36" i="51" s="1"/>
  <c r="P41" i="47"/>
  <c r="O75" i="53" s="1"/>
  <c r="AI17" i="47"/>
  <c r="O75" i="59" s="1"/>
  <c r="BO41" i="47"/>
  <c r="BU64" i="47" s="1"/>
  <c r="BU41" i="47"/>
  <c r="BU66" i="47" s="1"/>
  <c r="G65" i="43"/>
  <c r="Z89" i="43" s="1"/>
  <c r="G89" i="43"/>
  <c r="O66" i="43"/>
  <c r="AH90" i="43" s="1"/>
  <c r="O90" i="43"/>
  <c r="AF90" i="46"/>
  <c r="L56" i="58" s="1"/>
  <c r="AF66" i="46"/>
  <c r="L56" i="54" s="1"/>
  <c r="AZ66" i="46"/>
  <c r="M44" i="47"/>
  <c r="L78" i="53" s="1"/>
  <c r="M21" i="47"/>
  <c r="L79" i="51" s="1"/>
  <c r="K91" i="46"/>
  <c r="J57" i="57" s="1"/>
  <c r="CA43" i="46"/>
  <c r="AB42" i="47"/>
  <c r="BR44" i="44"/>
  <c r="BX65" i="44" s="1"/>
  <c r="D44" i="44"/>
  <c r="Q20" i="44"/>
  <c r="D21" i="44"/>
  <c r="C39" i="51" s="1"/>
  <c r="F91" i="47"/>
  <c r="E77" i="57" s="1"/>
  <c r="F67" i="47"/>
  <c r="E77" i="56" s="1"/>
  <c r="I44" i="47"/>
  <c r="H78" i="53" s="1"/>
  <c r="I21" i="47"/>
  <c r="H79" i="51" s="1"/>
  <c r="W42" i="47"/>
  <c r="J91" i="44"/>
  <c r="I37" i="57" s="1"/>
  <c r="X42" i="47"/>
  <c r="AR42" i="46"/>
  <c r="BV60" i="46" s="1"/>
  <c r="AD90" i="47"/>
  <c r="J76" i="58" s="1"/>
  <c r="AD66" i="47"/>
  <c r="J76" i="54" s="1"/>
  <c r="AX66" i="47"/>
  <c r="J76" i="55" s="1"/>
  <c r="Q20" i="46"/>
  <c r="D44" i="46"/>
  <c r="C58" i="53" s="1"/>
  <c r="BR44" i="46"/>
  <c r="BX65" i="46" s="1"/>
  <c r="D21" i="46"/>
  <c r="C59" i="51" s="1"/>
  <c r="E67" i="46"/>
  <c r="D57" i="56" s="1"/>
  <c r="E91" i="46"/>
  <c r="D57" i="57" s="1"/>
  <c r="BA47" i="47"/>
  <c r="BA47" i="46"/>
  <c r="BW42" i="43"/>
  <c r="BV67" i="43" s="1"/>
  <c r="AD89" i="43"/>
  <c r="CA41" i="43"/>
  <c r="BA40" i="43"/>
  <c r="AA65" i="43"/>
  <c r="J19" i="43"/>
  <c r="J42" i="43"/>
  <c r="F19" i="43"/>
  <c r="F42" i="43"/>
  <c r="N20" i="43"/>
  <c r="N43" i="43"/>
  <c r="N67" i="43" s="1"/>
  <c r="L20" i="43"/>
  <c r="L43" i="43"/>
  <c r="L67" i="43" s="1"/>
  <c r="BQ46" i="43"/>
  <c r="BT46" i="43"/>
  <c r="E19" i="43"/>
  <c r="E42" i="43"/>
  <c r="H19" i="43"/>
  <c r="H42" i="43"/>
  <c r="K19" i="43"/>
  <c r="K42" i="43"/>
  <c r="K66" i="43" s="1"/>
  <c r="M19" i="43"/>
  <c r="M42" i="43"/>
  <c r="G19" i="43"/>
  <c r="G42" i="43"/>
  <c r="I19" i="43"/>
  <c r="I42" i="43"/>
  <c r="O20" i="43"/>
  <c r="O43" i="43"/>
  <c r="AG65" i="43"/>
  <c r="BA65" i="43"/>
  <c r="AD64" i="43"/>
  <c r="AX64" i="43"/>
  <c r="AE65" i="43"/>
  <c r="AY65" i="43"/>
  <c r="AH65" i="43"/>
  <c r="BB65" i="43"/>
  <c r="Y64" i="43"/>
  <c r="AS64" i="43"/>
  <c r="AF64" i="43"/>
  <c r="AZ64" i="43"/>
  <c r="X64" i="43"/>
  <c r="AR64" i="43"/>
  <c r="AC64" i="43"/>
  <c r="AW64" i="43"/>
  <c r="AB64" i="43"/>
  <c r="AV64" i="43"/>
  <c r="Z64" i="43"/>
  <c r="AT64" i="43"/>
  <c r="AU64" i="43"/>
  <c r="AU17" i="43"/>
  <c r="AY18" i="43"/>
  <c r="AZ18" i="43"/>
  <c r="AX18" i="43"/>
  <c r="J15" i="60" l="1"/>
  <c r="D15" i="60"/>
  <c r="L15" i="60"/>
  <c r="H15" i="60"/>
  <c r="P17" i="51"/>
  <c r="P58" i="51"/>
  <c r="P78" i="51"/>
  <c r="P38" i="51"/>
  <c r="P38" i="59"/>
  <c r="AJ17" i="44"/>
  <c r="O35" i="59"/>
  <c r="O15" i="59" s="1"/>
  <c r="BZ55" i="50"/>
  <c r="BZ63" i="50"/>
  <c r="O73" i="55"/>
  <c r="P73" i="55"/>
  <c r="BS55" i="47"/>
  <c r="BS63" i="47"/>
  <c r="C17" i="57"/>
  <c r="O16" i="51"/>
  <c r="BT47" i="43"/>
  <c r="BQ47" i="43"/>
  <c r="H66" i="43"/>
  <c r="AA90" i="43" s="1"/>
  <c r="H16" i="58"/>
  <c r="P11" i="55"/>
  <c r="P16" i="56"/>
  <c r="P15" i="58"/>
  <c r="C17" i="56"/>
  <c r="E19" i="51"/>
  <c r="BS63" i="46"/>
  <c r="H17" i="57"/>
  <c r="J16" i="58"/>
  <c r="D16" i="58"/>
  <c r="C16" i="58"/>
  <c r="O12" i="55"/>
  <c r="C19" i="51"/>
  <c r="L17" i="57"/>
  <c r="D17" i="57"/>
  <c r="K68" i="46"/>
  <c r="J58" i="56" s="1"/>
  <c r="J58" i="53"/>
  <c r="E16" i="58"/>
  <c r="L56" i="55"/>
  <c r="L16" i="55" s="1"/>
  <c r="L16" i="54"/>
  <c r="I19" i="51"/>
  <c r="C56" i="55"/>
  <c r="C16" i="55" s="1"/>
  <c r="C16" i="54"/>
  <c r="J56" i="55"/>
  <c r="J16" i="55" s="1"/>
  <c r="J16" i="54"/>
  <c r="I16" i="58"/>
  <c r="H68" i="46"/>
  <c r="G58" i="56" s="1"/>
  <c r="G58" i="53"/>
  <c r="F68" i="44"/>
  <c r="E38" i="56" s="1"/>
  <c r="E38" i="53"/>
  <c r="E18" i="53" s="1"/>
  <c r="L16" i="58"/>
  <c r="I17" i="56"/>
  <c r="J17" i="53"/>
  <c r="E68" i="44"/>
  <c r="D38" i="56" s="1"/>
  <c r="D38" i="53"/>
  <c r="D18" i="53" s="1"/>
  <c r="BD71" i="48"/>
  <c r="P101" i="55" s="1"/>
  <c r="O101" i="55"/>
  <c r="BZ55" i="48"/>
  <c r="P100" i="55"/>
  <c r="I17" i="57"/>
  <c r="J68" i="44"/>
  <c r="I38" i="56" s="1"/>
  <c r="I38" i="53"/>
  <c r="I18" i="53" s="1"/>
  <c r="L19" i="51"/>
  <c r="K68" i="44"/>
  <c r="J38" i="56" s="1"/>
  <c r="J38" i="53"/>
  <c r="BD63" i="44"/>
  <c r="BS55" i="44" s="1"/>
  <c r="O33" i="55"/>
  <c r="E17" i="56"/>
  <c r="J17" i="56"/>
  <c r="AS43" i="44"/>
  <c r="BW61" i="44" s="1"/>
  <c r="P37" i="53"/>
  <c r="D68" i="44"/>
  <c r="C38" i="56" s="1"/>
  <c r="C38" i="53"/>
  <c r="C18" i="53" s="1"/>
  <c r="F16" i="58"/>
  <c r="M68" i="44"/>
  <c r="L38" i="56" s="1"/>
  <c r="L38" i="53"/>
  <c r="L18" i="53" s="1"/>
  <c r="F17" i="57"/>
  <c r="J19" i="51"/>
  <c r="G17" i="53"/>
  <c r="P16" i="53"/>
  <c r="F56" i="55"/>
  <c r="F16" i="55" s="1"/>
  <c r="F16" i="54"/>
  <c r="G16" i="58"/>
  <c r="G19" i="51"/>
  <c r="E16" i="54"/>
  <c r="E56" i="55"/>
  <c r="E16" i="55" s="1"/>
  <c r="E17" i="57"/>
  <c r="H56" i="55"/>
  <c r="H16" i="55" s="1"/>
  <c r="H16" i="54"/>
  <c r="AK65" i="44"/>
  <c r="BU58" i="44" s="1"/>
  <c r="P35" i="54"/>
  <c r="AI41" i="44"/>
  <c r="O35" i="53"/>
  <c r="O15" i="53" s="1"/>
  <c r="BD70" i="49"/>
  <c r="P120" i="55" s="1"/>
  <c r="O120" i="55"/>
  <c r="G17" i="56"/>
  <c r="X43" i="47"/>
  <c r="P77" i="53"/>
  <c r="G17" i="57"/>
  <c r="F19" i="51"/>
  <c r="BR55" i="47"/>
  <c r="H19" i="51"/>
  <c r="H68" i="44"/>
  <c r="G38" i="56" s="1"/>
  <c r="G38" i="53"/>
  <c r="G68" i="44"/>
  <c r="F38" i="56" s="1"/>
  <c r="F38" i="53"/>
  <c r="F18" i="53" s="1"/>
  <c r="BR63" i="47"/>
  <c r="I56" i="55"/>
  <c r="I16" i="55" s="1"/>
  <c r="I16" i="54"/>
  <c r="AK65" i="47"/>
  <c r="BU58" i="47" s="1"/>
  <c r="P75" i="54"/>
  <c r="J17" i="57"/>
  <c r="AS43" i="46"/>
  <c r="BW61" i="46" s="1"/>
  <c r="P57" i="53"/>
  <c r="P16" i="57"/>
  <c r="I68" i="44"/>
  <c r="H38" i="56" s="1"/>
  <c r="H38" i="53"/>
  <c r="H18" i="53" s="1"/>
  <c r="K68" i="47"/>
  <c r="J78" i="56" s="1"/>
  <c r="J78" i="53"/>
  <c r="D56" i="55"/>
  <c r="D16" i="55" s="1"/>
  <c r="D16" i="54"/>
  <c r="F17" i="56"/>
  <c r="H17" i="56"/>
  <c r="P53" i="55"/>
  <c r="P53" i="54"/>
  <c r="P13" i="54" s="1"/>
  <c r="D19" i="51"/>
  <c r="G56" i="55"/>
  <c r="G16" i="55" s="1"/>
  <c r="G16" i="54"/>
  <c r="P88" i="47"/>
  <c r="O74" i="57" s="1"/>
  <c r="O14" i="57" s="1"/>
  <c r="O74" i="56"/>
  <c r="O14" i="56" s="1"/>
  <c r="D17" i="56"/>
  <c r="L17" i="56"/>
  <c r="BR63" i="46"/>
  <c r="P52" i="55"/>
  <c r="P12" i="55" s="1"/>
  <c r="P52" i="54"/>
  <c r="P12" i="54" s="1"/>
  <c r="BC71" i="49"/>
  <c r="BC71" i="50"/>
  <c r="AV18" i="43"/>
  <c r="AV19" i="43" s="1"/>
  <c r="BA19" i="43"/>
  <c r="BA20" i="43" s="1"/>
  <c r="K90" i="43"/>
  <c r="H90" i="43"/>
  <c r="BD17" i="43"/>
  <c r="BX44" i="43"/>
  <c r="P89" i="44"/>
  <c r="O35" i="57" s="1"/>
  <c r="AD43" i="46"/>
  <c r="BC64" i="47"/>
  <c r="AC43" i="44"/>
  <c r="Y43" i="47"/>
  <c r="AF43" i="46"/>
  <c r="W43" i="44"/>
  <c r="AQ43" i="44"/>
  <c r="BW59" i="44" s="1"/>
  <c r="AT43" i="44"/>
  <c r="BW62" i="44" s="1"/>
  <c r="AJ42" i="46"/>
  <c r="AR43" i="47"/>
  <c r="BW60" i="47" s="1"/>
  <c r="AR43" i="46"/>
  <c r="BW60" i="46" s="1"/>
  <c r="BC64" i="44"/>
  <c r="BJ19" i="47"/>
  <c r="BK19" i="47" s="1"/>
  <c r="BL19" i="47" s="1"/>
  <c r="P19" i="47" s="1"/>
  <c r="AT43" i="47"/>
  <c r="BW62" i="47" s="1"/>
  <c r="AA43" i="44"/>
  <c r="AR43" i="44"/>
  <c r="BW60" i="44" s="1"/>
  <c r="AF43" i="44"/>
  <c r="Z43" i="44"/>
  <c r="AD43" i="44"/>
  <c r="AJ42" i="44"/>
  <c r="AB43" i="44"/>
  <c r="AC91" i="46"/>
  <c r="I57" i="58" s="1"/>
  <c r="AC67" i="46"/>
  <c r="I57" i="54" s="1"/>
  <c r="AW67" i="46"/>
  <c r="H45" i="44"/>
  <c r="H22" i="44"/>
  <c r="G40" i="51" s="1"/>
  <c r="BW45" i="44"/>
  <c r="BY67" i="44" s="1"/>
  <c r="J45" i="47"/>
  <c r="I79" i="53" s="1"/>
  <c r="J22" i="47"/>
  <c r="I80" i="51" s="1"/>
  <c r="BW68" i="46"/>
  <c r="AH43" i="46"/>
  <c r="AE43" i="46"/>
  <c r="BW69" i="46"/>
  <c r="AG43" i="46"/>
  <c r="BV59" i="44"/>
  <c r="AU42" i="44"/>
  <c r="Y43" i="46"/>
  <c r="O67" i="43"/>
  <c r="AH91" i="43" s="1"/>
  <c r="O91" i="43"/>
  <c r="AE91" i="43"/>
  <c r="L91" i="43"/>
  <c r="J66" i="43"/>
  <c r="AC90" i="43" s="1"/>
  <c r="J90" i="43"/>
  <c r="I22" i="47"/>
  <c r="H80" i="51" s="1"/>
  <c r="I45" i="47"/>
  <c r="H79" i="53" s="1"/>
  <c r="AJ17" i="47"/>
  <c r="P75" i="59" s="1"/>
  <c r="AA91" i="47"/>
  <c r="G77" i="58" s="1"/>
  <c r="AU67" i="47"/>
  <c r="G77" i="55" s="1"/>
  <c r="K45" i="46"/>
  <c r="K22" i="46"/>
  <c r="J60" i="51" s="1"/>
  <c r="I92" i="44"/>
  <c r="H38" i="57" s="1"/>
  <c r="I45" i="46"/>
  <c r="H59" i="53" s="1"/>
  <c r="I22" i="46"/>
  <c r="H60" i="51" s="1"/>
  <c r="H92" i="44"/>
  <c r="G38" i="57" s="1"/>
  <c r="AA68" i="44"/>
  <c r="G38" i="54" s="1"/>
  <c r="AB43" i="46"/>
  <c r="M45" i="46"/>
  <c r="L59" i="53" s="1"/>
  <c r="M22" i="46"/>
  <c r="L60" i="51" s="1"/>
  <c r="Z43" i="47"/>
  <c r="J92" i="47"/>
  <c r="I78" i="57" s="1"/>
  <c r="J68" i="47"/>
  <c r="I78" i="56" s="1"/>
  <c r="W67" i="47"/>
  <c r="C77" i="54" s="1"/>
  <c r="W91" i="47"/>
  <c r="C77" i="58" s="1"/>
  <c r="Q67" i="47"/>
  <c r="P77" i="56" s="1"/>
  <c r="AQ67" i="47"/>
  <c r="C77" i="55" s="1"/>
  <c r="Z43" i="46"/>
  <c r="AB67" i="47"/>
  <c r="H77" i="54" s="1"/>
  <c r="AB91" i="47"/>
  <c r="H77" i="58" s="1"/>
  <c r="AV67" i="47"/>
  <c r="H77" i="55" s="1"/>
  <c r="BW45" i="46"/>
  <c r="BY67" i="46" s="1"/>
  <c r="H45" i="46"/>
  <c r="H22" i="46"/>
  <c r="G60" i="51" s="1"/>
  <c r="Y91" i="46"/>
  <c r="E57" i="58" s="1"/>
  <c r="Y67" i="46"/>
  <c r="E57" i="54" s="1"/>
  <c r="AS67" i="46"/>
  <c r="K45" i="44"/>
  <c r="K22" i="44"/>
  <c r="J40" i="51" s="1"/>
  <c r="D45" i="44"/>
  <c r="BR45" i="44"/>
  <c r="BY65" i="44" s="1"/>
  <c r="D22" i="44"/>
  <c r="C40" i="51" s="1"/>
  <c r="Q21" i="44"/>
  <c r="I45" i="44"/>
  <c r="I22" i="44"/>
  <c r="H40" i="51" s="1"/>
  <c r="AE43" i="47"/>
  <c r="AH43" i="47"/>
  <c r="AG43" i="47"/>
  <c r="BW68" i="47"/>
  <c r="BW69" i="47"/>
  <c r="AJ90" i="44"/>
  <c r="P36" i="58" s="1"/>
  <c r="K92" i="44"/>
  <c r="J38" i="57" s="1"/>
  <c r="CA44" i="44"/>
  <c r="X43" i="46"/>
  <c r="D92" i="46"/>
  <c r="C58" i="57" s="1"/>
  <c r="D68" i="46"/>
  <c r="C58" i="56" s="1"/>
  <c r="Q44" i="46"/>
  <c r="I92" i="47"/>
  <c r="H78" i="57" s="1"/>
  <c r="I68" i="47"/>
  <c r="H78" i="56" s="1"/>
  <c r="Q44" i="44"/>
  <c r="D92" i="44"/>
  <c r="C38" i="57" s="1"/>
  <c r="P65" i="47"/>
  <c r="AI41" i="47"/>
  <c r="K92" i="46"/>
  <c r="J58" i="57" s="1"/>
  <c r="CA44" i="46"/>
  <c r="AA91" i="44"/>
  <c r="G37" i="58" s="1"/>
  <c r="AU67" i="44"/>
  <c r="G37" i="55" s="1"/>
  <c r="I92" i="46"/>
  <c r="H58" i="57" s="1"/>
  <c r="I68" i="46"/>
  <c r="H58" i="56" s="1"/>
  <c r="AF91" i="46"/>
  <c r="L57" i="58" s="1"/>
  <c r="AF67" i="46"/>
  <c r="L57" i="54" s="1"/>
  <c r="AZ67" i="46"/>
  <c r="AB91" i="46"/>
  <c r="H57" i="58" s="1"/>
  <c r="AB67" i="46"/>
  <c r="H57" i="54" s="1"/>
  <c r="AV67" i="46"/>
  <c r="M92" i="46"/>
  <c r="L58" i="57" s="1"/>
  <c r="M68" i="46"/>
  <c r="L58" i="56" s="1"/>
  <c r="Z91" i="44"/>
  <c r="F37" i="58" s="1"/>
  <c r="Z67" i="44"/>
  <c r="F37" i="54" s="1"/>
  <c r="AT67" i="44"/>
  <c r="F37" i="55" s="1"/>
  <c r="AS43" i="47"/>
  <c r="BW61" i="47" s="1"/>
  <c r="X91" i="47"/>
  <c r="D77" i="58" s="1"/>
  <c r="X67" i="47"/>
  <c r="D77" i="54" s="1"/>
  <c r="AR67" i="47"/>
  <c r="D77" i="55" s="1"/>
  <c r="Q91" i="47"/>
  <c r="P77" i="57" s="1"/>
  <c r="AA43" i="46"/>
  <c r="Z91" i="46"/>
  <c r="F57" i="58" s="1"/>
  <c r="Z67" i="46"/>
  <c r="F57" i="54" s="1"/>
  <c r="AT67" i="46"/>
  <c r="AD91" i="44"/>
  <c r="J37" i="58" s="1"/>
  <c r="AD67" i="44"/>
  <c r="J37" i="54" s="1"/>
  <c r="AX67" i="44"/>
  <c r="J37" i="55" s="1"/>
  <c r="H92" i="46"/>
  <c r="G58" i="57" s="1"/>
  <c r="AA68" i="46"/>
  <c r="G58" i="54" s="1"/>
  <c r="D45" i="46"/>
  <c r="C59" i="53" s="1"/>
  <c r="BR45" i="46"/>
  <c r="BY65" i="46" s="1"/>
  <c r="Q21" i="46"/>
  <c r="D22" i="46"/>
  <c r="C60" i="51" s="1"/>
  <c r="AD91" i="46"/>
  <c r="J57" i="58" s="1"/>
  <c r="AD67" i="46"/>
  <c r="J57" i="54" s="1"/>
  <c r="AX67" i="46"/>
  <c r="P42" i="44"/>
  <c r="O36" i="53" s="1"/>
  <c r="AI18" i="44"/>
  <c r="O36" i="59" s="1"/>
  <c r="BO42" i="44"/>
  <c r="BV64" i="44" s="1"/>
  <c r="BU42" i="44"/>
  <c r="BV66" i="44" s="1"/>
  <c r="J22" i="44"/>
  <c r="I40" i="51" s="1"/>
  <c r="J45" i="44"/>
  <c r="AD91" i="47"/>
  <c r="J77" i="58" s="1"/>
  <c r="AD67" i="47"/>
  <c r="J77" i="54" s="1"/>
  <c r="AX67" i="47"/>
  <c r="J77" i="55" s="1"/>
  <c r="X91" i="44"/>
  <c r="D37" i="58" s="1"/>
  <c r="X67" i="44"/>
  <c r="D37" i="54" s="1"/>
  <c r="AR67" i="44"/>
  <c r="D37" i="55" s="1"/>
  <c r="AJ66" i="46"/>
  <c r="AK66" i="46" s="1"/>
  <c r="BV58" i="46" s="1"/>
  <c r="AA91" i="46"/>
  <c r="G57" i="58" s="1"/>
  <c r="AU67" i="46"/>
  <c r="F45" i="47"/>
  <c r="E79" i="53" s="1"/>
  <c r="F22" i="47"/>
  <c r="E80" i="51" s="1"/>
  <c r="AC43" i="47"/>
  <c r="Z91" i="47"/>
  <c r="F77" i="58" s="1"/>
  <c r="Z67" i="47"/>
  <c r="F77" i="54" s="1"/>
  <c r="AT67" i="47"/>
  <c r="F77" i="55" s="1"/>
  <c r="Y91" i="47"/>
  <c r="E77" i="58" s="1"/>
  <c r="Y67" i="47"/>
  <c r="E77" i="54" s="1"/>
  <c r="AS67" i="47"/>
  <c r="E77" i="55" s="1"/>
  <c r="J92" i="44"/>
  <c r="I38" i="57" s="1"/>
  <c r="X43" i="44"/>
  <c r="BW69" i="44"/>
  <c r="BW68" i="44"/>
  <c r="AH43" i="44"/>
  <c r="AE43" i="44"/>
  <c r="AG43" i="44"/>
  <c r="AJ17" i="46"/>
  <c r="P55" i="59" s="1"/>
  <c r="P15" i="59" s="1"/>
  <c r="J45" i="46"/>
  <c r="I59" i="53" s="1"/>
  <c r="J22" i="46"/>
  <c r="I60" i="51" s="1"/>
  <c r="AJ90" i="46"/>
  <c r="P56" i="58" s="1"/>
  <c r="G45" i="47"/>
  <c r="F79" i="53" s="1"/>
  <c r="G22" i="47"/>
  <c r="F80" i="51" s="1"/>
  <c r="AC67" i="47"/>
  <c r="I77" i="54" s="1"/>
  <c r="AC91" i="47"/>
  <c r="I77" i="58" s="1"/>
  <c r="AW67" i="47"/>
  <c r="I77" i="55" s="1"/>
  <c r="M45" i="44"/>
  <c r="M22" i="44"/>
  <c r="L40" i="51" s="1"/>
  <c r="F92" i="47"/>
  <c r="E78" i="57" s="1"/>
  <c r="F68" i="47"/>
  <c r="E78" i="56" s="1"/>
  <c r="AQ43" i="46"/>
  <c r="E45" i="46"/>
  <c r="D59" i="53" s="1"/>
  <c r="E22" i="46"/>
  <c r="D60" i="51" s="1"/>
  <c r="Q44" i="47"/>
  <c r="D92" i="47"/>
  <c r="C78" i="57" s="1"/>
  <c r="D68" i="47"/>
  <c r="C78" i="56" s="1"/>
  <c r="I66" i="43"/>
  <c r="AB90" i="43" s="1"/>
  <c r="I90" i="43"/>
  <c r="G66" i="43"/>
  <c r="Z90" i="43" s="1"/>
  <c r="G90" i="43"/>
  <c r="E66" i="43"/>
  <c r="X90" i="43" s="1"/>
  <c r="E90" i="43"/>
  <c r="AG91" i="43"/>
  <c r="N91" i="43"/>
  <c r="X91" i="46"/>
  <c r="D57" i="58" s="1"/>
  <c r="X67" i="46"/>
  <c r="D57" i="54" s="1"/>
  <c r="AR67" i="46"/>
  <c r="M22" i="47"/>
  <c r="L80" i="51" s="1"/>
  <c r="M45" i="47"/>
  <c r="L79" i="53" s="1"/>
  <c r="AA43" i="47"/>
  <c r="W91" i="44"/>
  <c r="C37" i="58" s="1"/>
  <c r="Q67" i="44"/>
  <c r="P37" i="56" s="1"/>
  <c r="W67" i="44"/>
  <c r="C37" i="54" s="1"/>
  <c r="AQ67" i="44"/>
  <c r="C37" i="55" s="1"/>
  <c r="P89" i="46"/>
  <c r="O55" i="57" s="1"/>
  <c r="AI41" i="46"/>
  <c r="P42" i="47"/>
  <c r="O76" i="53" s="1"/>
  <c r="AI18" i="47"/>
  <c r="O76" i="59" s="1"/>
  <c r="BU42" i="47"/>
  <c r="BV66" i="47" s="1"/>
  <c r="BO42" i="47"/>
  <c r="BV64" i="47" s="1"/>
  <c r="J92" i="46"/>
  <c r="I58" i="57" s="1"/>
  <c r="J68" i="46"/>
  <c r="I58" i="56" s="1"/>
  <c r="G92" i="47"/>
  <c r="F78" i="57" s="1"/>
  <c r="G68" i="47"/>
  <c r="F78" i="56" s="1"/>
  <c r="E45" i="44"/>
  <c r="E22" i="44"/>
  <c r="D40" i="51" s="1"/>
  <c r="G22" i="44"/>
  <c r="F40" i="51" s="1"/>
  <c r="G45" i="44"/>
  <c r="M92" i="44"/>
  <c r="L38" i="57" s="1"/>
  <c r="G22" i="46"/>
  <c r="F60" i="51" s="1"/>
  <c r="G45" i="46"/>
  <c r="F59" i="53" s="1"/>
  <c r="BC64" i="46"/>
  <c r="Y43" i="44"/>
  <c r="W43" i="46"/>
  <c r="AJ66" i="47"/>
  <c r="F92" i="44"/>
  <c r="E38" i="57" s="1"/>
  <c r="E92" i="46"/>
  <c r="D58" i="57" s="1"/>
  <c r="E68" i="46"/>
  <c r="D58" i="56" s="1"/>
  <c r="D22" i="47"/>
  <c r="C80" i="51" s="1"/>
  <c r="D45" i="47"/>
  <c r="C79" i="53" s="1"/>
  <c r="BR45" i="47"/>
  <c r="BY65" i="47" s="1"/>
  <c r="Q21" i="47"/>
  <c r="F45" i="46"/>
  <c r="E59" i="53" s="1"/>
  <c r="F22" i="46"/>
  <c r="E60" i="51" s="1"/>
  <c r="AF43" i="47"/>
  <c r="AC91" i="44"/>
  <c r="I37" i="58" s="1"/>
  <c r="AC67" i="44"/>
  <c r="I37" i="54" s="1"/>
  <c r="AW67" i="44"/>
  <c r="I37" i="55" s="1"/>
  <c r="M92" i="47"/>
  <c r="L78" i="57" s="1"/>
  <c r="M68" i="47"/>
  <c r="L78" i="56" s="1"/>
  <c r="Q91" i="44"/>
  <c r="P37" i="57" s="1"/>
  <c r="H22" i="47"/>
  <c r="G80" i="51" s="1"/>
  <c r="H45" i="47"/>
  <c r="G79" i="53" s="1"/>
  <c r="BW45" i="47"/>
  <c r="BY67" i="47" s="1"/>
  <c r="K22" i="47"/>
  <c r="J80" i="51" s="1"/>
  <c r="K45" i="47"/>
  <c r="E92" i="44"/>
  <c r="D38" i="57" s="1"/>
  <c r="G92" i="44"/>
  <c r="F38" i="57" s="1"/>
  <c r="G92" i="46"/>
  <c r="F58" i="57" s="1"/>
  <c r="G68" i="46"/>
  <c r="F58" i="56" s="1"/>
  <c r="W43" i="47"/>
  <c r="E22" i="47"/>
  <c r="D80" i="51" s="1"/>
  <c r="E45" i="47"/>
  <c r="D79" i="53" s="1"/>
  <c r="Y67" i="44"/>
  <c r="E37" i="54" s="1"/>
  <c r="Y91" i="44"/>
  <c r="E37" i="58" s="1"/>
  <c r="AS67" i="44"/>
  <c r="E37" i="55" s="1"/>
  <c r="AU42" i="47"/>
  <c r="BV59" i="47"/>
  <c r="W67" i="46"/>
  <c r="C57" i="54" s="1"/>
  <c r="Q67" i="46"/>
  <c r="P57" i="56" s="1"/>
  <c r="W91" i="46"/>
  <c r="C57" i="58" s="1"/>
  <c r="AQ67" i="46"/>
  <c r="AJ90" i="47"/>
  <c r="P76" i="58" s="1"/>
  <c r="F45" i="44"/>
  <c r="F22" i="44"/>
  <c r="E40" i="51" s="1"/>
  <c r="AI18" i="46"/>
  <c r="O56" i="59" s="1"/>
  <c r="P42" i="46"/>
  <c r="O56" i="53" s="1"/>
  <c r="BU42" i="46"/>
  <c r="BV66" i="46" s="1"/>
  <c r="BO42" i="46"/>
  <c r="BV64" i="46" s="1"/>
  <c r="F68" i="46"/>
  <c r="E58" i="56" s="1"/>
  <c r="F92" i="46"/>
  <c r="E58" i="57" s="1"/>
  <c r="AF67" i="47"/>
  <c r="L77" i="54" s="1"/>
  <c r="AF91" i="47"/>
  <c r="L77" i="58" s="1"/>
  <c r="AZ67" i="47"/>
  <c r="L77" i="55" s="1"/>
  <c r="AB91" i="44"/>
  <c r="H37" i="58" s="1"/>
  <c r="AB67" i="44"/>
  <c r="H37" i="54" s="1"/>
  <c r="AV67" i="44"/>
  <c r="H37" i="55" s="1"/>
  <c r="M66" i="43"/>
  <c r="AF90" i="43" s="1"/>
  <c r="M90" i="43"/>
  <c r="F66" i="43"/>
  <c r="Y90" i="43" s="1"/>
  <c r="F90" i="43"/>
  <c r="AJ42" i="47"/>
  <c r="BJ19" i="46"/>
  <c r="BK19" i="46" s="1"/>
  <c r="BL19" i="46" s="1"/>
  <c r="P19" i="46" s="1"/>
  <c r="O57" i="51" s="1"/>
  <c r="AC43" i="46"/>
  <c r="AD43" i="47"/>
  <c r="H92" i="47"/>
  <c r="G78" i="57" s="1"/>
  <c r="AA68" i="47"/>
  <c r="G78" i="54" s="1"/>
  <c r="H68" i="47"/>
  <c r="G78" i="56" s="1"/>
  <c r="AF91" i="44"/>
  <c r="L37" i="58" s="1"/>
  <c r="AF67" i="44"/>
  <c r="L37" i="54" s="1"/>
  <c r="AZ67" i="44"/>
  <c r="L37" i="55" s="1"/>
  <c r="K92" i="47"/>
  <c r="J78" i="57" s="1"/>
  <c r="CA44" i="47"/>
  <c r="AU42" i="46"/>
  <c r="BV59" i="46"/>
  <c r="AQ43" i="47"/>
  <c r="AT43" i="46"/>
  <c r="BW62" i="46" s="1"/>
  <c r="E92" i="47"/>
  <c r="D78" i="57" s="1"/>
  <c r="E68" i="47"/>
  <c r="D78" i="56" s="1"/>
  <c r="AJ66" i="44"/>
  <c r="BJ19" i="44"/>
  <c r="BK19" i="44" s="1"/>
  <c r="BL19" i="44" s="1"/>
  <c r="P19" i="44" s="1"/>
  <c r="O37" i="51" s="1"/>
  <c r="AB43" i="47"/>
  <c r="Q91" i="46"/>
  <c r="P57" i="57" s="1"/>
  <c r="BW43" i="43"/>
  <c r="BW67" i="43" s="1"/>
  <c r="AD90" i="43"/>
  <c r="CA42" i="43"/>
  <c r="BA41" i="43"/>
  <c r="AA66" i="43"/>
  <c r="G20" i="43"/>
  <c r="G43" i="43"/>
  <c r="E20" i="43"/>
  <c r="E43" i="43"/>
  <c r="N21" i="43"/>
  <c r="N44" i="43"/>
  <c r="N68" i="43" s="1"/>
  <c r="I20" i="43"/>
  <c r="I43" i="43"/>
  <c r="H20" i="43"/>
  <c r="H43" i="43"/>
  <c r="M20" i="43"/>
  <c r="M43" i="43"/>
  <c r="F20" i="43"/>
  <c r="F43" i="43"/>
  <c r="O21" i="43"/>
  <c r="O44" i="43"/>
  <c r="K20" i="43"/>
  <c r="K43" i="43"/>
  <c r="K67" i="43" s="1"/>
  <c r="L21" i="43"/>
  <c r="L44" i="43"/>
  <c r="L68" i="43" s="1"/>
  <c r="J20" i="43"/>
  <c r="J43" i="43"/>
  <c r="Z65" i="43"/>
  <c r="AT65" i="43"/>
  <c r="AE66" i="43"/>
  <c r="AY66" i="43"/>
  <c r="AG66" i="43"/>
  <c r="BA66" i="43"/>
  <c r="AH66" i="43"/>
  <c r="BB66" i="43"/>
  <c r="Y65" i="43"/>
  <c r="AS65" i="43"/>
  <c r="AF65" i="43"/>
  <c r="AZ65" i="43"/>
  <c r="AD65" i="43"/>
  <c r="AX65" i="43"/>
  <c r="AB65" i="43"/>
  <c r="AV65" i="43"/>
  <c r="AU65" i="43"/>
  <c r="X65" i="43"/>
  <c r="AR65" i="43"/>
  <c r="AC65" i="43"/>
  <c r="AW65" i="43"/>
  <c r="AU18" i="43"/>
  <c r="AY19" i="43"/>
  <c r="AZ19" i="43"/>
  <c r="AW19" i="43"/>
  <c r="AX19" i="43"/>
  <c r="O13" i="55" l="1"/>
  <c r="P18" i="51"/>
  <c r="L16" i="60"/>
  <c r="J16" i="60"/>
  <c r="D16" i="60"/>
  <c r="H16" i="60"/>
  <c r="P59" i="51"/>
  <c r="O16" i="59"/>
  <c r="P79" i="51"/>
  <c r="P39" i="51"/>
  <c r="P39" i="59"/>
  <c r="L17" i="58"/>
  <c r="H67" i="43"/>
  <c r="AA91" i="43" s="1"/>
  <c r="P17" i="56"/>
  <c r="G18" i="53"/>
  <c r="BZ55" i="49"/>
  <c r="D20" i="51"/>
  <c r="CA55" i="48"/>
  <c r="I17" i="58"/>
  <c r="E18" i="57"/>
  <c r="D17" i="58"/>
  <c r="BZ63" i="49"/>
  <c r="E20" i="51"/>
  <c r="P17" i="57"/>
  <c r="F20" i="51"/>
  <c r="C17" i="58"/>
  <c r="I18" i="57"/>
  <c r="O16" i="53"/>
  <c r="J18" i="53"/>
  <c r="P16" i="58"/>
  <c r="CA63" i="48"/>
  <c r="D18" i="56"/>
  <c r="E17" i="58"/>
  <c r="D18" i="57"/>
  <c r="E69" i="44"/>
  <c r="D39" i="56" s="1"/>
  <c r="D39" i="53"/>
  <c r="D19" i="53" s="1"/>
  <c r="G57" i="55"/>
  <c r="G17" i="55" s="1"/>
  <c r="G17" i="54"/>
  <c r="AT44" i="44"/>
  <c r="BX62" i="44" s="1"/>
  <c r="P38" i="53"/>
  <c r="J18" i="57"/>
  <c r="I69" i="44"/>
  <c r="H39" i="56" s="1"/>
  <c r="H39" i="53"/>
  <c r="H19" i="53" s="1"/>
  <c r="G20" i="51"/>
  <c r="BD64" i="47"/>
  <c r="BT55" i="47" s="1"/>
  <c r="O74" i="55"/>
  <c r="F18" i="56"/>
  <c r="L18" i="56"/>
  <c r="E18" i="56"/>
  <c r="K69" i="47"/>
  <c r="J79" i="56" s="1"/>
  <c r="J79" i="53"/>
  <c r="H57" i="55"/>
  <c r="H17" i="55" s="1"/>
  <c r="H17" i="54"/>
  <c r="D57" i="55"/>
  <c r="D17" i="55" s="1"/>
  <c r="D17" i="54"/>
  <c r="I20" i="51"/>
  <c r="J17" i="58"/>
  <c r="G17" i="58"/>
  <c r="C20" i="51"/>
  <c r="I57" i="55"/>
  <c r="I17" i="55" s="1"/>
  <c r="I17" i="54"/>
  <c r="G18" i="56"/>
  <c r="I18" i="56"/>
  <c r="J69" i="44"/>
  <c r="I39" i="56" s="1"/>
  <c r="I39" i="53"/>
  <c r="I19" i="53" s="1"/>
  <c r="H69" i="44"/>
  <c r="G39" i="56" s="1"/>
  <c r="G39" i="53"/>
  <c r="AK66" i="44"/>
  <c r="BV58" i="44" s="1"/>
  <c r="P36" i="54"/>
  <c r="F57" i="55"/>
  <c r="F17" i="55" s="1"/>
  <c r="F17" i="54"/>
  <c r="AQ44" i="46"/>
  <c r="BX59" i="46" s="1"/>
  <c r="P58" i="53"/>
  <c r="H69" i="46"/>
  <c r="G59" i="56" s="1"/>
  <c r="G59" i="53"/>
  <c r="H18" i="56"/>
  <c r="K69" i="46"/>
  <c r="J59" i="56" s="1"/>
  <c r="J59" i="53"/>
  <c r="H17" i="58"/>
  <c r="L18" i="57"/>
  <c r="L57" i="55"/>
  <c r="L17" i="55" s="1"/>
  <c r="L17" i="54"/>
  <c r="D69" i="44"/>
  <c r="C39" i="56" s="1"/>
  <c r="C39" i="53"/>
  <c r="C19" i="53" s="1"/>
  <c r="G18" i="57"/>
  <c r="BD71" i="50"/>
  <c r="P141" i="55" s="1"/>
  <c r="O141" i="55"/>
  <c r="BS63" i="44"/>
  <c r="P33" i="55"/>
  <c r="P13" i="55" s="1"/>
  <c r="G69" i="44"/>
  <c r="F39" i="56" s="1"/>
  <c r="F39" i="53"/>
  <c r="F19" i="53" s="1"/>
  <c r="L20" i="51"/>
  <c r="J20" i="51"/>
  <c r="BO43" i="47"/>
  <c r="BW64" i="47" s="1"/>
  <c r="O77" i="51"/>
  <c r="O17" i="51" s="1"/>
  <c r="BD71" i="49"/>
  <c r="P121" i="55" s="1"/>
  <c r="O121" i="55"/>
  <c r="C18" i="56"/>
  <c r="C57" i="55"/>
  <c r="C17" i="55" s="1"/>
  <c r="C17" i="54"/>
  <c r="AK66" i="47"/>
  <c r="BV58" i="47" s="1"/>
  <c r="P76" i="54"/>
  <c r="M69" i="44"/>
  <c r="L39" i="56" s="1"/>
  <c r="L39" i="53"/>
  <c r="L19" i="53" s="1"/>
  <c r="F17" i="58"/>
  <c r="P89" i="47"/>
  <c r="O75" i="57" s="1"/>
  <c r="O15" i="57" s="1"/>
  <c r="O75" i="56"/>
  <c r="O15" i="56" s="1"/>
  <c r="K69" i="44"/>
  <c r="J39" i="56" s="1"/>
  <c r="J39" i="53"/>
  <c r="BD64" i="44"/>
  <c r="O34" i="55"/>
  <c r="J18" i="56"/>
  <c r="BD64" i="46"/>
  <c r="BT55" i="46" s="1"/>
  <c r="O54" i="55"/>
  <c r="O14" i="54"/>
  <c r="F69" i="44"/>
  <c r="E39" i="56" s="1"/>
  <c r="E39" i="53"/>
  <c r="E19" i="53" s="1"/>
  <c r="F18" i="57"/>
  <c r="AC44" i="47"/>
  <c r="P78" i="53"/>
  <c r="J57" i="55"/>
  <c r="J17" i="55" s="1"/>
  <c r="J17" i="54"/>
  <c r="C18" i="57"/>
  <c r="H20" i="51"/>
  <c r="E57" i="55"/>
  <c r="E17" i="55" s="1"/>
  <c r="E17" i="54"/>
  <c r="H18" i="57"/>
  <c r="P17" i="53"/>
  <c r="BD18" i="43"/>
  <c r="BX45" i="43"/>
  <c r="K91" i="43"/>
  <c r="H91" i="43"/>
  <c r="AS44" i="46"/>
  <c r="BX61" i="46" s="1"/>
  <c r="X44" i="46"/>
  <c r="BC65" i="44"/>
  <c r="AC44" i="46"/>
  <c r="AB44" i="46"/>
  <c r="Z44" i="46"/>
  <c r="AA44" i="46"/>
  <c r="AF44" i="46"/>
  <c r="W44" i="46"/>
  <c r="AT44" i="46"/>
  <c r="BX62" i="46" s="1"/>
  <c r="AJ67" i="47"/>
  <c r="AI19" i="47"/>
  <c r="AR44" i="44"/>
  <c r="BX60" i="44" s="1"/>
  <c r="AU43" i="44"/>
  <c r="P43" i="47"/>
  <c r="BU43" i="47"/>
  <c r="BW66" i="47" s="1"/>
  <c r="AD44" i="46"/>
  <c r="AR44" i="46"/>
  <c r="BX60" i="46" s="1"/>
  <c r="AJ43" i="44"/>
  <c r="AC44" i="44"/>
  <c r="BJ20" i="44"/>
  <c r="BK20" i="44" s="1"/>
  <c r="BL20" i="44" s="1"/>
  <c r="P20" i="44" s="1"/>
  <c r="Y44" i="44"/>
  <c r="AD44" i="44"/>
  <c r="AF44" i="44"/>
  <c r="Z44" i="44"/>
  <c r="AS44" i="44"/>
  <c r="BX61" i="44" s="1"/>
  <c r="AQ44" i="44"/>
  <c r="G23" i="47"/>
  <c r="F81" i="51" s="1"/>
  <c r="G46" i="47"/>
  <c r="F80" i="53" s="1"/>
  <c r="G93" i="46"/>
  <c r="F59" i="57" s="1"/>
  <c r="G69" i="46"/>
  <c r="F59" i="56" s="1"/>
  <c r="J93" i="44"/>
  <c r="I39" i="57" s="1"/>
  <c r="O68" i="43"/>
  <c r="AH92" i="43" s="1"/>
  <c r="O92" i="43"/>
  <c r="J67" i="43"/>
  <c r="AC91" i="43" s="1"/>
  <c r="J91" i="43"/>
  <c r="AE92" i="43"/>
  <c r="L92" i="43"/>
  <c r="M67" i="43"/>
  <c r="AF91" i="43" s="1"/>
  <c r="M91" i="43"/>
  <c r="E67" i="43"/>
  <c r="X91" i="43" s="1"/>
  <c r="E91" i="43"/>
  <c r="X92" i="47"/>
  <c r="D78" i="58" s="1"/>
  <c r="X68" i="47"/>
  <c r="D78" i="54" s="1"/>
  <c r="AR68" i="47"/>
  <c r="D78" i="55" s="1"/>
  <c r="AD44" i="47"/>
  <c r="AA92" i="47"/>
  <c r="G78" i="58" s="1"/>
  <c r="AU68" i="47"/>
  <c r="G78" i="55" s="1"/>
  <c r="F46" i="44"/>
  <c r="F23" i="44"/>
  <c r="E41" i="51" s="1"/>
  <c r="AJ43" i="47"/>
  <c r="X92" i="46"/>
  <c r="D58" i="58" s="1"/>
  <c r="X68" i="46"/>
  <c r="D58" i="54" s="1"/>
  <c r="AR68" i="46"/>
  <c r="G93" i="44"/>
  <c r="F39" i="57" s="1"/>
  <c r="M93" i="47"/>
  <c r="L79" i="57" s="1"/>
  <c r="M69" i="47"/>
  <c r="L79" i="56" s="1"/>
  <c r="Q92" i="47"/>
  <c r="P78" i="57" s="1"/>
  <c r="Y92" i="47"/>
  <c r="E78" i="58" s="1"/>
  <c r="Y68" i="47"/>
  <c r="E78" i="54" s="1"/>
  <c r="AS68" i="47"/>
  <c r="E78" i="55" s="1"/>
  <c r="AC68" i="44"/>
  <c r="I38" i="54" s="1"/>
  <c r="AC92" i="44"/>
  <c r="I38" i="58" s="1"/>
  <c r="AW68" i="44"/>
  <c r="I38" i="55" s="1"/>
  <c r="D93" i="46"/>
  <c r="C59" i="57" s="1"/>
  <c r="D69" i="46"/>
  <c r="C59" i="56" s="1"/>
  <c r="Q45" i="46"/>
  <c r="AB44" i="47"/>
  <c r="Q45" i="44"/>
  <c r="D93" i="44"/>
  <c r="C39" i="57" s="1"/>
  <c r="BW46" i="46"/>
  <c r="BZ67" i="46" s="1"/>
  <c r="H46" i="46"/>
  <c r="H23" i="46"/>
  <c r="G61" i="51" s="1"/>
  <c r="M46" i="46"/>
  <c r="L60" i="53" s="1"/>
  <c r="M23" i="46"/>
  <c r="L61" i="51" s="1"/>
  <c r="K93" i="46"/>
  <c r="J59" i="57" s="1"/>
  <c r="CA45" i="46"/>
  <c r="J93" i="47"/>
  <c r="I79" i="57" s="1"/>
  <c r="J69" i="47"/>
  <c r="I79" i="56" s="1"/>
  <c r="G46" i="44"/>
  <c r="G23" i="44"/>
  <c r="F41" i="51" s="1"/>
  <c r="H93" i="46"/>
  <c r="G59" i="57" s="1"/>
  <c r="AA69" i="46"/>
  <c r="G59" i="54" s="1"/>
  <c r="AC68" i="46"/>
  <c r="I58" i="54" s="1"/>
  <c r="AC92" i="46"/>
  <c r="I58" i="58" s="1"/>
  <c r="AW68" i="46"/>
  <c r="K23" i="44"/>
  <c r="J41" i="51" s="1"/>
  <c r="K46" i="44"/>
  <c r="I93" i="46"/>
  <c r="H59" i="57" s="1"/>
  <c r="I69" i="46"/>
  <c r="H59" i="56" s="1"/>
  <c r="BW59" i="47"/>
  <c r="AU43" i="47"/>
  <c r="Z68" i="46"/>
  <c r="F58" i="54" s="1"/>
  <c r="Z92" i="46"/>
  <c r="F58" i="58" s="1"/>
  <c r="AT68" i="46"/>
  <c r="Y92" i="44"/>
  <c r="E38" i="58" s="1"/>
  <c r="Y68" i="44"/>
  <c r="E38" i="54" s="1"/>
  <c r="AS68" i="44"/>
  <c r="E38" i="55" s="1"/>
  <c r="G46" i="46"/>
  <c r="F60" i="53" s="1"/>
  <c r="G23" i="46"/>
  <c r="F61" i="51" s="1"/>
  <c r="AJ67" i="44"/>
  <c r="M23" i="44"/>
  <c r="L41" i="51" s="1"/>
  <c r="M46" i="44"/>
  <c r="J46" i="44"/>
  <c r="J23" i="44"/>
  <c r="I41" i="51" s="1"/>
  <c r="AA92" i="46"/>
  <c r="G58" i="58" s="1"/>
  <c r="AU68" i="46"/>
  <c r="BJ20" i="46"/>
  <c r="BK20" i="46" s="1"/>
  <c r="BL20" i="46" s="1"/>
  <c r="P20" i="46" s="1"/>
  <c r="O58" i="51" s="1"/>
  <c r="W44" i="44"/>
  <c r="K93" i="44"/>
  <c r="J39" i="57" s="1"/>
  <c r="CA45" i="44"/>
  <c r="AA44" i="44"/>
  <c r="AB44" i="44"/>
  <c r="BC65" i="47"/>
  <c r="H46" i="44"/>
  <c r="H23" i="44"/>
  <c r="G41" i="51" s="1"/>
  <c r="BW46" i="44"/>
  <c r="BZ67" i="44" s="1"/>
  <c r="AS44" i="47"/>
  <c r="BX61" i="47" s="1"/>
  <c r="AG44" i="47"/>
  <c r="AH44" i="47"/>
  <c r="AE44" i="47"/>
  <c r="BX69" i="47"/>
  <c r="BX68" i="47"/>
  <c r="M93" i="46"/>
  <c r="L59" i="57" s="1"/>
  <c r="M69" i="46"/>
  <c r="L59" i="56" s="1"/>
  <c r="I46" i="46"/>
  <c r="H60" i="53" s="1"/>
  <c r="I23" i="46"/>
  <c r="H61" i="51" s="1"/>
  <c r="Y68" i="46"/>
  <c r="E58" i="54" s="1"/>
  <c r="Y92" i="46"/>
  <c r="E58" i="58" s="1"/>
  <c r="AS68" i="46"/>
  <c r="AI19" i="44"/>
  <c r="O37" i="59" s="1"/>
  <c r="P43" i="44"/>
  <c r="O37" i="53" s="1"/>
  <c r="BU43" i="44"/>
  <c r="BW66" i="44" s="1"/>
  <c r="BO43" i="44"/>
  <c r="BW64" i="44" s="1"/>
  <c r="AJ91" i="46"/>
  <c r="P57" i="58" s="1"/>
  <c r="D93" i="47"/>
  <c r="C79" i="57" s="1"/>
  <c r="D69" i="47"/>
  <c r="C79" i="56" s="1"/>
  <c r="Q45" i="47"/>
  <c r="E23" i="44"/>
  <c r="D41" i="51" s="1"/>
  <c r="E46" i="44"/>
  <c r="E23" i="46"/>
  <c r="D61" i="51" s="1"/>
  <c r="E46" i="46"/>
  <c r="D60" i="53" s="1"/>
  <c r="M93" i="44"/>
  <c r="L39" i="57" s="1"/>
  <c r="F46" i="47"/>
  <c r="E80" i="53" s="1"/>
  <c r="F23" i="47"/>
  <c r="E81" i="51" s="1"/>
  <c r="AD92" i="44"/>
  <c r="J38" i="58" s="1"/>
  <c r="AD68" i="44"/>
  <c r="J38" i="54" s="1"/>
  <c r="AX68" i="44"/>
  <c r="J38" i="55" s="1"/>
  <c r="AC92" i="47"/>
  <c r="I78" i="58" s="1"/>
  <c r="AC68" i="47"/>
  <c r="I78" i="54" s="1"/>
  <c r="AW68" i="47"/>
  <c r="I78" i="55" s="1"/>
  <c r="AB92" i="44"/>
  <c r="H38" i="58" s="1"/>
  <c r="AB68" i="44"/>
  <c r="H38" i="54" s="1"/>
  <c r="AV68" i="44"/>
  <c r="H38" i="55" s="1"/>
  <c r="H93" i="44"/>
  <c r="G39" i="57" s="1"/>
  <c r="AA69" i="44"/>
  <c r="G39" i="54" s="1"/>
  <c r="AD92" i="47"/>
  <c r="J78" i="58" s="1"/>
  <c r="AD68" i="47"/>
  <c r="J78" i="54" s="1"/>
  <c r="AX68" i="47"/>
  <c r="J78" i="55" s="1"/>
  <c r="H93" i="47"/>
  <c r="G79" i="57" s="1"/>
  <c r="AA69" i="47"/>
  <c r="G79" i="54" s="1"/>
  <c r="H69" i="47"/>
  <c r="G79" i="56" s="1"/>
  <c r="I67" i="43"/>
  <c r="AB91" i="43" s="1"/>
  <c r="I91" i="43"/>
  <c r="P43" i="46"/>
  <c r="O57" i="53" s="1"/>
  <c r="AI19" i="46"/>
  <c r="O57" i="59" s="1"/>
  <c r="BU43" i="46"/>
  <c r="BW66" i="46" s="1"/>
  <c r="BO43" i="46"/>
  <c r="BW64" i="46" s="1"/>
  <c r="P90" i="46"/>
  <c r="O56" i="57" s="1"/>
  <c r="AI42" i="46"/>
  <c r="K93" i="47"/>
  <c r="J79" i="57" s="1"/>
  <c r="CA45" i="47"/>
  <c r="D46" i="47"/>
  <c r="C80" i="53" s="1"/>
  <c r="BR46" i="47"/>
  <c r="BZ65" i="47" s="1"/>
  <c r="Q22" i="47"/>
  <c r="D23" i="47"/>
  <c r="C81" i="51" s="1"/>
  <c r="E93" i="44"/>
  <c r="D39" i="57" s="1"/>
  <c r="AJ91" i="44"/>
  <c r="P37" i="58" s="1"/>
  <c r="W44" i="47"/>
  <c r="E93" i="46"/>
  <c r="D59" i="57" s="1"/>
  <c r="E69" i="46"/>
  <c r="D59" i="56" s="1"/>
  <c r="J46" i="46"/>
  <c r="I60" i="53" s="1"/>
  <c r="J23" i="46"/>
  <c r="I61" i="51" s="1"/>
  <c r="F69" i="47"/>
  <c r="E79" i="56" s="1"/>
  <c r="F93" i="47"/>
  <c r="E79" i="57" s="1"/>
  <c r="Q22" i="46"/>
  <c r="D23" i="46"/>
  <c r="C61" i="51" s="1"/>
  <c r="D46" i="46"/>
  <c r="C60" i="53" s="1"/>
  <c r="BR46" i="46"/>
  <c r="BZ65" i="46" s="1"/>
  <c r="Q92" i="44"/>
  <c r="P38" i="57" s="1"/>
  <c r="Y44" i="46"/>
  <c r="AG44" i="46"/>
  <c r="AE44" i="46"/>
  <c r="BX69" i="46"/>
  <c r="BX68" i="46"/>
  <c r="AH44" i="46"/>
  <c r="I46" i="44"/>
  <c r="I23" i="44"/>
  <c r="H41" i="51" s="1"/>
  <c r="AA92" i="44"/>
  <c r="G38" i="58" s="1"/>
  <c r="AU68" i="44"/>
  <c r="G38" i="55" s="1"/>
  <c r="M46" i="47"/>
  <c r="L80" i="53" s="1"/>
  <c r="M23" i="47"/>
  <c r="L81" i="51" s="1"/>
  <c r="F67" i="43"/>
  <c r="Y91" i="43" s="1"/>
  <c r="F91" i="43"/>
  <c r="AG92" i="43"/>
  <c r="N92" i="43"/>
  <c r="X44" i="47"/>
  <c r="BJ20" i="47"/>
  <c r="BK20" i="47" s="1"/>
  <c r="BL20" i="47" s="1"/>
  <c r="P20" i="47" s="1"/>
  <c r="O78" i="51" s="1"/>
  <c r="AT44" i="47"/>
  <c r="BX62" i="47" s="1"/>
  <c r="AJ18" i="46"/>
  <c r="P56" i="59" s="1"/>
  <c r="AJ67" i="46"/>
  <c r="AK67" i="46" s="1"/>
  <c r="BW58" i="46" s="1"/>
  <c r="E69" i="47"/>
  <c r="D79" i="56" s="1"/>
  <c r="E93" i="47"/>
  <c r="D79" i="57" s="1"/>
  <c r="K23" i="47"/>
  <c r="J81" i="51" s="1"/>
  <c r="K46" i="47"/>
  <c r="AF44" i="47"/>
  <c r="F46" i="46"/>
  <c r="E60" i="53" s="1"/>
  <c r="F23" i="46"/>
  <c r="E61" i="51" s="1"/>
  <c r="AJ43" i="46"/>
  <c r="AF92" i="44"/>
  <c r="L38" i="58" s="1"/>
  <c r="AF68" i="44"/>
  <c r="L38" i="54" s="1"/>
  <c r="AZ68" i="44"/>
  <c r="L38" i="55" s="1"/>
  <c r="Z44" i="47"/>
  <c r="AJ18" i="47"/>
  <c r="P76" i="59" s="1"/>
  <c r="AQ44" i="47"/>
  <c r="BX59" i="47" s="1"/>
  <c r="AU43" i="46"/>
  <c r="BW59" i="46"/>
  <c r="J69" i="46"/>
  <c r="I59" i="56" s="1"/>
  <c r="J93" i="46"/>
  <c r="I59" i="57" s="1"/>
  <c r="AJ18" i="44"/>
  <c r="AF92" i="46"/>
  <c r="L58" i="58" s="1"/>
  <c r="AF68" i="46"/>
  <c r="L58" i="54" s="1"/>
  <c r="AZ68" i="46"/>
  <c r="AD92" i="46"/>
  <c r="J58" i="58" s="1"/>
  <c r="AD68" i="46"/>
  <c r="J58" i="54" s="1"/>
  <c r="AX68" i="46"/>
  <c r="X44" i="44"/>
  <c r="AG44" i="44"/>
  <c r="BX69" i="44"/>
  <c r="BX68" i="44"/>
  <c r="AH44" i="44"/>
  <c r="AE44" i="44"/>
  <c r="W92" i="46"/>
  <c r="C58" i="58" s="1"/>
  <c r="Q68" i="46"/>
  <c r="P58" i="56" s="1"/>
  <c r="W68" i="46"/>
  <c r="C58" i="54" s="1"/>
  <c r="AQ68" i="46"/>
  <c r="I93" i="44"/>
  <c r="H39" i="57" s="1"/>
  <c r="BR46" i="44"/>
  <c r="BZ65" i="44" s="1"/>
  <c r="D46" i="44"/>
  <c r="D23" i="44"/>
  <c r="C41" i="51" s="1"/>
  <c r="Q22" i="44"/>
  <c r="I93" i="47"/>
  <c r="H79" i="57" s="1"/>
  <c r="I69" i="47"/>
  <c r="H79" i="56" s="1"/>
  <c r="F93" i="44"/>
  <c r="E39" i="57" s="1"/>
  <c r="AB68" i="47"/>
  <c r="H78" i="54" s="1"/>
  <c r="AB92" i="47"/>
  <c r="H78" i="58" s="1"/>
  <c r="AV68" i="47"/>
  <c r="H78" i="55" s="1"/>
  <c r="AJ91" i="47"/>
  <c r="P77" i="58" s="1"/>
  <c r="G67" i="43"/>
  <c r="Z91" i="43" s="1"/>
  <c r="G91" i="43"/>
  <c r="X92" i="44"/>
  <c r="D38" i="58" s="1"/>
  <c r="X68" i="44"/>
  <c r="D38" i="54" s="1"/>
  <c r="AR68" i="44"/>
  <c r="D38" i="55" s="1"/>
  <c r="H46" i="47"/>
  <c r="G80" i="53" s="1"/>
  <c r="H23" i="47"/>
  <c r="G81" i="51" s="1"/>
  <c r="BW46" i="47"/>
  <c r="BZ67" i="47" s="1"/>
  <c r="G93" i="47"/>
  <c r="F79" i="57" s="1"/>
  <c r="G69" i="47"/>
  <c r="F79" i="56" s="1"/>
  <c r="AR44" i="47"/>
  <c r="AA44" i="47"/>
  <c r="E23" i="47"/>
  <c r="D81" i="51" s="1"/>
  <c r="E46" i="47"/>
  <c r="D80" i="53" s="1"/>
  <c r="Z92" i="44"/>
  <c r="F38" i="58" s="1"/>
  <c r="Z68" i="44"/>
  <c r="F38" i="54" s="1"/>
  <c r="AT68" i="44"/>
  <c r="F38" i="55" s="1"/>
  <c r="AF68" i="47"/>
  <c r="L78" i="54" s="1"/>
  <c r="AF92" i="47"/>
  <c r="L78" i="58" s="1"/>
  <c r="AZ68" i="47"/>
  <c r="L78" i="55" s="1"/>
  <c r="F93" i="46"/>
  <c r="E59" i="57" s="1"/>
  <c r="F69" i="46"/>
  <c r="E59" i="56" s="1"/>
  <c r="Z92" i="47"/>
  <c r="F78" i="58" s="1"/>
  <c r="Z68" i="47"/>
  <c r="F78" i="54" s="1"/>
  <c r="AT68" i="47"/>
  <c r="F78" i="55" s="1"/>
  <c r="AI42" i="47"/>
  <c r="P66" i="47"/>
  <c r="W92" i="47"/>
  <c r="C78" i="58" s="1"/>
  <c r="W68" i="47"/>
  <c r="C78" i="54" s="1"/>
  <c r="Q68" i="47"/>
  <c r="P78" i="56" s="1"/>
  <c r="AQ68" i="47"/>
  <c r="C78" i="55" s="1"/>
  <c r="Y44" i="47"/>
  <c r="BC65" i="46"/>
  <c r="P90" i="44"/>
  <c r="O36" i="57" s="1"/>
  <c r="AI42" i="44"/>
  <c r="AB92" i="46"/>
  <c r="H58" i="58" s="1"/>
  <c r="AB68" i="46"/>
  <c r="H58" i="54" s="1"/>
  <c r="AV68" i="46"/>
  <c r="Q68" i="44"/>
  <c r="P38" i="56" s="1"/>
  <c r="W92" i="44"/>
  <c r="C38" i="58" s="1"/>
  <c r="W68" i="44"/>
  <c r="C38" i="54" s="1"/>
  <c r="AQ68" i="44"/>
  <c r="C38" i="55" s="1"/>
  <c r="Q92" i="46"/>
  <c r="P58" i="57" s="1"/>
  <c r="K46" i="46"/>
  <c r="K23" i="46"/>
  <c r="J61" i="51" s="1"/>
  <c r="I23" i="47"/>
  <c r="H81" i="51" s="1"/>
  <c r="I46" i="47"/>
  <c r="H80" i="53" s="1"/>
  <c r="J46" i="47"/>
  <c r="I80" i="53" s="1"/>
  <c r="J23" i="47"/>
  <c r="I81" i="51" s="1"/>
  <c r="BW44" i="43"/>
  <c r="BX67" i="43" s="1"/>
  <c r="AD91" i="43"/>
  <c r="CA43" i="43"/>
  <c r="BA42" i="43"/>
  <c r="AA67" i="43"/>
  <c r="O22" i="43"/>
  <c r="O45" i="43"/>
  <c r="I21" i="43"/>
  <c r="I44" i="43"/>
  <c r="J21" i="43"/>
  <c r="J44" i="43"/>
  <c r="F21" i="43"/>
  <c r="F44" i="43"/>
  <c r="N22" i="43"/>
  <c r="N45" i="43"/>
  <c r="N69" i="43" s="1"/>
  <c r="L22" i="43"/>
  <c r="L45" i="43"/>
  <c r="L69" i="43" s="1"/>
  <c r="M21" i="43"/>
  <c r="M44" i="43"/>
  <c r="E21" i="43"/>
  <c r="E44" i="43"/>
  <c r="K21" i="43"/>
  <c r="K44" i="43"/>
  <c r="K68" i="43" s="1"/>
  <c r="H21" i="43"/>
  <c r="H44" i="43"/>
  <c r="G21" i="43"/>
  <c r="G44" i="43"/>
  <c r="X66" i="43"/>
  <c r="AR66" i="43"/>
  <c r="AH67" i="43"/>
  <c r="BB67" i="43"/>
  <c r="Z66" i="43"/>
  <c r="AT66" i="43"/>
  <c r="AB66" i="43"/>
  <c r="AV66" i="43"/>
  <c r="AF66" i="43"/>
  <c r="AZ66" i="43"/>
  <c r="AU66" i="43"/>
  <c r="AE67" i="43"/>
  <c r="AY67" i="43"/>
  <c r="AC66" i="43"/>
  <c r="AW66" i="43"/>
  <c r="Y66" i="43"/>
  <c r="AS66" i="43"/>
  <c r="AD66" i="43"/>
  <c r="AX66" i="43"/>
  <c r="AG67" i="43"/>
  <c r="BA67" i="43"/>
  <c r="AU19" i="43"/>
  <c r="AY20" i="43"/>
  <c r="AZ20" i="43"/>
  <c r="BA21" i="43"/>
  <c r="AX20" i="43"/>
  <c r="AW20" i="43"/>
  <c r="AV20" i="43"/>
  <c r="P16" i="59" l="1"/>
  <c r="P19" i="51"/>
  <c r="L17" i="60"/>
  <c r="J17" i="60"/>
  <c r="D17" i="60"/>
  <c r="H17" i="60"/>
  <c r="P80" i="51"/>
  <c r="AJ19" i="47"/>
  <c r="P77" i="59" s="1"/>
  <c r="O77" i="59"/>
  <c r="O17" i="59" s="1"/>
  <c r="P40" i="51"/>
  <c r="P40" i="59"/>
  <c r="P60" i="51"/>
  <c r="D18" i="58"/>
  <c r="G18" i="58"/>
  <c r="H68" i="43"/>
  <c r="AA92" i="43" s="1"/>
  <c r="BT63" i="46"/>
  <c r="F21" i="51"/>
  <c r="G19" i="57"/>
  <c r="CA55" i="50"/>
  <c r="H19" i="57"/>
  <c r="L19" i="57"/>
  <c r="J19" i="56"/>
  <c r="G19" i="53"/>
  <c r="G19" i="56"/>
  <c r="E18" i="58"/>
  <c r="CA55" i="49"/>
  <c r="I18" i="58"/>
  <c r="F19" i="57"/>
  <c r="J21" i="51"/>
  <c r="F70" i="44"/>
  <c r="E40" i="56" s="1"/>
  <c r="E40" i="53"/>
  <c r="E20" i="53" s="1"/>
  <c r="AK67" i="47"/>
  <c r="BW58" i="47" s="1"/>
  <c r="P77" i="54"/>
  <c r="K70" i="46"/>
  <c r="J60" i="56" s="1"/>
  <c r="J60" i="53"/>
  <c r="E19" i="57"/>
  <c r="C58" i="55"/>
  <c r="C18" i="55" s="1"/>
  <c r="C18" i="54"/>
  <c r="H21" i="51"/>
  <c r="P18" i="57"/>
  <c r="J19" i="57"/>
  <c r="L21" i="51"/>
  <c r="I58" i="55"/>
  <c r="I18" i="55" s="1"/>
  <c r="I18" i="54"/>
  <c r="C19" i="57"/>
  <c r="I19" i="57"/>
  <c r="BD65" i="44"/>
  <c r="O35" i="55"/>
  <c r="CA63" i="49"/>
  <c r="J19" i="53"/>
  <c r="BT63" i="47"/>
  <c r="P74" i="55"/>
  <c r="I70" i="44"/>
  <c r="H40" i="56" s="1"/>
  <c r="H40" i="53"/>
  <c r="H20" i="53" s="1"/>
  <c r="AK67" i="44"/>
  <c r="BW58" i="44" s="1"/>
  <c r="P37" i="54"/>
  <c r="AC45" i="44"/>
  <c r="P39" i="53"/>
  <c r="E19" i="56"/>
  <c r="I19" i="56"/>
  <c r="M70" i="44"/>
  <c r="L40" i="56" s="1"/>
  <c r="L40" i="53"/>
  <c r="L20" i="53" s="1"/>
  <c r="BT63" i="44"/>
  <c r="P34" i="55"/>
  <c r="P90" i="47"/>
  <c r="O76" i="57" s="1"/>
  <c r="O16" i="57" s="1"/>
  <c r="O76" i="56"/>
  <c r="O16" i="56" s="1"/>
  <c r="J58" i="55"/>
  <c r="J18" i="55" s="1"/>
  <c r="J18" i="54"/>
  <c r="L18" i="58"/>
  <c r="E70" i="44"/>
  <c r="D40" i="56" s="1"/>
  <c r="D40" i="53"/>
  <c r="D20" i="53" s="1"/>
  <c r="G21" i="51"/>
  <c r="D58" i="55"/>
  <c r="D18" i="55" s="1"/>
  <c r="D18" i="54"/>
  <c r="AI43" i="47"/>
  <c r="O77" i="53"/>
  <c r="O17" i="53" s="1"/>
  <c r="CA63" i="50"/>
  <c r="H19" i="56"/>
  <c r="D19" i="56"/>
  <c r="BD65" i="46"/>
  <c r="BU63" i="46" s="1"/>
  <c r="O55" i="55"/>
  <c r="O15" i="54"/>
  <c r="D21" i="51"/>
  <c r="H70" i="44"/>
  <c r="G40" i="56" s="1"/>
  <c r="G40" i="53"/>
  <c r="G58" i="55"/>
  <c r="G18" i="55" s="1"/>
  <c r="G18" i="54"/>
  <c r="AS45" i="46"/>
  <c r="BY61" i="46" s="1"/>
  <c r="P59" i="53"/>
  <c r="K70" i="47"/>
  <c r="J80" i="56" s="1"/>
  <c r="J80" i="53"/>
  <c r="F58" i="55"/>
  <c r="F18" i="55" s="1"/>
  <c r="F18" i="54"/>
  <c r="C18" i="58"/>
  <c r="C21" i="51"/>
  <c r="P17" i="58"/>
  <c r="J18" i="58"/>
  <c r="AQ45" i="47"/>
  <c r="BY59" i="47" s="1"/>
  <c r="P79" i="53"/>
  <c r="E58" i="55"/>
  <c r="E18" i="55" s="1"/>
  <c r="E18" i="54"/>
  <c r="BD65" i="47"/>
  <c r="P75" i="55" s="1"/>
  <c r="O75" i="55"/>
  <c r="AI20" i="44"/>
  <c r="O38" i="51"/>
  <c r="O18" i="51" s="1"/>
  <c r="BT55" i="44"/>
  <c r="P54" i="55"/>
  <c r="P54" i="54"/>
  <c r="P14" i="54" s="1"/>
  <c r="F19" i="56"/>
  <c r="C19" i="56"/>
  <c r="P18" i="53"/>
  <c r="P18" i="56"/>
  <c r="F18" i="58"/>
  <c r="D70" i="44"/>
  <c r="C40" i="56" s="1"/>
  <c r="C40" i="53"/>
  <c r="C20" i="53" s="1"/>
  <c r="L58" i="55"/>
  <c r="L18" i="55" s="1"/>
  <c r="L18" i="54"/>
  <c r="D19" i="57"/>
  <c r="I21" i="51"/>
  <c r="H58" i="55"/>
  <c r="H18" i="55" s="1"/>
  <c r="H18" i="54"/>
  <c r="H18" i="58"/>
  <c r="J70" i="44"/>
  <c r="I40" i="56" s="1"/>
  <c r="I40" i="53"/>
  <c r="I20" i="53" s="1"/>
  <c r="K70" i="44"/>
  <c r="J40" i="56" s="1"/>
  <c r="J40" i="53"/>
  <c r="G70" i="44"/>
  <c r="F40" i="56" s="1"/>
  <c r="F40" i="53"/>
  <c r="F20" i="53" s="1"/>
  <c r="H70" i="46"/>
  <c r="G60" i="56" s="1"/>
  <c r="G60" i="53"/>
  <c r="E21" i="51"/>
  <c r="O14" i="55"/>
  <c r="L19" i="56"/>
  <c r="BD19" i="43"/>
  <c r="H92" i="43"/>
  <c r="K92" i="43"/>
  <c r="N93" i="43"/>
  <c r="BX46" i="43"/>
  <c r="P44" i="44"/>
  <c r="BU44" i="44"/>
  <c r="BX66" i="44" s="1"/>
  <c r="BO44" i="44"/>
  <c r="BX64" i="44" s="1"/>
  <c r="AU44" i="44"/>
  <c r="AJ68" i="44"/>
  <c r="AA45" i="47"/>
  <c r="AB45" i="47"/>
  <c r="AB45" i="46"/>
  <c r="AA45" i="46"/>
  <c r="X45" i="46"/>
  <c r="AR45" i="46"/>
  <c r="BY60" i="46" s="1"/>
  <c r="Y45" i="46"/>
  <c r="Y45" i="44"/>
  <c r="AD45" i="44"/>
  <c r="AB45" i="44"/>
  <c r="BX59" i="44"/>
  <c r="X45" i="44"/>
  <c r="AA45" i="44"/>
  <c r="AF45" i="44"/>
  <c r="BJ21" i="44"/>
  <c r="BK21" i="44" s="1"/>
  <c r="BL21" i="44" s="1"/>
  <c r="P21" i="44" s="1"/>
  <c r="AR45" i="47"/>
  <c r="BY60" i="47" s="1"/>
  <c r="AD45" i="47"/>
  <c r="X45" i="47"/>
  <c r="BJ21" i="47"/>
  <c r="BK21" i="47" s="1"/>
  <c r="BL21" i="47" s="1"/>
  <c r="P21" i="47" s="1"/>
  <c r="AT45" i="47"/>
  <c r="BY62" i="47" s="1"/>
  <c r="Z45" i="47"/>
  <c r="Y45" i="47"/>
  <c r="P67" i="47"/>
  <c r="AS45" i="47"/>
  <c r="BY61" i="47" s="1"/>
  <c r="W45" i="47"/>
  <c r="BJ21" i="46"/>
  <c r="BK21" i="46" s="1"/>
  <c r="BL21" i="46" s="1"/>
  <c r="P21" i="46" s="1"/>
  <c r="AF45" i="46"/>
  <c r="AU44" i="46"/>
  <c r="AC45" i="46"/>
  <c r="W45" i="46"/>
  <c r="AJ44" i="46"/>
  <c r="AT45" i="46"/>
  <c r="BY62" i="46" s="1"/>
  <c r="AD45" i="46"/>
  <c r="AT45" i="44"/>
  <c r="BY62" i="44" s="1"/>
  <c r="W45" i="44"/>
  <c r="AR45" i="44"/>
  <c r="BY60" i="44" s="1"/>
  <c r="CA46" i="46"/>
  <c r="J70" i="46"/>
  <c r="I60" i="56" s="1"/>
  <c r="J94" i="46"/>
  <c r="I60" i="57" s="1"/>
  <c r="AA93" i="44"/>
  <c r="G39" i="58" s="1"/>
  <c r="AU69" i="44"/>
  <c r="G39" i="55" s="1"/>
  <c r="AJ44" i="44"/>
  <c r="G94" i="44"/>
  <c r="F40" i="57" s="1"/>
  <c r="G68" i="43"/>
  <c r="Z92" i="43" s="1"/>
  <c r="G92" i="43"/>
  <c r="M68" i="43"/>
  <c r="AF92" i="43" s="1"/>
  <c r="M92" i="43"/>
  <c r="J68" i="43"/>
  <c r="AC92" i="43" s="1"/>
  <c r="J92" i="43"/>
  <c r="I94" i="47"/>
  <c r="H80" i="57" s="1"/>
  <c r="I70" i="47"/>
  <c r="H80" i="56" s="1"/>
  <c r="AJ92" i="44"/>
  <c r="P38" i="58" s="1"/>
  <c r="AU44" i="47"/>
  <c r="BX60" i="47"/>
  <c r="H94" i="47"/>
  <c r="G80" i="57" s="1"/>
  <c r="AA70" i="47"/>
  <c r="G80" i="54" s="1"/>
  <c r="H70" i="47"/>
  <c r="G80" i="56" s="1"/>
  <c r="AB93" i="44"/>
  <c r="H39" i="58" s="1"/>
  <c r="AB69" i="44"/>
  <c r="H39" i="54" s="1"/>
  <c r="AV69" i="44"/>
  <c r="H39" i="55" s="1"/>
  <c r="D47" i="46"/>
  <c r="C61" i="53" s="1"/>
  <c r="BR47" i="46"/>
  <c r="CA65" i="46" s="1"/>
  <c r="Q23" i="46"/>
  <c r="X93" i="44"/>
  <c r="D39" i="58" s="1"/>
  <c r="X69" i="44"/>
  <c r="D39" i="54" s="1"/>
  <c r="AR69" i="44"/>
  <c r="D39" i="55" s="1"/>
  <c r="F94" i="47"/>
  <c r="E80" i="57" s="1"/>
  <c r="F70" i="47"/>
  <c r="E80" i="56" s="1"/>
  <c r="Q93" i="47"/>
  <c r="P79" i="57" s="1"/>
  <c r="AI20" i="46"/>
  <c r="O58" i="59" s="1"/>
  <c r="P44" i="46"/>
  <c r="O58" i="53" s="1"/>
  <c r="BO44" i="46"/>
  <c r="BX64" i="46" s="1"/>
  <c r="BU44" i="46"/>
  <c r="BX66" i="46" s="1"/>
  <c r="M47" i="44"/>
  <c r="AC45" i="47"/>
  <c r="Q93" i="46"/>
  <c r="P59" i="57" s="1"/>
  <c r="AF45" i="47"/>
  <c r="P44" i="47"/>
  <c r="O78" i="53" s="1"/>
  <c r="AI20" i="47"/>
  <c r="O78" i="59" s="1"/>
  <c r="BU44" i="47"/>
  <c r="BX66" i="47" s="1"/>
  <c r="BO44" i="47"/>
  <c r="BX64" i="47" s="1"/>
  <c r="Q46" i="47"/>
  <c r="D94" i="47"/>
  <c r="C80" i="57" s="1"/>
  <c r="D70" i="47"/>
  <c r="C80" i="56" s="1"/>
  <c r="AA93" i="47"/>
  <c r="G79" i="58" s="1"/>
  <c r="AU69" i="47"/>
  <c r="G79" i="55" s="1"/>
  <c r="F47" i="47"/>
  <c r="E81" i="53" s="1"/>
  <c r="E47" i="46"/>
  <c r="D61" i="53" s="1"/>
  <c r="Q69" i="47"/>
  <c r="P79" i="56" s="1"/>
  <c r="W93" i="47"/>
  <c r="C79" i="58" s="1"/>
  <c r="W69" i="47"/>
  <c r="C79" i="54" s="1"/>
  <c r="AQ69" i="47"/>
  <c r="C79" i="55" s="1"/>
  <c r="AJ19" i="44"/>
  <c r="AF93" i="46"/>
  <c r="L59" i="58" s="1"/>
  <c r="AF69" i="46"/>
  <c r="L59" i="54" s="1"/>
  <c r="AZ69" i="46"/>
  <c r="M94" i="44"/>
  <c r="L40" i="57" s="1"/>
  <c r="AD93" i="46"/>
  <c r="J59" i="58" s="1"/>
  <c r="AD69" i="46"/>
  <c r="J59" i="54" s="1"/>
  <c r="AX69" i="46"/>
  <c r="W93" i="46"/>
  <c r="C59" i="58" s="1"/>
  <c r="Q69" i="46"/>
  <c r="P59" i="56" s="1"/>
  <c r="W69" i="46"/>
  <c r="C59" i="54" s="1"/>
  <c r="AQ69" i="46"/>
  <c r="F94" i="44"/>
  <c r="E40" i="57" s="1"/>
  <c r="I47" i="47"/>
  <c r="H81" i="53" s="1"/>
  <c r="BC66" i="44"/>
  <c r="BC66" i="47"/>
  <c r="F47" i="46"/>
  <c r="E61" i="53" s="1"/>
  <c r="AJ19" i="46"/>
  <c r="P57" i="59" s="1"/>
  <c r="CA46" i="44"/>
  <c r="K94" i="44"/>
  <c r="J40" i="57" s="1"/>
  <c r="AC93" i="47"/>
  <c r="I79" i="58" s="1"/>
  <c r="AC69" i="47"/>
  <c r="I79" i="54" s="1"/>
  <c r="AW69" i="47"/>
  <c r="I79" i="55" s="1"/>
  <c r="W93" i="44"/>
  <c r="C39" i="58" s="1"/>
  <c r="Q69" i="44"/>
  <c r="P39" i="56" s="1"/>
  <c r="W69" i="44"/>
  <c r="C39" i="54" s="1"/>
  <c r="AQ69" i="44"/>
  <c r="C39" i="55" s="1"/>
  <c r="AF93" i="47"/>
  <c r="L79" i="58" s="1"/>
  <c r="AF69" i="47"/>
  <c r="L79" i="54" s="1"/>
  <c r="AZ69" i="47"/>
  <c r="L79" i="55" s="1"/>
  <c r="AC69" i="44"/>
  <c r="I39" i="54" s="1"/>
  <c r="AC93" i="44"/>
  <c r="I39" i="58" s="1"/>
  <c r="AW69" i="44"/>
  <c r="I39" i="55" s="1"/>
  <c r="I68" i="43"/>
  <c r="AB92" i="43" s="1"/>
  <c r="I92" i="43"/>
  <c r="X93" i="47"/>
  <c r="D79" i="58" s="1"/>
  <c r="X69" i="47"/>
  <c r="D79" i="54" s="1"/>
  <c r="AR69" i="47"/>
  <c r="D79" i="55" s="1"/>
  <c r="AF69" i="44"/>
  <c r="L39" i="54" s="1"/>
  <c r="AF93" i="44"/>
  <c r="L39" i="58" s="1"/>
  <c r="AZ69" i="44"/>
  <c r="L39" i="55" s="1"/>
  <c r="M47" i="46"/>
  <c r="L61" i="53" s="1"/>
  <c r="D94" i="46"/>
  <c r="C60" i="57" s="1"/>
  <c r="D70" i="46"/>
  <c r="C60" i="56" s="1"/>
  <c r="Q46" i="46"/>
  <c r="X93" i="46"/>
  <c r="D59" i="58" s="1"/>
  <c r="X69" i="46"/>
  <c r="D59" i="54" s="1"/>
  <c r="AR69" i="46"/>
  <c r="P91" i="46"/>
  <c r="O57" i="57" s="1"/>
  <c r="AI43" i="46"/>
  <c r="E94" i="44"/>
  <c r="D40" i="57" s="1"/>
  <c r="K47" i="44"/>
  <c r="Q93" i="44"/>
  <c r="P39" i="57" s="1"/>
  <c r="K47" i="46"/>
  <c r="AJ68" i="47"/>
  <c r="Y69" i="46"/>
  <c r="E59" i="54" s="1"/>
  <c r="Y93" i="46"/>
  <c r="E59" i="58" s="1"/>
  <c r="AS69" i="46"/>
  <c r="Z69" i="47"/>
  <c r="F79" i="54" s="1"/>
  <c r="Z93" i="47"/>
  <c r="F79" i="58" s="1"/>
  <c r="AT69" i="47"/>
  <c r="F79" i="55" s="1"/>
  <c r="Y93" i="44"/>
  <c r="E39" i="58" s="1"/>
  <c r="Y69" i="44"/>
  <c r="E39" i="54" s="1"/>
  <c r="AS69" i="44"/>
  <c r="E39" i="55" s="1"/>
  <c r="D47" i="44"/>
  <c r="BR47" i="44"/>
  <c r="CA65" i="44" s="1"/>
  <c r="Q23" i="44"/>
  <c r="I47" i="44"/>
  <c r="AD93" i="47"/>
  <c r="J79" i="58" s="1"/>
  <c r="AD69" i="47"/>
  <c r="J79" i="54" s="1"/>
  <c r="AX69" i="47"/>
  <c r="J79" i="55" s="1"/>
  <c r="E47" i="44"/>
  <c r="G47" i="46"/>
  <c r="F61" i="53" s="1"/>
  <c r="AA93" i="46"/>
  <c r="G59" i="58" s="1"/>
  <c r="AU69" i="46"/>
  <c r="M94" i="46"/>
  <c r="L60" i="57" s="1"/>
  <c r="M70" i="46"/>
  <c r="L60" i="56" s="1"/>
  <c r="AQ45" i="44"/>
  <c r="AG45" i="44"/>
  <c r="AE45" i="44"/>
  <c r="BY68" i="44"/>
  <c r="BY69" i="44"/>
  <c r="AH45" i="44"/>
  <c r="Z45" i="44"/>
  <c r="Z45" i="46"/>
  <c r="G94" i="47"/>
  <c r="F80" i="57" s="1"/>
  <c r="G70" i="47"/>
  <c r="F80" i="56" s="1"/>
  <c r="AE93" i="43"/>
  <c r="L93" i="43"/>
  <c r="O69" i="43"/>
  <c r="AH93" i="43" s="1"/>
  <c r="O93" i="43"/>
  <c r="K94" i="46"/>
  <c r="J60" i="57" s="1"/>
  <c r="AJ92" i="47"/>
  <c r="P78" i="58" s="1"/>
  <c r="D94" i="44"/>
  <c r="C40" i="57" s="1"/>
  <c r="Q46" i="44"/>
  <c r="AJ92" i="46"/>
  <c r="P58" i="58" s="1"/>
  <c r="BC66" i="46"/>
  <c r="I94" i="44"/>
  <c r="H40" i="57" s="1"/>
  <c r="Y93" i="47"/>
  <c r="E79" i="58" s="1"/>
  <c r="Y69" i="47"/>
  <c r="E79" i="54" s="1"/>
  <c r="AS69" i="47"/>
  <c r="E79" i="55" s="1"/>
  <c r="AJ44" i="47"/>
  <c r="BR47" i="47"/>
  <c r="CA65" i="47" s="1"/>
  <c r="Q23" i="47"/>
  <c r="D47" i="47"/>
  <c r="C81" i="53" s="1"/>
  <c r="I47" i="46"/>
  <c r="H61" i="53" s="1"/>
  <c r="J47" i="44"/>
  <c r="G94" i="46"/>
  <c r="F60" i="57" s="1"/>
  <c r="G70" i="46"/>
  <c r="F60" i="56" s="1"/>
  <c r="AS45" i="44"/>
  <c r="BY61" i="44" s="1"/>
  <c r="G47" i="47"/>
  <c r="F81" i="53" s="1"/>
  <c r="M94" i="47"/>
  <c r="L80" i="57" s="1"/>
  <c r="M70" i="47"/>
  <c r="L80" i="56" s="1"/>
  <c r="F70" i="46"/>
  <c r="E60" i="56" s="1"/>
  <c r="F94" i="46"/>
  <c r="E60" i="57" s="1"/>
  <c r="J47" i="47"/>
  <c r="I81" i="53" s="1"/>
  <c r="E70" i="47"/>
  <c r="D80" i="56" s="1"/>
  <c r="E94" i="47"/>
  <c r="D80" i="57" s="1"/>
  <c r="AC69" i="46"/>
  <c r="I59" i="54" s="1"/>
  <c r="AC93" i="46"/>
  <c r="I59" i="58" s="1"/>
  <c r="AW69" i="46"/>
  <c r="K94" i="47"/>
  <c r="J80" i="57" s="1"/>
  <c r="CA46" i="47"/>
  <c r="I94" i="46"/>
  <c r="H60" i="57" s="1"/>
  <c r="I70" i="46"/>
  <c r="H60" i="56" s="1"/>
  <c r="H47" i="44"/>
  <c r="BW47" i="44"/>
  <c r="CA67" i="44" s="1"/>
  <c r="AD93" i="44"/>
  <c r="J39" i="58" s="1"/>
  <c r="AD69" i="44"/>
  <c r="J39" i="54" s="1"/>
  <c r="AX69" i="44"/>
  <c r="J39" i="55" s="1"/>
  <c r="J94" i="44"/>
  <c r="I40" i="57" s="1"/>
  <c r="BW47" i="46"/>
  <c r="CA67" i="46" s="1"/>
  <c r="H47" i="46"/>
  <c r="Z93" i="44"/>
  <c r="F39" i="58" s="1"/>
  <c r="Z69" i="44"/>
  <c r="F39" i="54" s="1"/>
  <c r="AT69" i="44"/>
  <c r="F39" i="55" s="1"/>
  <c r="Z93" i="46"/>
  <c r="F59" i="58" s="1"/>
  <c r="Z69" i="46"/>
  <c r="F59" i="54" s="1"/>
  <c r="AT69" i="46"/>
  <c r="H47" i="47"/>
  <c r="G81" i="53" s="1"/>
  <c r="BW47" i="47"/>
  <c r="CA67" i="47" s="1"/>
  <c r="AJ68" i="46"/>
  <c r="AK68" i="46" s="1"/>
  <c r="BX58" i="46" s="1"/>
  <c r="E68" i="43"/>
  <c r="X92" i="43" s="1"/>
  <c r="E92" i="43"/>
  <c r="F68" i="43"/>
  <c r="Y92" i="43" s="1"/>
  <c r="F92" i="43"/>
  <c r="J94" i="47"/>
  <c r="I80" i="57" s="1"/>
  <c r="J70" i="47"/>
  <c r="I80" i="56" s="1"/>
  <c r="E47" i="47"/>
  <c r="D81" i="53" s="1"/>
  <c r="AB93" i="47"/>
  <c r="H79" i="58" s="1"/>
  <c r="AB69" i="47"/>
  <c r="H79" i="54" s="1"/>
  <c r="AV69" i="47"/>
  <c r="H79" i="55" s="1"/>
  <c r="K47" i="47"/>
  <c r="M47" i="47"/>
  <c r="L81" i="53" s="1"/>
  <c r="J47" i="46"/>
  <c r="I61" i="53" s="1"/>
  <c r="E94" i="46"/>
  <c r="D60" i="57" s="1"/>
  <c r="E70" i="46"/>
  <c r="D60" i="56" s="1"/>
  <c r="AE45" i="47"/>
  <c r="BY69" i="47"/>
  <c r="AG45" i="47"/>
  <c r="BY68" i="47"/>
  <c r="AH45" i="47"/>
  <c r="P91" i="44"/>
  <c r="O37" i="57" s="1"/>
  <c r="AI43" i="44"/>
  <c r="H94" i="44"/>
  <c r="G40" i="57" s="1"/>
  <c r="AA70" i="44"/>
  <c r="G40" i="54" s="1"/>
  <c r="AB93" i="46"/>
  <c r="H59" i="58" s="1"/>
  <c r="AB69" i="46"/>
  <c r="H59" i="54" s="1"/>
  <c r="AV69" i="46"/>
  <c r="G47" i="44"/>
  <c r="H94" i="46"/>
  <c r="G60" i="57" s="1"/>
  <c r="AA70" i="46"/>
  <c r="G60" i="54" s="1"/>
  <c r="AQ45" i="46"/>
  <c r="BY68" i="46"/>
  <c r="AH45" i="46"/>
  <c r="AE45" i="46"/>
  <c r="BY69" i="46"/>
  <c r="AG45" i="46"/>
  <c r="F47" i="44"/>
  <c r="BW45" i="43"/>
  <c r="BY67" i="43" s="1"/>
  <c r="AD92" i="43"/>
  <c r="CA44" i="43"/>
  <c r="BA43" i="43"/>
  <c r="AA68" i="43"/>
  <c r="E22" i="43"/>
  <c r="E45" i="43"/>
  <c r="F22" i="43"/>
  <c r="F45" i="43"/>
  <c r="G22" i="43"/>
  <c r="G45" i="43"/>
  <c r="M22" i="43"/>
  <c r="M45" i="43"/>
  <c r="J22" i="43"/>
  <c r="J45" i="43"/>
  <c r="H22" i="43"/>
  <c r="H45" i="43"/>
  <c r="L23" i="43"/>
  <c r="L46" i="43"/>
  <c r="L70" i="43" s="1"/>
  <c r="I22" i="43"/>
  <c r="I45" i="43"/>
  <c r="K22" i="43"/>
  <c r="K45" i="43"/>
  <c r="K69" i="43" s="1"/>
  <c r="N23" i="43"/>
  <c r="N46" i="43"/>
  <c r="N70" i="43" s="1"/>
  <c r="O23" i="43"/>
  <c r="O46" i="43"/>
  <c r="Y67" i="43"/>
  <c r="AS67" i="43"/>
  <c r="Z67" i="43"/>
  <c r="AT67" i="43"/>
  <c r="AG68" i="43"/>
  <c r="BA68" i="43"/>
  <c r="X67" i="43"/>
  <c r="AR67" i="43"/>
  <c r="AU67" i="43"/>
  <c r="AE68" i="43"/>
  <c r="AY68" i="43"/>
  <c r="AB67" i="43"/>
  <c r="AV67" i="43"/>
  <c r="AD67" i="43"/>
  <c r="AX67" i="43"/>
  <c r="AF67" i="43"/>
  <c r="AZ67" i="43"/>
  <c r="AC67" i="43"/>
  <c r="AW67" i="43"/>
  <c r="AH68" i="43"/>
  <c r="BB68" i="43"/>
  <c r="AU20" i="43"/>
  <c r="AY21" i="43"/>
  <c r="AZ21" i="43"/>
  <c r="AX21" i="43"/>
  <c r="AV21" i="43"/>
  <c r="BA22" i="43"/>
  <c r="AW21" i="43"/>
  <c r="P17" i="59" l="1"/>
  <c r="P20" i="51"/>
  <c r="L18" i="60"/>
  <c r="J18" i="60"/>
  <c r="D18" i="60"/>
  <c r="H18" i="60"/>
  <c r="P81" i="51"/>
  <c r="AJ20" i="44"/>
  <c r="O38" i="59"/>
  <c r="O18" i="59" s="1"/>
  <c r="P41" i="51"/>
  <c r="P41" i="59"/>
  <c r="P61" i="51"/>
  <c r="C20" i="57"/>
  <c r="G20" i="57"/>
  <c r="H69" i="43"/>
  <c r="AA93" i="43" s="1"/>
  <c r="C19" i="58"/>
  <c r="BU55" i="46"/>
  <c r="L19" i="58"/>
  <c r="J20" i="53"/>
  <c r="BU55" i="47"/>
  <c r="BU63" i="47"/>
  <c r="E19" i="58"/>
  <c r="J19" i="58"/>
  <c r="F19" i="58"/>
  <c r="P19" i="56"/>
  <c r="I19" i="58"/>
  <c r="BD66" i="47"/>
  <c r="P76" i="55" s="1"/>
  <c r="O76" i="55"/>
  <c r="BO45" i="44"/>
  <c r="BY64" i="44" s="1"/>
  <c r="O39" i="51"/>
  <c r="BJ22" i="44"/>
  <c r="BK22" i="44" s="1"/>
  <c r="BL22" i="44" s="1"/>
  <c r="P22" i="44" s="1"/>
  <c r="O40" i="51" s="1"/>
  <c r="P40" i="53"/>
  <c r="AK68" i="47"/>
  <c r="BX58" i="47" s="1"/>
  <c r="P78" i="54"/>
  <c r="BD66" i="44"/>
  <c r="P36" i="55" s="1"/>
  <c r="O36" i="55"/>
  <c r="F20" i="57"/>
  <c r="F20" i="56"/>
  <c r="C20" i="56"/>
  <c r="P14" i="55"/>
  <c r="O15" i="55"/>
  <c r="F59" i="55"/>
  <c r="F19" i="55" s="1"/>
  <c r="F19" i="54"/>
  <c r="K71" i="46"/>
  <c r="J61" i="56" s="1"/>
  <c r="J61" i="53"/>
  <c r="AF46" i="47"/>
  <c r="P80" i="53"/>
  <c r="M71" i="44"/>
  <c r="L41" i="56" s="1"/>
  <c r="L41" i="53"/>
  <c r="L21" i="53" s="1"/>
  <c r="H19" i="58"/>
  <c r="BU55" i="44"/>
  <c r="P35" i="55"/>
  <c r="P91" i="47"/>
  <c r="O77" i="57" s="1"/>
  <c r="O17" i="57" s="1"/>
  <c r="O77" i="56"/>
  <c r="O17" i="56" s="1"/>
  <c r="I20" i="57"/>
  <c r="G71" i="44"/>
  <c r="F41" i="56" s="1"/>
  <c r="F41" i="53"/>
  <c r="F21" i="53" s="1"/>
  <c r="P19" i="57"/>
  <c r="AQ46" i="46"/>
  <c r="BZ59" i="46" s="1"/>
  <c r="P60" i="53"/>
  <c r="E20" i="57"/>
  <c r="L20" i="57"/>
  <c r="AI44" i="44"/>
  <c r="O38" i="53"/>
  <c r="O18" i="53" s="1"/>
  <c r="J20" i="56"/>
  <c r="J59" i="55"/>
  <c r="J19" i="55" s="1"/>
  <c r="J19" i="54"/>
  <c r="H59" i="55"/>
  <c r="H19" i="55" s="1"/>
  <c r="H19" i="54"/>
  <c r="K71" i="47"/>
  <c r="J81" i="56" s="1"/>
  <c r="J81" i="53"/>
  <c r="I59" i="55"/>
  <c r="I19" i="55" s="1"/>
  <c r="I19" i="54"/>
  <c r="J71" i="44"/>
  <c r="I41" i="56" s="1"/>
  <c r="I41" i="53"/>
  <c r="I21" i="53" s="1"/>
  <c r="I71" i="44"/>
  <c r="H41" i="56" s="1"/>
  <c r="H41" i="53"/>
  <c r="H21" i="53" s="1"/>
  <c r="K71" i="44"/>
  <c r="J41" i="56" s="1"/>
  <c r="J41" i="53"/>
  <c r="J20" i="57"/>
  <c r="C59" i="55"/>
  <c r="C19" i="55" s="1"/>
  <c r="C19" i="54"/>
  <c r="L59" i="55"/>
  <c r="L19" i="55" s="1"/>
  <c r="L19" i="54"/>
  <c r="D19" i="58"/>
  <c r="BO45" i="47"/>
  <c r="BY64" i="47" s="1"/>
  <c r="O79" i="51"/>
  <c r="BU63" i="44"/>
  <c r="G20" i="53"/>
  <c r="P55" i="55"/>
  <c r="P55" i="54"/>
  <c r="P15" i="54" s="1"/>
  <c r="L20" i="56"/>
  <c r="H20" i="56"/>
  <c r="D59" i="55"/>
  <c r="D19" i="55" s="1"/>
  <c r="D19" i="54"/>
  <c r="P18" i="58"/>
  <c r="F71" i="44"/>
  <c r="E41" i="56" s="1"/>
  <c r="E41" i="53"/>
  <c r="E21" i="53" s="1"/>
  <c r="G59" i="55"/>
  <c r="G19" i="55" s="1"/>
  <c r="G19" i="54"/>
  <c r="D20" i="57"/>
  <c r="P45" i="46"/>
  <c r="O59" i="53" s="1"/>
  <c r="O59" i="51"/>
  <c r="I20" i="56"/>
  <c r="G20" i="56"/>
  <c r="H71" i="46"/>
  <c r="G61" i="56" s="1"/>
  <c r="G61" i="53"/>
  <c r="E71" i="44"/>
  <c r="D41" i="56" s="1"/>
  <c r="D41" i="53"/>
  <c r="D21" i="53" s="1"/>
  <c r="H20" i="57"/>
  <c r="E19" i="54"/>
  <c r="E59" i="55"/>
  <c r="E19" i="55" s="1"/>
  <c r="G19" i="58"/>
  <c r="E20" i="56"/>
  <c r="H71" i="44"/>
  <c r="G41" i="56" s="1"/>
  <c r="G41" i="53"/>
  <c r="BD66" i="46"/>
  <c r="BV55" i="46" s="1"/>
  <c r="O56" i="55"/>
  <c r="O16" i="54"/>
  <c r="D71" i="44"/>
  <c r="C41" i="56" s="1"/>
  <c r="C41" i="53"/>
  <c r="C21" i="53" s="1"/>
  <c r="AK68" i="44"/>
  <c r="BX58" i="44" s="1"/>
  <c r="P38" i="54"/>
  <c r="D20" i="56"/>
  <c r="P19" i="53"/>
  <c r="O47" i="43"/>
  <c r="L47" i="43"/>
  <c r="L71" i="43" s="1"/>
  <c r="H93" i="43"/>
  <c r="BD20" i="43"/>
  <c r="BX47" i="43"/>
  <c r="K93" i="43"/>
  <c r="AT46" i="44"/>
  <c r="BZ62" i="44" s="1"/>
  <c r="BU45" i="46"/>
  <c r="BY66" i="46" s="1"/>
  <c r="AQ46" i="44"/>
  <c r="BZ59" i="44" s="1"/>
  <c r="AI21" i="46"/>
  <c r="X46" i="46"/>
  <c r="AB46" i="46"/>
  <c r="AC46" i="47"/>
  <c r="P92" i="44"/>
  <c r="O38" i="57" s="1"/>
  <c r="AI21" i="47"/>
  <c r="BO45" i="46"/>
  <c r="BY64" i="46" s="1"/>
  <c r="W46" i="44"/>
  <c r="BU45" i="44"/>
  <c r="BY66" i="44" s="1"/>
  <c r="AI21" i="44"/>
  <c r="P45" i="44"/>
  <c r="AD46" i="44"/>
  <c r="BC67" i="47"/>
  <c r="BU45" i="47"/>
  <c r="BY66" i="47" s="1"/>
  <c r="P45" i="47"/>
  <c r="AU45" i="47"/>
  <c r="AJ45" i="47"/>
  <c r="AJ45" i="46"/>
  <c r="AJ45" i="44"/>
  <c r="Z46" i="46"/>
  <c r="BJ22" i="46"/>
  <c r="BK22" i="46" s="1"/>
  <c r="BL22" i="46" s="1"/>
  <c r="P22" i="46" s="1"/>
  <c r="W46" i="46"/>
  <c r="AR46" i="46"/>
  <c r="BZ60" i="46" s="1"/>
  <c r="AT46" i="46"/>
  <c r="BZ62" i="46" s="1"/>
  <c r="Y46" i="46"/>
  <c r="AA46" i="46"/>
  <c r="AS46" i="46"/>
  <c r="BZ61" i="46" s="1"/>
  <c r="BC67" i="46"/>
  <c r="AD46" i="46"/>
  <c r="AC46" i="44"/>
  <c r="AA46" i="44"/>
  <c r="AB46" i="44"/>
  <c r="AA94" i="44"/>
  <c r="G40" i="58" s="1"/>
  <c r="AU70" i="44"/>
  <c r="G40" i="55" s="1"/>
  <c r="M95" i="47"/>
  <c r="L81" i="57" s="1"/>
  <c r="M71" i="47"/>
  <c r="L81" i="56" s="1"/>
  <c r="E95" i="47"/>
  <c r="D81" i="57" s="1"/>
  <c r="E71" i="47"/>
  <c r="D81" i="56" s="1"/>
  <c r="AD46" i="47"/>
  <c r="X46" i="47"/>
  <c r="AD70" i="46"/>
  <c r="J60" i="54" s="1"/>
  <c r="AD94" i="46"/>
  <c r="J60" i="58" s="1"/>
  <c r="AX70" i="46"/>
  <c r="Z94" i="47"/>
  <c r="F80" i="58" s="1"/>
  <c r="Z70" i="47"/>
  <c r="F80" i="54" s="1"/>
  <c r="AT70" i="47"/>
  <c r="F80" i="55" s="1"/>
  <c r="K95" i="46"/>
  <c r="J61" i="57" s="1"/>
  <c r="CA47" i="46"/>
  <c r="Q94" i="46"/>
  <c r="P60" i="57" s="1"/>
  <c r="I95" i="47"/>
  <c r="H81" i="57" s="1"/>
  <c r="I71" i="47"/>
  <c r="H81" i="56" s="1"/>
  <c r="AJ93" i="46"/>
  <c r="P59" i="58" s="1"/>
  <c r="Q94" i="47"/>
  <c r="P80" i="57" s="1"/>
  <c r="AI44" i="46"/>
  <c r="P92" i="46"/>
  <c r="O58" i="57" s="1"/>
  <c r="G95" i="44"/>
  <c r="F41" i="57" s="1"/>
  <c r="P93" i="46"/>
  <c r="O59" i="57" s="1"/>
  <c r="I95" i="46"/>
  <c r="H61" i="57" s="1"/>
  <c r="I71" i="46"/>
  <c r="H61" i="56" s="1"/>
  <c r="AQ46" i="47"/>
  <c r="BZ69" i="47"/>
  <c r="AE46" i="47"/>
  <c r="BZ68" i="47"/>
  <c r="AG46" i="47"/>
  <c r="AH46" i="47"/>
  <c r="AJ20" i="46"/>
  <c r="P58" i="59" s="1"/>
  <c r="AT46" i="47"/>
  <c r="BZ62" i="47" s="1"/>
  <c r="AB46" i="47"/>
  <c r="AG94" i="43"/>
  <c r="N94" i="43"/>
  <c r="F69" i="43"/>
  <c r="Y93" i="43" s="1"/>
  <c r="F93" i="43"/>
  <c r="BY59" i="46"/>
  <c r="AU45" i="46"/>
  <c r="K95" i="47"/>
  <c r="J81" i="57" s="1"/>
  <c r="CA47" i="47"/>
  <c r="AC94" i="47"/>
  <c r="I80" i="58" s="1"/>
  <c r="AC70" i="47"/>
  <c r="I80" i="54" s="1"/>
  <c r="AW70" i="47"/>
  <c r="I80" i="55" s="1"/>
  <c r="AA71" i="44"/>
  <c r="G41" i="54" s="1"/>
  <c r="H95" i="44"/>
  <c r="G41" i="57" s="1"/>
  <c r="AD94" i="47"/>
  <c r="J80" i="58" s="1"/>
  <c r="AD70" i="47"/>
  <c r="J80" i="54" s="1"/>
  <c r="AX70" i="47"/>
  <c r="J80" i="55" s="1"/>
  <c r="X94" i="47"/>
  <c r="D80" i="58" s="1"/>
  <c r="X70" i="47"/>
  <c r="D80" i="54" s="1"/>
  <c r="AR70" i="47"/>
  <c r="D80" i="55" s="1"/>
  <c r="Z94" i="46"/>
  <c r="F60" i="58" s="1"/>
  <c r="Z70" i="46"/>
  <c r="F60" i="54" s="1"/>
  <c r="AT70" i="46"/>
  <c r="X46" i="44"/>
  <c r="AH46" i="44"/>
  <c r="AE46" i="44"/>
  <c r="AG46" i="44"/>
  <c r="BZ68" i="44"/>
  <c r="BZ69" i="44"/>
  <c r="BY59" i="44"/>
  <c r="AU45" i="44"/>
  <c r="E95" i="44"/>
  <c r="D41" i="57" s="1"/>
  <c r="M71" i="46"/>
  <c r="L61" i="56" s="1"/>
  <c r="M95" i="46"/>
  <c r="L61" i="57" s="1"/>
  <c r="AJ69" i="44"/>
  <c r="Y46" i="44"/>
  <c r="BC67" i="44"/>
  <c r="E95" i="46"/>
  <c r="D61" i="57" s="1"/>
  <c r="E71" i="46"/>
  <c r="D61" i="56" s="1"/>
  <c r="W46" i="47"/>
  <c r="AA46" i="47"/>
  <c r="AB94" i="47"/>
  <c r="H80" i="58" s="1"/>
  <c r="AB70" i="47"/>
  <c r="H80" i="54" s="1"/>
  <c r="AV70" i="47"/>
  <c r="H80" i="55" s="1"/>
  <c r="AS46" i="44"/>
  <c r="BZ61" i="44" s="1"/>
  <c r="AF94" i="47"/>
  <c r="L80" i="58" s="1"/>
  <c r="AF70" i="47"/>
  <c r="L80" i="54" s="1"/>
  <c r="AZ70" i="47"/>
  <c r="L80" i="55" s="1"/>
  <c r="X94" i="46"/>
  <c r="D60" i="58" s="1"/>
  <c r="X70" i="46"/>
  <c r="D60" i="54" s="1"/>
  <c r="AR70" i="46"/>
  <c r="H95" i="47"/>
  <c r="G81" i="57" s="1"/>
  <c r="AA71" i="47"/>
  <c r="G81" i="54" s="1"/>
  <c r="H71" i="47"/>
  <c r="G81" i="56" s="1"/>
  <c r="W70" i="44"/>
  <c r="C40" i="54" s="1"/>
  <c r="Q70" i="44"/>
  <c r="P40" i="56" s="1"/>
  <c r="W94" i="44"/>
  <c r="C40" i="58" s="1"/>
  <c r="AQ70" i="44"/>
  <c r="C40" i="55" s="1"/>
  <c r="AF46" i="46"/>
  <c r="K95" i="44"/>
  <c r="J41" i="57" s="1"/>
  <c r="CA47" i="44"/>
  <c r="AD94" i="44"/>
  <c r="J40" i="58" s="1"/>
  <c r="AD70" i="44"/>
  <c r="J40" i="54" s="1"/>
  <c r="AX70" i="44"/>
  <c r="J40" i="55" s="1"/>
  <c r="Y70" i="44"/>
  <c r="E40" i="54" s="1"/>
  <c r="Y94" i="44"/>
  <c r="E40" i="58" s="1"/>
  <c r="AS70" i="44"/>
  <c r="E40" i="55" s="1"/>
  <c r="Y46" i="47"/>
  <c r="AA94" i="47"/>
  <c r="G80" i="58" s="1"/>
  <c r="AU70" i="47"/>
  <c r="G80" i="55" s="1"/>
  <c r="Z46" i="44"/>
  <c r="G95" i="46"/>
  <c r="F61" i="57" s="1"/>
  <c r="G71" i="46"/>
  <c r="F61" i="56" s="1"/>
  <c r="J69" i="43"/>
  <c r="AC93" i="43" s="1"/>
  <c r="J93" i="43"/>
  <c r="E69" i="43"/>
  <c r="X93" i="43" s="1"/>
  <c r="E93" i="43"/>
  <c r="F95" i="44"/>
  <c r="E41" i="57" s="1"/>
  <c r="H95" i="46"/>
  <c r="G61" i="57" s="1"/>
  <c r="AA71" i="46"/>
  <c r="G61" i="54" s="1"/>
  <c r="AC94" i="44"/>
  <c r="I40" i="58" s="1"/>
  <c r="AC70" i="44"/>
  <c r="I40" i="54" s="1"/>
  <c r="AW70" i="44"/>
  <c r="I40" i="55" s="1"/>
  <c r="AB70" i="46"/>
  <c r="H60" i="54" s="1"/>
  <c r="AB94" i="46"/>
  <c r="H60" i="58" s="1"/>
  <c r="AV70" i="46"/>
  <c r="J95" i="47"/>
  <c r="I81" i="57" s="1"/>
  <c r="J71" i="47"/>
  <c r="I81" i="56" s="1"/>
  <c r="D95" i="47"/>
  <c r="C81" i="57" s="1"/>
  <c r="D71" i="47"/>
  <c r="C81" i="56" s="1"/>
  <c r="Q47" i="47"/>
  <c r="AB70" i="44"/>
  <c r="H40" i="54" s="1"/>
  <c r="AB94" i="44"/>
  <c r="H40" i="58" s="1"/>
  <c r="AV70" i="44"/>
  <c r="H40" i="55" s="1"/>
  <c r="Q94" i="44"/>
  <c r="P40" i="57" s="1"/>
  <c r="AF94" i="46"/>
  <c r="L60" i="58" s="1"/>
  <c r="AF70" i="46"/>
  <c r="L60" i="54" s="1"/>
  <c r="AZ70" i="46"/>
  <c r="D95" i="44"/>
  <c r="C41" i="57" s="1"/>
  <c r="Q47" i="44"/>
  <c r="AR46" i="44"/>
  <c r="BZ60" i="44" s="1"/>
  <c r="AJ93" i="44"/>
  <c r="P39" i="58" s="1"/>
  <c r="F95" i="46"/>
  <c r="E61" i="57" s="1"/>
  <c r="F71" i="46"/>
  <c r="E61" i="56" s="1"/>
  <c r="AF46" i="44"/>
  <c r="F71" i="47"/>
  <c r="E81" i="56" s="1"/>
  <c r="F95" i="47"/>
  <c r="E81" i="57" s="1"/>
  <c r="Y94" i="47"/>
  <c r="E80" i="58" s="1"/>
  <c r="Y70" i="47"/>
  <c r="E80" i="54" s="1"/>
  <c r="AS70" i="47"/>
  <c r="E80" i="55" s="1"/>
  <c r="Z70" i="44"/>
  <c r="F40" i="54" s="1"/>
  <c r="Z94" i="44"/>
  <c r="F40" i="58" s="1"/>
  <c r="AT70" i="44"/>
  <c r="F40" i="55" s="1"/>
  <c r="AC94" i="46"/>
  <c r="I60" i="58" s="1"/>
  <c r="AC70" i="46"/>
  <c r="I60" i="54" s="1"/>
  <c r="AW70" i="46"/>
  <c r="G69" i="43"/>
  <c r="Z93" i="43" s="1"/>
  <c r="G93" i="43"/>
  <c r="J95" i="44"/>
  <c r="I41" i="57" s="1"/>
  <c r="X94" i="44"/>
  <c r="D40" i="58" s="1"/>
  <c r="X70" i="44"/>
  <c r="D40" i="54" s="1"/>
  <c r="AR70" i="44"/>
  <c r="D40" i="55" s="1"/>
  <c r="AJ69" i="47"/>
  <c r="AJ20" i="47"/>
  <c r="P78" i="59" s="1"/>
  <c r="M95" i="44"/>
  <c r="L41" i="57" s="1"/>
  <c r="D95" i="46"/>
  <c r="C61" i="57" s="1"/>
  <c r="D71" i="46"/>
  <c r="C61" i="56" s="1"/>
  <c r="Q47" i="46"/>
  <c r="AE94" i="43"/>
  <c r="L94" i="43"/>
  <c r="I69" i="43"/>
  <c r="AB93" i="43" s="1"/>
  <c r="I93" i="43"/>
  <c r="M69" i="43"/>
  <c r="AF93" i="43" s="1"/>
  <c r="M93" i="43"/>
  <c r="AG69" i="43"/>
  <c r="AG93" i="43"/>
  <c r="AA94" i="46"/>
  <c r="G60" i="58" s="1"/>
  <c r="AU70" i="46"/>
  <c r="J71" i="46"/>
  <c r="I61" i="56" s="1"/>
  <c r="J95" i="46"/>
  <c r="I61" i="57" s="1"/>
  <c r="G95" i="47"/>
  <c r="F81" i="57" s="1"/>
  <c r="G71" i="47"/>
  <c r="F81" i="56" s="1"/>
  <c r="AS46" i="47"/>
  <c r="BZ61" i="47" s="1"/>
  <c r="AC46" i="46"/>
  <c r="AG46" i="46"/>
  <c r="BZ69" i="46"/>
  <c r="AE46" i="46"/>
  <c r="BZ68" i="46"/>
  <c r="AH46" i="46"/>
  <c r="AJ69" i="46"/>
  <c r="AK69" i="46" s="1"/>
  <c r="BY58" i="46" s="1"/>
  <c r="AF94" i="44"/>
  <c r="L40" i="58" s="1"/>
  <c r="AF70" i="44"/>
  <c r="L40" i="54" s="1"/>
  <c r="AZ70" i="44"/>
  <c r="L40" i="55" s="1"/>
  <c r="AJ93" i="47"/>
  <c r="P79" i="58" s="1"/>
  <c r="P68" i="47"/>
  <c r="AI44" i="47"/>
  <c r="O70" i="43"/>
  <c r="AH94" i="43" s="1"/>
  <c r="O94" i="43"/>
  <c r="BJ22" i="47"/>
  <c r="BK22" i="47" s="1"/>
  <c r="BL22" i="47" s="1"/>
  <c r="P22" i="47" s="1"/>
  <c r="O80" i="51" s="1"/>
  <c r="AR46" i="47"/>
  <c r="BZ60" i="47" s="1"/>
  <c r="Y70" i="46"/>
  <c r="E60" i="54" s="1"/>
  <c r="Y94" i="46"/>
  <c r="E60" i="58" s="1"/>
  <c r="AS70" i="46"/>
  <c r="Z46" i="47"/>
  <c r="I95" i="44"/>
  <c r="H41" i="57" s="1"/>
  <c r="Q70" i="46"/>
  <c r="P60" i="56" s="1"/>
  <c r="W70" i="46"/>
  <c r="C60" i="54" s="1"/>
  <c r="W94" i="46"/>
  <c r="C60" i="58" s="1"/>
  <c r="AQ70" i="46"/>
  <c r="W94" i="47"/>
  <c r="C80" i="58" s="1"/>
  <c r="W70" i="47"/>
  <c r="C80" i="54" s="1"/>
  <c r="Q70" i="47"/>
  <c r="P80" i="56" s="1"/>
  <c r="AQ70" i="47"/>
  <c r="C80" i="55" s="1"/>
  <c r="BW46" i="43"/>
  <c r="BZ67" i="43" s="1"/>
  <c r="AD93" i="43"/>
  <c r="CA45" i="43"/>
  <c r="BA44" i="43"/>
  <c r="BA69" i="43"/>
  <c r="AA69" i="43"/>
  <c r="N47" i="43"/>
  <c r="N71" i="43" s="1"/>
  <c r="I23" i="43"/>
  <c r="I46" i="43"/>
  <c r="M23" i="43"/>
  <c r="M46" i="43"/>
  <c r="G23" i="43"/>
  <c r="G46" i="43"/>
  <c r="H23" i="43"/>
  <c r="H46" i="43"/>
  <c r="F23" i="43"/>
  <c r="F46" i="43"/>
  <c r="K23" i="43"/>
  <c r="K46" i="43"/>
  <c r="K70" i="43" s="1"/>
  <c r="J23" i="43"/>
  <c r="J46" i="43"/>
  <c r="E23" i="43"/>
  <c r="E46" i="43"/>
  <c r="AE69" i="43"/>
  <c r="AY69" i="43"/>
  <c r="AF68" i="43"/>
  <c r="AZ68" i="43"/>
  <c r="AD68" i="43"/>
  <c r="AX68" i="43"/>
  <c r="Z68" i="43"/>
  <c r="AT68" i="43"/>
  <c r="AC68" i="43"/>
  <c r="AW68" i="43"/>
  <c r="AB68" i="43"/>
  <c r="AV68" i="43"/>
  <c r="X68" i="43"/>
  <c r="AR68" i="43"/>
  <c r="AH69" i="43"/>
  <c r="BB69" i="43"/>
  <c r="Y68" i="43"/>
  <c r="AS68" i="43"/>
  <c r="AU68" i="43"/>
  <c r="AU21" i="43"/>
  <c r="AY22" i="43"/>
  <c r="AW22" i="43"/>
  <c r="BA23" i="43"/>
  <c r="AZ22" i="43"/>
  <c r="AV22" i="43"/>
  <c r="AX22" i="43"/>
  <c r="P18" i="59" l="1"/>
  <c r="P21" i="51"/>
  <c r="L19" i="60"/>
  <c r="J19" i="60"/>
  <c r="D19" i="60"/>
  <c r="H19" i="60"/>
  <c r="AJ21" i="44"/>
  <c r="O39" i="59"/>
  <c r="AJ21" i="46"/>
  <c r="P59" i="59" s="1"/>
  <c r="O59" i="59"/>
  <c r="AJ21" i="47"/>
  <c r="P79" i="59" s="1"/>
  <c r="O79" i="59"/>
  <c r="F20" i="58"/>
  <c r="BV63" i="44"/>
  <c r="BV55" i="44"/>
  <c r="BV63" i="47"/>
  <c r="BV55" i="47"/>
  <c r="H20" i="58"/>
  <c r="H70" i="43"/>
  <c r="AA94" i="43" s="1"/>
  <c r="BO46" i="44"/>
  <c r="BZ64" i="44" s="1"/>
  <c r="BU46" i="44"/>
  <c r="BZ66" i="44" s="1"/>
  <c r="AI22" i="44"/>
  <c r="P46" i="44"/>
  <c r="O40" i="53" s="1"/>
  <c r="L21" i="57"/>
  <c r="P20" i="57"/>
  <c r="AI45" i="46"/>
  <c r="L20" i="58"/>
  <c r="J21" i="53"/>
  <c r="BV63" i="46"/>
  <c r="I20" i="58"/>
  <c r="C20" i="58"/>
  <c r="I21" i="57"/>
  <c r="P15" i="55"/>
  <c r="J60" i="55"/>
  <c r="J20" i="55" s="1"/>
  <c r="J20" i="54"/>
  <c r="C21" i="56"/>
  <c r="P19" i="58"/>
  <c r="H60" i="55"/>
  <c r="H20" i="55" s="1"/>
  <c r="H20" i="54"/>
  <c r="E21" i="57"/>
  <c r="J20" i="58"/>
  <c r="G21" i="57"/>
  <c r="P69" i="47"/>
  <c r="BC69" i="47" s="1"/>
  <c r="O79" i="53"/>
  <c r="J21" i="56"/>
  <c r="F60" i="55"/>
  <c r="F20" i="55" s="1"/>
  <c r="F20" i="54"/>
  <c r="AK69" i="47"/>
  <c r="BY58" i="47" s="1"/>
  <c r="P79" i="54"/>
  <c r="BD67" i="44"/>
  <c r="P37" i="55" s="1"/>
  <c r="O37" i="55"/>
  <c r="G20" i="58"/>
  <c r="F21" i="56"/>
  <c r="P20" i="53"/>
  <c r="G60" i="55"/>
  <c r="G20" i="55" s="1"/>
  <c r="G20" i="54"/>
  <c r="I60" i="55"/>
  <c r="I20" i="55" s="1"/>
  <c r="I20" i="54"/>
  <c r="Z47" i="44"/>
  <c r="P41" i="53"/>
  <c r="J21" i="57"/>
  <c r="F21" i="57"/>
  <c r="P46" i="46"/>
  <c r="O60" i="53" s="1"/>
  <c r="O60" i="51"/>
  <c r="O20" i="51" s="1"/>
  <c r="BD67" i="47"/>
  <c r="BW63" i="47" s="1"/>
  <c r="O77" i="55"/>
  <c r="P56" i="55"/>
  <c r="P16" i="55" s="1"/>
  <c r="P56" i="54"/>
  <c r="P16" i="54" s="1"/>
  <c r="H21" i="56"/>
  <c r="L21" i="56"/>
  <c r="O16" i="55"/>
  <c r="H21" i="57"/>
  <c r="D60" i="55"/>
  <c r="D20" i="55" s="1"/>
  <c r="D20" i="54"/>
  <c r="AK69" i="44"/>
  <c r="BY58" i="44" s="1"/>
  <c r="P39" i="54"/>
  <c r="BD67" i="46"/>
  <c r="BW63" i="46" s="1"/>
  <c r="O57" i="55"/>
  <c r="O17" i="54"/>
  <c r="G21" i="53"/>
  <c r="O19" i="51"/>
  <c r="C60" i="55"/>
  <c r="C20" i="55" s="1"/>
  <c r="C20" i="54"/>
  <c r="C21" i="57"/>
  <c r="AR47" i="47"/>
  <c r="CA60" i="47" s="1"/>
  <c r="P81" i="53"/>
  <c r="AD47" i="46"/>
  <c r="P61" i="53"/>
  <c r="L60" i="55"/>
  <c r="L20" i="55" s="1"/>
  <c r="L20" i="54"/>
  <c r="E20" i="58"/>
  <c r="P93" i="44"/>
  <c r="O39" i="57" s="1"/>
  <c r="O39" i="53"/>
  <c r="G21" i="56"/>
  <c r="I21" i="56"/>
  <c r="E60" i="55"/>
  <c r="E20" i="55" s="1"/>
  <c r="E20" i="54"/>
  <c r="E21" i="56"/>
  <c r="P92" i="47"/>
  <c r="O78" i="57" s="1"/>
  <c r="O18" i="57" s="1"/>
  <c r="O78" i="56"/>
  <c r="O18" i="56" s="1"/>
  <c r="D20" i="58"/>
  <c r="P20" i="56"/>
  <c r="D21" i="57"/>
  <c r="D21" i="56"/>
  <c r="O71" i="43"/>
  <c r="AH95" i="43" s="1"/>
  <c r="L95" i="43"/>
  <c r="O95" i="43"/>
  <c r="J47" i="43"/>
  <c r="G47" i="43"/>
  <c r="AE95" i="43"/>
  <c r="BD21" i="43"/>
  <c r="K94" i="43"/>
  <c r="K47" i="43"/>
  <c r="M47" i="43"/>
  <c r="F47" i="43"/>
  <c r="I47" i="43"/>
  <c r="H94" i="43"/>
  <c r="BU46" i="46"/>
  <c r="BZ66" i="46" s="1"/>
  <c r="AI45" i="44"/>
  <c r="BC68" i="44"/>
  <c r="BO46" i="46"/>
  <c r="BZ64" i="46" s="1"/>
  <c r="AC47" i="46"/>
  <c r="AJ70" i="46"/>
  <c r="AK70" i="46" s="1"/>
  <c r="BZ58" i="46" s="1"/>
  <c r="AF47" i="46"/>
  <c r="AA47" i="46"/>
  <c r="AR47" i="46"/>
  <c r="CA60" i="46" s="1"/>
  <c r="BJ23" i="47"/>
  <c r="BK23" i="47" s="1"/>
  <c r="BL23" i="47" s="1"/>
  <c r="P23" i="47" s="1"/>
  <c r="AI45" i="47"/>
  <c r="AQ47" i="46"/>
  <c r="CA59" i="46" s="1"/>
  <c r="W47" i="46"/>
  <c r="AU46" i="46"/>
  <c r="AS47" i="47"/>
  <c r="CA61" i="47" s="1"/>
  <c r="BC68" i="47"/>
  <c r="Y47" i="47"/>
  <c r="AC47" i="47"/>
  <c r="Z47" i="47"/>
  <c r="AA47" i="47"/>
  <c r="W47" i="47"/>
  <c r="AQ47" i="47"/>
  <c r="CA59" i="47" s="1"/>
  <c r="AI22" i="46"/>
  <c r="AJ46" i="46"/>
  <c r="AJ46" i="44"/>
  <c r="BC69" i="44"/>
  <c r="AB47" i="44"/>
  <c r="AA47" i="44"/>
  <c r="AB95" i="46"/>
  <c r="H61" i="58" s="1"/>
  <c r="AB71" i="46"/>
  <c r="H61" i="54" s="1"/>
  <c r="AV71" i="46"/>
  <c r="BJ23" i="46"/>
  <c r="BK23" i="46" s="1"/>
  <c r="BL23" i="46" s="1"/>
  <c r="P23" i="46" s="1"/>
  <c r="O61" i="51" s="1"/>
  <c r="AA95" i="46"/>
  <c r="G61" i="58" s="1"/>
  <c r="AU71" i="46"/>
  <c r="AJ94" i="46"/>
  <c r="P60" i="58" s="1"/>
  <c r="AJ94" i="44"/>
  <c r="P40" i="58" s="1"/>
  <c r="X95" i="46"/>
  <c r="D61" i="58" s="1"/>
  <c r="X71" i="46"/>
  <c r="D61" i="54" s="1"/>
  <c r="AR71" i="46"/>
  <c r="AT47" i="44"/>
  <c r="CA62" i="44" s="1"/>
  <c r="F70" i="43"/>
  <c r="Y94" i="43" s="1"/>
  <c r="F94" i="43"/>
  <c r="Z95" i="47"/>
  <c r="F81" i="58" s="1"/>
  <c r="Z71" i="47"/>
  <c r="F81" i="54" s="1"/>
  <c r="AT71" i="47"/>
  <c r="F81" i="55" s="1"/>
  <c r="E70" i="43"/>
  <c r="X94" i="43" s="1"/>
  <c r="E94" i="43"/>
  <c r="AG95" i="43"/>
  <c r="N95" i="43"/>
  <c r="Y47" i="46"/>
  <c r="AH47" i="46"/>
  <c r="AG47" i="46"/>
  <c r="AE47" i="46"/>
  <c r="CA68" i="46"/>
  <c r="CA69" i="46"/>
  <c r="AD47" i="47"/>
  <c r="CA69" i="47"/>
  <c r="CA68" i="47"/>
  <c r="AG47" i="47"/>
  <c r="AH47" i="47"/>
  <c r="AE47" i="47"/>
  <c r="AS47" i="46"/>
  <c r="CA61" i="46" s="1"/>
  <c r="BJ23" i="44"/>
  <c r="BK23" i="44" s="1"/>
  <c r="BL23" i="44" s="1"/>
  <c r="P23" i="44" s="1"/>
  <c r="O41" i="51" s="1"/>
  <c r="AF95" i="46"/>
  <c r="L61" i="58" s="1"/>
  <c r="AF71" i="46"/>
  <c r="L61" i="54" s="1"/>
  <c r="AZ71" i="46"/>
  <c r="AD95" i="47"/>
  <c r="J81" i="58" s="1"/>
  <c r="AD71" i="47"/>
  <c r="J81" i="54" s="1"/>
  <c r="AX71" i="47"/>
  <c r="J81" i="55" s="1"/>
  <c r="X47" i="47"/>
  <c r="I70" i="43"/>
  <c r="AB94" i="43" s="1"/>
  <c r="I94" i="43"/>
  <c r="AI22" i="47"/>
  <c r="O80" i="59" s="1"/>
  <c r="P46" i="47"/>
  <c r="O80" i="53" s="1"/>
  <c r="BO46" i="47"/>
  <c r="BZ64" i="47" s="1"/>
  <c r="BU46" i="47"/>
  <c r="BZ66" i="47" s="1"/>
  <c r="P94" i="46"/>
  <c r="O60" i="57" s="1"/>
  <c r="W95" i="46"/>
  <c r="C61" i="58" s="1"/>
  <c r="Q71" i="46"/>
  <c r="P61" i="56" s="1"/>
  <c r="W71" i="46"/>
  <c r="C61" i="54" s="1"/>
  <c r="AQ71" i="46"/>
  <c r="W47" i="44"/>
  <c r="W95" i="47"/>
  <c r="C81" i="58" s="1"/>
  <c r="W71" i="47"/>
  <c r="C81" i="54" s="1"/>
  <c r="Q71" i="47"/>
  <c r="P81" i="56" s="1"/>
  <c r="AQ71" i="47"/>
  <c r="C81" i="55" s="1"/>
  <c r="Y47" i="44"/>
  <c r="Z47" i="46"/>
  <c r="AD47" i="44"/>
  <c r="AJ70" i="44"/>
  <c r="AR47" i="44"/>
  <c r="CA60" i="44" s="1"/>
  <c r="AA95" i="44"/>
  <c r="G41" i="58" s="1"/>
  <c r="AU71" i="44"/>
  <c r="G41" i="55" s="1"/>
  <c r="AU46" i="47"/>
  <c r="BZ59" i="47"/>
  <c r="AD95" i="46"/>
  <c r="J61" i="58" s="1"/>
  <c r="AD71" i="46"/>
  <c r="J61" i="54" s="1"/>
  <c r="AX71" i="46"/>
  <c r="AU46" i="44"/>
  <c r="X95" i="47"/>
  <c r="D81" i="58" s="1"/>
  <c r="X71" i="47"/>
  <c r="D81" i="54" s="1"/>
  <c r="AR71" i="47"/>
  <c r="D81" i="55" s="1"/>
  <c r="BC68" i="46"/>
  <c r="AS47" i="44"/>
  <c r="CA61" i="44" s="1"/>
  <c r="AB47" i="47"/>
  <c r="Q95" i="47"/>
  <c r="P81" i="57" s="1"/>
  <c r="Z95" i="46"/>
  <c r="F61" i="58" s="1"/>
  <c r="Z71" i="46"/>
  <c r="F61" i="54" s="1"/>
  <c r="AT71" i="46"/>
  <c r="AC95" i="46"/>
  <c r="I61" i="58" s="1"/>
  <c r="AC71" i="46"/>
  <c r="I61" i="54" s="1"/>
  <c r="AW71" i="46"/>
  <c r="AF47" i="44"/>
  <c r="AC47" i="44"/>
  <c r="Y95" i="47"/>
  <c r="E81" i="58" s="1"/>
  <c r="Y71" i="47"/>
  <c r="E81" i="54" s="1"/>
  <c r="AS71" i="47"/>
  <c r="E81" i="55" s="1"/>
  <c r="W95" i="44"/>
  <c r="C41" i="58" s="1"/>
  <c r="W71" i="44"/>
  <c r="C41" i="54" s="1"/>
  <c r="Q71" i="44"/>
  <c r="P41" i="56" s="1"/>
  <c r="AQ71" i="44"/>
  <c r="C41" i="55" s="1"/>
  <c r="AD71" i="44"/>
  <c r="J41" i="54" s="1"/>
  <c r="AD95" i="44"/>
  <c r="J41" i="58" s="1"/>
  <c r="AX71" i="44"/>
  <c r="J41" i="55" s="1"/>
  <c r="AT47" i="47"/>
  <c r="CA62" i="47" s="1"/>
  <c r="X95" i="44"/>
  <c r="D41" i="58" s="1"/>
  <c r="X71" i="44"/>
  <c r="D41" i="54" s="1"/>
  <c r="AR71" i="44"/>
  <c r="D41" i="55" s="1"/>
  <c r="AB95" i="47"/>
  <c r="H81" i="58" s="1"/>
  <c r="AB71" i="47"/>
  <c r="H81" i="54" s="1"/>
  <c r="AV71" i="47"/>
  <c r="H81" i="55" s="1"/>
  <c r="AF47" i="47"/>
  <c r="P94" i="44"/>
  <c r="O40" i="57" s="1"/>
  <c r="G70" i="43"/>
  <c r="Z94" i="43" s="1"/>
  <c r="G94" i="43"/>
  <c r="Q95" i="46"/>
  <c r="P61" i="57" s="1"/>
  <c r="AQ47" i="44"/>
  <c r="CA68" i="44"/>
  <c r="CA69" i="44"/>
  <c r="AH47" i="44"/>
  <c r="AE47" i="44"/>
  <c r="AG47" i="44"/>
  <c r="Y95" i="44"/>
  <c r="E41" i="58" s="1"/>
  <c r="Y71" i="44"/>
  <c r="E41" i="54" s="1"/>
  <c r="AS71" i="44"/>
  <c r="E41" i="55" s="1"/>
  <c r="X47" i="44"/>
  <c r="M70" i="43"/>
  <c r="AF94" i="43" s="1"/>
  <c r="M94" i="43"/>
  <c r="AJ70" i="47"/>
  <c r="AB95" i="44"/>
  <c r="H41" i="58" s="1"/>
  <c r="AB71" i="44"/>
  <c r="H41" i="54" s="1"/>
  <c r="AV71" i="44"/>
  <c r="H41" i="55" s="1"/>
  <c r="AF71" i="44"/>
  <c r="L41" i="54" s="1"/>
  <c r="AF95" i="44"/>
  <c r="L41" i="58" s="1"/>
  <c r="AZ71" i="44"/>
  <c r="L41" i="55" s="1"/>
  <c r="Q95" i="44"/>
  <c r="P41" i="57" s="1"/>
  <c r="AC95" i="47"/>
  <c r="I81" i="58" s="1"/>
  <c r="AC71" i="47"/>
  <c r="I81" i="54" s="1"/>
  <c r="AW71" i="47"/>
  <c r="I81" i="55" s="1"/>
  <c r="AT47" i="46"/>
  <c r="CA62" i="46" s="1"/>
  <c r="AA95" i="47"/>
  <c r="G81" i="58" s="1"/>
  <c r="AU71" i="47"/>
  <c r="G81" i="55" s="1"/>
  <c r="AJ46" i="47"/>
  <c r="Z95" i="44"/>
  <c r="F41" i="58" s="1"/>
  <c r="Z71" i="44"/>
  <c r="F41" i="54" s="1"/>
  <c r="AT71" i="44"/>
  <c r="F41" i="55" s="1"/>
  <c r="AF71" i="47"/>
  <c r="L81" i="54" s="1"/>
  <c r="AF95" i="47"/>
  <c r="L81" i="58" s="1"/>
  <c r="AZ71" i="47"/>
  <c r="L81" i="55" s="1"/>
  <c r="J70" i="43"/>
  <c r="AC94" i="43" s="1"/>
  <c r="J94" i="43"/>
  <c r="AJ94" i="47"/>
  <c r="P80" i="58" s="1"/>
  <c r="AC95" i="44"/>
  <c r="I41" i="58" s="1"/>
  <c r="AC71" i="44"/>
  <c r="I41" i="54" s="1"/>
  <c r="AW71" i="44"/>
  <c r="I41" i="55" s="1"/>
  <c r="Y95" i="46"/>
  <c r="E61" i="58" s="1"/>
  <c r="Y71" i="46"/>
  <c r="E61" i="54" s="1"/>
  <c r="AS71" i="46"/>
  <c r="X47" i="46"/>
  <c r="AB47" i="46"/>
  <c r="BC69" i="46"/>
  <c r="BW47" i="43"/>
  <c r="CA67" i="43" s="1"/>
  <c r="AD94" i="43"/>
  <c r="CA46" i="43"/>
  <c r="BA45" i="43"/>
  <c r="E47" i="43"/>
  <c r="AA70" i="43"/>
  <c r="H47" i="43"/>
  <c r="AF69" i="43"/>
  <c r="AZ69" i="43"/>
  <c r="AB69" i="43"/>
  <c r="AV69" i="43"/>
  <c r="AH70" i="43"/>
  <c r="BB70" i="43"/>
  <c r="X69" i="43"/>
  <c r="AR69" i="43"/>
  <c r="AG70" i="43"/>
  <c r="BA70" i="43"/>
  <c r="Z69" i="43"/>
  <c r="AT69" i="43"/>
  <c r="AD69" i="43"/>
  <c r="AX69" i="43"/>
  <c r="AE70" i="43"/>
  <c r="AY70" i="43"/>
  <c r="AU69" i="43"/>
  <c r="Y69" i="43"/>
  <c r="AS69" i="43"/>
  <c r="AC69" i="43"/>
  <c r="AW69" i="43"/>
  <c r="AU22" i="43"/>
  <c r="AY23" i="43"/>
  <c r="AV23" i="43"/>
  <c r="AX23" i="43"/>
  <c r="AZ23" i="43"/>
  <c r="AW23" i="43"/>
  <c r="P19" i="59" l="1"/>
  <c r="J20" i="60"/>
  <c r="D20" i="60"/>
  <c r="L20" i="60"/>
  <c r="H20" i="60"/>
  <c r="AJ22" i="46"/>
  <c r="P60" i="59" s="1"/>
  <c r="O60" i="59"/>
  <c r="O19" i="59"/>
  <c r="AJ22" i="44"/>
  <c r="O40" i="59"/>
  <c r="I21" i="58"/>
  <c r="H71" i="43"/>
  <c r="AA95" i="43" s="1"/>
  <c r="O20" i="53"/>
  <c r="AI46" i="44"/>
  <c r="F21" i="58"/>
  <c r="P21" i="53"/>
  <c r="AI46" i="46"/>
  <c r="BW55" i="44"/>
  <c r="BW63" i="44"/>
  <c r="J21" i="58"/>
  <c r="H21" i="58"/>
  <c r="P20" i="58"/>
  <c r="BD69" i="46"/>
  <c r="BY63" i="46" s="1"/>
  <c r="O59" i="55"/>
  <c r="O19" i="54"/>
  <c r="AK70" i="47"/>
  <c r="BZ58" i="47" s="1"/>
  <c r="P80" i="54"/>
  <c r="D21" i="58"/>
  <c r="C21" i="58"/>
  <c r="BD69" i="47"/>
  <c r="P79" i="55" s="1"/>
  <c r="O79" i="55"/>
  <c r="AK70" i="44"/>
  <c r="BZ58" i="44" s="1"/>
  <c r="P40" i="54"/>
  <c r="BW55" i="46"/>
  <c r="P57" i="55"/>
  <c r="P57" i="54"/>
  <c r="P17" i="54" s="1"/>
  <c r="P21" i="57"/>
  <c r="F61" i="55"/>
  <c r="F21" i="55" s="1"/>
  <c r="F21" i="54"/>
  <c r="C61" i="55"/>
  <c r="C21" i="55" s="1"/>
  <c r="C21" i="54"/>
  <c r="L61" i="55"/>
  <c r="L21" i="55" s="1"/>
  <c r="L21" i="54"/>
  <c r="G61" i="55"/>
  <c r="G21" i="55" s="1"/>
  <c r="G21" i="54"/>
  <c r="BD69" i="44"/>
  <c r="BY55" i="44" s="1"/>
  <c r="O39" i="55"/>
  <c r="P47" i="47"/>
  <c r="O81" i="53" s="1"/>
  <c r="O81" i="51"/>
  <c r="O21" i="51" s="1"/>
  <c r="BW55" i="47"/>
  <c r="P77" i="55"/>
  <c r="BD68" i="46"/>
  <c r="BX63" i="46" s="1"/>
  <c r="O58" i="55"/>
  <c r="O18" i="54"/>
  <c r="BD68" i="44"/>
  <c r="O38" i="55"/>
  <c r="O19" i="53"/>
  <c r="O17" i="55"/>
  <c r="P93" i="47"/>
  <c r="O79" i="57" s="1"/>
  <c r="O19" i="57" s="1"/>
  <c r="O79" i="56"/>
  <c r="O19" i="56" s="1"/>
  <c r="E61" i="55"/>
  <c r="E21" i="55" s="1"/>
  <c r="E21" i="54"/>
  <c r="BD68" i="47"/>
  <c r="BX55" i="47" s="1"/>
  <c r="O78" i="55"/>
  <c r="L21" i="58"/>
  <c r="G21" i="58"/>
  <c r="D61" i="55"/>
  <c r="D21" i="55" s="1"/>
  <c r="D21" i="54"/>
  <c r="H61" i="55"/>
  <c r="H21" i="55" s="1"/>
  <c r="H21" i="54"/>
  <c r="E21" i="58"/>
  <c r="P21" i="56"/>
  <c r="I61" i="55"/>
  <c r="I21" i="55" s="1"/>
  <c r="I21" i="54"/>
  <c r="J21" i="54"/>
  <c r="J61" i="55"/>
  <c r="J21" i="55" s="1"/>
  <c r="K71" i="43"/>
  <c r="AD95" i="43" s="1"/>
  <c r="F95" i="43"/>
  <c r="J95" i="43"/>
  <c r="I95" i="43"/>
  <c r="G71" i="43"/>
  <c r="Z95" i="43" s="1"/>
  <c r="J71" i="43"/>
  <c r="AC95" i="43" s="1"/>
  <c r="I71" i="43"/>
  <c r="AB95" i="43" s="1"/>
  <c r="M95" i="43"/>
  <c r="F71" i="43"/>
  <c r="Y95" i="43" s="1"/>
  <c r="M71" i="43"/>
  <c r="AF95" i="43" s="1"/>
  <c r="G95" i="43"/>
  <c r="K95" i="43"/>
  <c r="BD22" i="43"/>
  <c r="BO47" i="47"/>
  <c r="CA64" i="47" s="1"/>
  <c r="AJ47" i="46"/>
  <c r="AJ95" i="44"/>
  <c r="P41" i="58" s="1"/>
  <c r="BU47" i="47"/>
  <c r="CA66" i="47" s="1"/>
  <c r="AI23" i="47"/>
  <c r="AJ47" i="47"/>
  <c r="BC70" i="44"/>
  <c r="AJ95" i="46"/>
  <c r="P61" i="58" s="1"/>
  <c r="AI46" i="47"/>
  <c r="P70" i="47"/>
  <c r="AJ22" i="47"/>
  <c r="P80" i="59" s="1"/>
  <c r="BC70" i="46"/>
  <c r="CA47" i="43"/>
  <c r="H95" i="43"/>
  <c r="AJ71" i="47"/>
  <c r="CA59" i="44"/>
  <c r="AU47" i="44"/>
  <c r="AJ95" i="47"/>
  <c r="P81" i="58" s="1"/>
  <c r="P47" i="44"/>
  <c r="O41" i="53" s="1"/>
  <c r="AI23" i="44"/>
  <c r="O41" i="59" s="1"/>
  <c r="BO47" i="44"/>
  <c r="CA64" i="44" s="1"/>
  <c r="BU47" i="44"/>
  <c r="CA66" i="44" s="1"/>
  <c r="AJ47" i="44"/>
  <c r="AU47" i="46"/>
  <c r="E71" i="43"/>
  <c r="X95" i="43" s="1"/>
  <c r="E95" i="43"/>
  <c r="AU47" i="47"/>
  <c r="AJ71" i="44"/>
  <c r="AJ71" i="46"/>
  <c r="AK71" i="46" s="1"/>
  <c r="CA58" i="46" s="1"/>
  <c r="P47" i="46"/>
  <c r="O61" i="53" s="1"/>
  <c r="AI23" i="46"/>
  <c r="O61" i="59" s="1"/>
  <c r="BO47" i="46"/>
  <c r="CA64" i="46" s="1"/>
  <c r="BU47" i="46"/>
  <c r="CA66" i="46" s="1"/>
  <c r="BA47" i="43"/>
  <c r="BA46" i="43"/>
  <c r="AA71" i="43"/>
  <c r="AU70" i="43"/>
  <c r="AH71" i="43"/>
  <c r="BB71" i="43"/>
  <c r="AE71" i="43"/>
  <c r="AY71" i="43"/>
  <c r="Z70" i="43"/>
  <c r="AT70" i="43"/>
  <c r="AF70" i="43"/>
  <c r="AZ70" i="43"/>
  <c r="AD70" i="43"/>
  <c r="AX70" i="43"/>
  <c r="Y70" i="43"/>
  <c r="AS70" i="43"/>
  <c r="AC70" i="43"/>
  <c r="AW70" i="43"/>
  <c r="AB70" i="43"/>
  <c r="AV70" i="43"/>
  <c r="AG71" i="43"/>
  <c r="BA71" i="43"/>
  <c r="X70" i="43"/>
  <c r="AR70" i="43"/>
  <c r="AU23" i="43"/>
  <c r="P20" i="59" l="1"/>
  <c r="J21" i="60"/>
  <c r="D21" i="60"/>
  <c r="L21" i="60"/>
  <c r="H21" i="60"/>
  <c r="O20" i="59"/>
  <c r="AJ23" i="47"/>
  <c r="P81" i="59" s="1"/>
  <c r="O81" i="59"/>
  <c r="O21" i="59" s="1"/>
  <c r="BX55" i="46"/>
  <c r="P71" i="47"/>
  <c r="P95" i="47" s="1"/>
  <c r="O81" i="57" s="1"/>
  <c r="O21" i="53"/>
  <c r="BY63" i="47"/>
  <c r="BY55" i="46"/>
  <c r="BY55" i="47"/>
  <c r="P17" i="55"/>
  <c r="AI47" i="47"/>
  <c r="P21" i="58"/>
  <c r="BD70" i="46"/>
  <c r="BZ63" i="46" s="1"/>
  <c r="O60" i="55"/>
  <c r="O20" i="54"/>
  <c r="AK71" i="44"/>
  <c r="CA58" i="44" s="1"/>
  <c r="P41" i="54"/>
  <c r="O19" i="55"/>
  <c r="P94" i="47"/>
  <c r="O80" i="57" s="1"/>
  <c r="O20" i="57" s="1"/>
  <c r="O80" i="56"/>
  <c r="O20" i="56" s="1"/>
  <c r="P58" i="55"/>
  <c r="P58" i="54"/>
  <c r="P18" i="54" s="1"/>
  <c r="BY63" i="44"/>
  <c r="P39" i="55"/>
  <c r="AK71" i="47"/>
  <c r="CA58" i="47" s="1"/>
  <c r="P81" i="54"/>
  <c r="BX63" i="47"/>
  <c r="P78" i="55"/>
  <c r="O18" i="55"/>
  <c r="P59" i="55"/>
  <c r="P59" i="54"/>
  <c r="P19" i="54" s="1"/>
  <c r="BD70" i="44"/>
  <c r="P40" i="55" s="1"/>
  <c r="O40" i="55"/>
  <c r="BX63" i="44"/>
  <c r="P38" i="55"/>
  <c r="BX55" i="44"/>
  <c r="BD23" i="43"/>
  <c r="BC70" i="47"/>
  <c r="AI47" i="44"/>
  <c r="P95" i="44"/>
  <c r="O41" i="57" s="1"/>
  <c r="AJ23" i="46"/>
  <c r="P61" i="59" s="1"/>
  <c r="P95" i="46"/>
  <c r="O61" i="57" s="1"/>
  <c r="AI47" i="46"/>
  <c r="AJ23" i="44"/>
  <c r="AB71" i="43"/>
  <c r="AV71" i="43"/>
  <c r="X71" i="43"/>
  <c r="AR71" i="43"/>
  <c r="Z71" i="43"/>
  <c r="AT71" i="43"/>
  <c r="AU71" i="43"/>
  <c r="Y71" i="43"/>
  <c r="AS71" i="43"/>
  <c r="AF71" i="43"/>
  <c r="AZ71" i="43"/>
  <c r="AD71" i="43"/>
  <c r="AX71" i="43"/>
  <c r="AC71" i="43"/>
  <c r="AW71" i="43"/>
  <c r="P21" i="59" l="1"/>
  <c r="BC71" i="47"/>
  <c r="O81" i="55" s="1"/>
  <c r="O81" i="56"/>
  <c r="O21" i="56" s="1"/>
  <c r="O21" i="57"/>
  <c r="BZ63" i="44"/>
  <c r="BZ55" i="44"/>
  <c r="BZ55" i="46"/>
  <c r="P19" i="55"/>
  <c r="BD70" i="47"/>
  <c r="O80" i="55"/>
  <c r="O20" i="55" s="1"/>
  <c r="P18" i="55"/>
  <c r="P60" i="55"/>
  <c r="P60" i="54"/>
  <c r="P20" i="54" s="1"/>
  <c r="BC71" i="46"/>
  <c r="BC71" i="44"/>
  <c r="D5" i="43"/>
  <c r="BD71" i="47" l="1"/>
  <c r="P81" i="55" s="1"/>
  <c r="BZ55" i="47"/>
  <c r="P80" i="55"/>
  <c r="P20" i="55" s="1"/>
  <c r="BD71" i="46"/>
  <c r="O61" i="55"/>
  <c r="O21" i="54"/>
  <c r="BD71" i="44"/>
  <c r="CA55" i="44" s="1"/>
  <c r="O41" i="55"/>
  <c r="BZ63" i="47"/>
  <c r="BR29" i="43"/>
  <c r="BI65" i="43" s="1"/>
  <c r="D6" i="43"/>
  <c r="D29" i="43"/>
  <c r="Q5" i="43"/>
  <c r="CA55" i="47" l="1"/>
  <c r="CA63" i="47"/>
  <c r="O21" i="55"/>
  <c r="CA63" i="44"/>
  <c r="P41" i="55"/>
  <c r="CA55" i="46"/>
  <c r="P61" i="55"/>
  <c r="P61" i="54"/>
  <c r="P21" i="54" s="1"/>
  <c r="CA63" i="46"/>
  <c r="D53" i="43"/>
  <c r="W77" i="43" s="1"/>
  <c r="AJ77" i="43" s="1"/>
  <c r="D77" i="43"/>
  <c r="Q77" i="43" s="1"/>
  <c r="BR30" i="43"/>
  <c r="BJ65" i="43" s="1"/>
  <c r="D7" i="43"/>
  <c r="D30" i="43"/>
  <c r="Q6" i="43"/>
  <c r="Q29" i="43"/>
  <c r="AT29" i="43" s="1"/>
  <c r="P21" i="55" l="1"/>
  <c r="D54" i="43"/>
  <c r="W78" i="43" s="1"/>
  <c r="AJ78" i="43" s="1"/>
  <c r="D78" i="43"/>
  <c r="Q78" i="43" s="1"/>
  <c r="BI68" i="43"/>
  <c r="BI69" i="43"/>
  <c r="BR31" i="43"/>
  <c r="BK65" i="43" s="1"/>
  <c r="D8" i="43"/>
  <c r="D31" i="43"/>
  <c r="AQ29" i="43"/>
  <c r="BI59" i="43" s="1"/>
  <c r="AD29" i="43"/>
  <c r="AF29" i="43"/>
  <c r="AR29" i="43"/>
  <c r="BI60" i="43" s="1"/>
  <c r="BJ5" i="43"/>
  <c r="AE29" i="43"/>
  <c r="Y29" i="43"/>
  <c r="Z29" i="43"/>
  <c r="AG29" i="43"/>
  <c r="AB29" i="43"/>
  <c r="AS29" i="43"/>
  <c r="BI61" i="43" s="1"/>
  <c r="AC29" i="43"/>
  <c r="X29" i="43"/>
  <c r="AH29" i="43"/>
  <c r="AA29" i="43"/>
  <c r="Q7" i="43"/>
  <c r="W29" i="43"/>
  <c r="Q30" i="43"/>
  <c r="AT30" i="43" s="1"/>
  <c r="Q53" i="43"/>
  <c r="W53" i="43"/>
  <c r="AJ53" i="43" s="1"/>
  <c r="AK53" i="43" s="1"/>
  <c r="AQ53" i="43"/>
  <c r="BI58" i="43" l="1"/>
  <c r="F3" i="60"/>
  <c r="D55" i="43"/>
  <c r="W79" i="43" s="1"/>
  <c r="AJ79" i="43" s="1"/>
  <c r="D79" i="43"/>
  <c r="Q79" i="43" s="1"/>
  <c r="BI62" i="43"/>
  <c r="BK5" i="43"/>
  <c r="BL5" i="43" s="1"/>
  <c r="BJ69" i="43"/>
  <c r="BJ68" i="43"/>
  <c r="BR32" i="43"/>
  <c r="BL65" i="43" s="1"/>
  <c r="D9" i="43"/>
  <c r="D32" i="43"/>
  <c r="AQ30" i="43"/>
  <c r="BJ59" i="43" s="1"/>
  <c r="W30" i="43"/>
  <c r="AC30" i="43"/>
  <c r="Z30" i="43"/>
  <c r="Y30" i="43"/>
  <c r="AF30" i="43"/>
  <c r="AS30" i="43"/>
  <c r="BJ61" i="43" s="1"/>
  <c r="AD30" i="43"/>
  <c r="X30" i="43"/>
  <c r="AB30" i="43"/>
  <c r="AA30" i="43"/>
  <c r="BJ6" i="43"/>
  <c r="AE30" i="43"/>
  <c r="AG30" i="43"/>
  <c r="AR30" i="43"/>
  <c r="BJ60" i="43" s="1"/>
  <c r="AH30" i="43"/>
  <c r="Q54" i="43"/>
  <c r="W54" i="43"/>
  <c r="AJ54" i="43" s="1"/>
  <c r="AK54" i="43" s="1"/>
  <c r="AQ54" i="43"/>
  <c r="AJ29" i="43"/>
  <c r="Q31" i="43"/>
  <c r="AT31" i="43" s="1"/>
  <c r="Q8" i="43"/>
  <c r="AU29" i="43"/>
  <c r="BJ58" i="43" l="1"/>
  <c r="F4" i="60"/>
  <c r="D56" i="43"/>
  <c r="W80" i="43" s="1"/>
  <c r="AJ80" i="43" s="1"/>
  <c r="D80" i="43"/>
  <c r="Q80" i="43" s="1"/>
  <c r="BJ62" i="43"/>
  <c r="BK6" i="43"/>
  <c r="BL6" i="43" s="1"/>
  <c r="P5" i="43"/>
  <c r="W31" i="43"/>
  <c r="BK69" i="43"/>
  <c r="BK68" i="43"/>
  <c r="BR33" i="43"/>
  <c r="BM65" i="43" s="1"/>
  <c r="D10" i="43"/>
  <c r="D33" i="43"/>
  <c r="AU30" i="43"/>
  <c r="AJ30" i="43"/>
  <c r="AQ31" i="43"/>
  <c r="BK59" i="43" s="1"/>
  <c r="Q9" i="43"/>
  <c r="Q32" i="43"/>
  <c r="AT32" i="43" s="1"/>
  <c r="AG31" i="43"/>
  <c r="AF31" i="43"/>
  <c r="AD31" i="43"/>
  <c r="AH31" i="43"/>
  <c r="Z31" i="43"/>
  <c r="Y31" i="43"/>
  <c r="AR31" i="43"/>
  <c r="BK60" i="43" s="1"/>
  <c r="AB31" i="43"/>
  <c r="X31" i="43"/>
  <c r="AS31" i="43"/>
  <c r="BK61" i="43" s="1"/>
  <c r="AC31" i="43"/>
  <c r="AA31" i="43"/>
  <c r="BJ7" i="43"/>
  <c r="AE31" i="43"/>
  <c r="W55" i="43"/>
  <c r="AJ55" i="43" s="1"/>
  <c r="AK55" i="43" s="1"/>
  <c r="Q55" i="43"/>
  <c r="AQ55" i="43"/>
  <c r="BK58" i="43" l="1"/>
  <c r="F5" i="60"/>
  <c r="AI5" i="43"/>
  <c r="D57" i="43"/>
  <c r="W81" i="43" s="1"/>
  <c r="AJ81" i="43" s="1"/>
  <c r="D81" i="43"/>
  <c r="Q81" i="43" s="1"/>
  <c r="BK62" i="43"/>
  <c r="BU29" i="43"/>
  <c r="BI66" i="43" s="1"/>
  <c r="P29" i="43"/>
  <c r="BO29" i="43"/>
  <c r="BI64" i="43" s="1"/>
  <c r="BK7" i="43"/>
  <c r="BL7" i="43" s="1"/>
  <c r="P6" i="43"/>
  <c r="AQ32" i="43"/>
  <c r="BL59" i="43" s="1"/>
  <c r="BL69" i="43"/>
  <c r="BL68" i="43"/>
  <c r="BR34" i="43"/>
  <c r="BN65" i="43" s="1"/>
  <c r="D11" i="43"/>
  <c r="D34" i="43"/>
  <c r="AU31" i="43"/>
  <c r="AJ31" i="43"/>
  <c r="Q33" i="43"/>
  <c r="AT33" i="43" s="1"/>
  <c r="AB32" i="43"/>
  <c r="Z32" i="43"/>
  <c r="AH32" i="43"/>
  <c r="AR32" i="43"/>
  <c r="BL60" i="43" s="1"/>
  <c r="AE32" i="43"/>
  <c r="AS32" i="43"/>
  <c r="BL61" i="43" s="1"/>
  <c r="AD32" i="43"/>
  <c r="AC32" i="43"/>
  <c r="Y32" i="43"/>
  <c r="AG32" i="43"/>
  <c r="BJ8" i="43"/>
  <c r="X32" i="43"/>
  <c r="AA32" i="43"/>
  <c r="AF32" i="43"/>
  <c r="Q10" i="43"/>
  <c r="W32" i="43"/>
  <c r="Q56" i="43"/>
  <c r="W56" i="43"/>
  <c r="AJ56" i="43" s="1"/>
  <c r="AK56" i="43" s="1"/>
  <c r="AQ56" i="43"/>
  <c r="BL58" i="43" l="1"/>
  <c r="F6" i="60"/>
  <c r="AI6" i="43"/>
  <c r="D58" i="43"/>
  <c r="W82" i="43" s="1"/>
  <c r="AJ82" i="43" s="1"/>
  <c r="D82" i="43"/>
  <c r="Q82" i="43" s="1"/>
  <c r="BL62" i="43"/>
  <c r="BO30" i="43"/>
  <c r="BJ64" i="43" s="1"/>
  <c r="P30" i="43"/>
  <c r="BU30" i="43"/>
  <c r="BJ66" i="43" s="1"/>
  <c r="P7" i="43"/>
  <c r="AI29" i="43"/>
  <c r="AJ5" i="43"/>
  <c r="BK8" i="43"/>
  <c r="BL8" i="43" s="1"/>
  <c r="W33" i="43"/>
  <c r="BM68" i="43"/>
  <c r="BM69" i="43"/>
  <c r="BR35" i="43"/>
  <c r="BO65" i="43" s="1"/>
  <c r="D12" i="43"/>
  <c r="D35" i="43"/>
  <c r="AU32" i="43"/>
  <c r="AJ32" i="43"/>
  <c r="AA33" i="43"/>
  <c r="AR33" i="43"/>
  <c r="BM60" i="43" s="1"/>
  <c r="AS33" i="43"/>
  <c r="BM61" i="43" s="1"/>
  <c r="BJ9" i="43"/>
  <c r="AF33" i="43"/>
  <c r="AB33" i="43"/>
  <c r="AD33" i="43"/>
  <c r="Z33" i="43"/>
  <c r="AG33" i="43"/>
  <c r="AH33" i="43"/>
  <c r="X33" i="43"/>
  <c r="AE33" i="43"/>
  <c r="Y33" i="43"/>
  <c r="AC33" i="43"/>
  <c r="Q34" i="43"/>
  <c r="AT34" i="43" s="1"/>
  <c r="Q57" i="43"/>
  <c r="W57" i="43"/>
  <c r="AJ57" i="43" s="1"/>
  <c r="AK57" i="43" s="1"/>
  <c r="AQ57" i="43"/>
  <c r="AQ33" i="43"/>
  <c r="BM59" i="43" s="1"/>
  <c r="Q11" i="43"/>
  <c r="BM58" i="43" l="1"/>
  <c r="F7" i="60"/>
  <c r="AI7" i="43"/>
  <c r="D59" i="43"/>
  <c r="W83" i="43" s="1"/>
  <c r="AJ83" i="43" s="1"/>
  <c r="D83" i="43"/>
  <c r="Q83" i="43" s="1"/>
  <c r="BC53" i="43"/>
  <c r="BD53" i="43" s="1"/>
  <c r="BI63" i="43" s="1"/>
  <c r="P77" i="43"/>
  <c r="BM62" i="43"/>
  <c r="P8" i="43"/>
  <c r="P31" i="43"/>
  <c r="BU31" i="43"/>
  <c r="BK66" i="43" s="1"/>
  <c r="BO31" i="43"/>
  <c r="BK64" i="43" s="1"/>
  <c r="AJ6" i="43"/>
  <c r="BK9" i="43"/>
  <c r="BL9" i="43" s="1"/>
  <c r="AI30" i="43"/>
  <c r="AQ34" i="43"/>
  <c r="BN59" i="43" s="1"/>
  <c r="BN68" i="43"/>
  <c r="BN69" i="43"/>
  <c r="BR36" i="43"/>
  <c r="BP65" i="43" s="1"/>
  <c r="D13" i="43"/>
  <c r="D36" i="43"/>
  <c r="AJ33" i="43"/>
  <c r="Q12" i="43"/>
  <c r="W34" i="43"/>
  <c r="W58" i="43"/>
  <c r="AJ58" i="43" s="1"/>
  <c r="AK58" i="43" s="1"/>
  <c r="Q58" i="43"/>
  <c r="AQ58" i="43"/>
  <c r="AU33" i="43"/>
  <c r="AG34" i="43"/>
  <c r="AF34" i="43"/>
  <c r="AS34" i="43"/>
  <c r="BN61" i="43" s="1"/>
  <c r="AA34" i="43"/>
  <c r="AR34" i="43"/>
  <c r="BN60" i="43" s="1"/>
  <c r="Z34" i="43"/>
  <c r="Y34" i="43"/>
  <c r="X34" i="43"/>
  <c r="AH34" i="43"/>
  <c r="AB34" i="43"/>
  <c r="AC34" i="43"/>
  <c r="AD34" i="43"/>
  <c r="AE34" i="43"/>
  <c r="BJ10" i="43"/>
  <c r="Q35" i="43"/>
  <c r="AT35" i="43" s="1"/>
  <c r="BN58" i="43" l="1"/>
  <c r="F8" i="60"/>
  <c r="D60" i="43"/>
  <c r="W84" i="43" s="1"/>
  <c r="AJ84" i="43" s="1"/>
  <c r="D84" i="43"/>
  <c r="Q84" i="43" s="1"/>
  <c r="BI55" i="43"/>
  <c r="BC54" i="43"/>
  <c r="BD54" i="43" s="1"/>
  <c r="BJ55" i="43" s="1"/>
  <c r="P78" i="43"/>
  <c r="AI8" i="43"/>
  <c r="AJ8" i="43" s="1"/>
  <c r="BN62" i="43"/>
  <c r="P32" i="43"/>
  <c r="BU32" i="43"/>
  <c r="BL66" i="43" s="1"/>
  <c r="BO32" i="43"/>
  <c r="BL64" i="43" s="1"/>
  <c r="AJ7" i="43"/>
  <c r="AI31" i="43"/>
  <c r="P9" i="43"/>
  <c r="BK10" i="43"/>
  <c r="BL10" i="43" s="1"/>
  <c r="AQ35" i="43"/>
  <c r="BO59" i="43" s="1"/>
  <c r="BO68" i="43"/>
  <c r="BO69" i="43"/>
  <c r="BR37" i="43"/>
  <c r="BQ65" i="43" s="1"/>
  <c r="D14" i="43"/>
  <c r="D37" i="43"/>
  <c r="W35" i="43"/>
  <c r="AU34" i="43"/>
  <c r="AJ34" i="43"/>
  <c r="Q59" i="43"/>
  <c r="W59" i="43"/>
  <c r="AJ59" i="43" s="1"/>
  <c r="AK59" i="43" s="1"/>
  <c r="AQ59" i="43"/>
  <c r="AD35" i="43"/>
  <c r="AS35" i="43"/>
  <c r="BO61" i="43" s="1"/>
  <c r="AG35" i="43"/>
  <c r="X35" i="43"/>
  <c r="AF35" i="43"/>
  <c r="AR35" i="43"/>
  <c r="BO60" i="43" s="1"/>
  <c r="Z35" i="43"/>
  <c r="AA35" i="43"/>
  <c r="AC35" i="43"/>
  <c r="AH35" i="43"/>
  <c r="AE35" i="43"/>
  <c r="BJ11" i="43"/>
  <c r="Y35" i="43"/>
  <c r="AB35" i="43"/>
  <c r="Q36" i="43"/>
  <c r="AT36" i="43" s="1"/>
  <c r="Q13" i="43"/>
  <c r="BO58" i="43" l="1"/>
  <c r="F9" i="60"/>
  <c r="AI9" i="43"/>
  <c r="P80" i="43"/>
  <c r="D61" i="43"/>
  <c r="W85" i="43" s="1"/>
  <c r="AJ85" i="43" s="1"/>
  <c r="D85" i="43"/>
  <c r="Q85" i="43" s="1"/>
  <c r="BC55" i="43"/>
  <c r="BD55" i="43" s="1"/>
  <c r="BK63" i="43" s="1"/>
  <c r="P79" i="43"/>
  <c r="BJ63" i="43"/>
  <c r="BO62" i="43"/>
  <c r="P10" i="43"/>
  <c r="AI32" i="43"/>
  <c r="BU33" i="43"/>
  <c r="BM66" i="43" s="1"/>
  <c r="P33" i="43"/>
  <c r="BO33" i="43"/>
  <c r="BM64" i="43" s="1"/>
  <c r="BK11" i="43"/>
  <c r="BL11" i="43" s="1"/>
  <c r="AQ36" i="43"/>
  <c r="BP59" i="43" s="1"/>
  <c r="BP69" i="43"/>
  <c r="BP68" i="43"/>
  <c r="BR38" i="43"/>
  <c r="BR65" i="43" s="1"/>
  <c r="D15" i="43"/>
  <c r="D38" i="43"/>
  <c r="AU35" i="43"/>
  <c r="W36" i="43"/>
  <c r="AJ35" i="43"/>
  <c r="Q14" i="43"/>
  <c r="AS36" i="43"/>
  <c r="BP61" i="43" s="1"/>
  <c r="AF36" i="43"/>
  <c r="Y36" i="43"/>
  <c r="AG36" i="43"/>
  <c r="BJ12" i="43"/>
  <c r="AR36" i="43"/>
  <c r="BP60" i="43" s="1"/>
  <c r="AA36" i="43"/>
  <c r="AB36" i="43"/>
  <c r="AD36" i="43"/>
  <c r="X36" i="43"/>
  <c r="AE36" i="43"/>
  <c r="AH36" i="43"/>
  <c r="AC36" i="43"/>
  <c r="Z36" i="43"/>
  <c r="Q37" i="43"/>
  <c r="AT37" i="43" s="1"/>
  <c r="Q60" i="43"/>
  <c r="W60" i="43"/>
  <c r="AJ60" i="43" s="1"/>
  <c r="AK60" i="43" s="1"/>
  <c r="AQ60" i="43"/>
  <c r="BP58" i="43" l="1"/>
  <c r="F10" i="60"/>
  <c r="BC56" i="43"/>
  <c r="BD56" i="43" s="1"/>
  <c r="BL63" i="43" s="1"/>
  <c r="AI10" i="43"/>
  <c r="AJ10" i="43" s="1"/>
  <c r="BK55" i="43"/>
  <c r="D62" i="43"/>
  <c r="W86" i="43" s="1"/>
  <c r="AJ86" i="43" s="1"/>
  <c r="D86" i="43"/>
  <c r="Q86" i="43" s="1"/>
  <c r="BP62" i="43"/>
  <c r="BO34" i="43"/>
  <c r="BN64" i="43" s="1"/>
  <c r="P34" i="43"/>
  <c r="BU34" i="43"/>
  <c r="BN66" i="43" s="1"/>
  <c r="AI33" i="43"/>
  <c r="BK12" i="43"/>
  <c r="BL12" i="43" s="1"/>
  <c r="P11" i="43"/>
  <c r="AJ9" i="43"/>
  <c r="W37" i="43"/>
  <c r="BQ69" i="43"/>
  <c r="BQ68" i="43"/>
  <c r="BR39" i="43"/>
  <c r="BS65" i="43" s="1"/>
  <c r="D16" i="43"/>
  <c r="D39" i="43"/>
  <c r="AU36" i="43"/>
  <c r="AJ36" i="43"/>
  <c r="Q38" i="43"/>
  <c r="AT38" i="43" s="1"/>
  <c r="Q61" i="43"/>
  <c r="W61" i="43"/>
  <c r="AJ61" i="43" s="1"/>
  <c r="AK61" i="43" s="1"/>
  <c r="AQ61" i="43"/>
  <c r="Q15" i="43"/>
  <c r="Z37" i="43"/>
  <c r="AC37" i="43"/>
  <c r="BJ13" i="43"/>
  <c r="AG37" i="43"/>
  <c r="AF37" i="43"/>
  <c r="AH37" i="43"/>
  <c r="AD37" i="43"/>
  <c r="AB37" i="43"/>
  <c r="X37" i="43"/>
  <c r="Y37" i="43"/>
  <c r="AR37" i="43"/>
  <c r="BQ60" i="43" s="1"/>
  <c r="AE37" i="43"/>
  <c r="AA37" i="43"/>
  <c r="AS37" i="43"/>
  <c r="BQ61" i="43" s="1"/>
  <c r="AQ37" i="43"/>
  <c r="BQ59" i="43" s="1"/>
  <c r="BQ58" i="43" l="1"/>
  <c r="F11" i="60"/>
  <c r="BL55" i="43"/>
  <c r="P82" i="43"/>
  <c r="AI11" i="43"/>
  <c r="D63" i="43"/>
  <c r="W87" i="43" s="1"/>
  <c r="AJ87" i="43" s="1"/>
  <c r="D87" i="43"/>
  <c r="Q87" i="43" s="1"/>
  <c r="BC57" i="43"/>
  <c r="BD57" i="43" s="1"/>
  <c r="BM55" i="43" s="1"/>
  <c r="P81" i="43"/>
  <c r="BQ62" i="43"/>
  <c r="AI34" i="43"/>
  <c r="P35" i="43"/>
  <c r="BU35" i="43"/>
  <c r="BO66" i="43" s="1"/>
  <c r="BO35" i="43"/>
  <c r="BO64" i="43" s="1"/>
  <c r="BK13" i="43"/>
  <c r="BL13" i="43" s="1"/>
  <c r="P12" i="43"/>
  <c r="BR69" i="43"/>
  <c r="BR68" i="43"/>
  <c r="BR40" i="43"/>
  <c r="BT65" i="43" s="1"/>
  <c r="D17" i="43"/>
  <c r="D40" i="43"/>
  <c r="AU37" i="43"/>
  <c r="AJ37" i="43"/>
  <c r="Q62" i="43"/>
  <c r="W62" i="43"/>
  <c r="AJ62" i="43" s="1"/>
  <c r="AK62" i="43" s="1"/>
  <c r="AQ62" i="43"/>
  <c r="AR38" i="43"/>
  <c r="BR60" i="43" s="1"/>
  <c r="AF38" i="43"/>
  <c r="AS38" i="43"/>
  <c r="BR61" i="43" s="1"/>
  <c r="Y38" i="43"/>
  <c r="AD38" i="43"/>
  <c r="AC38" i="43"/>
  <c r="AE38" i="43"/>
  <c r="AG38" i="43"/>
  <c r="BJ14" i="43"/>
  <c r="AA38" i="43"/>
  <c r="X38" i="43"/>
  <c r="Z38" i="43"/>
  <c r="AH38" i="43"/>
  <c r="AB38" i="43"/>
  <c r="AQ38" i="43"/>
  <c r="BR59" i="43" s="1"/>
  <c r="Q39" i="43"/>
  <c r="AT39" i="43" s="1"/>
  <c r="Q16" i="43"/>
  <c r="W38" i="43"/>
  <c r="BR58" i="43" l="1"/>
  <c r="F12" i="60"/>
  <c r="BC58" i="43"/>
  <c r="BD58" i="43" s="1"/>
  <c r="BN63" i="43" s="1"/>
  <c r="AI12" i="43"/>
  <c r="D64" i="43"/>
  <c r="W88" i="43" s="1"/>
  <c r="AJ88" i="43" s="1"/>
  <c r="D88" i="43"/>
  <c r="Q88" i="43" s="1"/>
  <c r="BM63" i="43"/>
  <c r="BR62" i="43"/>
  <c r="P13" i="43"/>
  <c r="AJ11" i="43"/>
  <c r="BK14" i="43"/>
  <c r="BL14" i="43" s="1"/>
  <c r="AI35" i="43"/>
  <c r="BU36" i="43"/>
  <c r="BP66" i="43" s="1"/>
  <c r="BO36" i="43"/>
  <c r="BP64" i="43" s="1"/>
  <c r="P36" i="43"/>
  <c r="W39" i="43"/>
  <c r="BS69" i="43"/>
  <c r="BS68" i="43"/>
  <c r="BR41" i="43"/>
  <c r="BU65" i="43" s="1"/>
  <c r="D18" i="43"/>
  <c r="D41" i="43"/>
  <c r="AU38" i="43"/>
  <c r="Q17" i="43"/>
  <c r="W63" i="43"/>
  <c r="AJ63" i="43" s="1"/>
  <c r="AK63" i="43" s="1"/>
  <c r="Q63" i="43"/>
  <c r="AQ63" i="43"/>
  <c r="Z39" i="43"/>
  <c r="BJ15" i="43"/>
  <c r="AR39" i="43"/>
  <c r="BS60" i="43" s="1"/>
  <c r="AF39" i="43"/>
  <c r="X39" i="43"/>
  <c r="AB39" i="43"/>
  <c r="AC39" i="43"/>
  <c r="AS39" i="43"/>
  <c r="BS61" i="43" s="1"/>
  <c r="AD39" i="43"/>
  <c r="Y39" i="43"/>
  <c r="AA39" i="43"/>
  <c r="AE39" i="43"/>
  <c r="AH39" i="43"/>
  <c r="AG39" i="43"/>
  <c r="AQ39" i="43"/>
  <c r="BS59" i="43" s="1"/>
  <c r="AJ38" i="43"/>
  <c r="Q40" i="43"/>
  <c r="AT40" i="43" s="1"/>
  <c r="BS58" i="43" l="1"/>
  <c r="F13" i="60"/>
  <c r="BN55" i="43"/>
  <c r="AI13" i="43"/>
  <c r="D65" i="43"/>
  <c r="W89" i="43" s="1"/>
  <c r="AJ89" i="43" s="1"/>
  <c r="D89" i="43"/>
  <c r="Q89" i="43" s="1"/>
  <c r="BC59" i="43"/>
  <c r="BD59" i="43" s="1"/>
  <c r="BO63" i="43" s="1"/>
  <c r="P83" i="43"/>
  <c r="BS62" i="43"/>
  <c r="P14" i="43"/>
  <c r="AI36" i="43"/>
  <c r="AJ12" i="43"/>
  <c r="BK15" i="43"/>
  <c r="BL15" i="43" s="1"/>
  <c r="BU37" i="43"/>
  <c r="BQ66" i="43" s="1"/>
  <c r="BO37" i="43"/>
  <c r="BQ64" i="43" s="1"/>
  <c r="P37" i="43"/>
  <c r="W40" i="43"/>
  <c r="BT69" i="43"/>
  <c r="BT68" i="43"/>
  <c r="BR42" i="43"/>
  <c r="BV65" i="43" s="1"/>
  <c r="D19" i="43"/>
  <c r="D42" i="43"/>
  <c r="AJ39" i="43"/>
  <c r="Q41" i="43"/>
  <c r="AT41" i="43" s="1"/>
  <c r="Q18" i="43"/>
  <c r="W64" i="43"/>
  <c r="AJ64" i="43" s="1"/>
  <c r="AK64" i="43" s="1"/>
  <c r="Q64" i="43"/>
  <c r="AQ64" i="43"/>
  <c r="AU39" i="43"/>
  <c r="Y40" i="43"/>
  <c r="Z40" i="43"/>
  <c r="AS40" i="43"/>
  <c r="BT61" i="43" s="1"/>
  <c r="AD40" i="43"/>
  <c r="AH40" i="43"/>
  <c r="AE40" i="43"/>
  <c r="AB40" i="43"/>
  <c r="AF40" i="43"/>
  <c r="AA40" i="43"/>
  <c r="AG40" i="43"/>
  <c r="X40" i="43"/>
  <c r="AR40" i="43"/>
  <c r="BT60" i="43" s="1"/>
  <c r="AC40" i="43"/>
  <c r="BJ16" i="43"/>
  <c r="AQ40" i="43"/>
  <c r="BT59" i="43" s="1"/>
  <c r="BT58" i="43" l="1"/>
  <c r="F14" i="60"/>
  <c r="AI14" i="43"/>
  <c r="D66" i="43"/>
  <c r="W90" i="43" s="1"/>
  <c r="AJ90" i="43" s="1"/>
  <c r="D90" i="43"/>
  <c r="Q90" i="43" s="1"/>
  <c r="BC60" i="43"/>
  <c r="BD60" i="43" s="1"/>
  <c r="BP55" i="43" s="1"/>
  <c r="P84" i="43"/>
  <c r="BO55" i="43"/>
  <c r="BT62" i="43"/>
  <c r="AI37" i="43"/>
  <c r="P38" i="43"/>
  <c r="BU38" i="43"/>
  <c r="BR66" i="43" s="1"/>
  <c r="BO38" i="43"/>
  <c r="BR64" i="43" s="1"/>
  <c r="AJ13" i="43"/>
  <c r="BK16" i="43"/>
  <c r="BL16" i="43" s="1"/>
  <c r="P15" i="43"/>
  <c r="BU69" i="43"/>
  <c r="BU68" i="43"/>
  <c r="BR43" i="43"/>
  <c r="BW65" i="43" s="1"/>
  <c r="D20" i="43"/>
  <c r="D43" i="43"/>
  <c r="AJ40" i="43"/>
  <c r="AS41" i="43"/>
  <c r="BU61" i="43" s="1"/>
  <c r="AA41" i="43"/>
  <c r="AB41" i="43"/>
  <c r="AC41" i="43"/>
  <c r="AF41" i="43"/>
  <c r="AD41" i="43"/>
  <c r="X41" i="43"/>
  <c r="AE41" i="43"/>
  <c r="Y41" i="43"/>
  <c r="AH41" i="43"/>
  <c r="AR41" i="43"/>
  <c r="BU60" i="43" s="1"/>
  <c r="BJ17" i="43"/>
  <c r="AG41" i="43"/>
  <c r="Z41" i="43"/>
  <c r="AU40" i="43"/>
  <c r="Q42" i="43"/>
  <c r="AT42" i="43" s="1"/>
  <c r="AQ41" i="43"/>
  <c r="BU59" i="43" s="1"/>
  <c r="W41" i="43"/>
  <c r="Q19" i="43"/>
  <c r="Q65" i="43"/>
  <c r="W65" i="43"/>
  <c r="AJ65" i="43" s="1"/>
  <c r="AK65" i="43" s="1"/>
  <c r="AQ65" i="43"/>
  <c r="BU58" i="43" l="1"/>
  <c r="F15" i="60"/>
  <c r="AI15" i="43"/>
  <c r="D67" i="43"/>
  <c r="W91" i="43" s="1"/>
  <c r="AJ91" i="43" s="1"/>
  <c r="D91" i="43"/>
  <c r="Q91" i="43" s="1"/>
  <c r="BC61" i="43"/>
  <c r="BD61" i="43" s="1"/>
  <c r="BQ55" i="43" s="1"/>
  <c r="P85" i="43"/>
  <c r="BP63" i="43"/>
  <c r="BU62" i="43"/>
  <c r="P39" i="43"/>
  <c r="BO39" i="43"/>
  <c r="BS64" i="43" s="1"/>
  <c r="BU39" i="43"/>
  <c r="BS66" i="43" s="1"/>
  <c r="AJ14" i="43"/>
  <c r="AI38" i="43"/>
  <c r="BK17" i="43"/>
  <c r="BL17" i="43" s="1"/>
  <c r="P16" i="43"/>
  <c r="AQ42" i="43"/>
  <c r="BV59" i="43" s="1"/>
  <c r="BV68" i="43"/>
  <c r="BV69" i="43"/>
  <c r="BR44" i="43"/>
  <c r="BX65" i="43" s="1"/>
  <c r="D21" i="43"/>
  <c r="D44" i="43"/>
  <c r="Q20" i="43"/>
  <c r="W42" i="43"/>
  <c r="AJ41" i="43"/>
  <c r="Q66" i="43"/>
  <c r="W66" i="43"/>
  <c r="AJ66" i="43" s="1"/>
  <c r="AK66" i="43" s="1"/>
  <c r="AQ66" i="43"/>
  <c r="Q43" i="43"/>
  <c r="AT43" i="43" s="1"/>
  <c r="AE42" i="43"/>
  <c r="BJ18" i="43"/>
  <c r="Y42" i="43"/>
  <c r="AR42" i="43"/>
  <c r="BV60" i="43" s="1"/>
  <c r="AF42" i="43"/>
  <c r="AS42" i="43"/>
  <c r="BV61" i="43" s="1"/>
  <c r="AH42" i="43"/>
  <c r="AD42" i="43"/>
  <c r="AC42" i="43"/>
  <c r="Z42" i="43"/>
  <c r="AG42" i="43"/>
  <c r="AA42" i="43"/>
  <c r="AB42" i="43"/>
  <c r="X42" i="43"/>
  <c r="AU41" i="43"/>
  <c r="BV58" i="43" l="1"/>
  <c r="F16" i="60"/>
  <c r="AI16" i="43"/>
  <c r="D68" i="43"/>
  <c r="W92" i="43" s="1"/>
  <c r="AJ92" i="43" s="1"/>
  <c r="D92" i="43"/>
  <c r="Q92" i="43" s="1"/>
  <c r="BQ63" i="43"/>
  <c r="BC62" i="43"/>
  <c r="BD62" i="43" s="1"/>
  <c r="BR63" i="43" s="1"/>
  <c r="P86" i="43"/>
  <c r="BV62" i="43"/>
  <c r="BK18" i="43"/>
  <c r="BL18" i="43" s="1"/>
  <c r="P40" i="43"/>
  <c r="BU40" i="43"/>
  <c r="BT66" i="43" s="1"/>
  <c r="BO40" i="43"/>
  <c r="BT64" i="43" s="1"/>
  <c r="AJ15" i="43"/>
  <c r="P17" i="43"/>
  <c r="AI39" i="43"/>
  <c r="BW69" i="43"/>
  <c r="BW68" i="43"/>
  <c r="BR45" i="43"/>
  <c r="BY65" i="43" s="1"/>
  <c r="D22" i="43"/>
  <c r="D45" i="43"/>
  <c r="AU42" i="43"/>
  <c r="Q21" i="43"/>
  <c r="X43" i="43"/>
  <c r="AF43" i="43"/>
  <c r="AH43" i="43"/>
  <c r="Y43" i="43"/>
  <c r="Z43" i="43"/>
  <c r="AE43" i="43"/>
  <c r="BJ19" i="43"/>
  <c r="AD43" i="43"/>
  <c r="AB43" i="43"/>
  <c r="AC43" i="43"/>
  <c r="AG43" i="43"/>
  <c r="AS43" i="43"/>
  <c r="BW61" i="43" s="1"/>
  <c r="AA43" i="43"/>
  <c r="AR43" i="43"/>
  <c r="BW60" i="43" s="1"/>
  <c r="Q67" i="43"/>
  <c r="W67" i="43"/>
  <c r="AJ67" i="43" s="1"/>
  <c r="AK67" i="43" s="1"/>
  <c r="AQ67" i="43"/>
  <c r="AJ42" i="43"/>
  <c r="W43" i="43"/>
  <c r="AQ43" i="43"/>
  <c r="BW59" i="43" s="1"/>
  <c r="Q44" i="43"/>
  <c r="AT44" i="43" s="1"/>
  <c r="BW58" i="43" l="1"/>
  <c r="F17" i="60"/>
  <c r="AI17" i="43"/>
  <c r="D69" i="43"/>
  <c r="W93" i="43" s="1"/>
  <c r="AJ93" i="43" s="1"/>
  <c r="D93" i="43"/>
  <c r="Q93" i="43" s="1"/>
  <c r="BR55" i="43"/>
  <c r="BC63" i="43"/>
  <c r="BD63" i="43" s="1"/>
  <c r="BS63" i="43" s="1"/>
  <c r="P87" i="43"/>
  <c r="BW62" i="43"/>
  <c r="AJ16" i="43"/>
  <c r="AI40" i="43"/>
  <c r="P41" i="43"/>
  <c r="BU41" i="43"/>
  <c r="BU66" i="43" s="1"/>
  <c r="BO41" i="43"/>
  <c r="BU64" i="43" s="1"/>
  <c r="P18" i="43"/>
  <c r="BK19" i="43"/>
  <c r="BL19" i="43" s="1"/>
  <c r="W44" i="43"/>
  <c r="BX69" i="43"/>
  <c r="BX68" i="43"/>
  <c r="BR46" i="43"/>
  <c r="BZ65" i="43" s="1"/>
  <c r="D23" i="43"/>
  <c r="D46" i="43"/>
  <c r="AJ43" i="43"/>
  <c r="Q22" i="43"/>
  <c r="Q45" i="43"/>
  <c r="AT45" i="43" s="1"/>
  <c r="AS44" i="43"/>
  <c r="BX61" i="43" s="1"/>
  <c r="AC44" i="43"/>
  <c r="AG44" i="43"/>
  <c r="X44" i="43"/>
  <c r="AD44" i="43"/>
  <c r="Z44" i="43"/>
  <c r="AF44" i="43"/>
  <c r="AR44" i="43"/>
  <c r="BX60" i="43" s="1"/>
  <c r="BJ20" i="43"/>
  <c r="AB44" i="43"/>
  <c r="AE44" i="43"/>
  <c r="AA44" i="43"/>
  <c r="AH44" i="43"/>
  <c r="Y44" i="43"/>
  <c r="AQ44" i="43"/>
  <c r="BX59" i="43" s="1"/>
  <c r="W68" i="43"/>
  <c r="AJ68" i="43" s="1"/>
  <c r="AK68" i="43" s="1"/>
  <c r="Q68" i="43"/>
  <c r="AQ68" i="43"/>
  <c r="AU43" i="43"/>
  <c r="BX58" i="43" l="1"/>
  <c r="F18" i="60"/>
  <c r="AI18" i="43"/>
  <c r="D70" i="43"/>
  <c r="W94" i="43" s="1"/>
  <c r="AJ94" i="43" s="1"/>
  <c r="D94" i="43"/>
  <c r="Q94" i="43" s="1"/>
  <c r="BC64" i="43"/>
  <c r="BD64" i="43" s="1"/>
  <c r="BT55" i="43" s="1"/>
  <c r="P88" i="43"/>
  <c r="BS55" i="43"/>
  <c r="BX62" i="43"/>
  <c r="AI41" i="43"/>
  <c r="AJ17" i="43"/>
  <c r="BK20" i="43"/>
  <c r="BL20" i="43" s="1"/>
  <c r="P19" i="43"/>
  <c r="P42" i="43"/>
  <c r="BU42" i="43"/>
  <c r="BV66" i="43" s="1"/>
  <c r="BO42" i="43"/>
  <c r="BV64" i="43" s="1"/>
  <c r="AQ45" i="43"/>
  <c r="BY59" i="43" s="1"/>
  <c r="BY69" i="43"/>
  <c r="BY68" i="43"/>
  <c r="D47" i="43"/>
  <c r="BR47" i="43"/>
  <c r="CA65" i="43" s="1"/>
  <c r="AU44" i="43"/>
  <c r="W45" i="43"/>
  <c r="AJ44" i="43"/>
  <c r="Q69" i="43"/>
  <c r="W69" i="43"/>
  <c r="AJ69" i="43" s="1"/>
  <c r="AK69" i="43" s="1"/>
  <c r="AQ69" i="43"/>
  <c r="AE45" i="43"/>
  <c r="BJ21" i="43"/>
  <c r="Y45" i="43"/>
  <c r="AD45" i="43"/>
  <c r="AS45" i="43"/>
  <c r="BY61" i="43" s="1"/>
  <c r="AB45" i="43"/>
  <c r="AA45" i="43"/>
  <c r="AG45" i="43"/>
  <c r="X45" i="43"/>
  <c r="Z45" i="43"/>
  <c r="AF45" i="43"/>
  <c r="AR45" i="43"/>
  <c r="BY60" i="43" s="1"/>
  <c r="AH45" i="43"/>
  <c r="AC45" i="43"/>
  <c r="Q23" i="43"/>
  <c r="Q46" i="43"/>
  <c r="AT46" i="43" s="1"/>
  <c r="BY58" i="43" l="1"/>
  <c r="F19" i="60"/>
  <c r="AI19" i="43"/>
  <c r="D71" i="43"/>
  <c r="W95" i="43" s="1"/>
  <c r="AJ95" i="43" s="1"/>
  <c r="D95" i="43"/>
  <c r="Q95" i="43" s="1"/>
  <c r="BC65" i="43"/>
  <c r="BD65" i="43" s="1"/>
  <c r="BU55" i="43" s="1"/>
  <c r="P89" i="43"/>
  <c r="BT63" i="43"/>
  <c r="BY62" i="43"/>
  <c r="P43" i="43"/>
  <c r="BU43" i="43"/>
  <c r="BW66" i="43" s="1"/>
  <c r="BO43" i="43"/>
  <c r="BW64" i="43" s="1"/>
  <c r="P20" i="43"/>
  <c r="AI42" i="43"/>
  <c r="BK21" i="43"/>
  <c r="BL21" i="43" s="1"/>
  <c r="AJ18" i="43"/>
  <c r="BZ69" i="43"/>
  <c r="BZ68" i="43"/>
  <c r="AJ45" i="43"/>
  <c r="AU45" i="43"/>
  <c r="Q47" i="43"/>
  <c r="AT47" i="43" s="1"/>
  <c r="AE46" i="43"/>
  <c r="AA46" i="43"/>
  <c r="Y46" i="43"/>
  <c r="Z46" i="43"/>
  <c r="BJ22" i="43"/>
  <c r="AG46" i="43"/>
  <c r="AR46" i="43"/>
  <c r="BZ60" i="43" s="1"/>
  <c r="AF46" i="43"/>
  <c r="AC46" i="43"/>
  <c r="X46" i="43"/>
  <c r="AH46" i="43"/>
  <c r="AS46" i="43"/>
  <c r="BZ61" i="43" s="1"/>
  <c r="AD46" i="43"/>
  <c r="AB46" i="43"/>
  <c r="W46" i="43"/>
  <c r="Q70" i="43"/>
  <c r="W70" i="43"/>
  <c r="AJ70" i="43" s="1"/>
  <c r="AK70" i="43" s="1"/>
  <c r="AQ70" i="43"/>
  <c r="AQ46" i="43"/>
  <c r="BZ59" i="43" s="1"/>
  <c r="BZ58" i="43" l="1"/>
  <c r="F20" i="60"/>
  <c r="AI20" i="43"/>
  <c r="BJ23" i="43"/>
  <c r="BK23" i="43" s="1"/>
  <c r="BL23" i="43" s="1"/>
  <c r="BU63" i="43"/>
  <c r="BC66" i="43"/>
  <c r="BD66" i="43" s="1"/>
  <c r="BV55" i="43" s="1"/>
  <c r="P90" i="43"/>
  <c r="BZ62" i="43"/>
  <c r="P21" i="43"/>
  <c r="BK22" i="43"/>
  <c r="BL22" i="43" s="1"/>
  <c r="P44" i="43"/>
  <c r="BU44" i="43"/>
  <c r="BX66" i="43" s="1"/>
  <c r="BO44" i="43"/>
  <c r="BX64" i="43" s="1"/>
  <c r="AI43" i="43"/>
  <c r="AJ19" i="43"/>
  <c r="CA69" i="43"/>
  <c r="CA68" i="43"/>
  <c r="AJ46" i="43"/>
  <c r="AU46" i="43"/>
  <c r="AE47" i="43"/>
  <c r="AA47" i="43"/>
  <c r="AG47" i="43"/>
  <c r="AR47" i="43"/>
  <c r="CA60" i="43" s="1"/>
  <c r="Y47" i="43"/>
  <c r="AS47" i="43"/>
  <c r="CA61" i="43" s="1"/>
  <c r="AB47" i="43"/>
  <c r="Z47" i="43"/>
  <c r="AH47" i="43"/>
  <c r="AD47" i="43"/>
  <c r="X47" i="43"/>
  <c r="AC47" i="43"/>
  <c r="AF47" i="43"/>
  <c r="W47" i="43"/>
  <c r="AQ47" i="43"/>
  <c r="CA59" i="43" s="1"/>
  <c r="Q71" i="43"/>
  <c r="W71" i="43"/>
  <c r="AJ71" i="43" s="1"/>
  <c r="AK71" i="43" s="1"/>
  <c r="AQ71" i="43"/>
  <c r="CA58" i="43" l="1"/>
  <c r="F21" i="60"/>
  <c r="BV63" i="43"/>
  <c r="BC67" i="43"/>
  <c r="BD67" i="43" s="1"/>
  <c r="BW55" i="43" s="1"/>
  <c r="P91" i="43"/>
  <c r="BU45" i="43"/>
  <c r="BY66" i="43" s="1"/>
  <c r="AI21" i="43"/>
  <c r="CA62" i="43"/>
  <c r="BO45" i="43"/>
  <c r="BY64" i="43" s="1"/>
  <c r="P45" i="43"/>
  <c r="AI44" i="43"/>
  <c r="AJ20" i="43"/>
  <c r="P22" i="43"/>
  <c r="P23" i="43"/>
  <c r="AJ47" i="43"/>
  <c r="AU47" i="43"/>
  <c r="AI22" i="43" l="1"/>
  <c r="BW63" i="43"/>
  <c r="BC68" i="43"/>
  <c r="BD68" i="43" s="1"/>
  <c r="BX63" i="43" s="1"/>
  <c r="P92" i="43"/>
  <c r="AI23" i="43"/>
  <c r="AJ23" i="43" s="1"/>
  <c r="AJ21" i="43"/>
  <c r="AI45" i="43"/>
  <c r="BO47" i="43"/>
  <c r="CA64" i="43" s="1"/>
  <c r="BU47" i="43"/>
  <c r="CA66" i="43" s="1"/>
  <c r="P46" i="43"/>
  <c r="BO46" i="43"/>
  <c r="BZ64" i="43" s="1"/>
  <c r="BU46" i="43"/>
  <c r="BZ66" i="43" s="1"/>
  <c r="P47" i="43"/>
  <c r="BC71" i="43" l="1"/>
  <c r="BD71" i="43" s="1"/>
  <c r="CA55" i="43" s="1"/>
  <c r="BX55" i="43"/>
  <c r="BC69" i="43"/>
  <c r="BD69" i="43" s="1"/>
  <c r="BY63" i="43" s="1"/>
  <c r="P93" i="43"/>
  <c r="AI47" i="43"/>
  <c r="AI46" i="43"/>
  <c r="AJ22" i="43"/>
  <c r="P95" i="43" l="1"/>
  <c r="CA63" i="43"/>
  <c r="BY55" i="43"/>
  <c r="BC70" i="43"/>
  <c r="BD70" i="43" s="1"/>
  <c r="BZ63" i="43" s="1"/>
  <c r="P94" i="43"/>
  <c r="BZ5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G2" authorId="0" shapeId="0" xr:uid="{769B2E54-9E5F-4D75-9C13-D8C4044E96B5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 - 57%
65% will be used though</t>
        </r>
      </text>
    </comment>
    <comment ref="G3" authorId="0" shapeId="0" xr:uid="{598FBC3F-AC34-4107-8D50-2443FBB706AA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N3" authorId="0" shapeId="0" xr:uid="{D8492B14-9976-489B-B7DA-64C4EA209AE1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n/a, but assumed to be similar to ccgt</t>
        </r>
      </text>
    </comment>
    <comment ref="G4" authorId="0" shapeId="0" xr:uid="{90185411-3957-43F7-8BC4-63EA7125F2B2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K6" authorId="0" shapeId="0" xr:uid="{7353C2AB-302D-4D78-AFC7-3C750D107886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tCO2/Gwhe
different calculation</t>
        </r>
      </text>
    </comment>
    <comment ref="E9" authorId="0" shapeId="0" xr:uid="{0746465E-CABB-47EC-B43C-A65F8FDFBE95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commercial: 15-20%, ave 17.5%</t>
        </r>
      </text>
    </comment>
    <comment ref="L9" authorId="0" shapeId="0" xr:uid="{1EBBA510-80AB-4A8A-8547-C6724F60788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IEA : 1,119 USD/kW
https://www.iea.org/data-and-statistics/charts/capital-costs-of-utility-scale-solar-pv-in-selected-emerging-economies
real formula:
=AVERAGE(0.79,0.56,0.41,1.19,0.84,0.62,1.32,0.94,0.69)</t>
        </r>
      </text>
    </comment>
    <comment ref="E10" authorId="0" shapeId="0" xr:uid="{B56ADBB6-5452-42F7-AD9C-C1391F737063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theoretical, betz limit</t>
        </r>
      </text>
    </comment>
    <comment ref="G11" authorId="0" shapeId="0" xr:uid="{F99A182E-0235-491C-8CDF-54ED142AA4C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F14" authorId="0" shapeId="0" xr:uid="{2583B95F-3902-444F-B00F-5135F5328A8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mwh</t>
        </r>
      </text>
    </comment>
    <comment ref="E15" authorId="0" shapeId="0" xr:uid="{736496BE-FF18-45FD-8A48-58C32B115218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AC round-trip efficiency</t>
        </r>
      </text>
    </comment>
    <comment ref="F15" authorId="0" shapeId="0" xr:uid="{58F0BA87-D570-4131-8D65-339B5600BCFF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mwh</t>
        </r>
      </text>
    </comment>
    <comment ref="M15" authorId="0" shapeId="0" xr:uid="{024CECB6-B8DB-4C74-8071-6C23DFDD8E24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USD/mwh/year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C5" authorId="0" shapeId="0" xr:uid="{098D9687-5037-451E-8F34-4DF68DB5C81F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Minus 356.74MW (80% of 396.5 MW max) from Java-Bali transmission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E62" authorId="0" shapeId="0" xr:uid="{57300049-2BD7-4E32-AD9E-9CB5E90827CC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taken from Bali data</t>
        </r>
      </text>
    </comment>
  </commentList>
</comments>
</file>

<file path=xl/sharedStrings.xml><?xml version="1.0" encoding="utf-8"?>
<sst xmlns="http://schemas.openxmlformats.org/spreadsheetml/2006/main" count="1066" uniqueCount="194">
  <si>
    <t>region</t>
  </si>
  <si>
    <t>year</t>
  </si>
  <si>
    <t>%</t>
  </si>
  <si>
    <t>INDONESIA</t>
  </si>
  <si>
    <t>SUMATERA</t>
  </si>
  <si>
    <t>KALIMANTAN</t>
  </si>
  <si>
    <t>SULAWESI</t>
  </si>
  <si>
    <t>MALUKU_PAPUA</t>
  </si>
  <si>
    <t>demand</t>
  </si>
  <si>
    <t>residential</t>
  </si>
  <si>
    <t>commercial</t>
  </si>
  <si>
    <t>public</t>
  </si>
  <si>
    <t>industrial</t>
  </si>
  <si>
    <t>gwh</t>
  </si>
  <si>
    <t>supply</t>
  </si>
  <si>
    <t>coal</t>
  </si>
  <si>
    <t>geothermal</t>
  </si>
  <si>
    <t>solar</t>
  </si>
  <si>
    <t>wind</t>
  </si>
  <si>
    <t>biomass</t>
  </si>
  <si>
    <t>capacity</t>
  </si>
  <si>
    <t>mw</t>
  </si>
  <si>
    <t>cost</t>
  </si>
  <si>
    <t>usd</t>
  </si>
  <si>
    <t>co2</t>
  </si>
  <si>
    <t>total</t>
  </si>
  <si>
    <t>potential</t>
  </si>
  <si>
    <t>waste</t>
  </si>
  <si>
    <t>ocean</t>
  </si>
  <si>
    <t>primary energy</t>
  </si>
  <si>
    <t>losses</t>
  </si>
  <si>
    <t>battery</t>
  </si>
  <si>
    <t>s</t>
  </si>
  <si>
    <t>source</t>
  </si>
  <si>
    <t>ocgt</t>
  </si>
  <si>
    <t>ccgt</t>
  </si>
  <si>
    <t>reciprocating</t>
  </si>
  <si>
    <t>lhydro</t>
  </si>
  <si>
    <t>mhydro</t>
  </si>
  <si>
    <t>index_first</t>
  </si>
  <si>
    <t>index_second</t>
  </si>
  <si>
    <t>index_third</t>
  </si>
  <si>
    <t>r</t>
  </si>
  <si>
    <t>st</t>
  </si>
  <si>
    <t>description</t>
  </si>
  <si>
    <t>coal base power station</t>
  </si>
  <si>
    <t>open/simple cycle gas turbine</t>
  </si>
  <si>
    <t>combine cycle gas turbine</t>
  </si>
  <si>
    <t>reciprocating diesel and gas engine</t>
  </si>
  <si>
    <t>large hydro</t>
  </si>
  <si>
    <t>micro hydro</t>
  </si>
  <si>
    <t>solar PV</t>
  </si>
  <si>
    <t>wind power</t>
  </si>
  <si>
    <t>ocean (mainly tidal and current)</t>
  </si>
  <si>
    <t>solid biomass based</t>
  </si>
  <si>
    <t>municipal waste</t>
  </si>
  <si>
    <t>pumped hydro storage</t>
  </si>
  <si>
    <t>National region (total)</t>
  </si>
  <si>
    <t>All provinces in Sumatera</t>
  </si>
  <si>
    <t>All provinces in Kalimantan</t>
  </si>
  <si>
    <t>All provinces in Sulawesi</t>
  </si>
  <si>
    <t>All provinces in Maluku &amp; Papua</t>
  </si>
  <si>
    <t>set</t>
  </si>
  <si>
    <t>name</t>
  </si>
  <si>
    <t>no</t>
  </si>
  <si>
    <t>unit</t>
  </si>
  <si>
    <t>sc</t>
  </si>
  <si>
    <t>sr</t>
  </si>
  <si>
    <t>sb</t>
  </si>
  <si>
    <t>sd</t>
  </si>
  <si>
    <t>sv</t>
  </si>
  <si>
    <t>variable</t>
  </si>
  <si>
    <t>add capacity</t>
  </si>
  <si>
    <t>gj</t>
  </si>
  <si>
    <t>desc</t>
  </si>
  <si>
    <t>technical data</t>
  </si>
  <si>
    <t>efficiency</t>
  </si>
  <si>
    <t>minimum capacity per plant</t>
  </si>
  <si>
    <t>co2 emission factor</t>
  </si>
  <si>
    <t>index</t>
  </si>
  <si>
    <t>data type</t>
  </si>
  <si>
    <t>average</t>
  </si>
  <si>
    <t>all</t>
  </si>
  <si>
    <t>diesel</t>
  </si>
  <si>
    <t>utility</t>
  </si>
  <si>
    <t>onshore, large</t>
  </si>
  <si>
    <t>cf (capacity factor)</t>
  </si>
  <si>
    <t>of (outage factor)</t>
  </si>
  <si>
    <t>pf (outage factor, planned)</t>
  </si>
  <si>
    <t>Incineration</t>
  </si>
  <si>
    <t>ff (outage factor, forced)</t>
  </si>
  <si>
    <t>financial data</t>
  </si>
  <si>
    <t>capital cost</t>
  </si>
  <si>
    <t>variable O&amp;M cost</t>
  </si>
  <si>
    <t>fuel cost</t>
  </si>
  <si>
    <t>$/mw</t>
  </si>
  <si>
    <t>fixed O&amp;M cost per year</t>
  </si>
  <si>
    <t>$/mwh</t>
  </si>
  <si>
    <t>type</t>
  </si>
  <si>
    <t>gen</t>
  </si>
  <si>
    <t>sto</t>
  </si>
  <si>
    <t>$/mmbtu</t>
  </si>
  <si>
    <t>Data Source</t>
  </si>
  <si>
    <t>Buku bauran energi nasional 2020</t>
  </si>
  <si>
    <t>URL</t>
  </si>
  <si>
    <t>Dewan Energi Nasional | Publikasi (den.go.id)</t>
  </si>
  <si>
    <t>Statistik Listrik Indonesia 2015-2019</t>
  </si>
  <si>
    <t>Badan Pusat Statistik (bps.go.id)</t>
  </si>
  <si>
    <t>All provinces in Java</t>
  </si>
  <si>
    <t>All provinces in Bali, and Nusa tenggara</t>
  </si>
  <si>
    <t>JAWA</t>
  </si>
  <si>
    <t>BALI_NT</t>
  </si>
  <si>
    <t>Technology Data (ESDM) 2021 &amp; LAZARD 2017</t>
  </si>
  <si>
    <t>RUKN Indonesia (2018)</t>
  </si>
  <si>
    <t>remaining potential</t>
  </si>
  <si>
    <t>growth</t>
  </si>
  <si>
    <t>gas</t>
  </si>
  <si>
    <t>oil</t>
  </si>
  <si>
    <t>var</t>
  </si>
  <si>
    <t>nrn</t>
  </si>
  <si>
    <t>supply group</t>
  </si>
  <si>
    <t>supply from coal</t>
  </si>
  <si>
    <t>supply from gas</t>
  </si>
  <si>
    <t>supply fron new and renwable energy</t>
  </si>
  <si>
    <t>&gt;coal</t>
  </si>
  <si>
    <t>&gt;gas</t>
  </si>
  <si>
    <t>&lt;oil</t>
  </si>
  <si>
    <t>&gt;nrn</t>
  </si>
  <si>
    <t>supply from reciprocating (gas, oil, and dual fuel)</t>
  </si>
  <si>
    <t>sup_gwh</t>
  </si>
  <si>
    <t>sup_percent</t>
  </si>
  <si>
    <t>sup_share</t>
  </si>
  <si>
    <t>cap_mw</t>
  </si>
  <si>
    <t>add_mw</t>
  </si>
  <si>
    <t>prim_pj</t>
  </si>
  <si>
    <t>co2_ton</t>
  </si>
  <si>
    <t>cost_musd</t>
  </si>
  <si>
    <t>remain_pot</t>
  </si>
  <si>
    <t>only for renewable energy</t>
  </si>
  <si>
    <t>storage</t>
  </si>
  <si>
    <t>storage fraction</t>
  </si>
  <si>
    <t>storage mwh</t>
  </si>
  <si>
    <t>cap</t>
  </si>
  <si>
    <t>peak_growth</t>
  </si>
  <si>
    <t>nc_peak_mw</t>
  </si>
  <si>
    <t>capital</t>
  </si>
  <si>
    <t>fixed</t>
  </si>
  <si>
    <t>fuel</t>
  </si>
  <si>
    <t>eff</t>
  </si>
  <si>
    <t>cf</t>
  </si>
  <si>
    <t>of</t>
  </si>
  <si>
    <t>ton</t>
  </si>
  <si>
    <t>var_share</t>
  </si>
  <si>
    <t>variable share</t>
  </si>
  <si>
    <t>stor_frac</t>
  </si>
  <si>
    <t>reserve_margin</t>
  </si>
  <si>
    <t>epsb_mw</t>
  </si>
  <si>
    <t>peak_margin</t>
  </si>
  <si>
    <t>margin</t>
  </si>
  <si>
    <t>sdf</t>
  </si>
  <si>
    <t>capital considered zero in first year</t>
  </si>
  <si>
    <t>proj_rukn</t>
  </si>
  <si>
    <t>baseload</t>
  </si>
  <si>
    <t>eps!=sv_mw</t>
  </si>
  <si>
    <t>peaker</t>
  </si>
  <si>
    <t>eppk_mw</t>
  </si>
  <si>
    <t>tco2/TJ</t>
  </si>
  <si>
    <t>unproven_mw</t>
  </si>
  <si>
    <t>Ocean</t>
  </si>
  <si>
    <t>from total nrn</t>
  </si>
  <si>
    <t>unproven_%_mw</t>
  </si>
  <si>
    <t>peaker_%_mw</t>
  </si>
  <si>
    <t>baseload_%_mw</t>
  </si>
  <si>
    <t>recipro</t>
  </si>
  <si>
    <t>Macros</t>
  </si>
  <si>
    <t>Sol</t>
  </si>
  <si>
    <t>Sol min</t>
  </si>
  <si>
    <t>total nrn</t>
  </si>
  <si>
    <t>sol_share_nrn</t>
  </si>
  <si>
    <t>Sol_growth</t>
  </si>
  <si>
    <t>sup_PJ</t>
  </si>
  <si>
    <t>los_PJ</t>
  </si>
  <si>
    <t>sup_gwh_tot</t>
  </si>
  <si>
    <t>dem_gwh_tot_15%_reserve</t>
  </si>
  <si>
    <t>carbon_cap</t>
  </si>
  <si>
    <t>carbon_act</t>
  </si>
  <si>
    <t>gwh_target</t>
  </si>
  <si>
    <t>gwh_act</t>
  </si>
  <si>
    <t>nrn_target</t>
  </si>
  <si>
    <t>nrn_act</t>
  </si>
  <si>
    <t>coal_target</t>
  </si>
  <si>
    <t>coal_act</t>
  </si>
  <si>
    <t>gas_target</t>
  </si>
  <si>
    <t>gas_act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</si>
</sst>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0.0000%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/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43" fontId="0" fillId="0" borderId="0" xfId="1" applyFont="1" applyAlignment="1">
      <alignment vertical="center"/>
    </xf>
    <xf numFmtId="11" fontId="0" fillId="0" borderId="0" xfId="0" applyNumberFormat="1" applyAlignment="1">
      <alignment vertical="center"/>
    </xf>
    <xf numFmtId="0" fontId="5" fillId="0" borderId="0" xfId="2"/>
    <xf numFmtId="43" fontId="0" fillId="0" borderId="0" xfId="1" applyFont="1"/>
    <xf numFmtId="2" fontId="0" fillId="0" borderId="0" xfId="1" applyNumberFormat="1" applyFont="1"/>
    <xf numFmtId="2" fontId="0" fillId="0" borderId="0" xfId="1" applyNumberFormat="1" applyFont="1" applyAlignment="1">
      <alignment vertical="center"/>
    </xf>
    <xf numFmtId="2" fontId="5" fillId="0" borderId="0" xfId="1" applyNumberFormat="1" applyFont="1"/>
    <xf numFmtId="1" fontId="0" fillId="0" borderId="0" xfId="1" applyNumberFormat="1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0" xfId="3" applyNumberFormat="1" applyFont="1" applyBorder="1" applyAlignment="1">
      <alignment horizontal="center" vertical="center"/>
    </xf>
    <xf numFmtId="10" fontId="0" fillId="0" borderId="5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5" fontId="0" fillId="0" borderId="0" xfId="3" applyNumberFormat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0" fillId="0" borderId="5" xfId="0" applyNumberFormat="1" applyBorder="1" applyAlignment="1">
      <alignment horizontal="center" vertical="center"/>
    </xf>
    <xf numFmtId="9" fontId="0" fillId="0" borderId="0" xfId="3" applyFon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165" fontId="0" fillId="0" borderId="0" xfId="3" applyNumberFormat="1" applyFont="1"/>
    <xf numFmtId="43" fontId="0" fillId="3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66" fontId="0" fillId="0" borderId="0" xfId="3" applyNumberFormat="1" applyFont="1" applyBorder="1" applyAlignment="1">
      <alignment horizontal="center" vertical="center"/>
    </xf>
    <xf numFmtId="43" fontId="0" fillId="0" borderId="7" xfId="0" applyNumberFormat="1" applyBorder="1" applyAlignment="1">
      <alignment horizontal="center" vertical="center"/>
    </xf>
    <xf numFmtId="2" fontId="0" fillId="0" borderId="0" xfId="0" applyNumberFormat="1"/>
    <xf numFmtId="43" fontId="0" fillId="0" borderId="0" xfId="0" applyNumberFormat="1"/>
    <xf numFmtId="0" fontId="0" fillId="0" borderId="0" xfId="0" applyNumberFormat="1"/>
    <xf numFmtId="10" fontId="0" fillId="0" borderId="0" xfId="0" applyNumberFormat="1"/>
    <xf numFmtId="10" fontId="0" fillId="0" borderId="0" xfId="3" applyNumberFormat="1" applyFont="1"/>
    <xf numFmtId="9" fontId="0" fillId="0" borderId="0" xfId="0" applyNumberFormat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Electricity Demand Projection 2019 - 2038</a:t>
            </a:r>
          </a:p>
          <a:p>
            <a:pPr>
              <a:defRPr/>
            </a:pPr>
            <a:r>
              <a:rPr lang="en-NZ"/>
              <a:t>RUKN</a:t>
            </a:r>
            <a:r>
              <a:rPr lang="en-NZ" baseline="0"/>
              <a:t> 2018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3636457207555"/>
          <c:y val="0.16117762971936203"/>
          <c:w val="0.80228789048427773"/>
          <c:h val="0.68447260246315367"/>
        </c:manualLayout>
      </c:layout>
      <c:lineChart>
        <c:grouping val="standard"/>
        <c:varyColors val="0"/>
        <c:ser>
          <c:idx val="0"/>
          <c:order val="0"/>
          <c:tx>
            <c:strRef>
              <c:f>proj_rukn!$A$2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proj_rukn!$C$2:$C$21</c:f>
              <c:numCache>
                <c:formatCode>_(* #,##0.00_);_(* \(#,##0.00\);_(* "-"??_);_(@_)</c:formatCode>
                <c:ptCount val="20"/>
                <c:pt idx="0">
                  <c:v>289000</c:v>
                </c:pt>
                <c:pt idx="1">
                  <c:v>315000</c:v>
                </c:pt>
                <c:pt idx="2">
                  <c:v>355000</c:v>
                </c:pt>
                <c:pt idx="3">
                  <c:v>375000</c:v>
                </c:pt>
                <c:pt idx="4">
                  <c:v>399000</c:v>
                </c:pt>
                <c:pt idx="5">
                  <c:v>429000</c:v>
                </c:pt>
                <c:pt idx="6">
                  <c:v>460000</c:v>
                </c:pt>
                <c:pt idx="7">
                  <c:v>499000</c:v>
                </c:pt>
                <c:pt idx="8">
                  <c:v>543000</c:v>
                </c:pt>
                <c:pt idx="9">
                  <c:v>573000</c:v>
                </c:pt>
                <c:pt idx="10">
                  <c:v>606000</c:v>
                </c:pt>
                <c:pt idx="11">
                  <c:v>639000</c:v>
                </c:pt>
                <c:pt idx="12">
                  <c:v>678000</c:v>
                </c:pt>
                <c:pt idx="13">
                  <c:v>719000</c:v>
                </c:pt>
                <c:pt idx="14">
                  <c:v>760000</c:v>
                </c:pt>
                <c:pt idx="15">
                  <c:v>807000</c:v>
                </c:pt>
                <c:pt idx="16">
                  <c:v>855000</c:v>
                </c:pt>
                <c:pt idx="17">
                  <c:v>908000</c:v>
                </c:pt>
                <c:pt idx="18">
                  <c:v>963000</c:v>
                </c:pt>
                <c:pt idx="19">
                  <c:v>1026000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DD-4D39-9ED4-7F6AFED62BFD}"/>
            </c:ext>
          </c:extLst>
        </c:ser>
        <c:ser>
          <c:idx val="1"/>
          <c:order val="1"/>
          <c:tx>
            <c:strRef>
              <c:f>proj_rukn!$A$22</c:f>
              <c:strCache>
                <c:ptCount val="1"/>
                <c:pt idx="0">
                  <c:v>SUMATERA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proj_rukn!$C$22:$C$41</c:f>
              <c:numCache>
                <c:formatCode>_(* #,##0.00_);_(* \(#,##0.00\);_(* "-"??_);_(@_)</c:formatCode>
                <c:ptCount val="20"/>
                <c:pt idx="0">
                  <c:v>51583</c:v>
                </c:pt>
                <c:pt idx="1">
                  <c:v>57071</c:v>
                </c:pt>
                <c:pt idx="2">
                  <c:v>62727</c:v>
                </c:pt>
                <c:pt idx="3">
                  <c:v>68154</c:v>
                </c:pt>
                <c:pt idx="4">
                  <c:v>74249</c:v>
                </c:pt>
                <c:pt idx="5">
                  <c:v>82533</c:v>
                </c:pt>
                <c:pt idx="6">
                  <c:v>90974</c:v>
                </c:pt>
                <c:pt idx="7">
                  <c:v>101129</c:v>
                </c:pt>
                <c:pt idx="8">
                  <c:v>113114</c:v>
                </c:pt>
                <c:pt idx="9">
                  <c:v>120347</c:v>
                </c:pt>
                <c:pt idx="10">
                  <c:v>128006</c:v>
                </c:pt>
                <c:pt idx="11">
                  <c:v>135872</c:v>
                </c:pt>
                <c:pt idx="12">
                  <c:v>145019</c:v>
                </c:pt>
                <c:pt idx="13">
                  <c:v>154809</c:v>
                </c:pt>
                <c:pt idx="14">
                  <c:v>164318</c:v>
                </c:pt>
                <c:pt idx="15">
                  <c:v>175443</c:v>
                </c:pt>
                <c:pt idx="16">
                  <c:v>186529</c:v>
                </c:pt>
                <c:pt idx="17">
                  <c:v>199012</c:v>
                </c:pt>
                <c:pt idx="18">
                  <c:v>211866</c:v>
                </c:pt>
                <c:pt idx="19">
                  <c:v>226751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DD-4D39-9ED4-7F6AFED62BFD}"/>
            </c:ext>
          </c:extLst>
        </c:ser>
        <c:ser>
          <c:idx val="2"/>
          <c:order val="2"/>
          <c:tx>
            <c:strRef>
              <c:f>proj_rukn!$A$42</c:f>
              <c:strCache>
                <c:ptCount val="1"/>
                <c:pt idx="0">
                  <c:v>JAWA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proj_rukn!$C$42:$C$61</c:f>
              <c:numCache>
                <c:formatCode>_(* #,##0.00_);_(* \(#,##0.00\);_(* "-"??_);_(@_)</c:formatCode>
                <c:ptCount val="20"/>
                <c:pt idx="0">
                  <c:v>187575</c:v>
                </c:pt>
                <c:pt idx="1">
                  <c:v>203080</c:v>
                </c:pt>
                <c:pt idx="2">
                  <c:v>217964</c:v>
                </c:pt>
                <c:pt idx="3">
                  <c:v>229142</c:v>
                </c:pt>
                <c:pt idx="4">
                  <c:v>240179</c:v>
                </c:pt>
                <c:pt idx="5">
                  <c:v>252553</c:v>
                </c:pt>
                <c:pt idx="6">
                  <c:v>264290</c:v>
                </c:pt>
                <c:pt idx="7">
                  <c:v>281902</c:v>
                </c:pt>
                <c:pt idx="8">
                  <c:v>300547</c:v>
                </c:pt>
                <c:pt idx="9">
                  <c:v>319265</c:v>
                </c:pt>
                <c:pt idx="10">
                  <c:v>339231</c:v>
                </c:pt>
                <c:pt idx="11">
                  <c:v>359968</c:v>
                </c:pt>
                <c:pt idx="12">
                  <c:v>384123</c:v>
                </c:pt>
                <c:pt idx="13">
                  <c:v>409968</c:v>
                </c:pt>
                <c:pt idx="14">
                  <c:v>435072</c:v>
                </c:pt>
                <c:pt idx="15">
                  <c:v>464393</c:v>
                </c:pt>
                <c:pt idx="16">
                  <c:v>493655</c:v>
                </c:pt>
                <c:pt idx="17">
                  <c:v>526341</c:v>
                </c:pt>
                <c:pt idx="18">
                  <c:v>560085</c:v>
                </c:pt>
                <c:pt idx="19">
                  <c:v>598885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DD-4D39-9ED4-7F6AFED62BFD}"/>
            </c:ext>
          </c:extLst>
        </c:ser>
        <c:ser>
          <c:idx val="3"/>
          <c:order val="3"/>
          <c:tx>
            <c:strRef>
              <c:f>proj_rukn!$A$62</c:f>
              <c:strCache>
                <c:ptCount val="1"/>
                <c:pt idx="0">
                  <c:v>BALI_NT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proj_rukn!$C$62:$C$81</c:f>
              <c:numCache>
                <c:formatCode>_(* #,##0.00_);_(* \(#,##0.00\);_(* "-"??_);_(@_)</c:formatCode>
                <c:ptCount val="20"/>
                <c:pt idx="0">
                  <c:v>8627</c:v>
                </c:pt>
                <c:pt idx="1">
                  <c:v>9253</c:v>
                </c:pt>
                <c:pt idx="2">
                  <c:v>11683</c:v>
                </c:pt>
                <c:pt idx="3">
                  <c:v>12115</c:v>
                </c:pt>
                <c:pt idx="4">
                  <c:v>12451</c:v>
                </c:pt>
                <c:pt idx="5">
                  <c:v>12894</c:v>
                </c:pt>
                <c:pt idx="6">
                  <c:v>13474</c:v>
                </c:pt>
                <c:pt idx="7">
                  <c:v>14161</c:v>
                </c:pt>
                <c:pt idx="8">
                  <c:v>14806</c:v>
                </c:pt>
                <c:pt idx="9">
                  <c:v>15543</c:v>
                </c:pt>
                <c:pt idx="10">
                  <c:v>16297</c:v>
                </c:pt>
                <c:pt idx="11">
                  <c:v>17109</c:v>
                </c:pt>
                <c:pt idx="12">
                  <c:v>18105</c:v>
                </c:pt>
                <c:pt idx="13">
                  <c:v>19166</c:v>
                </c:pt>
                <c:pt idx="14">
                  <c:v>20105</c:v>
                </c:pt>
                <c:pt idx="15">
                  <c:v>21293</c:v>
                </c:pt>
                <c:pt idx="16">
                  <c:v>22446</c:v>
                </c:pt>
                <c:pt idx="17">
                  <c:v>23676</c:v>
                </c:pt>
                <c:pt idx="18">
                  <c:v>24979</c:v>
                </c:pt>
                <c:pt idx="19">
                  <c:v>26504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DD-4D39-9ED4-7F6AFED62BFD}"/>
            </c:ext>
          </c:extLst>
        </c:ser>
        <c:ser>
          <c:idx val="4"/>
          <c:order val="4"/>
          <c:tx>
            <c:strRef>
              <c:f>proj_rukn!$A$82</c:f>
              <c:strCache>
                <c:ptCount val="1"/>
                <c:pt idx="0">
                  <c:v>KALIMANTAN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proj_rukn!$C$82:$C$101</c:f>
              <c:numCache>
                <c:formatCode>_(* #,##0.00_);_(* \(#,##0.00\);_(* "-"??_);_(@_)</c:formatCode>
                <c:ptCount val="20"/>
                <c:pt idx="0">
                  <c:v>12494</c:v>
                </c:pt>
                <c:pt idx="1">
                  <c:v>13329</c:v>
                </c:pt>
                <c:pt idx="2">
                  <c:v>15921</c:v>
                </c:pt>
                <c:pt idx="3">
                  <c:v>16705</c:v>
                </c:pt>
                <c:pt idx="4">
                  <c:v>19399</c:v>
                </c:pt>
                <c:pt idx="5">
                  <c:v>24370</c:v>
                </c:pt>
                <c:pt idx="6">
                  <c:v>29601</c:v>
                </c:pt>
                <c:pt idx="7">
                  <c:v>35042</c:v>
                </c:pt>
                <c:pt idx="8">
                  <c:v>42519</c:v>
                </c:pt>
                <c:pt idx="9">
                  <c:v>43968</c:v>
                </c:pt>
                <c:pt idx="10">
                  <c:v>45507</c:v>
                </c:pt>
                <c:pt idx="11">
                  <c:v>47065</c:v>
                </c:pt>
                <c:pt idx="12">
                  <c:v>48942</c:v>
                </c:pt>
                <c:pt idx="13">
                  <c:v>50960</c:v>
                </c:pt>
                <c:pt idx="14">
                  <c:v>52868</c:v>
                </c:pt>
                <c:pt idx="15">
                  <c:v>55183</c:v>
                </c:pt>
                <c:pt idx="16">
                  <c:v>57442</c:v>
                </c:pt>
                <c:pt idx="17">
                  <c:v>60024</c:v>
                </c:pt>
                <c:pt idx="18">
                  <c:v>62642</c:v>
                </c:pt>
                <c:pt idx="19">
                  <c:v>65632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DD-4D39-9ED4-7F6AFED62BFD}"/>
            </c:ext>
          </c:extLst>
        </c:ser>
        <c:ser>
          <c:idx val="5"/>
          <c:order val="5"/>
          <c:tx>
            <c:strRef>
              <c:f>proj_rukn!$A$102</c:f>
              <c:strCache>
                <c:ptCount val="1"/>
                <c:pt idx="0">
                  <c:v>SULAWESI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proj_rukn!$C$102:$C$121</c:f>
              <c:numCache>
                <c:formatCode>_(* #,##0.00_);_(* \(#,##0.00\);_(* "-"??_);_(@_)</c:formatCode>
                <c:ptCount val="20"/>
                <c:pt idx="0">
                  <c:v>20696</c:v>
                </c:pt>
                <c:pt idx="1">
                  <c:v>22221</c:v>
                </c:pt>
                <c:pt idx="2">
                  <c:v>32796</c:v>
                </c:pt>
                <c:pt idx="3">
                  <c:v>34358</c:v>
                </c:pt>
                <c:pt idx="4">
                  <c:v>36525</c:v>
                </c:pt>
                <c:pt idx="5">
                  <c:v>39633</c:v>
                </c:pt>
                <c:pt idx="6">
                  <c:v>43224</c:v>
                </c:pt>
                <c:pt idx="7">
                  <c:v>46148</c:v>
                </c:pt>
                <c:pt idx="8">
                  <c:v>49818</c:v>
                </c:pt>
                <c:pt idx="9">
                  <c:v>51490</c:v>
                </c:pt>
                <c:pt idx="10">
                  <c:v>53290</c:v>
                </c:pt>
                <c:pt idx="11">
                  <c:v>55184</c:v>
                </c:pt>
                <c:pt idx="12">
                  <c:v>57463</c:v>
                </c:pt>
                <c:pt idx="13">
                  <c:v>59961</c:v>
                </c:pt>
                <c:pt idx="14">
                  <c:v>62425</c:v>
                </c:pt>
                <c:pt idx="15">
                  <c:v>65397</c:v>
                </c:pt>
                <c:pt idx="16">
                  <c:v>68446</c:v>
                </c:pt>
                <c:pt idx="17">
                  <c:v>71899</c:v>
                </c:pt>
                <c:pt idx="18">
                  <c:v>75580</c:v>
                </c:pt>
                <c:pt idx="19">
                  <c:v>79906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DD-4D39-9ED4-7F6AFED62BFD}"/>
            </c:ext>
          </c:extLst>
        </c:ser>
        <c:ser>
          <c:idx val="6"/>
          <c:order val="6"/>
          <c:tx>
            <c:strRef>
              <c:f>proj_rukn!$A$122</c:f>
              <c:strCache>
                <c:ptCount val="1"/>
                <c:pt idx="0">
                  <c:v>MALUKU_PAPUA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proj_rukn!$C$122:$C$141</c:f>
              <c:numCache>
                <c:formatCode>_(* #,##0.00_);_(* \(#,##0.00\);_(* "-"??_);_(@_)</c:formatCode>
                <c:ptCount val="20"/>
                <c:pt idx="0">
                  <c:v>7765</c:v>
                </c:pt>
                <c:pt idx="1">
                  <c:v>9798</c:v>
                </c:pt>
                <c:pt idx="2">
                  <c:v>13786</c:v>
                </c:pt>
                <c:pt idx="3">
                  <c:v>15018</c:v>
                </c:pt>
                <c:pt idx="4">
                  <c:v>15788</c:v>
                </c:pt>
                <c:pt idx="5">
                  <c:v>17243</c:v>
                </c:pt>
                <c:pt idx="6">
                  <c:v>18758</c:v>
                </c:pt>
                <c:pt idx="7">
                  <c:v>20342</c:v>
                </c:pt>
                <c:pt idx="8">
                  <c:v>22547</c:v>
                </c:pt>
                <c:pt idx="9">
                  <c:v>22887</c:v>
                </c:pt>
                <c:pt idx="10">
                  <c:v>23247</c:v>
                </c:pt>
                <c:pt idx="11">
                  <c:v>23609</c:v>
                </c:pt>
                <c:pt idx="12">
                  <c:v>24061</c:v>
                </c:pt>
                <c:pt idx="13">
                  <c:v>24553</c:v>
                </c:pt>
                <c:pt idx="14">
                  <c:v>25000</c:v>
                </c:pt>
                <c:pt idx="15">
                  <c:v>25570</c:v>
                </c:pt>
                <c:pt idx="16">
                  <c:v>26114</c:v>
                </c:pt>
                <c:pt idx="17">
                  <c:v>26747</c:v>
                </c:pt>
                <c:pt idx="18">
                  <c:v>27382</c:v>
                </c:pt>
                <c:pt idx="19">
                  <c:v>28155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DDD-4D39-9ED4-7F6AFED62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672072"/>
        <c:axId val="915672728"/>
      </c:lineChart>
      <c:catAx>
        <c:axId val="915672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728"/>
        <c:crosses val="autoZero"/>
        <c:auto val="1"/>
        <c:lblAlgn val="ctr"/>
        <c:lblOffset val="100"/>
        <c:noMultiLvlLbl val="0"/>
      </c:catAx>
      <c:valAx>
        <c:axId val="915672728"/>
        <c:scaling>
          <c:orientation val="minMax"/>
          <c:max val="1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1344415281423161E-2"/>
          <c:y val="0.12139487179487179"/>
          <c:w val="0.82335803262687401"/>
          <c:h val="3.8396173174598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Supply /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3636457207555"/>
          <c:y val="0.12425460636515913"/>
          <c:w val="0.80228789048427773"/>
          <c:h val="0.72139569237262424"/>
        </c:manualLayout>
      </c:layout>
      <c:lineChart>
        <c:grouping val="standard"/>
        <c:varyColors val="0"/>
        <c:ser>
          <c:idx val="0"/>
          <c:order val="0"/>
          <c:tx>
            <c:strRef>
              <c:f>proj_rukn!$A$2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proj_rukn!$D$2:$D$21</c:f>
              <c:numCache>
                <c:formatCode>_(* #,##0.00_);_(* \(#,##0.00\);_(* "-"??_);_(@_)</c:formatCode>
                <c:ptCount val="20"/>
                <c:pt idx="0">
                  <c:v>289000</c:v>
                </c:pt>
                <c:pt idx="1">
                  <c:v>315000</c:v>
                </c:pt>
                <c:pt idx="2">
                  <c:v>355000</c:v>
                </c:pt>
                <c:pt idx="3">
                  <c:v>375000</c:v>
                </c:pt>
                <c:pt idx="4">
                  <c:v>399000</c:v>
                </c:pt>
                <c:pt idx="5">
                  <c:v>429000</c:v>
                </c:pt>
                <c:pt idx="6">
                  <c:v>460000</c:v>
                </c:pt>
                <c:pt idx="7">
                  <c:v>499000</c:v>
                </c:pt>
                <c:pt idx="8">
                  <c:v>543000</c:v>
                </c:pt>
                <c:pt idx="9">
                  <c:v>573000</c:v>
                </c:pt>
                <c:pt idx="10">
                  <c:v>606000</c:v>
                </c:pt>
                <c:pt idx="11">
                  <c:v>639000</c:v>
                </c:pt>
                <c:pt idx="12">
                  <c:v>678000</c:v>
                </c:pt>
                <c:pt idx="13">
                  <c:v>719000</c:v>
                </c:pt>
                <c:pt idx="14">
                  <c:v>760000</c:v>
                </c:pt>
                <c:pt idx="15">
                  <c:v>807000</c:v>
                </c:pt>
                <c:pt idx="16">
                  <c:v>855000</c:v>
                </c:pt>
                <c:pt idx="17">
                  <c:v>908000</c:v>
                </c:pt>
                <c:pt idx="18">
                  <c:v>963000</c:v>
                </c:pt>
                <c:pt idx="19">
                  <c:v>1026000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5E-454B-87E9-F1BAB19EE010}"/>
            </c:ext>
          </c:extLst>
        </c:ser>
        <c:ser>
          <c:idx val="1"/>
          <c:order val="1"/>
          <c:tx>
            <c:strRef>
              <c:f>proj_rukn!$A$22</c:f>
              <c:strCache>
                <c:ptCount val="1"/>
                <c:pt idx="0">
                  <c:v>SUMATERA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proj_rukn!$D$22:$D$41</c:f>
              <c:numCache>
                <c:formatCode>_(* #,##0.00_);_(* \(#,##0.00\);_(* "-"??_);_(@_)</c:formatCode>
                <c:ptCount val="20"/>
                <c:pt idx="0">
                  <c:v>51583</c:v>
                </c:pt>
                <c:pt idx="1">
                  <c:v>57071</c:v>
                </c:pt>
                <c:pt idx="2">
                  <c:v>62727</c:v>
                </c:pt>
                <c:pt idx="3">
                  <c:v>68154</c:v>
                </c:pt>
                <c:pt idx="4">
                  <c:v>74249</c:v>
                </c:pt>
                <c:pt idx="5">
                  <c:v>82533</c:v>
                </c:pt>
                <c:pt idx="6">
                  <c:v>90974</c:v>
                </c:pt>
                <c:pt idx="7">
                  <c:v>101129</c:v>
                </c:pt>
                <c:pt idx="8">
                  <c:v>113114</c:v>
                </c:pt>
                <c:pt idx="9">
                  <c:v>120347</c:v>
                </c:pt>
                <c:pt idx="10">
                  <c:v>128006</c:v>
                </c:pt>
                <c:pt idx="11">
                  <c:v>135872</c:v>
                </c:pt>
                <c:pt idx="12">
                  <c:v>145019</c:v>
                </c:pt>
                <c:pt idx="13">
                  <c:v>154809</c:v>
                </c:pt>
                <c:pt idx="14">
                  <c:v>164318</c:v>
                </c:pt>
                <c:pt idx="15">
                  <c:v>175443</c:v>
                </c:pt>
                <c:pt idx="16">
                  <c:v>186529</c:v>
                </c:pt>
                <c:pt idx="17">
                  <c:v>199012</c:v>
                </c:pt>
                <c:pt idx="18">
                  <c:v>211866</c:v>
                </c:pt>
                <c:pt idx="19">
                  <c:v>226751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5E-454B-87E9-F1BAB19EE010}"/>
            </c:ext>
          </c:extLst>
        </c:ser>
        <c:ser>
          <c:idx val="2"/>
          <c:order val="2"/>
          <c:tx>
            <c:strRef>
              <c:f>proj_rukn!$A$42</c:f>
              <c:strCache>
                <c:ptCount val="1"/>
                <c:pt idx="0">
                  <c:v>JAWA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proj_rukn!$D$42:$D$61</c:f>
              <c:numCache>
                <c:formatCode>_(* #,##0.00_);_(* \(#,##0.00\);_(* "-"??_);_(@_)</c:formatCode>
                <c:ptCount val="20"/>
                <c:pt idx="0">
                  <c:v>187575</c:v>
                </c:pt>
                <c:pt idx="1">
                  <c:v>203080</c:v>
                </c:pt>
                <c:pt idx="2">
                  <c:v>217964</c:v>
                </c:pt>
                <c:pt idx="3">
                  <c:v>229142</c:v>
                </c:pt>
                <c:pt idx="4">
                  <c:v>240179</c:v>
                </c:pt>
                <c:pt idx="5">
                  <c:v>252553</c:v>
                </c:pt>
                <c:pt idx="6">
                  <c:v>264290</c:v>
                </c:pt>
                <c:pt idx="7">
                  <c:v>281902</c:v>
                </c:pt>
                <c:pt idx="8">
                  <c:v>300547</c:v>
                </c:pt>
                <c:pt idx="9">
                  <c:v>319265</c:v>
                </c:pt>
                <c:pt idx="10">
                  <c:v>339231</c:v>
                </c:pt>
                <c:pt idx="11">
                  <c:v>359968</c:v>
                </c:pt>
                <c:pt idx="12">
                  <c:v>384123</c:v>
                </c:pt>
                <c:pt idx="13">
                  <c:v>409968</c:v>
                </c:pt>
                <c:pt idx="14">
                  <c:v>435072</c:v>
                </c:pt>
                <c:pt idx="15">
                  <c:v>464393</c:v>
                </c:pt>
                <c:pt idx="16">
                  <c:v>493655</c:v>
                </c:pt>
                <c:pt idx="17">
                  <c:v>526341</c:v>
                </c:pt>
                <c:pt idx="18">
                  <c:v>560085</c:v>
                </c:pt>
                <c:pt idx="19">
                  <c:v>598885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5E-454B-87E9-F1BAB19EE010}"/>
            </c:ext>
          </c:extLst>
        </c:ser>
        <c:ser>
          <c:idx val="3"/>
          <c:order val="3"/>
          <c:tx>
            <c:strRef>
              <c:f>proj_rukn!$A$62</c:f>
              <c:strCache>
                <c:ptCount val="1"/>
                <c:pt idx="0">
                  <c:v>BALI_NT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proj_rukn!$D$62:$D$81</c:f>
              <c:numCache>
                <c:formatCode>_(* #,##0.00_);_(* \(#,##0.00\);_(* "-"??_);_(@_)</c:formatCode>
                <c:ptCount val="20"/>
                <c:pt idx="0">
                  <c:v>8627</c:v>
                </c:pt>
                <c:pt idx="1">
                  <c:v>9253</c:v>
                </c:pt>
                <c:pt idx="2">
                  <c:v>11683</c:v>
                </c:pt>
                <c:pt idx="3">
                  <c:v>12115</c:v>
                </c:pt>
                <c:pt idx="4">
                  <c:v>12451</c:v>
                </c:pt>
                <c:pt idx="5">
                  <c:v>12894</c:v>
                </c:pt>
                <c:pt idx="6">
                  <c:v>13474</c:v>
                </c:pt>
                <c:pt idx="7">
                  <c:v>14161</c:v>
                </c:pt>
                <c:pt idx="8">
                  <c:v>14806</c:v>
                </c:pt>
                <c:pt idx="9">
                  <c:v>15543</c:v>
                </c:pt>
                <c:pt idx="10">
                  <c:v>16297</c:v>
                </c:pt>
                <c:pt idx="11">
                  <c:v>17109</c:v>
                </c:pt>
                <c:pt idx="12">
                  <c:v>18105</c:v>
                </c:pt>
                <c:pt idx="13">
                  <c:v>19166</c:v>
                </c:pt>
                <c:pt idx="14">
                  <c:v>20105</c:v>
                </c:pt>
                <c:pt idx="15">
                  <c:v>21293</c:v>
                </c:pt>
                <c:pt idx="16">
                  <c:v>22446</c:v>
                </c:pt>
                <c:pt idx="17">
                  <c:v>23676</c:v>
                </c:pt>
                <c:pt idx="18">
                  <c:v>24979</c:v>
                </c:pt>
                <c:pt idx="19">
                  <c:v>26504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5E-454B-87E9-F1BAB19EE010}"/>
            </c:ext>
          </c:extLst>
        </c:ser>
        <c:ser>
          <c:idx val="4"/>
          <c:order val="4"/>
          <c:tx>
            <c:strRef>
              <c:f>proj_rukn!$A$82</c:f>
              <c:strCache>
                <c:ptCount val="1"/>
                <c:pt idx="0">
                  <c:v>KALIMANTAN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proj_rukn!$D$82:$D$101</c:f>
              <c:numCache>
                <c:formatCode>_(* #,##0.00_);_(* \(#,##0.00\);_(* "-"??_);_(@_)</c:formatCode>
                <c:ptCount val="20"/>
                <c:pt idx="0">
                  <c:v>12494</c:v>
                </c:pt>
                <c:pt idx="1">
                  <c:v>13329</c:v>
                </c:pt>
                <c:pt idx="2">
                  <c:v>15921</c:v>
                </c:pt>
                <c:pt idx="3">
                  <c:v>16705</c:v>
                </c:pt>
                <c:pt idx="4">
                  <c:v>19399</c:v>
                </c:pt>
                <c:pt idx="5">
                  <c:v>24370</c:v>
                </c:pt>
                <c:pt idx="6">
                  <c:v>29601</c:v>
                </c:pt>
                <c:pt idx="7">
                  <c:v>35042</c:v>
                </c:pt>
                <c:pt idx="8">
                  <c:v>42519</c:v>
                </c:pt>
                <c:pt idx="9">
                  <c:v>43968</c:v>
                </c:pt>
                <c:pt idx="10">
                  <c:v>45507</c:v>
                </c:pt>
                <c:pt idx="11">
                  <c:v>47065</c:v>
                </c:pt>
                <c:pt idx="12">
                  <c:v>48942</c:v>
                </c:pt>
                <c:pt idx="13">
                  <c:v>50960</c:v>
                </c:pt>
                <c:pt idx="14">
                  <c:v>52868</c:v>
                </c:pt>
                <c:pt idx="15">
                  <c:v>55183</c:v>
                </c:pt>
                <c:pt idx="16">
                  <c:v>57442</c:v>
                </c:pt>
                <c:pt idx="17">
                  <c:v>60024</c:v>
                </c:pt>
                <c:pt idx="18">
                  <c:v>62642</c:v>
                </c:pt>
                <c:pt idx="19">
                  <c:v>65632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5E-454B-87E9-F1BAB19EE010}"/>
            </c:ext>
          </c:extLst>
        </c:ser>
        <c:ser>
          <c:idx val="5"/>
          <c:order val="5"/>
          <c:tx>
            <c:strRef>
              <c:f>proj_rukn!$A$102</c:f>
              <c:strCache>
                <c:ptCount val="1"/>
                <c:pt idx="0">
                  <c:v>SULAWESI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proj_rukn!$D$102:$D$121</c:f>
              <c:numCache>
                <c:formatCode>_(* #,##0.00_);_(* \(#,##0.00\);_(* "-"??_);_(@_)</c:formatCode>
                <c:ptCount val="20"/>
                <c:pt idx="0">
                  <c:v>20696</c:v>
                </c:pt>
                <c:pt idx="1">
                  <c:v>22221</c:v>
                </c:pt>
                <c:pt idx="2">
                  <c:v>32796</c:v>
                </c:pt>
                <c:pt idx="3">
                  <c:v>34358</c:v>
                </c:pt>
                <c:pt idx="4">
                  <c:v>36525</c:v>
                </c:pt>
                <c:pt idx="5">
                  <c:v>39633</c:v>
                </c:pt>
                <c:pt idx="6">
                  <c:v>43224</c:v>
                </c:pt>
                <c:pt idx="7">
                  <c:v>46148</c:v>
                </c:pt>
                <c:pt idx="8">
                  <c:v>49818</c:v>
                </c:pt>
                <c:pt idx="9">
                  <c:v>51490</c:v>
                </c:pt>
                <c:pt idx="10">
                  <c:v>53290</c:v>
                </c:pt>
                <c:pt idx="11">
                  <c:v>55184</c:v>
                </c:pt>
                <c:pt idx="12">
                  <c:v>57463</c:v>
                </c:pt>
                <c:pt idx="13">
                  <c:v>59961</c:v>
                </c:pt>
                <c:pt idx="14">
                  <c:v>62425</c:v>
                </c:pt>
                <c:pt idx="15">
                  <c:v>65397</c:v>
                </c:pt>
                <c:pt idx="16">
                  <c:v>68446</c:v>
                </c:pt>
                <c:pt idx="17">
                  <c:v>71899</c:v>
                </c:pt>
                <c:pt idx="18">
                  <c:v>75580</c:v>
                </c:pt>
                <c:pt idx="19">
                  <c:v>79906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5E-454B-87E9-F1BAB19EE010}"/>
            </c:ext>
          </c:extLst>
        </c:ser>
        <c:ser>
          <c:idx val="6"/>
          <c:order val="6"/>
          <c:tx>
            <c:strRef>
              <c:f>proj_rukn!$A$122</c:f>
              <c:strCache>
                <c:ptCount val="1"/>
                <c:pt idx="0">
                  <c:v>MALUKU_PAPUA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proj_rukn!$D$122:$D$141</c:f>
              <c:numCache>
                <c:formatCode>_(* #,##0.00_);_(* \(#,##0.00\);_(* "-"??_);_(@_)</c:formatCode>
                <c:ptCount val="20"/>
                <c:pt idx="0">
                  <c:v>7765</c:v>
                </c:pt>
                <c:pt idx="1">
                  <c:v>9798</c:v>
                </c:pt>
                <c:pt idx="2">
                  <c:v>13786</c:v>
                </c:pt>
                <c:pt idx="3">
                  <c:v>15018</c:v>
                </c:pt>
                <c:pt idx="4">
                  <c:v>15788</c:v>
                </c:pt>
                <c:pt idx="5">
                  <c:v>17243</c:v>
                </c:pt>
                <c:pt idx="6">
                  <c:v>18758</c:v>
                </c:pt>
                <c:pt idx="7">
                  <c:v>20342</c:v>
                </c:pt>
                <c:pt idx="8">
                  <c:v>22547</c:v>
                </c:pt>
                <c:pt idx="9">
                  <c:v>22887</c:v>
                </c:pt>
                <c:pt idx="10">
                  <c:v>23247</c:v>
                </c:pt>
                <c:pt idx="11">
                  <c:v>23609</c:v>
                </c:pt>
                <c:pt idx="12">
                  <c:v>24061</c:v>
                </c:pt>
                <c:pt idx="13">
                  <c:v>24553</c:v>
                </c:pt>
                <c:pt idx="14">
                  <c:v>25000</c:v>
                </c:pt>
                <c:pt idx="15">
                  <c:v>25570</c:v>
                </c:pt>
                <c:pt idx="16">
                  <c:v>26114</c:v>
                </c:pt>
                <c:pt idx="17">
                  <c:v>26747</c:v>
                </c:pt>
                <c:pt idx="18">
                  <c:v>27382</c:v>
                </c:pt>
                <c:pt idx="19">
                  <c:v>28155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5E-454B-87E9-F1BAB19EE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672072"/>
        <c:axId val="915672728"/>
      </c:lineChart>
      <c:catAx>
        <c:axId val="9156720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728"/>
        <c:crosses val="autoZero"/>
        <c:auto val="1"/>
        <c:lblAlgn val="ctr"/>
        <c:lblOffset val="100"/>
        <c:noMultiLvlLbl val="0"/>
      </c:catAx>
      <c:valAx>
        <c:axId val="91567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21</xdr:col>
      <xdr:colOff>476250</xdr:colOff>
      <xdr:row>30</xdr:row>
      <xdr:rowOff>57150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38</xdr:row>
      <xdr:rowOff>0</xdr:rowOff>
    </xdr:from>
    <xdr:to>
      <xdr:col>16</xdr:col>
      <xdr:colOff>533400</xdr:colOff>
      <xdr:row>73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0</xdr:row>
          <xdr:rowOff>66675</xdr:rowOff>
        </xdr:from>
        <xdr:to>
          <xdr:col>3</xdr:col>
          <xdr:colOff>619125</xdr:colOff>
          <xdr:row>1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0</xdr:row>
          <xdr:rowOff>47625</xdr:rowOff>
        </xdr:from>
        <xdr:to>
          <xdr:col>3</xdr:col>
          <xdr:colOff>571500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66675</xdr:rowOff>
        </xdr:from>
        <xdr:to>
          <xdr:col>3</xdr:col>
          <xdr:colOff>657225</xdr:colOff>
          <xdr:row>1</xdr:row>
          <xdr:rowOff>133350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0</xdr:row>
          <xdr:rowOff>38100</xdr:rowOff>
        </xdr:from>
        <xdr:to>
          <xdr:col>3</xdr:col>
          <xdr:colOff>571500</xdr:colOff>
          <xdr:row>1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0</xdr:row>
          <xdr:rowOff>57150</xdr:rowOff>
        </xdr:from>
        <xdr:to>
          <xdr:col>3</xdr:col>
          <xdr:colOff>571500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66675</xdr:rowOff>
        </xdr:from>
        <xdr:to>
          <xdr:col>3</xdr:col>
          <xdr:colOff>533400</xdr:colOff>
          <xdr:row>1</xdr:row>
          <xdr:rowOff>133350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66675</xdr:rowOff>
        </xdr:from>
        <xdr:to>
          <xdr:col>3</xdr:col>
          <xdr:colOff>495300</xdr:colOff>
          <xdr:row>1</xdr:row>
          <xdr:rowOff>133350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C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stalled_capacit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Capacity"/>
      <sheetName val="Generation"/>
      <sheetName val="Transmitted"/>
      <sheetName val="Fuel"/>
    </sheetNames>
    <sheetDataSet>
      <sheetData sheetId="0"/>
      <sheetData sheetId="1">
        <row r="6">
          <cell r="C6">
            <v>11.5</v>
          </cell>
          <cell r="D6"/>
          <cell r="E6"/>
          <cell r="F6">
            <v>216.21</v>
          </cell>
          <cell r="G6"/>
          <cell r="H6">
            <v>2.64</v>
          </cell>
          <cell r="I6">
            <v>9.1999999999999993</v>
          </cell>
          <cell r="J6"/>
          <cell r="K6"/>
        </row>
        <row r="7">
          <cell r="C7">
            <v>2216.5</v>
          </cell>
          <cell r="D7">
            <v>302.45999999999998</v>
          </cell>
          <cell r="E7">
            <v>817.88</v>
          </cell>
          <cell r="F7">
            <v>918.90000000000009</v>
          </cell>
          <cell r="G7">
            <v>342</v>
          </cell>
          <cell r="H7">
            <v>1036.3</v>
          </cell>
          <cell r="I7">
            <v>15</v>
          </cell>
          <cell r="J7"/>
          <cell r="K7">
            <v>30</v>
          </cell>
        </row>
        <row r="8">
          <cell r="C8">
            <v>424</v>
          </cell>
          <cell r="D8"/>
          <cell r="E8"/>
          <cell r="F8">
            <v>34.76</v>
          </cell>
          <cell r="G8">
            <v>85</v>
          </cell>
          <cell r="H8">
            <v>243</v>
          </cell>
          <cell r="I8">
            <v>34.92</v>
          </cell>
          <cell r="J8"/>
          <cell r="K8"/>
        </row>
        <row r="9">
          <cell r="C9">
            <v>125</v>
          </cell>
          <cell r="D9"/>
          <cell r="E9">
            <v>30</v>
          </cell>
          <cell r="F9">
            <v>183.42000000000002</v>
          </cell>
          <cell r="G9">
            <v>30</v>
          </cell>
          <cell r="H9"/>
          <cell r="I9"/>
          <cell r="J9"/>
          <cell r="K9">
            <v>4.8</v>
          </cell>
        </row>
        <row r="10">
          <cell r="C10"/>
          <cell r="D10"/>
          <cell r="E10"/>
          <cell r="F10">
            <v>52.769999999999996</v>
          </cell>
          <cell r="G10"/>
          <cell r="H10"/>
          <cell r="I10"/>
          <cell r="J10"/>
          <cell r="K10"/>
        </row>
        <row r="11">
          <cell r="C11">
            <v>2178.21</v>
          </cell>
          <cell r="D11">
            <v>513.37</v>
          </cell>
          <cell r="E11">
            <v>420</v>
          </cell>
          <cell r="F11">
            <v>507.52</v>
          </cell>
          <cell r="G11">
            <v>110</v>
          </cell>
          <cell r="H11">
            <v>608.41999999999996</v>
          </cell>
          <cell r="I11">
            <v>11.14</v>
          </cell>
          <cell r="J11"/>
          <cell r="K11"/>
        </row>
        <row r="12">
          <cell r="C12"/>
          <cell r="D12"/>
          <cell r="E12"/>
          <cell r="F12">
            <v>53.01</v>
          </cell>
          <cell r="G12"/>
          <cell r="H12">
            <v>13.6</v>
          </cell>
          <cell r="I12"/>
          <cell r="J12"/>
          <cell r="K12"/>
        </row>
        <row r="13">
          <cell r="C13">
            <v>67</v>
          </cell>
          <cell r="D13"/>
          <cell r="E13"/>
          <cell r="F13">
            <v>4.38</v>
          </cell>
          <cell r="G13">
            <v>110</v>
          </cell>
          <cell r="H13">
            <v>56</v>
          </cell>
          <cell r="I13"/>
          <cell r="J13"/>
          <cell r="K13"/>
        </row>
        <row r="14">
          <cell r="C14">
            <v>119.92</v>
          </cell>
          <cell r="D14"/>
          <cell r="E14"/>
          <cell r="F14">
            <v>163.87</v>
          </cell>
          <cell r="G14"/>
          <cell r="H14"/>
          <cell r="I14"/>
          <cell r="J14">
            <v>0.33</v>
          </cell>
          <cell r="K14">
            <v>1.8</v>
          </cell>
        </row>
        <row r="15">
          <cell r="C15">
            <v>186</v>
          </cell>
          <cell r="D15">
            <v>437.87</v>
          </cell>
          <cell r="E15">
            <v>21.55</v>
          </cell>
          <cell r="F15">
            <v>359.71999999999997</v>
          </cell>
          <cell r="G15"/>
          <cell r="H15"/>
          <cell r="I15"/>
          <cell r="J15">
            <v>0.8</v>
          </cell>
          <cell r="K15"/>
        </row>
        <row r="16">
          <cell r="C16">
            <v>400</v>
          </cell>
          <cell r="D16"/>
          <cell r="E16">
            <v>3104.3</v>
          </cell>
          <cell r="F16">
            <v>0</v>
          </cell>
          <cell r="G16"/>
          <cell r="H16"/>
          <cell r="I16"/>
          <cell r="J16"/>
          <cell r="K16"/>
        </row>
        <row r="17">
          <cell r="C17">
            <v>2916</v>
          </cell>
          <cell r="D17">
            <v>2082.6</v>
          </cell>
          <cell r="E17">
            <v>2123</v>
          </cell>
          <cell r="F17">
            <v>0</v>
          </cell>
          <cell r="G17">
            <v>1144.8</v>
          </cell>
          <cell r="H17">
            <v>1983.86</v>
          </cell>
          <cell r="I17">
            <v>14.3</v>
          </cell>
          <cell r="J17">
            <v>1</v>
          </cell>
          <cell r="K17">
            <v>8</v>
          </cell>
        </row>
        <row r="18">
          <cell r="C18">
            <v>5690</v>
          </cell>
          <cell r="D18">
            <v>55</v>
          </cell>
          <cell r="E18">
            <v>1033.9000000000001</v>
          </cell>
          <cell r="F18">
            <v>0</v>
          </cell>
          <cell r="G18">
            <v>60</v>
          </cell>
          <cell r="H18">
            <v>322.14</v>
          </cell>
          <cell r="I18">
            <v>1.78</v>
          </cell>
          <cell r="J18"/>
          <cell r="K18"/>
        </row>
        <row r="19">
          <cell r="C19"/>
          <cell r="D19"/>
          <cell r="E19"/>
          <cell r="F19">
            <v>0</v>
          </cell>
          <cell r="G19"/>
          <cell r="H19"/>
          <cell r="I19"/>
          <cell r="J19"/>
          <cell r="K19"/>
        </row>
        <row r="20">
          <cell r="C20">
            <v>7255</v>
          </cell>
          <cell r="D20">
            <v>750.74</v>
          </cell>
          <cell r="E20">
            <v>2739.83</v>
          </cell>
          <cell r="F20">
            <v>32.39</v>
          </cell>
          <cell r="G20"/>
          <cell r="H20">
            <v>293.35000000000002</v>
          </cell>
          <cell r="I20">
            <v>1.27</v>
          </cell>
          <cell r="J20"/>
          <cell r="K20"/>
        </row>
        <row r="21">
          <cell r="C21">
            <v>6784</v>
          </cell>
          <cell r="D21">
            <v>8.4</v>
          </cell>
          <cell r="E21">
            <v>860</v>
          </cell>
          <cell r="F21">
            <v>0.74</v>
          </cell>
          <cell r="G21"/>
          <cell r="H21"/>
          <cell r="I21"/>
          <cell r="J21"/>
          <cell r="K21"/>
        </row>
        <row r="22">
          <cell r="C22">
            <v>426</v>
          </cell>
          <cell r="D22">
            <v>610.53</v>
          </cell>
          <cell r="E22"/>
          <cell r="F22">
            <v>2.96</v>
          </cell>
          <cell r="G22"/>
          <cell r="H22"/>
          <cell r="I22">
            <v>2</v>
          </cell>
          <cell r="J22">
            <v>0.03</v>
          </cell>
          <cell r="K22"/>
        </row>
        <row r="23">
          <cell r="C23">
            <v>373.08</v>
          </cell>
          <cell r="D23">
            <v>50</v>
          </cell>
          <cell r="E23"/>
          <cell r="F23">
            <v>355.82</v>
          </cell>
          <cell r="G23"/>
          <cell r="H23">
            <v>2.02</v>
          </cell>
          <cell r="I23">
            <v>14</v>
          </cell>
          <cell r="J23">
            <v>0.83</v>
          </cell>
          <cell r="K23"/>
        </row>
        <row r="24">
          <cell r="C24">
            <v>77</v>
          </cell>
          <cell r="D24"/>
          <cell r="E24"/>
          <cell r="F24">
            <v>223.27</v>
          </cell>
          <cell r="G24">
            <v>24.6</v>
          </cell>
          <cell r="H24">
            <v>5.28</v>
          </cell>
          <cell r="I24"/>
          <cell r="J24">
            <v>3.27</v>
          </cell>
          <cell r="K24"/>
        </row>
        <row r="25">
          <cell r="C25">
            <v>277</v>
          </cell>
          <cell r="D25"/>
          <cell r="E25"/>
          <cell r="F25">
            <v>285.27</v>
          </cell>
          <cell r="G25"/>
          <cell r="H25">
            <v>234.27</v>
          </cell>
          <cell r="I25">
            <v>3.2</v>
          </cell>
          <cell r="J25">
            <v>0.18</v>
          </cell>
          <cell r="K25">
            <v>5</v>
          </cell>
        </row>
        <row r="26">
          <cell r="C26">
            <v>126</v>
          </cell>
          <cell r="D26"/>
          <cell r="E26"/>
          <cell r="F26">
            <v>130.51</v>
          </cell>
          <cell r="G26"/>
          <cell r="H26"/>
          <cell r="I26"/>
          <cell r="J26"/>
          <cell r="K26"/>
        </row>
        <row r="27">
          <cell r="C27">
            <v>1727</v>
          </cell>
          <cell r="D27">
            <v>255</v>
          </cell>
          <cell r="E27">
            <v>60</v>
          </cell>
          <cell r="F27">
            <v>895.81</v>
          </cell>
          <cell r="G27"/>
          <cell r="H27">
            <v>30</v>
          </cell>
          <cell r="I27"/>
          <cell r="J27"/>
          <cell r="K27">
            <v>83</v>
          </cell>
        </row>
        <row r="28">
          <cell r="C28">
            <v>313</v>
          </cell>
          <cell r="D28">
            <v>239.73</v>
          </cell>
          <cell r="E28"/>
          <cell r="F28">
            <v>222.68</v>
          </cell>
          <cell r="G28"/>
          <cell r="H28"/>
          <cell r="I28">
            <v>0.26</v>
          </cell>
          <cell r="J28">
            <v>0.43</v>
          </cell>
          <cell r="K28">
            <v>9.75</v>
          </cell>
        </row>
        <row r="29">
          <cell r="C29">
            <v>7.5</v>
          </cell>
          <cell r="D29">
            <v>40.299999999999997</v>
          </cell>
          <cell r="E29"/>
          <cell r="F29">
            <v>190.4</v>
          </cell>
          <cell r="G29"/>
          <cell r="H29"/>
          <cell r="I29"/>
          <cell r="J29"/>
          <cell r="K29"/>
        </row>
        <row r="30">
          <cell r="C30">
            <v>141</v>
          </cell>
          <cell r="D30"/>
          <cell r="E30"/>
          <cell r="F30">
            <v>65.27</v>
          </cell>
          <cell r="G30">
            <v>80</v>
          </cell>
          <cell r="H30">
            <v>5.25</v>
          </cell>
          <cell r="I30">
            <v>3</v>
          </cell>
          <cell r="J30">
            <v>0.98</v>
          </cell>
          <cell r="K30"/>
        </row>
        <row r="31">
          <cell r="C31">
            <v>1198</v>
          </cell>
          <cell r="D31">
            <v>66</v>
          </cell>
          <cell r="E31"/>
          <cell r="F31">
            <v>223.81</v>
          </cell>
          <cell r="G31"/>
          <cell r="H31">
            <v>235.95</v>
          </cell>
          <cell r="I31">
            <v>22.45</v>
          </cell>
          <cell r="J31"/>
          <cell r="K31"/>
        </row>
        <row r="32">
          <cell r="C32">
            <v>1321.5</v>
          </cell>
          <cell r="D32">
            <v>222.72</v>
          </cell>
          <cell r="E32">
            <v>315</v>
          </cell>
          <cell r="F32">
            <v>517.41999999999996</v>
          </cell>
          <cell r="G32"/>
          <cell r="H32">
            <v>586.07000000000005</v>
          </cell>
          <cell r="I32">
            <v>32.1</v>
          </cell>
          <cell r="J32">
            <v>0.79</v>
          </cell>
          <cell r="K32"/>
        </row>
        <row r="33">
          <cell r="C33">
            <v>94</v>
          </cell>
          <cell r="D33"/>
          <cell r="E33"/>
          <cell r="F33">
            <v>54</v>
          </cell>
          <cell r="G33"/>
          <cell r="H33">
            <v>0.5</v>
          </cell>
          <cell r="I33"/>
          <cell r="J33">
            <v>0.42</v>
          </cell>
          <cell r="K33">
            <v>0.5</v>
          </cell>
        </row>
        <row r="34">
          <cell r="C34">
            <v>21</v>
          </cell>
          <cell r="D34"/>
          <cell r="E34"/>
          <cell r="F34">
            <v>27.66</v>
          </cell>
          <cell r="G34"/>
          <cell r="H34">
            <v>1.2</v>
          </cell>
          <cell r="I34">
            <v>5</v>
          </cell>
          <cell r="J34">
            <v>2.0499999999999998</v>
          </cell>
          <cell r="K34"/>
        </row>
        <row r="35">
          <cell r="C35">
            <v>60</v>
          </cell>
          <cell r="D35"/>
          <cell r="E35"/>
          <cell r="F35">
            <v>7.77</v>
          </cell>
          <cell r="G35"/>
          <cell r="H35"/>
          <cell r="I35"/>
          <cell r="J35"/>
          <cell r="K35"/>
        </row>
        <row r="36">
          <cell r="C36">
            <v>14</v>
          </cell>
          <cell r="D36"/>
          <cell r="E36"/>
          <cell r="F36">
            <v>348.33000000000004</v>
          </cell>
          <cell r="G36"/>
          <cell r="H36"/>
          <cell r="I36"/>
          <cell r="J36">
            <v>1.1000000000000001</v>
          </cell>
          <cell r="K36"/>
        </row>
        <row r="37">
          <cell r="C37"/>
          <cell r="D37"/>
          <cell r="E37"/>
          <cell r="F37">
            <v>118.96</v>
          </cell>
          <cell r="G37"/>
          <cell r="H37"/>
          <cell r="I37"/>
          <cell r="J37">
            <v>1.31</v>
          </cell>
          <cell r="K37"/>
        </row>
        <row r="38">
          <cell r="C38"/>
          <cell r="D38">
            <v>4</v>
          </cell>
          <cell r="E38"/>
          <cell r="F38">
            <v>137.47999999999999</v>
          </cell>
          <cell r="G38"/>
          <cell r="H38">
            <v>4.66</v>
          </cell>
          <cell r="I38"/>
          <cell r="J38">
            <v>1.78</v>
          </cell>
          <cell r="K38"/>
        </row>
        <row r="39">
          <cell r="C39">
            <v>265</v>
          </cell>
          <cell r="D39"/>
          <cell r="E39"/>
          <cell r="F39">
            <v>288.29000000000002</v>
          </cell>
          <cell r="G39"/>
          <cell r="H39">
            <v>25.13</v>
          </cell>
          <cell r="I39"/>
          <cell r="J39">
            <v>2.2200000000000002</v>
          </cell>
          <cell r="K39"/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en.go.id/index.php/publikasi/index/BauranEnergi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bps.go.id/publication/2020/12/21/156002f4b8b460ef941fa985/statistik-listrik-2014-2019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0A26-C1F6-4DD8-BF43-26A7E856B6F2}">
  <sheetPr codeName="Sheet1"/>
  <dimension ref="A1:H32"/>
  <sheetViews>
    <sheetView workbookViewId="0">
      <selection activeCell="B31" sqref="B31"/>
    </sheetView>
  </sheetViews>
  <sheetFormatPr defaultRowHeight="15" x14ac:dyDescent="0.25"/>
  <cols>
    <col min="1" max="1" width="11.7109375" style="3" customWidth="1"/>
    <col min="2" max="2" width="21.42578125" style="4" customWidth="1"/>
    <col min="3" max="3" width="15.42578125" style="3" customWidth="1"/>
    <col min="4" max="4" width="10.5703125" style="1" bestFit="1" customWidth="1"/>
    <col min="5" max="5" width="13.42578125" style="1" bestFit="1" customWidth="1"/>
    <col min="6" max="6" width="11.28515625" style="1" bestFit="1" customWidth="1"/>
    <col min="7" max="7" width="11.28515625" style="1" customWidth="1"/>
    <col min="8" max="8" width="34.28515625" style="2" customWidth="1"/>
    <col min="9" max="9" width="21" customWidth="1"/>
    <col min="10" max="10" width="12.140625" customWidth="1"/>
  </cols>
  <sheetData>
    <row r="1" spans="1:8" x14ac:dyDescent="0.25">
      <c r="A1" s="3" t="s">
        <v>64</v>
      </c>
      <c r="B1" s="4" t="s">
        <v>63</v>
      </c>
      <c r="C1" s="3" t="s">
        <v>62</v>
      </c>
      <c r="D1" s="1" t="s">
        <v>39</v>
      </c>
      <c r="E1" s="1" t="s">
        <v>40</v>
      </c>
      <c r="F1" s="1" t="s">
        <v>41</v>
      </c>
      <c r="G1" s="1" t="s">
        <v>65</v>
      </c>
      <c r="H1" s="1" t="s">
        <v>44</v>
      </c>
    </row>
    <row r="2" spans="1:8" x14ac:dyDescent="0.25">
      <c r="A2" s="3">
        <v>1</v>
      </c>
      <c r="B2" s="4" t="s">
        <v>15</v>
      </c>
      <c r="C2" s="3" t="s">
        <v>33</v>
      </c>
      <c r="D2" s="1" t="s">
        <v>32</v>
      </c>
      <c r="E2" s="1" t="s">
        <v>66</v>
      </c>
      <c r="F2" s="1" t="s">
        <v>68</v>
      </c>
      <c r="H2" s="2" t="s">
        <v>45</v>
      </c>
    </row>
    <row r="3" spans="1:8" x14ac:dyDescent="0.25">
      <c r="A3" s="3">
        <f>A2+1</f>
        <v>2</v>
      </c>
      <c r="B3" s="4" t="s">
        <v>34</v>
      </c>
      <c r="C3" s="3" t="s">
        <v>33</v>
      </c>
      <c r="D3" s="1" t="s">
        <v>32</v>
      </c>
      <c r="E3" s="1" t="s">
        <v>66</v>
      </c>
      <c r="F3" s="1" t="s">
        <v>69</v>
      </c>
      <c r="H3" s="2" t="s">
        <v>46</v>
      </c>
    </row>
    <row r="4" spans="1:8" x14ac:dyDescent="0.25">
      <c r="A4" s="3">
        <f t="shared" ref="A4:A28" si="0">A3+1</f>
        <v>3</v>
      </c>
      <c r="B4" s="4" t="s">
        <v>35</v>
      </c>
      <c r="C4" s="3" t="s">
        <v>33</v>
      </c>
      <c r="D4" s="1" t="s">
        <v>32</v>
      </c>
      <c r="E4" s="1" t="s">
        <v>66</v>
      </c>
      <c r="F4" s="1" t="s">
        <v>68</v>
      </c>
      <c r="H4" s="2" t="s">
        <v>47</v>
      </c>
    </row>
    <row r="5" spans="1:8" x14ac:dyDescent="0.25">
      <c r="A5" s="3">
        <f t="shared" si="0"/>
        <v>4</v>
      </c>
      <c r="B5" s="4" t="s">
        <v>36</v>
      </c>
      <c r="C5" s="3" t="s">
        <v>33</v>
      </c>
      <c r="D5" s="1" t="s">
        <v>32</v>
      </c>
      <c r="E5" s="1" t="s">
        <v>66</v>
      </c>
      <c r="F5" s="1" t="s">
        <v>69</v>
      </c>
      <c r="H5" s="2" t="s">
        <v>48</v>
      </c>
    </row>
    <row r="6" spans="1:8" x14ac:dyDescent="0.25">
      <c r="A6" s="3">
        <f t="shared" si="0"/>
        <v>5</v>
      </c>
      <c r="B6" s="4" t="s">
        <v>16</v>
      </c>
      <c r="C6" s="3" t="s">
        <v>33</v>
      </c>
      <c r="D6" s="1" t="s">
        <v>32</v>
      </c>
      <c r="E6" s="1" t="s">
        <v>67</v>
      </c>
      <c r="F6" s="1" t="s">
        <v>68</v>
      </c>
      <c r="H6" s="2" t="s">
        <v>16</v>
      </c>
    </row>
    <row r="7" spans="1:8" x14ac:dyDescent="0.25">
      <c r="A7" s="3">
        <f t="shared" si="0"/>
        <v>6</v>
      </c>
      <c r="B7" s="4" t="s">
        <v>37</v>
      </c>
      <c r="C7" s="3" t="s">
        <v>33</v>
      </c>
      <c r="D7" s="1" t="s">
        <v>32</v>
      </c>
      <c r="E7" s="1" t="s">
        <v>67</v>
      </c>
      <c r="F7" s="1" t="s">
        <v>69</v>
      </c>
      <c r="H7" s="2" t="s">
        <v>49</v>
      </c>
    </row>
    <row r="8" spans="1:8" x14ac:dyDescent="0.25">
      <c r="A8" s="3">
        <f t="shared" si="0"/>
        <v>7</v>
      </c>
      <c r="B8" s="4" t="s">
        <v>38</v>
      </c>
      <c r="C8" s="3" t="s">
        <v>33</v>
      </c>
      <c r="D8" s="1" t="s">
        <v>32</v>
      </c>
      <c r="E8" s="1" t="s">
        <v>67</v>
      </c>
      <c r="F8" s="1" t="s">
        <v>69</v>
      </c>
      <c r="H8" s="2" t="s">
        <v>50</v>
      </c>
    </row>
    <row r="9" spans="1:8" x14ac:dyDescent="0.25">
      <c r="A9" s="3">
        <f t="shared" si="0"/>
        <v>8</v>
      </c>
      <c r="B9" s="4" t="s">
        <v>17</v>
      </c>
      <c r="C9" s="3" t="s">
        <v>33</v>
      </c>
      <c r="D9" s="1" t="s">
        <v>32</v>
      </c>
      <c r="E9" s="1" t="s">
        <v>67</v>
      </c>
      <c r="F9" s="1" t="s">
        <v>70</v>
      </c>
      <c r="H9" s="2" t="s">
        <v>51</v>
      </c>
    </row>
    <row r="10" spans="1:8" x14ac:dyDescent="0.25">
      <c r="A10" s="3">
        <f t="shared" si="0"/>
        <v>9</v>
      </c>
      <c r="B10" s="4" t="s">
        <v>18</v>
      </c>
      <c r="C10" s="3" t="s">
        <v>33</v>
      </c>
      <c r="D10" s="1" t="s">
        <v>32</v>
      </c>
      <c r="E10" s="1" t="s">
        <v>67</v>
      </c>
      <c r="F10" s="1" t="s">
        <v>70</v>
      </c>
      <c r="H10" s="2" t="s">
        <v>52</v>
      </c>
    </row>
    <row r="11" spans="1:8" x14ac:dyDescent="0.25">
      <c r="A11" s="3">
        <f t="shared" si="0"/>
        <v>10</v>
      </c>
      <c r="B11" s="4" t="s">
        <v>19</v>
      </c>
      <c r="C11" s="3" t="s">
        <v>33</v>
      </c>
      <c r="D11" s="1" t="s">
        <v>32</v>
      </c>
      <c r="E11" s="1" t="s">
        <v>67</v>
      </c>
      <c r="F11" s="1" t="s">
        <v>68</v>
      </c>
      <c r="H11" s="2" t="s">
        <v>54</v>
      </c>
    </row>
    <row r="12" spans="1:8" x14ac:dyDescent="0.25">
      <c r="A12" s="3">
        <f t="shared" si="0"/>
        <v>11</v>
      </c>
      <c r="B12" s="4" t="s">
        <v>28</v>
      </c>
      <c r="C12" s="3" t="s">
        <v>33</v>
      </c>
      <c r="D12" s="1" t="s">
        <v>32</v>
      </c>
      <c r="E12" s="1" t="s">
        <v>67</v>
      </c>
      <c r="F12" s="1" t="s">
        <v>70</v>
      </c>
      <c r="H12" s="2" t="s">
        <v>53</v>
      </c>
    </row>
    <row r="13" spans="1:8" x14ac:dyDescent="0.25">
      <c r="A13" s="3">
        <f t="shared" si="0"/>
        <v>12</v>
      </c>
      <c r="B13" s="4" t="s">
        <v>27</v>
      </c>
      <c r="C13" s="3" t="s">
        <v>33</v>
      </c>
      <c r="D13" s="1" t="s">
        <v>32</v>
      </c>
      <c r="E13" s="1" t="s">
        <v>67</v>
      </c>
      <c r="F13" s="1" t="s">
        <v>68</v>
      </c>
      <c r="H13" s="2" t="s">
        <v>55</v>
      </c>
    </row>
    <row r="14" spans="1:8" x14ac:dyDescent="0.25">
      <c r="A14" s="3">
        <f t="shared" si="0"/>
        <v>13</v>
      </c>
      <c r="B14" s="4" t="s">
        <v>139</v>
      </c>
      <c r="C14" s="3" t="s">
        <v>33</v>
      </c>
      <c r="D14" s="1" t="s">
        <v>32</v>
      </c>
      <c r="E14" s="1" t="s">
        <v>43</v>
      </c>
      <c r="H14" s="2" t="s">
        <v>56</v>
      </c>
    </row>
    <row r="15" spans="1:8" x14ac:dyDescent="0.25">
      <c r="A15" s="3">
        <f t="shared" si="0"/>
        <v>14</v>
      </c>
      <c r="B15" s="4" t="s">
        <v>3</v>
      </c>
      <c r="C15" s="3" t="s">
        <v>0</v>
      </c>
      <c r="D15" s="1" t="s">
        <v>42</v>
      </c>
      <c r="H15" s="2" t="s">
        <v>57</v>
      </c>
    </row>
    <row r="16" spans="1:8" x14ac:dyDescent="0.25">
      <c r="A16" s="3">
        <f t="shared" si="0"/>
        <v>15</v>
      </c>
      <c r="B16" s="4" t="s">
        <v>4</v>
      </c>
      <c r="C16" s="3" t="s">
        <v>0</v>
      </c>
      <c r="D16" s="1" t="s">
        <v>42</v>
      </c>
      <c r="H16" s="2" t="s">
        <v>58</v>
      </c>
    </row>
    <row r="17" spans="1:8" x14ac:dyDescent="0.25">
      <c r="A17" s="3">
        <f t="shared" si="0"/>
        <v>16</v>
      </c>
      <c r="B17" s="4" t="s">
        <v>110</v>
      </c>
      <c r="C17" s="3" t="s">
        <v>0</v>
      </c>
      <c r="D17" s="1" t="s">
        <v>42</v>
      </c>
      <c r="H17" s="2" t="s">
        <v>108</v>
      </c>
    </row>
    <row r="18" spans="1:8" x14ac:dyDescent="0.25">
      <c r="A18" s="3">
        <f t="shared" si="0"/>
        <v>17</v>
      </c>
      <c r="B18" s="4" t="s">
        <v>111</v>
      </c>
      <c r="C18" s="3" t="s">
        <v>0</v>
      </c>
      <c r="D18" s="1" t="s">
        <v>42</v>
      </c>
      <c r="H18" s="2" t="s">
        <v>109</v>
      </c>
    </row>
    <row r="19" spans="1:8" x14ac:dyDescent="0.25">
      <c r="A19" s="3">
        <f t="shared" si="0"/>
        <v>18</v>
      </c>
      <c r="B19" s="4" t="s">
        <v>5</v>
      </c>
      <c r="C19" s="3" t="s">
        <v>0</v>
      </c>
      <c r="D19" s="1" t="s">
        <v>42</v>
      </c>
      <c r="H19" s="2" t="s">
        <v>59</v>
      </c>
    </row>
    <row r="20" spans="1:8" x14ac:dyDescent="0.25">
      <c r="A20" s="3">
        <f t="shared" si="0"/>
        <v>19</v>
      </c>
      <c r="B20" s="4" t="s">
        <v>6</v>
      </c>
      <c r="C20" s="3" t="s">
        <v>0</v>
      </c>
      <c r="D20" s="1" t="s">
        <v>42</v>
      </c>
      <c r="H20" s="2" t="s">
        <v>60</v>
      </c>
    </row>
    <row r="21" spans="1:8" x14ac:dyDescent="0.25">
      <c r="A21" s="3">
        <f t="shared" si="0"/>
        <v>20</v>
      </c>
      <c r="B21" s="4" t="s">
        <v>7</v>
      </c>
      <c r="C21" s="3" t="s">
        <v>0</v>
      </c>
      <c r="D21" s="1" t="s">
        <v>42</v>
      </c>
      <c r="H21" s="2" t="s">
        <v>61</v>
      </c>
    </row>
    <row r="22" spans="1:8" x14ac:dyDescent="0.25">
      <c r="A22" s="3">
        <f t="shared" si="0"/>
        <v>21</v>
      </c>
      <c r="B22" s="4" t="s">
        <v>0</v>
      </c>
      <c r="C22" s="3" t="s">
        <v>118</v>
      </c>
    </row>
    <row r="23" spans="1:8" x14ac:dyDescent="0.25">
      <c r="A23" s="3">
        <f t="shared" si="0"/>
        <v>22</v>
      </c>
      <c r="B23" s="4" t="s">
        <v>1</v>
      </c>
      <c r="C23" s="3" t="s">
        <v>118</v>
      </c>
    </row>
    <row r="24" spans="1:8" x14ac:dyDescent="0.25">
      <c r="A24" s="3">
        <f t="shared" si="0"/>
        <v>23</v>
      </c>
      <c r="B24" s="4" t="s">
        <v>15</v>
      </c>
      <c r="C24" s="3" t="s">
        <v>120</v>
      </c>
      <c r="H24" s="2" t="s">
        <v>121</v>
      </c>
    </row>
    <row r="25" spans="1:8" x14ac:dyDescent="0.25">
      <c r="A25" s="3">
        <f t="shared" si="0"/>
        <v>24</v>
      </c>
      <c r="B25" s="4" t="s">
        <v>116</v>
      </c>
      <c r="C25" s="3" t="s">
        <v>120</v>
      </c>
      <c r="H25" s="2" t="s">
        <v>122</v>
      </c>
    </row>
    <row r="26" spans="1:8" x14ac:dyDescent="0.25">
      <c r="A26" s="3">
        <f t="shared" si="0"/>
        <v>25</v>
      </c>
      <c r="B26" s="4" t="s">
        <v>36</v>
      </c>
      <c r="C26" s="3" t="s">
        <v>120</v>
      </c>
      <c r="H26" s="2" t="s">
        <v>128</v>
      </c>
    </row>
    <row r="27" spans="1:8" x14ac:dyDescent="0.25">
      <c r="A27" s="3">
        <f t="shared" si="0"/>
        <v>26</v>
      </c>
      <c r="B27" s="4" t="s">
        <v>119</v>
      </c>
      <c r="C27" s="3" t="s">
        <v>120</v>
      </c>
      <c r="H27" s="2" t="s">
        <v>123</v>
      </c>
    </row>
    <row r="28" spans="1:8" x14ac:dyDescent="0.25">
      <c r="A28" s="3">
        <f t="shared" si="0"/>
        <v>27</v>
      </c>
      <c r="B28" s="4" t="s">
        <v>25</v>
      </c>
      <c r="C28" s="4"/>
    </row>
    <row r="29" spans="1:8" x14ac:dyDescent="0.25">
      <c r="C29" s="4"/>
    </row>
    <row r="30" spans="1:8" x14ac:dyDescent="0.25">
      <c r="C30" s="4"/>
    </row>
    <row r="31" spans="1:8" x14ac:dyDescent="0.25">
      <c r="C31" s="4"/>
    </row>
    <row r="32" spans="1:8" x14ac:dyDescent="0.25">
      <c r="C32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0246-E45C-4BD9-93D3-6C97923096DF}">
  <sheetPr codeName="Sheet2"/>
  <dimension ref="A1:E157"/>
  <sheetViews>
    <sheetView workbookViewId="0">
      <selection activeCell="C19" sqref="C19"/>
    </sheetView>
  </sheetViews>
  <sheetFormatPr defaultRowHeight="15" x14ac:dyDescent="0.25"/>
  <cols>
    <col min="1" max="1" width="11.7109375" style="3" customWidth="1"/>
    <col min="2" max="2" width="17.5703125" style="4" customWidth="1"/>
    <col min="3" max="3" width="17.5703125" style="3" customWidth="1"/>
    <col min="4" max="4" width="11.28515625" style="1" customWidth="1"/>
    <col min="5" max="5" width="26.5703125" style="3" customWidth="1"/>
    <col min="6" max="6" width="21" customWidth="1"/>
    <col min="7" max="7" width="12.140625" customWidth="1"/>
  </cols>
  <sheetData>
    <row r="1" spans="1:5" x14ac:dyDescent="0.25">
      <c r="A1" s="3" t="s">
        <v>64</v>
      </c>
      <c r="B1" s="4" t="s">
        <v>71</v>
      </c>
      <c r="C1" s="3" t="s">
        <v>62</v>
      </c>
      <c r="D1" s="1" t="s">
        <v>65</v>
      </c>
      <c r="E1" s="3" t="s">
        <v>74</v>
      </c>
    </row>
    <row r="2" spans="1:5" x14ac:dyDescent="0.25">
      <c r="A2" s="3">
        <v>1</v>
      </c>
      <c r="B2" s="4" t="str">
        <f>LEFT(C2,3)&amp;"_"&amp;D2&amp;"_"&amp;LEFT(E2,3)</f>
        <v>dem_gwh_res</v>
      </c>
      <c r="C2" s="3" t="s">
        <v>8</v>
      </c>
      <c r="D2" s="1" t="s">
        <v>13</v>
      </c>
      <c r="E2" s="4" t="s">
        <v>9</v>
      </c>
    </row>
    <row r="3" spans="1:5" x14ac:dyDescent="0.25">
      <c r="A3" s="3">
        <f>A2+1</f>
        <v>2</v>
      </c>
      <c r="B3" s="4" t="str">
        <f t="shared" ref="B3:B14" si="0">LEFT(C3,3)&amp;"_"&amp;D3&amp;"_"&amp;LEFT(E3,3)</f>
        <v>dem_gwh_com</v>
      </c>
      <c r="C3" s="3" t="s">
        <v>8</v>
      </c>
      <c r="D3" s="1" t="s">
        <v>13</v>
      </c>
      <c r="E3" s="4" t="s">
        <v>10</v>
      </c>
    </row>
    <row r="4" spans="1:5" x14ac:dyDescent="0.25">
      <c r="A4" s="3">
        <f t="shared" ref="A4:A67" si="1">A3+1</f>
        <v>3</v>
      </c>
      <c r="B4" s="4" t="str">
        <f t="shared" si="0"/>
        <v>dem_gwh_pub</v>
      </c>
      <c r="C4" s="3" t="s">
        <v>8</v>
      </c>
      <c r="D4" s="1" t="s">
        <v>13</v>
      </c>
      <c r="E4" s="4" t="s">
        <v>11</v>
      </c>
    </row>
    <row r="5" spans="1:5" x14ac:dyDescent="0.25">
      <c r="A5" s="3">
        <f t="shared" si="1"/>
        <v>4</v>
      </c>
      <c r="B5" s="4" t="str">
        <f t="shared" si="0"/>
        <v>dem_gwh_ind</v>
      </c>
      <c r="C5" s="3" t="s">
        <v>8</v>
      </c>
      <c r="D5" s="1" t="s">
        <v>13</v>
      </c>
      <c r="E5" s="2" t="s">
        <v>12</v>
      </c>
    </row>
    <row r="6" spans="1:5" x14ac:dyDescent="0.25">
      <c r="A6" s="3">
        <f t="shared" si="1"/>
        <v>5</v>
      </c>
      <c r="B6" s="4" t="str">
        <f t="shared" si="0"/>
        <v>dem_gwh_tot</v>
      </c>
      <c r="C6" s="3" t="s">
        <v>8</v>
      </c>
      <c r="D6" s="1" t="s">
        <v>13</v>
      </c>
      <c r="E6" s="2" t="s">
        <v>25</v>
      </c>
    </row>
    <row r="7" spans="1:5" x14ac:dyDescent="0.25">
      <c r="A7" s="3">
        <f t="shared" si="1"/>
        <v>6</v>
      </c>
      <c r="B7" s="4" t="str">
        <f t="shared" si="0"/>
        <v>tec_%_eff</v>
      </c>
      <c r="C7" s="3" t="s">
        <v>75</v>
      </c>
      <c r="D7" s="1" t="s">
        <v>2</v>
      </c>
      <c r="E7" s="2" t="s">
        <v>76</v>
      </c>
    </row>
    <row r="8" spans="1:5" x14ac:dyDescent="0.25">
      <c r="A8" s="3">
        <f t="shared" si="1"/>
        <v>7</v>
      </c>
      <c r="B8" s="4" t="str">
        <f t="shared" si="0"/>
        <v>tec_mw_min</v>
      </c>
      <c r="C8" s="3" t="s">
        <v>75</v>
      </c>
      <c r="D8" s="1" t="s">
        <v>21</v>
      </c>
      <c r="E8" s="2" t="s">
        <v>77</v>
      </c>
    </row>
    <row r="9" spans="1:5" x14ac:dyDescent="0.25">
      <c r="A9" s="3">
        <f t="shared" si="1"/>
        <v>8</v>
      </c>
      <c r="B9" s="4" t="str">
        <f t="shared" si="0"/>
        <v xml:space="preserve">tec_%_cf </v>
      </c>
      <c r="C9" s="3" t="s">
        <v>75</v>
      </c>
      <c r="D9" s="1" t="s">
        <v>2</v>
      </c>
      <c r="E9" s="2" t="s">
        <v>86</v>
      </c>
    </row>
    <row r="10" spans="1:5" x14ac:dyDescent="0.25">
      <c r="A10" s="3">
        <f t="shared" si="1"/>
        <v>9</v>
      </c>
      <c r="B10" s="4" t="str">
        <f t="shared" ref="B10" si="2">LEFT(C10,3)&amp;"_"&amp;D10&amp;"_"&amp;LEFT(E10,3)</f>
        <v xml:space="preserve">tec_%_of </v>
      </c>
      <c r="C10" s="3" t="s">
        <v>75</v>
      </c>
      <c r="D10" s="1" t="s">
        <v>2</v>
      </c>
      <c r="E10" s="2" t="s">
        <v>87</v>
      </c>
    </row>
    <row r="11" spans="1:5" x14ac:dyDescent="0.25">
      <c r="A11" s="3">
        <f t="shared" si="1"/>
        <v>10</v>
      </c>
      <c r="B11" s="4" t="str">
        <f t="shared" si="0"/>
        <v xml:space="preserve">tec_%_ff </v>
      </c>
      <c r="C11" s="3" t="s">
        <v>75</v>
      </c>
      <c r="D11" s="1" t="s">
        <v>2</v>
      </c>
      <c r="E11" s="2" t="s">
        <v>90</v>
      </c>
    </row>
    <row r="12" spans="1:5" x14ac:dyDescent="0.25">
      <c r="A12" s="3">
        <f t="shared" si="1"/>
        <v>11</v>
      </c>
      <c r="B12" s="4" t="str">
        <f t="shared" ref="B12" si="3">LEFT(C12,3)&amp;"_"&amp;D12&amp;"_"&amp;LEFT(E12,3)</f>
        <v xml:space="preserve">tec_%_pf </v>
      </c>
      <c r="C12" s="3" t="s">
        <v>75</v>
      </c>
      <c r="D12" s="1" t="s">
        <v>2</v>
      </c>
      <c r="E12" s="2" t="s">
        <v>88</v>
      </c>
    </row>
    <row r="13" spans="1:5" x14ac:dyDescent="0.25">
      <c r="A13" s="3">
        <f t="shared" si="1"/>
        <v>12</v>
      </c>
      <c r="B13" s="4" t="str">
        <f t="shared" si="0"/>
        <v>tec_tco2/TJ_co2</v>
      </c>
      <c r="C13" s="3" t="s">
        <v>75</v>
      </c>
      <c r="D13" s="1" t="s">
        <v>166</v>
      </c>
      <c r="E13" s="2" t="s">
        <v>78</v>
      </c>
    </row>
    <row r="14" spans="1:5" x14ac:dyDescent="0.25">
      <c r="A14" s="3">
        <f t="shared" si="1"/>
        <v>13</v>
      </c>
      <c r="B14" s="4" t="str">
        <f t="shared" si="0"/>
        <v>fin_$/mw_cap</v>
      </c>
      <c r="C14" s="3" t="s">
        <v>91</v>
      </c>
      <c r="D14" s="1" t="s">
        <v>95</v>
      </c>
      <c r="E14" s="2" t="s">
        <v>92</v>
      </c>
    </row>
    <row r="15" spans="1:5" x14ac:dyDescent="0.25">
      <c r="A15" s="3">
        <f t="shared" si="1"/>
        <v>14</v>
      </c>
      <c r="B15" s="4" t="str">
        <f t="shared" ref="B15:B17" si="4">LEFT(C15,3)&amp;"_"&amp;D15&amp;"_"&amp;LEFT(E15,3)</f>
        <v>fin_$/mw_fix</v>
      </c>
      <c r="C15" s="3" t="s">
        <v>91</v>
      </c>
      <c r="D15" s="1" t="s">
        <v>95</v>
      </c>
      <c r="E15" s="2" t="s">
        <v>96</v>
      </c>
    </row>
    <row r="16" spans="1:5" x14ac:dyDescent="0.25">
      <c r="A16" s="3">
        <f t="shared" si="1"/>
        <v>15</v>
      </c>
      <c r="B16" s="4" t="str">
        <f t="shared" si="4"/>
        <v>fin_$/mwh_var</v>
      </c>
      <c r="C16" s="3" t="s">
        <v>91</v>
      </c>
      <c r="D16" s="1" t="s">
        <v>97</v>
      </c>
      <c r="E16" s="2" t="s">
        <v>93</v>
      </c>
    </row>
    <row r="17" spans="1:5" x14ac:dyDescent="0.25">
      <c r="A17" s="3">
        <f t="shared" si="1"/>
        <v>16</v>
      </c>
      <c r="B17" s="4" t="str">
        <f t="shared" si="4"/>
        <v>fin_$/mmbtu_fue</v>
      </c>
      <c r="C17" s="3" t="s">
        <v>91</v>
      </c>
      <c r="D17" s="1" t="s">
        <v>101</v>
      </c>
      <c r="E17" s="2" t="s">
        <v>94</v>
      </c>
    </row>
    <row r="18" spans="1:5" x14ac:dyDescent="0.25">
      <c r="A18" s="3">
        <f t="shared" si="1"/>
        <v>17</v>
      </c>
      <c r="B18" s="4" t="str">
        <f>E18</f>
        <v>coal</v>
      </c>
      <c r="C18" s="3" t="s">
        <v>14</v>
      </c>
      <c r="D18" s="1" t="s">
        <v>13</v>
      </c>
      <c r="E18" s="4" t="str">
        <f>sets_indices!$B$2</f>
        <v>coal</v>
      </c>
    </row>
    <row r="19" spans="1:5" x14ac:dyDescent="0.25">
      <c r="A19" s="3">
        <f t="shared" si="1"/>
        <v>18</v>
      </c>
      <c r="B19" s="4" t="str">
        <f t="shared" ref="B19:B82" si="5">E19</f>
        <v>ocgt</v>
      </c>
      <c r="C19" s="3" t="s">
        <v>14</v>
      </c>
      <c r="D19" s="1" t="s">
        <v>13</v>
      </c>
      <c r="E19" s="4" t="str">
        <f>sets_indices!$B$3</f>
        <v>ocgt</v>
      </c>
    </row>
    <row r="20" spans="1:5" x14ac:dyDescent="0.25">
      <c r="A20" s="3">
        <f t="shared" si="1"/>
        <v>19</v>
      </c>
      <c r="B20" s="4" t="str">
        <f t="shared" si="5"/>
        <v>ccgt</v>
      </c>
      <c r="C20" s="3" t="s">
        <v>14</v>
      </c>
      <c r="D20" s="1" t="s">
        <v>13</v>
      </c>
      <c r="E20" s="4" t="str">
        <f>sets_indices!$B$4</f>
        <v>ccgt</v>
      </c>
    </row>
    <row r="21" spans="1:5" x14ac:dyDescent="0.25">
      <c r="A21" s="3">
        <f t="shared" si="1"/>
        <v>20</v>
      </c>
      <c r="B21" s="4" t="str">
        <f t="shared" si="5"/>
        <v>reciprocating</v>
      </c>
      <c r="C21" s="3" t="s">
        <v>14</v>
      </c>
      <c r="D21" s="1" t="s">
        <v>13</v>
      </c>
      <c r="E21" s="4" t="str">
        <f>sets_indices!$B$5</f>
        <v>reciprocating</v>
      </c>
    </row>
    <row r="22" spans="1:5" x14ac:dyDescent="0.25">
      <c r="A22" s="3">
        <f t="shared" si="1"/>
        <v>21</v>
      </c>
      <c r="B22" s="4" t="str">
        <f t="shared" si="5"/>
        <v>geothermal</v>
      </c>
      <c r="C22" s="3" t="s">
        <v>14</v>
      </c>
      <c r="D22" s="1" t="s">
        <v>13</v>
      </c>
      <c r="E22" s="4" t="str">
        <f>sets_indices!$B$6</f>
        <v>geothermal</v>
      </c>
    </row>
    <row r="23" spans="1:5" x14ac:dyDescent="0.25">
      <c r="A23" s="3">
        <f t="shared" si="1"/>
        <v>22</v>
      </c>
      <c r="B23" s="4" t="str">
        <f t="shared" si="5"/>
        <v>lhydro</v>
      </c>
      <c r="C23" s="3" t="s">
        <v>14</v>
      </c>
      <c r="D23" s="1" t="s">
        <v>13</v>
      </c>
      <c r="E23" s="4" t="str">
        <f>sets_indices!$B$7</f>
        <v>lhydro</v>
      </c>
    </row>
    <row r="24" spans="1:5" x14ac:dyDescent="0.25">
      <c r="A24" s="3">
        <f t="shared" si="1"/>
        <v>23</v>
      </c>
      <c r="B24" s="4" t="str">
        <f t="shared" si="5"/>
        <v>mhydro</v>
      </c>
      <c r="C24" s="3" t="s">
        <v>14</v>
      </c>
      <c r="D24" s="1" t="s">
        <v>13</v>
      </c>
      <c r="E24" s="4" t="str">
        <f>sets_indices!$B$8</f>
        <v>mhydro</v>
      </c>
    </row>
    <row r="25" spans="1:5" x14ac:dyDescent="0.25">
      <c r="A25" s="3">
        <f t="shared" si="1"/>
        <v>24</v>
      </c>
      <c r="B25" s="4" t="str">
        <f t="shared" si="5"/>
        <v>solar</v>
      </c>
      <c r="C25" s="3" t="s">
        <v>14</v>
      </c>
      <c r="D25" s="1" t="s">
        <v>13</v>
      </c>
      <c r="E25" s="4" t="str">
        <f>sets_indices!$B$9</f>
        <v>solar</v>
      </c>
    </row>
    <row r="26" spans="1:5" x14ac:dyDescent="0.25">
      <c r="A26" s="3">
        <f t="shared" si="1"/>
        <v>25</v>
      </c>
      <c r="B26" s="4" t="str">
        <f t="shared" si="5"/>
        <v>wind</v>
      </c>
      <c r="C26" s="3" t="s">
        <v>14</v>
      </c>
      <c r="D26" s="1" t="s">
        <v>13</v>
      </c>
      <c r="E26" s="4" t="str">
        <f>sets_indices!$B$10</f>
        <v>wind</v>
      </c>
    </row>
    <row r="27" spans="1:5" x14ac:dyDescent="0.25">
      <c r="A27" s="3">
        <f t="shared" si="1"/>
        <v>26</v>
      </c>
      <c r="B27" s="4" t="str">
        <f t="shared" si="5"/>
        <v>biomass</v>
      </c>
      <c r="C27" s="3" t="s">
        <v>14</v>
      </c>
      <c r="D27" s="1" t="s">
        <v>13</v>
      </c>
      <c r="E27" s="4" t="str">
        <f>sets_indices!$B$11</f>
        <v>biomass</v>
      </c>
    </row>
    <row r="28" spans="1:5" x14ac:dyDescent="0.25">
      <c r="A28" s="3">
        <f t="shared" si="1"/>
        <v>27</v>
      </c>
      <c r="B28" s="4" t="str">
        <f t="shared" si="5"/>
        <v>ocean</v>
      </c>
      <c r="C28" s="3" t="s">
        <v>14</v>
      </c>
      <c r="D28" s="1" t="s">
        <v>13</v>
      </c>
      <c r="E28" s="4" t="str">
        <f>sets_indices!$B$12</f>
        <v>ocean</v>
      </c>
    </row>
    <row r="29" spans="1:5" x14ac:dyDescent="0.25">
      <c r="A29" s="3">
        <f t="shared" si="1"/>
        <v>28</v>
      </c>
      <c r="B29" s="4" t="str">
        <f t="shared" si="5"/>
        <v>waste</v>
      </c>
      <c r="C29" s="3" t="s">
        <v>14</v>
      </c>
      <c r="D29" s="1" t="s">
        <v>13</v>
      </c>
      <c r="E29" s="4" t="str">
        <f>sets_indices!$B$13</f>
        <v>waste</v>
      </c>
    </row>
    <row r="30" spans="1:5" x14ac:dyDescent="0.25">
      <c r="A30" s="3">
        <f t="shared" si="1"/>
        <v>29</v>
      </c>
      <c r="B30" s="4" t="str">
        <f t="shared" si="5"/>
        <v>storage</v>
      </c>
      <c r="C30" s="3" t="s">
        <v>14</v>
      </c>
      <c r="D30" s="1" t="s">
        <v>13</v>
      </c>
      <c r="E30" s="4" t="str">
        <f>sets_indices!B14</f>
        <v>storage</v>
      </c>
    </row>
    <row r="31" spans="1:5" x14ac:dyDescent="0.25">
      <c r="A31" s="3">
        <f t="shared" si="1"/>
        <v>30</v>
      </c>
      <c r="B31" s="4" t="str">
        <f t="shared" si="5"/>
        <v>total</v>
      </c>
      <c r="C31" s="3" t="s">
        <v>14</v>
      </c>
      <c r="D31" s="1" t="s">
        <v>13</v>
      </c>
      <c r="E31" s="4" t="s">
        <v>25</v>
      </c>
    </row>
    <row r="32" spans="1:5" x14ac:dyDescent="0.25">
      <c r="A32" s="3">
        <f t="shared" si="1"/>
        <v>31</v>
      </c>
      <c r="B32" s="4" t="str">
        <f t="shared" si="5"/>
        <v>coal</v>
      </c>
      <c r="C32" s="3" t="s">
        <v>14</v>
      </c>
      <c r="D32" s="1" t="s">
        <v>2</v>
      </c>
      <c r="E32" s="4" t="str">
        <f>sets_indices!$B$2</f>
        <v>coal</v>
      </c>
    </row>
    <row r="33" spans="1:5" x14ac:dyDescent="0.25">
      <c r="A33" s="3">
        <f t="shared" si="1"/>
        <v>32</v>
      </c>
      <c r="B33" s="4" t="str">
        <f t="shared" si="5"/>
        <v>ocgt</v>
      </c>
      <c r="C33" s="3" t="s">
        <v>14</v>
      </c>
      <c r="D33" s="1" t="s">
        <v>2</v>
      </c>
      <c r="E33" s="4" t="str">
        <f>sets_indices!$B$3</f>
        <v>ocgt</v>
      </c>
    </row>
    <row r="34" spans="1:5" x14ac:dyDescent="0.25">
      <c r="A34" s="3">
        <f t="shared" si="1"/>
        <v>33</v>
      </c>
      <c r="B34" s="4" t="str">
        <f t="shared" si="5"/>
        <v>ccgt</v>
      </c>
      <c r="C34" s="3" t="s">
        <v>14</v>
      </c>
      <c r="D34" s="1" t="s">
        <v>2</v>
      </c>
      <c r="E34" s="4" t="str">
        <f>sets_indices!$B$4</f>
        <v>ccgt</v>
      </c>
    </row>
    <row r="35" spans="1:5" x14ac:dyDescent="0.25">
      <c r="A35" s="3">
        <f t="shared" si="1"/>
        <v>34</v>
      </c>
      <c r="B35" s="4" t="str">
        <f t="shared" si="5"/>
        <v>reciprocating</v>
      </c>
      <c r="C35" s="3" t="s">
        <v>14</v>
      </c>
      <c r="D35" s="1" t="s">
        <v>2</v>
      </c>
      <c r="E35" s="4" t="str">
        <f>sets_indices!$B$5</f>
        <v>reciprocating</v>
      </c>
    </row>
    <row r="36" spans="1:5" x14ac:dyDescent="0.25">
      <c r="A36" s="3">
        <f t="shared" si="1"/>
        <v>35</v>
      </c>
      <c r="B36" s="4" t="str">
        <f t="shared" si="5"/>
        <v>geothermal</v>
      </c>
      <c r="C36" s="3" t="s">
        <v>14</v>
      </c>
      <c r="D36" s="1" t="s">
        <v>2</v>
      </c>
      <c r="E36" s="4" t="str">
        <f>sets_indices!$B$6</f>
        <v>geothermal</v>
      </c>
    </row>
    <row r="37" spans="1:5" x14ac:dyDescent="0.25">
      <c r="A37" s="3">
        <f t="shared" si="1"/>
        <v>36</v>
      </c>
      <c r="B37" s="4" t="str">
        <f t="shared" si="5"/>
        <v>lhydro</v>
      </c>
      <c r="C37" s="3" t="s">
        <v>14</v>
      </c>
      <c r="D37" s="1" t="s">
        <v>2</v>
      </c>
      <c r="E37" s="4" t="str">
        <f>sets_indices!$B$7</f>
        <v>lhydro</v>
      </c>
    </row>
    <row r="38" spans="1:5" x14ac:dyDescent="0.25">
      <c r="A38" s="3">
        <f t="shared" si="1"/>
        <v>37</v>
      </c>
      <c r="B38" s="4" t="str">
        <f t="shared" si="5"/>
        <v>mhydro</v>
      </c>
      <c r="C38" s="3" t="s">
        <v>14</v>
      </c>
      <c r="D38" s="1" t="s">
        <v>2</v>
      </c>
      <c r="E38" s="4" t="str">
        <f>sets_indices!$B$8</f>
        <v>mhydro</v>
      </c>
    </row>
    <row r="39" spans="1:5" x14ac:dyDescent="0.25">
      <c r="A39" s="3">
        <f t="shared" si="1"/>
        <v>38</v>
      </c>
      <c r="B39" s="4" t="str">
        <f t="shared" si="5"/>
        <v>solar</v>
      </c>
      <c r="C39" s="3" t="s">
        <v>14</v>
      </c>
      <c r="D39" s="1" t="s">
        <v>2</v>
      </c>
      <c r="E39" s="4" t="str">
        <f>sets_indices!$B$9</f>
        <v>solar</v>
      </c>
    </row>
    <row r="40" spans="1:5" x14ac:dyDescent="0.25">
      <c r="A40" s="3">
        <f t="shared" si="1"/>
        <v>39</v>
      </c>
      <c r="B40" s="4" t="str">
        <f t="shared" si="5"/>
        <v>wind</v>
      </c>
      <c r="C40" s="3" t="s">
        <v>14</v>
      </c>
      <c r="D40" s="1" t="s">
        <v>2</v>
      </c>
      <c r="E40" s="4" t="str">
        <f>sets_indices!$B$10</f>
        <v>wind</v>
      </c>
    </row>
    <row r="41" spans="1:5" x14ac:dyDescent="0.25">
      <c r="A41" s="3">
        <f t="shared" si="1"/>
        <v>40</v>
      </c>
      <c r="B41" s="4" t="str">
        <f t="shared" si="5"/>
        <v>biomass</v>
      </c>
      <c r="C41" s="3" t="s">
        <v>14</v>
      </c>
      <c r="D41" s="1" t="s">
        <v>2</v>
      </c>
      <c r="E41" s="4" t="str">
        <f>sets_indices!$B$11</f>
        <v>biomass</v>
      </c>
    </row>
    <row r="42" spans="1:5" x14ac:dyDescent="0.25">
      <c r="A42" s="3">
        <f t="shared" si="1"/>
        <v>41</v>
      </c>
      <c r="B42" s="4" t="str">
        <f t="shared" si="5"/>
        <v>ocean</v>
      </c>
      <c r="C42" s="3" t="s">
        <v>14</v>
      </c>
      <c r="D42" s="1" t="s">
        <v>2</v>
      </c>
      <c r="E42" s="4" t="str">
        <f>sets_indices!$B$12</f>
        <v>ocean</v>
      </c>
    </row>
    <row r="43" spans="1:5" x14ac:dyDescent="0.25">
      <c r="A43" s="3">
        <f t="shared" si="1"/>
        <v>42</v>
      </c>
      <c r="B43" s="4" t="str">
        <f t="shared" si="5"/>
        <v>waste</v>
      </c>
      <c r="C43" s="3" t="s">
        <v>14</v>
      </c>
      <c r="D43" s="1" t="s">
        <v>2</v>
      </c>
      <c r="E43" s="4" t="str">
        <f>sets_indices!$B$13</f>
        <v>waste</v>
      </c>
    </row>
    <row r="44" spans="1:5" x14ac:dyDescent="0.25">
      <c r="A44" s="3">
        <f t="shared" si="1"/>
        <v>43</v>
      </c>
      <c r="B44" s="4" t="str">
        <f t="shared" si="5"/>
        <v>storage</v>
      </c>
      <c r="C44" s="3" t="s">
        <v>14</v>
      </c>
      <c r="D44" s="1" t="s">
        <v>2</v>
      </c>
      <c r="E44" s="4" t="str">
        <f>sets_indices!$B$14</f>
        <v>storage</v>
      </c>
    </row>
    <row r="45" spans="1:5" x14ac:dyDescent="0.25">
      <c r="A45" s="3">
        <f t="shared" si="1"/>
        <v>44</v>
      </c>
      <c r="B45" s="4" t="str">
        <f t="shared" si="5"/>
        <v>total</v>
      </c>
      <c r="C45" s="3" t="s">
        <v>14</v>
      </c>
      <c r="D45" s="1" t="s">
        <v>2</v>
      </c>
      <c r="E45" s="4" t="s">
        <v>25</v>
      </c>
    </row>
    <row r="46" spans="1:5" x14ac:dyDescent="0.25">
      <c r="A46" s="3">
        <f t="shared" si="1"/>
        <v>45</v>
      </c>
      <c r="B46" s="4" t="str">
        <f t="shared" si="5"/>
        <v>coal</v>
      </c>
      <c r="C46" s="3" t="s">
        <v>20</v>
      </c>
      <c r="D46" s="1" t="s">
        <v>21</v>
      </c>
      <c r="E46" s="4" t="str">
        <f>sets_indices!$B$2</f>
        <v>coal</v>
      </c>
    </row>
    <row r="47" spans="1:5" x14ac:dyDescent="0.25">
      <c r="A47" s="3">
        <f t="shared" si="1"/>
        <v>46</v>
      </c>
      <c r="B47" s="4" t="str">
        <f t="shared" si="5"/>
        <v>ocgt</v>
      </c>
      <c r="C47" s="3" t="s">
        <v>20</v>
      </c>
      <c r="D47" s="1" t="s">
        <v>21</v>
      </c>
      <c r="E47" s="4" t="str">
        <f>sets_indices!$B$3</f>
        <v>ocgt</v>
      </c>
    </row>
    <row r="48" spans="1:5" x14ac:dyDescent="0.25">
      <c r="A48" s="3">
        <f t="shared" si="1"/>
        <v>47</v>
      </c>
      <c r="B48" s="4" t="str">
        <f t="shared" si="5"/>
        <v>ccgt</v>
      </c>
      <c r="C48" s="3" t="s">
        <v>20</v>
      </c>
      <c r="D48" s="1" t="s">
        <v>21</v>
      </c>
      <c r="E48" s="4" t="str">
        <f>sets_indices!$B$4</f>
        <v>ccgt</v>
      </c>
    </row>
    <row r="49" spans="1:5" x14ac:dyDescent="0.25">
      <c r="A49" s="3">
        <f t="shared" si="1"/>
        <v>48</v>
      </c>
      <c r="B49" s="4" t="str">
        <f t="shared" si="5"/>
        <v>reciprocating</v>
      </c>
      <c r="C49" s="3" t="s">
        <v>20</v>
      </c>
      <c r="D49" s="1" t="s">
        <v>21</v>
      </c>
      <c r="E49" s="4" t="str">
        <f>sets_indices!$B$5</f>
        <v>reciprocating</v>
      </c>
    </row>
    <row r="50" spans="1:5" x14ac:dyDescent="0.25">
      <c r="A50" s="3">
        <f t="shared" si="1"/>
        <v>49</v>
      </c>
      <c r="B50" s="4" t="str">
        <f t="shared" si="5"/>
        <v>geothermal</v>
      </c>
      <c r="C50" s="3" t="s">
        <v>20</v>
      </c>
      <c r="D50" s="1" t="s">
        <v>21</v>
      </c>
      <c r="E50" s="4" t="str">
        <f>sets_indices!$B$6</f>
        <v>geothermal</v>
      </c>
    </row>
    <row r="51" spans="1:5" x14ac:dyDescent="0.25">
      <c r="A51" s="3">
        <f t="shared" si="1"/>
        <v>50</v>
      </c>
      <c r="B51" s="4" t="str">
        <f t="shared" si="5"/>
        <v>lhydro</v>
      </c>
      <c r="C51" s="3" t="s">
        <v>20</v>
      </c>
      <c r="D51" s="1" t="s">
        <v>21</v>
      </c>
      <c r="E51" s="4" t="str">
        <f>sets_indices!$B$7</f>
        <v>lhydro</v>
      </c>
    </row>
    <row r="52" spans="1:5" x14ac:dyDescent="0.25">
      <c r="A52" s="3">
        <f t="shared" si="1"/>
        <v>51</v>
      </c>
      <c r="B52" s="4" t="str">
        <f t="shared" si="5"/>
        <v>mhydro</v>
      </c>
      <c r="C52" s="3" t="s">
        <v>20</v>
      </c>
      <c r="D52" s="1" t="s">
        <v>21</v>
      </c>
      <c r="E52" s="4" t="str">
        <f>sets_indices!$B$8</f>
        <v>mhydro</v>
      </c>
    </row>
    <row r="53" spans="1:5" x14ac:dyDescent="0.25">
      <c r="A53" s="3">
        <f t="shared" si="1"/>
        <v>52</v>
      </c>
      <c r="B53" s="4" t="str">
        <f t="shared" si="5"/>
        <v>solar</v>
      </c>
      <c r="C53" s="3" t="s">
        <v>20</v>
      </c>
      <c r="D53" s="1" t="s">
        <v>21</v>
      </c>
      <c r="E53" s="4" t="str">
        <f>sets_indices!$B$9</f>
        <v>solar</v>
      </c>
    </row>
    <row r="54" spans="1:5" x14ac:dyDescent="0.25">
      <c r="A54" s="3">
        <f t="shared" si="1"/>
        <v>53</v>
      </c>
      <c r="B54" s="4" t="str">
        <f t="shared" si="5"/>
        <v>wind</v>
      </c>
      <c r="C54" s="3" t="s">
        <v>20</v>
      </c>
      <c r="D54" s="1" t="s">
        <v>21</v>
      </c>
      <c r="E54" s="4" t="str">
        <f>sets_indices!$B$10</f>
        <v>wind</v>
      </c>
    </row>
    <row r="55" spans="1:5" x14ac:dyDescent="0.25">
      <c r="A55" s="3">
        <f t="shared" si="1"/>
        <v>54</v>
      </c>
      <c r="B55" s="4" t="str">
        <f t="shared" si="5"/>
        <v>biomass</v>
      </c>
      <c r="C55" s="3" t="s">
        <v>20</v>
      </c>
      <c r="D55" s="1" t="s">
        <v>21</v>
      </c>
      <c r="E55" s="4" t="str">
        <f>sets_indices!$B$11</f>
        <v>biomass</v>
      </c>
    </row>
    <row r="56" spans="1:5" x14ac:dyDescent="0.25">
      <c r="A56" s="3">
        <f t="shared" si="1"/>
        <v>55</v>
      </c>
      <c r="B56" s="4" t="str">
        <f t="shared" si="5"/>
        <v>ocean</v>
      </c>
      <c r="C56" s="3" t="s">
        <v>20</v>
      </c>
      <c r="D56" s="1" t="s">
        <v>21</v>
      </c>
      <c r="E56" s="4" t="str">
        <f>sets_indices!$B$12</f>
        <v>ocean</v>
      </c>
    </row>
    <row r="57" spans="1:5" x14ac:dyDescent="0.25">
      <c r="A57" s="3">
        <f t="shared" si="1"/>
        <v>56</v>
      </c>
      <c r="B57" s="4" t="str">
        <f t="shared" si="5"/>
        <v>waste</v>
      </c>
      <c r="C57" s="3" t="s">
        <v>20</v>
      </c>
      <c r="D57" s="1" t="s">
        <v>21</v>
      </c>
      <c r="E57" s="4" t="str">
        <f>sets_indices!$B$13</f>
        <v>waste</v>
      </c>
    </row>
    <row r="58" spans="1:5" x14ac:dyDescent="0.25">
      <c r="A58" s="3">
        <f t="shared" si="1"/>
        <v>57</v>
      </c>
      <c r="B58" s="4" t="str">
        <f t="shared" si="5"/>
        <v>storage</v>
      </c>
      <c r="C58" s="3" t="s">
        <v>20</v>
      </c>
      <c r="D58" s="1" t="s">
        <v>21</v>
      </c>
      <c r="E58" s="4" t="str">
        <f>sets_indices!$B$14</f>
        <v>storage</v>
      </c>
    </row>
    <row r="59" spans="1:5" x14ac:dyDescent="0.25">
      <c r="A59" s="3">
        <f t="shared" si="1"/>
        <v>58</v>
      </c>
      <c r="B59" s="4" t="str">
        <f t="shared" si="5"/>
        <v>total</v>
      </c>
      <c r="C59" s="3" t="s">
        <v>20</v>
      </c>
      <c r="D59" s="1" t="s">
        <v>21</v>
      </c>
      <c r="E59" s="4" t="s">
        <v>25</v>
      </c>
    </row>
    <row r="60" spans="1:5" x14ac:dyDescent="0.25">
      <c r="A60" s="3">
        <f t="shared" si="1"/>
        <v>59</v>
      </c>
      <c r="B60" s="4" t="str">
        <f t="shared" si="5"/>
        <v>coal</v>
      </c>
      <c r="C60" s="3" t="s">
        <v>72</v>
      </c>
      <c r="D60" s="1" t="s">
        <v>21</v>
      </c>
      <c r="E60" s="4" t="str">
        <f>sets_indices!$B$2</f>
        <v>coal</v>
      </c>
    </row>
    <row r="61" spans="1:5" x14ac:dyDescent="0.25">
      <c r="A61" s="3">
        <f t="shared" si="1"/>
        <v>60</v>
      </c>
      <c r="B61" s="4" t="str">
        <f t="shared" si="5"/>
        <v>ocgt</v>
      </c>
      <c r="C61" s="3" t="s">
        <v>72</v>
      </c>
      <c r="D61" s="1" t="s">
        <v>21</v>
      </c>
      <c r="E61" s="4" t="str">
        <f>sets_indices!$B$3</f>
        <v>ocgt</v>
      </c>
    </row>
    <row r="62" spans="1:5" x14ac:dyDescent="0.25">
      <c r="A62" s="3">
        <f t="shared" si="1"/>
        <v>61</v>
      </c>
      <c r="B62" s="4" t="str">
        <f t="shared" si="5"/>
        <v>ccgt</v>
      </c>
      <c r="C62" s="3" t="s">
        <v>72</v>
      </c>
      <c r="D62" s="1" t="s">
        <v>21</v>
      </c>
      <c r="E62" s="4" t="str">
        <f>sets_indices!$B$4</f>
        <v>ccgt</v>
      </c>
    </row>
    <row r="63" spans="1:5" x14ac:dyDescent="0.25">
      <c r="A63" s="3">
        <f t="shared" si="1"/>
        <v>62</v>
      </c>
      <c r="B63" s="4" t="str">
        <f t="shared" si="5"/>
        <v>reciprocating</v>
      </c>
      <c r="C63" s="3" t="s">
        <v>72</v>
      </c>
      <c r="D63" s="1" t="s">
        <v>21</v>
      </c>
      <c r="E63" s="4" t="str">
        <f>sets_indices!$B$5</f>
        <v>reciprocating</v>
      </c>
    </row>
    <row r="64" spans="1:5" x14ac:dyDescent="0.25">
      <c r="A64" s="3">
        <f t="shared" si="1"/>
        <v>63</v>
      </c>
      <c r="B64" s="4" t="str">
        <f t="shared" si="5"/>
        <v>geothermal</v>
      </c>
      <c r="C64" s="3" t="s">
        <v>72</v>
      </c>
      <c r="D64" s="1" t="s">
        <v>21</v>
      </c>
      <c r="E64" s="4" t="str">
        <f>sets_indices!$B$6</f>
        <v>geothermal</v>
      </c>
    </row>
    <row r="65" spans="1:5" x14ac:dyDescent="0.25">
      <c r="A65" s="3">
        <f t="shared" si="1"/>
        <v>64</v>
      </c>
      <c r="B65" s="4" t="str">
        <f t="shared" si="5"/>
        <v>lhydro</v>
      </c>
      <c r="C65" s="3" t="s">
        <v>72</v>
      </c>
      <c r="D65" s="1" t="s">
        <v>21</v>
      </c>
      <c r="E65" s="4" t="str">
        <f>sets_indices!$B$7</f>
        <v>lhydro</v>
      </c>
    </row>
    <row r="66" spans="1:5" x14ac:dyDescent="0.25">
      <c r="A66" s="3">
        <f t="shared" si="1"/>
        <v>65</v>
      </c>
      <c r="B66" s="4" t="str">
        <f t="shared" si="5"/>
        <v>mhydro</v>
      </c>
      <c r="C66" s="3" t="s">
        <v>72</v>
      </c>
      <c r="D66" s="1" t="s">
        <v>21</v>
      </c>
      <c r="E66" s="4" t="str">
        <f>sets_indices!$B$8</f>
        <v>mhydro</v>
      </c>
    </row>
    <row r="67" spans="1:5" x14ac:dyDescent="0.25">
      <c r="A67" s="3">
        <f t="shared" si="1"/>
        <v>66</v>
      </c>
      <c r="B67" s="4" t="str">
        <f t="shared" si="5"/>
        <v>solar</v>
      </c>
      <c r="C67" s="3" t="s">
        <v>72</v>
      </c>
      <c r="D67" s="1" t="s">
        <v>21</v>
      </c>
      <c r="E67" s="4" t="str">
        <f>sets_indices!$B$9</f>
        <v>solar</v>
      </c>
    </row>
    <row r="68" spans="1:5" x14ac:dyDescent="0.25">
      <c r="A68" s="3">
        <f t="shared" ref="A68:A131" si="6">A67+1</f>
        <v>67</v>
      </c>
      <c r="B68" s="4" t="str">
        <f t="shared" si="5"/>
        <v>wind</v>
      </c>
      <c r="C68" s="3" t="s">
        <v>72</v>
      </c>
      <c r="D68" s="1" t="s">
        <v>21</v>
      </c>
      <c r="E68" s="4" t="str">
        <f>sets_indices!$B$10</f>
        <v>wind</v>
      </c>
    </row>
    <row r="69" spans="1:5" x14ac:dyDescent="0.25">
      <c r="A69" s="3">
        <f t="shared" si="6"/>
        <v>68</v>
      </c>
      <c r="B69" s="4" t="str">
        <f t="shared" si="5"/>
        <v>biomass</v>
      </c>
      <c r="C69" s="3" t="s">
        <v>72</v>
      </c>
      <c r="D69" s="1" t="s">
        <v>21</v>
      </c>
      <c r="E69" s="4" t="str">
        <f>sets_indices!$B$11</f>
        <v>biomass</v>
      </c>
    </row>
    <row r="70" spans="1:5" x14ac:dyDescent="0.25">
      <c r="A70" s="3">
        <f t="shared" si="6"/>
        <v>69</v>
      </c>
      <c r="B70" s="4" t="str">
        <f t="shared" si="5"/>
        <v>ocean</v>
      </c>
      <c r="C70" s="3" t="s">
        <v>72</v>
      </c>
      <c r="D70" s="1" t="s">
        <v>21</v>
      </c>
      <c r="E70" s="4" t="str">
        <f>sets_indices!$B$12</f>
        <v>ocean</v>
      </c>
    </row>
    <row r="71" spans="1:5" x14ac:dyDescent="0.25">
      <c r="A71" s="3">
        <f t="shared" si="6"/>
        <v>70</v>
      </c>
      <c r="B71" s="4" t="str">
        <f t="shared" si="5"/>
        <v>waste</v>
      </c>
      <c r="C71" s="3" t="s">
        <v>72</v>
      </c>
      <c r="D71" s="1" t="s">
        <v>21</v>
      </c>
      <c r="E71" s="4" t="str">
        <f>sets_indices!$B$13</f>
        <v>waste</v>
      </c>
    </row>
    <row r="72" spans="1:5" x14ac:dyDescent="0.25">
      <c r="A72" s="3">
        <f t="shared" si="6"/>
        <v>71</v>
      </c>
      <c r="B72" s="4" t="str">
        <f t="shared" si="5"/>
        <v>storage</v>
      </c>
      <c r="C72" s="3" t="s">
        <v>72</v>
      </c>
      <c r="D72" s="1" t="s">
        <v>21</v>
      </c>
      <c r="E72" s="4" t="str">
        <f>sets_indices!$B$14</f>
        <v>storage</v>
      </c>
    </row>
    <row r="73" spans="1:5" x14ac:dyDescent="0.25">
      <c r="A73" s="3">
        <f t="shared" si="6"/>
        <v>72</v>
      </c>
      <c r="B73" s="4" t="str">
        <f t="shared" si="5"/>
        <v>total</v>
      </c>
      <c r="C73" s="3" t="s">
        <v>72</v>
      </c>
      <c r="D73" s="1" t="s">
        <v>21</v>
      </c>
      <c r="E73" s="4" t="s">
        <v>25</v>
      </c>
    </row>
    <row r="74" spans="1:5" x14ac:dyDescent="0.25">
      <c r="A74" s="3">
        <f t="shared" si="6"/>
        <v>73</v>
      </c>
      <c r="B74" s="4" t="str">
        <f t="shared" si="5"/>
        <v>coal</v>
      </c>
      <c r="C74" s="3" t="s">
        <v>26</v>
      </c>
      <c r="D74" s="1" t="s">
        <v>21</v>
      </c>
      <c r="E74" s="4" t="str">
        <f>sets_indices!$B$2</f>
        <v>coal</v>
      </c>
    </row>
    <row r="75" spans="1:5" x14ac:dyDescent="0.25">
      <c r="A75" s="3">
        <f t="shared" si="6"/>
        <v>74</v>
      </c>
      <c r="B75" s="4" t="str">
        <f t="shared" si="5"/>
        <v>ocgt</v>
      </c>
      <c r="C75" s="3" t="s">
        <v>26</v>
      </c>
      <c r="D75" s="1" t="s">
        <v>21</v>
      </c>
      <c r="E75" s="4" t="str">
        <f>sets_indices!$B$3</f>
        <v>ocgt</v>
      </c>
    </row>
    <row r="76" spans="1:5" x14ac:dyDescent="0.25">
      <c r="A76" s="3">
        <f t="shared" si="6"/>
        <v>75</v>
      </c>
      <c r="B76" s="4" t="str">
        <f t="shared" si="5"/>
        <v>ccgt</v>
      </c>
      <c r="C76" s="3" t="s">
        <v>26</v>
      </c>
      <c r="D76" s="1" t="s">
        <v>21</v>
      </c>
      <c r="E76" s="4" t="str">
        <f>sets_indices!$B$4</f>
        <v>ccgt</v>
      </c>
    </row>
    <row r="77" spans="1:5" x14ac:dyDescent="0.25">
      <c r="A77" s="3">
        <f t="shared" si="6"/>
        <v>76</v>
      </c>
      <c r="B77" s="4" t="str">
        <f t="shared" si="5"/>
        <v>reciprocating</v>
      </c>
      <c r="C77" s="3" t="s">
        <v>26</v>
      </c>
      <c r="D77" s="1" t="s">
        <v>21</v>
      </c>
      <c r="E77" s="4" t="str">
        <f>sets_indices!$B$5</f>
        <v>reciprocating</v>
      </c>
    </row>
    <row r="78" spans="1:5" x14ac:dyDescent="0.25">
      <c r="A78" s="3">
        <f t="shared" si="6"/>
        <v>77</v>
      </c>
      <c r="B78" s="4" t="str">
        <f t="shared" si="5"/>
        <v>geothermal</v>
      </c>
      <c r="C78" s="3" t="s">
        <v>26</v>
      </c>
      <c r="D78" s="1" t="s">
        <v>21</v>
      </c>
      <c r="E78" s="4" t="str">
        <f>sets_indices!$B$6</f>
        <v>geothermal</v>
      </c>
    </row>
    <row r="79" spans="1:5" x14ac:dyDescent="0.25">
      <c r="A79" s="3">
        <f t="shared" si="6"/>
        <v>78</v>
      </c>
      <c r="B79" s="4" t="str">
        <f t="shared" si="5"/>
        <v>lhydro</v>
      </c>
      <c r="C79" s="3" t="s">
        <v>26</v>
      </c>
      <c r="D79" s="1" t="s">
        <v>21</v>
      </c>
      <c r="E79" s="4" t="str">
        <f>sets_indices!$B$7</f>
        <v>lhydro</v>
      </c>
    </row>
    <row r="80" spans="1:5" x14ac:dyDescent="0.25">
      <c r="A80" s="3">
        <f t="shared" si="6"/>
        <v>79</v>
      </c>
      <c r="B80" s="4" t="str">
        <f t="shared" si="5"/>
        <v>mhydro</v>
      </c>
      <c r="C80" s="3" t="s">
        <v>26</v>
      </c>
      <c r="D80" s="1" t="s">
        <v>21</v>
      </c>
      <c r="E80" s="4" t="str">
        <f>sets_indices!$B$8</f>
        <v>mhydro</v>
      </c>
    </row>
    <row r="81" spans="1:5" x14ac:dyDescent="0.25">
      <c r="A81" s="3">
        <f t="shared" si="6"/>
        <v>80</v>
      </c>
      <c r="B81" s="4" t="str">
        <f t="shared" si="5"/>
        <v>solar</v>
      </c>
      <c r="C81" s="3" t="s">
        <v>26</v>
      </c>
      <c r="D81" s="1" t="s">
        <v>21</v>
      </c>
      <c r="E81" s="4" t="str">
        <f>sets_indices!$B$9</f>
        <v>solar</v>
      </c>
    </row>
    <row r="82" spans="1:5" x14ac:dyDescent="0.25">
      <c r="A82" s="3">
        <f t="shared" si="6"/>
        <v>81</v>
      </c>
      <c r="B82" s="4" t="str">
        <f t="shared" si="5"/>
        <v>wind</v>
      </c>
      <c r="C82" s="3" t="s">
        <v>26</v>
      </c>
      <c r="D82" s="1" t="s">
        <v>21</v>
      </c>
      <c r="E82" s="4" t="str">
        <f>sets_indices!$B$10</f>
        <v>wind</v>
      </c>
    </row>
    <row r="83" spans="1:5" x14ac:dyDescent="0.25">
      <c r="A83" s="3">
        <f t="shared" si="6"/>
        <v>82</v>
      </c>
      <c r="B83" s="4" t="str">
        <f t="shared" ref="B83:B146" si="7">E83</f>
        <v>biomass</v>
      </c>
      <c r="C83" s="3" t="s">
        <v>26</v>
      </c>
      <c r="D83" s="1" t="s">
        <v>21</v>
      </c>
      <c r="E83" s="4" t="str">
        <f>sets_indices!$B$11</f>
        <v>biomass</v>
      </c>
    </row>
    <row r="84" spans="1:5" x14ac:dyDescent="0.25">
      <c r="A84" s="3">
        <f t="shared" si="6"/>
        <v>83</v>
      </c>
      <c r="B84" s="4" t="str">
        <f t="shared" si="7"/>
        <v>ocean</v>
      </c>
      <c r="C84" s="3" t="s">
        <v>26</v>
      </c>
      <c r="D84" s="1" t="s">
        <v>21</v>
      </c>
      <c r="E84" s="4" t="str">
        <f>sets_indices!$B$12</f>
        <v>ocean</v>
      </c>
    </row>
    <row r="85" spans="1:5" x14ac:dyDescent="0.25">
      <c r="A85" s="3">
        <f t="shared" si="6"/>
        <v>84</v>
      </c>
      <c r="B85" s="4" t="str">
        <f t="shared" si="7"/>
        <v>waste</v>
      </c>
      <c r="C85" s="3" t="s">
        <v>26</v>
      </c>
      <c r="D85" s="1" t="s">
        <v>21</v>
      </c>
      <c r="E85" s="4" t="str">
        <f>sets_indices!$B$13</f>
        <v>waste</v>
      </c>
    </row>
    <row r="86" spans="1:5" x14ac:dyDescent="0.25">
      <c r="A86" s="3">
        <f t="shared" si="6"/>
        <v>85</v>
      </c>
      <c r="B86" s="4" t="str">
        <f t="shared" si="7"/>
        <v>storage</v>
      </c>
      <c r="C86" s="3" t="s">
        <v>26</v>
      </c>
      <c r="D86" s="1" t="s">
        <v>21</v>
      </c>
      <c r="E86" s="4" t="str">
        <f>sets_indices!$B$14</f>
        <v>storage</v>
      </c>
    </row>
    <row r="87" spans="1:5" x14ac:dyDescent="0.25">
      <c r="A87" s="3">
        <f t="shared" si="6"/>
        <v>86</v>
      </c>
      <c r="B87" s="4" t="str">
        <f t="shared" si="7"/>
        <v>total</v>
      </c>
      <c r="C87" s="3" t="s">
        <v>26</v>
      </c>
      <c r="D87" s="1" t="s">
        <v>21</v>
      </c>
      <c r="E87" s="4" t="s">
        <v>25</v>
      </c>
    </row>
    <row r="88" spans="1:5" x14ac:dyDescent="0.25">
      <c r="A88" s="3">
        <f t="shared" si="6"/>
        <v>87</v>
      </c>
      <c r="B88" s="4" t="str">
        <f t="shared" si="7"/>
        <v>coal</v>
      </c>
      <c r="C88" s="3" t="s">
        <v>114</v>
      </c>
      <c r="D88" s="1" t="s">
        <v>21</v>
      </c>
      <c r="E88" s="4" t="str">
        <f>sets_indices!$B$2</f>
        <v>coal</v>
      </c>
    </row>
    <row r="89" spans="1:5" x14ac:dyDescent="0.25">
      <c r="A89" s="3">
        <f t="shared" si="6"/>
        <v>88</v>
      </c>
      <c r="B89" s="4" t="str">
        <f t="shared" si="7"/>
        <v>ocgt</v>
      </c>
      <c r="C89" s="3" t="s">
        <v>114</v>
      </c>
      <c r="D89" s="1" t="s">
        <v>21</v>
      </c>
      <c r="E89" s="4" t="str">
        <f>sets_indices!$B$3</f>
        <v>ocgt</v>
      </c>
    </row>
    <row r="90" spans="1:5" x14ac:dyDescent="0.25">
      <c r="A90" s="3">
        <f t="shared" si="6"/>
        <v>89</v>
      </c>
      <c r="B90" s="4" t="str">
        <f t="shared" si="7"/>
        <v>ccgt</v>
      </c>
      <c r="C90" s="3" t="s">
        <v>114</v>
      </c>
      <c r="D90" s="1" t="s">
        <v>21</v>
      </c>
      <c r="E90" s="4" t="str">
        <f>sets_indices!$B$4</f>
        <v>ccgt</v>
      </c>
    </row>
    <row r="91" spans="1:5" x14ac:dyDescent="0.25">
      <c r="A91" s="3">
        <f t="shared" si="6"/>
        <v>90</v>
      </c>
      <c r="B91" s="4" t="str">
        <f t="shared" si="7"/>
        <v>reciprocating</v>
      </c>
      <c r="C91" s="3" t="s">
        <v>114</v>
      </c>
      <c r="D91" s="1" t="s">
        <v>21</v>
      </c>
      <c r="E91" s="4" t="str">
        <f>sets_indices!$B$5</f>
        <v>reciprocating</v>
      </c>
    </row>
    <row r="92" spans="1:5" x14ac:dyDescent="0.25">
      <c r="A92" s="3">
        <f t="shared" si="6"/>
        <v>91</v>
      </c>
      <c r="B92" s="4" t="str">
        <f t="shared" si="7"/>
        <v>geothermal</v>
      </c>
      <c r="C92" s="3" t="s">
        <v>114</v>
      </c>
      <c r="D92" s="1" t="s">
        <v>21</v>
      </c>
      <c r="E92" s="4" t="str">
        <f>sets_indices!$B$6</f>
        <v>geothermal</v>
      </c>
    </row>
    <row r="93" spans="1:5" x14ac:dyDescent="0.25">
      <c r="A93" s="3">
        <f t="shared" si="6"/>
        <v>92</v>
      </c>
      <c r="B93" s="4" t="str">
        <f t="shared" si="7"/>
        <v>lhydro</v>
      </c>
      <c r="C93" s="3" t="s">
        <v>114</v>
      </c>
      <c r="D93" s="1" t="s">
        <v>21</v>
      </c>
      <c r="E93" s="4" t="str">
        <f>sets_indices!$B$7</f>
        <v>lhydro</v>
      </c>
    </row>
    <row r="94" spans="1:5" x14ac:dyDescent="0.25">
      <c r="A94" s="3">
        <f t="shared" si="6"/>
        <v>93</v>
      </c>
      <c r="B94" s="4" t="str">
        <f t="shared" si="7"/>
        <v>mhydro</v>
      </c>
      <c r="C94" s="3" t="s">
        <v>114</v>
      </c>
      <c r="D94" s="1" t="s">
        <v>21</v>
      </c>
      <c r="E94" s="4" t="str">
        <f>sets_indices!$B$8</f>
        <v>mhydro</v>
      </c>
    </row>
    <row r="95" spans="1:5" x14ac:dyDescent="0.25">
      <c r="A95" s="3">
        <f t="shared" si="6"/>
        <v>94</v>
      </c>
      <c r="B95" s="4" t="str">
        <f t="shared" si="7"/>
        <v>solar</v>
      </c>
      <c r="C95" s="3" t="s">
        <v>114</v>
      </c>
      <c r="D95" s="1" t="s">
        <v>21</v>
      </c>
      <c r="E95" s="4" t="str">
        <f>sets_indices!$B$9</f>
        <v>solar</v>
      </c>
    </row>
    <row r="96" spans="1:5" x14ac:dyDescent="0.25">
      <c r="A96" s="3">
        <f t="shared" si="6"/>
        <v>95</v>
      </c>
      <c r="B96" s="4" t="str">
        <f t="shared" si="7"/>
        <v>wind</v>
      </c>
      <c r="C96" s="3" t="s">
        <v>114</v>
      </c>
      <c r="D96" s="1" t="s">
        <v>21</v>
      </c>
      <c r="E96" s="4" t="str">
        <f>sets_indices!$B$10</f>
        <v>wind</v>
      </c>
    </row>
    <row r="97" spans="1:5" x14ac:dyDescent="0.25">
      <c r="A97" s="3">
        <f t="shared" si="6"/>
        <v>96</v>
      </c>
      <c r="B97" s="4" t="str">
        <f t="shared" si="7"/>
        <v>biomass</v>
      </c>
      <c r="C97" s="3" t="s">
        <v>114</v>
      </c>
      <c r="D97" s="1" t="s">
        <v>21</v>
      </c>
      <c r="E97" s="4" t="str">
        <f>sets_indices!$B$11</f>
        <v>biomass</v>
      </c>
    </row>
    <row r="98" spans="1:5" x14ac:dyDescent="0.25">
      <c r="A98" s="3">
        <f t="shared" si="6"/>
        <v>97</v>
      </c>
      <c r="B98" s="4" t="str">
        <f t="shared" si="7"/>
        <v>ocean</v>
      </c>
      <c r="C98" s="3" t="s">
        <v>114</v>
      </c>
      <c r="D98" s="1" t="s">
        <v>21</v>
      </c>
      <c r="E98" s="4" t="str">
        <f>sets_indices!$B$12</f>
        <v>ocean</v>
      </c>
    </row>
    <row r="99" spans="1:5" x14ac:dyDescent="0.25">
      <c r="A99" s="3">
        <f t="shared" si="6"/>
        <v>98</v>
      </c>
      <c r="B99" s="4" t="str">
        <f t="shared" si="7"/>
        <v>waste</v>
      </c>
      <c r="C99" s="3" t="s">
        <v>114</v>
      </c>
      <c r="D99" s="1" t="s">
        <v>21</v>
      </c>
      <c r="E99" s="4" t="str">
        <f>sets_indices!$B$13</f>
        <v>waste</v>
      </c>
    </row>
    <row r="100" spans="1:5" x14ac:dyDescent="0.25">
      <c r="A100" s="3">
        <f t="shared" si="6"/>
        <v>99</v>
      </c>
      <c r="B100" s="4" t="str">
        <f t="shared" si="7"/>
        <v>storage</v>
      </c>
      <c r="C100" s="3" t="s">
        <v>114</v>
      </c>
      <c r="D100" s="1" t="s">
        <v>21</v>
      </c>
      <c r="E100" s="4" t="str">
        <f>sets_indices!$B$14</f>
        <v>storage</v>
      </c>
    </row>
    <row r="101" spans="1:5" x14ac:dyDescent="0.25">
      <c r="A101" s="3">
        <f t="shared" si="6"/>
        <v>100</v>
      </c>
      <c r="B101" s="4" t="str">
        <f t="shared" si="7"/>
        <v>total</v>
      </c>
      <c r="C101" s="3" t="s">
        <v>114</v>
      </c>
      <c r="D101" s="1" t="s">
        <v>21</v>
      </c>
      <c r="E101" s="4" t="s">
        <v>25</v>
      </c>
    </row>
    <row r="102" spans="1:5" x14ac:dyDescent="0.25">
      <c r="A102" s="3">
        <f t="shared" si="6"/>
        <v>101</v>
      </c>
      <c r="B102" s="4" t="str">
        <f t="shared" si="7"/>
        <v>coal</v>
      </c>
      <c r="C102" s="3" t="s">
        <v>29</v>
      </c>
      <c r="D102" s="1" t="s">
        <v>73</v>
      </c>
      <c r="E102" s="4" t="str">
        <f>sets_indices!$B$2</f>
        <v>coal</v>
      </c>
    </row>
    <row r="103" spans="1:5" x14ac:dyDescent="0.25">
      <c r="A103" s="3">
        <f t="shared" si="6"/>
        <v>102</v>
      </c>
      <c r="B103" s="4" t="str">
        <f t="shared" si="7"/>
        <v>ocgt</v>
      </c>
      <c r="C103" s="3" t="s">
        <v>29</v>
      </c>
      <c r="D103" s="1" t="s">
        <v>73</v>
      </c>
      <c r="E103" s="4" t="str">
        <f>sets_indices!$B$3</f>
        <v>ocgt</v>
      </c>
    </row>
    <row r="104" spans="1:5" x14ac:dyDescent="0.25">
      <c r="A104" s="3">
        <f t="shared" si="6"/>
        <v>103</v>
      </c>
      <c r="B104" s="4" t="str">
        <f t="shared" si="7"/>
        <v>ccgt</v>
      </c>
      <c r="C104" s="3" t="s">
        <v>29</v>
      </c>
      <c r="D104" s="1" t="s">
        <v>73</v>
      </c>
      <c r="E104" s="4" t="str">
        <f>sets_indices!$B$4</f>
        <v>ccgt</v>
      </c>
    </row>
    <row r="105" spans="1:5" x14ac:dyDescent="0.25">
      <c r="A105" s="3">
        <f t="shared" si="6"/>
        <v>104</v>
      </c>
      <c r="B105" s="4" t="str">
        <f t="shared" si="7"/>
        <v>reciprocating</v>
      </c>
      <c r="C105" s="3" t="s">
        <v>29</v>
      </c>
      <c r="D105" s="1" t="s">
        <v>73</v>
      </c>
      <c r="E105" s="4" t="str">
        <f>sets_indices!$B$5</f>
        <v>reciprocating</v>
      </c>
    </row>
    <row r="106" spans="1:5" x14ac:dyDescent="0.25">
      <c r="A106" s="3">
        <f t="shared" si="6"/>
        <v>105</v>
      </c>
      <c r="B106" s="4" t="str">
        <f t="shared" si="7"/>
        <v>geothermal</v>
      </c>
      <c r="C106" s="3" t="s">
        <v>29</v>
      </c>
      <c r="D106" s="1" t="s">
        <v>73</v>
      </c>
      <c r="E106" s="4" t="str">
        <f>sets_indices!$B$6</f>
        <v>geothermal</v>
      </c>
    </row>
    <row r="107" spans="1:5" x14ac:dyDescent="0.25">
      <c r="A107" s="3">
        <f t="shared" si="6"/>
        <v>106</v>
      </c>
      <c r="B107" s="4" t="str">
        <f t="shared" si="7"/>
        <v>lhydro</v>
      </c>
      <c r="C107" s="3" t="s">
        <v>29</v>
      </c>
      <c r="D107" s="1" t="s">
        <v>73</v>
      </c>
      <c r="E107" s="4" t="str">
        <f>sets_indices!$B$7</f>
        <v>lhydro</v>
      </c>
    </row>
    <row r="108" spans="1:5" x14ac:dyDescent="0.25">
      <c r="A108" s="3">
        <f t="shared" si="6"/>
        <v>107</v>
      </c>
      <c r="B108" s="4" t="str">
        <f t="shared" si="7"/>
        <v>mhydro</v>
      </c>
      <c r="C108" s="3" t="s">
        <v>29</v>
      </c>
      <c r="D108" s="1" t="s">
        <v>73</v>
      </c>
      <c r="E108" s="4" t="str">
        <f>sets_indices!$B$8</f>
        <v>mhydro</v>
      </c>
    </row>
    <row r="109" spans="1:5" x14ac:dyDescent="0.25">
      <c r="A109" s="3">
        <f t="shared" si="6"/>
        <v>108</v>
      </c>
      <c r="B109" s="4" t="str">
        <f t="shared" si="7"/>
        <v>solar</v>
      </c>
      <c r="C109" s="3" t="s">
        <v>29</v>
      </c>
      <c r="D109" s="1" t="s">
        <v>73</v>
      </c>
      <c r="E109" s="4" t="str">
        <f>sets_indices!$B$9</f>
        <v>solar</v>
      </c>
    </row>
    <row r="110" spans="1:5" x14ac:dyDescent="0.25">
      <c r="A110" s="3">
        <f t="shared" si="6"/>
        <v>109</v>
      </c>
      <c r="B110" s="4" t="str">
        <f t="shared" si="7"/>
        <v>wind</v>
      </c>
      <c r="C110" s="3" t="s">
        <v>29</v>
      </c>
      <c r="D110" s="1" t="s">
        <v>73</v>
      </c>
      <c r="E110" s="4" t="str">
        <f>sets_indices!$B$10</f>
        <v>wind</v>
      </c>
    </row>
    <row r="111" spans="1:5" x14ac:dyDescent="0.25">
      <c r="A111" s="3">
        <f t="shared" si="6"/>
        <v>110</v>
      </c>
      <c r="B111" s="4" t="str">
        <f t="shared" si="7"/>
        <v>biomass</v>
      </c>
      <c r="C111" s="3" t="s">
        <v>29</v>
      </c>
      <c r="D111" s="1" t="s">
        <v>73</v>
      </c>
      <c r="E111" s="4" t="str">
        <f>sets_indices!$B$11</f>
        <v>biomass</v>
      </c>
    </row>
    <row r="112" spans="1:5" x14ac:dyDescent="0.25">
      <c r="A112" s="3">
        <f t="shared" si="6"/>
        <v>111</v>
      </c>
      <c r="B112" s="4" t="str">
        <f t="shared" si="7"/>
        <v>ocean</v>
      </c>
      <c r="C112" s="3" t="s">
        <v>29</v>
      </c>
      <c r="D112" s="1" t="s">
        <v>73</v>
      </c>
      <c r="E112" s="4" t="str">
        <f>sets_indices!$B$12</f>
        <v>ocean</v>
      </c>
    </row>
    <row r="113" spans="1:5" x14ac:dyDescent="0.25">
      <c r="A113" s="3">
        <f t="shared" si="6"/>
        <v>112</v>
      </c>
      <c r="B113" s="4" t="str">
        <f t="shared" si="7"/>
        <v>waste</v>
      </c>
      <c r="C113" s="3" t="s">
        <v>29</v>
      </c>
      <c r="D113" s="1" t="s">
        <v>73</v>
      </c>
      <c r="E113" s="4" t="str">
        <f>sets_indices!$B$13</f>
        <v>waste</v>
      </c>
    </row>
    <row r="114" spans="1:5" x14ac:dyDescent="0.25">
      <c r="A114" s="3">
        <f t="shared" si="6"/>
        <v>113</v>
      </c>
      <c r="B114" s="4" t="str">
        <f t="shared" si="7"/>
        <v>storage</v>
      </c>
      <c r="C114" s="3" t="s">
        <v>29</v>
      </c>
      <c r="D114" s="1" t="s">
        <v>73</v>
      </c>
      <c r="E114" s="4" t="str">
        <f>sets_indices!$B$14</f>
        <v>storage</v>
      </c>
    </row>
    <row r="115" spans="1:5" x14ac:dyDescent="0.25">
      <c r="A115" s="3">
        <f t="shared" si="6"/>
        <v>114</v>
      </c>
      <c r="B115" s="4" t="str">
        <f t="shared" si="7"/>
        <v>total</v>
      </c>
      <c r="C115" s="3" t="s">
        <v>29</v>
      </c>
      <c r="D115" s="1" t="s">
        <v>73</v>
      </c>
      <c r="E115" s="4" t="s">
        <v>25</v>
      </c>
    </row>
    <row r="116" spans="1:5" x14ac:dyDescent="0.25">
      <c r="A116" s="3">
        <f t="shared" si="6"/>
        <v>115</v>
      </c>
      <c r="B116" s="4" t="str">
        <f t="shared" si="7"/>
        <v>coal</v>
      </c>
      <c r="C116" s="3" t="s">
        <v>30</v>
      </c>
      <c r="D116" s="1" t="s">
        <v>73</v>
      </c>
      <c r="E116" s="4" t="str">
        <f>sets_indices!$B$2</f>
        <v>coal</v>
      </c>
    </row>
    <row r="117" spans="1:5" x14ac:dyDescent="0.25">
      <c r="A117" s="3">
        <f t="shared" si="6"/>
        <v>116</v>
      </c>
      <c r="B117" s="4" t="str">
        <f t="shared" si="7"/>
        <v>ocgt</v>
      </c>
      <c r="C117" s="3" t="s">
        <v>30</v>
      </c>
      <c r="D117" s="1" t="s">
        <v>73</v>
      </c>
      <c r="E117" s="4" t="str">
        <f>sets_indices!$B$3</f>
        <v>ocgt</v>
      </c>
    </row>
    <row r="118" spans="1:5" x14ac:dyDescent="0.25">
      <c r="A118" s="3">
        <f t="shared" si="6"/>
        <v>117</v>
      </c>
      <c r="B118" s="4" t="str">
        <f t="shared" si="7"/>
        <v>ccgt</v>
      </c>
      <c r="C118" s="3" t="s">
        <v>30</v>
      </c>
      <c r="D118" s="1" t="s">
        <v>73</v>
      </c>
      <c r="E118" s="4" t="str">
        <f>sets_indices!$B$4</f>
        <v>ccgt</v>
      </c>
    </row>
    <row r="119" spans="1:5" x14ac:dyDescent="0.25">
      <c r="A119" s="3">
        <f t="shared" si="6"/>
        <v>118</v>
      </c>
      <c r="B119" s="4" t="str">
        <f t="shared" si="7"/>
        <v>reciprocating</v>
      </c>
      <c r="C119" s="3" t="s">
        <v>30</v>
      </c>
      <c r="D119" s="1" t="s">
        <v>73</v>
      </c>
      <c r="E119" s="4" t="str">
        <f>sets_indices!$B$5</f>
        <v>reciprocating</v>
      </c>
    </row>
    <row r="120" spans="1:5" x14ac:dyDescent="0.25">
      <c r="A120" s="3">
        <f t="shared" si="6"/>
        <v>119</v>
      </c>
      <c r="B120" s="4" t="str">
        <f t="shared" si="7"/>
        <v>geothermal</v>
      </c>
      <c r="C120" s="3" t="s">
        <v>30</v>
      </c>
      <c r="D120" s="1" t="s">
        <v>73</v>
      </c>
      <c r="E120" s="4" t="str">
        <f>sets_indices!$B$6</f>
        <v>geothermal</v>
      </c>
    </row>
    <row r="121" spans="1:5" x14ac:dyDescent="0.25">
      <c r="A121" s="3">
        <f t="shared" si="6"/>
        <v>120</v>
      </c>
      <c r="B121" s="4" t="str">
        <f t="shared" si="7"/>
        <v>lhydro</v>
      </c>
      <c r="C121" s="3" t="s">
        <v>30</v>
      </c>
      <c r="D121" s="1" t="s">
        <v>73</v>
      </c>
      <c r="E121" s="4" t="str">
        <f>sets_indices!$B$7</f>
        <v>lhydro</v>
      </c>
    </row>
    <row r="122" spans="1:5" x14ac:dyDescent="0.25">
      <c r="A122" s="3">
        <f t="shared" si="6"/>
        <v>121</v>
      </c>
      <c r="B122" s="4" t="str">
        <f t="shared" si="7"/>
        <v>mhydro</v>
      </c>
      <c r="C122" s="3" t="s">
        <v>30</v>
      </c>
      <c r="D122" s="1" t="s">
        <v>73</v>
      </c>
      <c r="E122" s="4" t="str">
        <f>sets_indices!$B$8</f>
        <v>mhydro</v>
      </c>
    </row>
    <row r="123" spans="1:5" x14ac:dyDescent="0.25">
      <c r="A123" s="3">
        <f t="shared" si="6"/>
        <v>122</v>
      </c>
      <c r="B123" s="4" t="str">
        <f t="shared" si="7"/>
        <v>solar</v>
      </c>
      <c r="C123" s="3" t="s">
        <v>30</v>
      </c>
      <c r="D123" s="1" t="s">
        <v>73</v>
      </c>
      <c r="E123" s="4" t="str">
        <f>sets_indices!$B$9</f>
        <v>solar</v>
      </c>
    </row>
    <row r="124" spans="1:5" x14ac:dyDescent="0.25">
      <c r="A124" s="3">
        <f t="shared" si="6"/>
        <v>123</v>
      </c>
      <c r="B124" s="4" t="str">
        <f t="shared" si="7"/>
        <v>wind</v>
      </c>
      <c r="C124" s="3" t="s">
        <v>30</v>
      </c>
      <c r="D124" s="1" t="s">
        <v>73</v>
      </c>
      <c r="E124" s="4" t="str">
        <f>sets_indices!$B$10</f>
        <v>wind</v>
      </c>
    </row>
    <row r="125" spans="1:5" x14ac:dyDescent="0.25">
      <c r="A125" s="3">
        <f t="shared" si="6"/>
        <v>124</v>
      </c>
      <c r="B125" s="4" t="str">
        <f t="shared" si="7"/>
        <v>biomass</v>
      </c>
      <c r="C125" s="3" t="s">
        <v>30</v>
      </c>
      <c r="D125" s="1" t="s">
        <v>73</v>
      </c>
      <c r="E125" s="4" t="str">
        <f>sets_indices!$B$11</f>
        <v>biomass</v>
      </c>
    </row>
    <row r="126" spans="1:5" x14ac:dyDescent="0.25">
      <c r="A126" s="3">
        <f t="shared" si="6"/>
        <v>125</v>
      </c>
      <c r="B126" s="4" t="str">
        <f t="shared" si="7"/>
        <v>ocean</v>
      </c>
      <c r="C126" s="3" t="s">
        <v>30</v>
      </c>
      <c r="D126" s="1" t="s">
        <v>73</v>
      </c>
      <c r="E126" s="4" t="str">
        <f>sets_indices!$B$12</f>
        <v>ocean</v>
      </c>
    </row>
    <row r="127" spans="1:5" x14ac:dyDescent="0.25">
      <c r="A127" s="3">
        <f t="shared" si="6"/>
        <v>126</v>
      </c>
      <c r="B127" s="4" t="str">
        <f t="shared" si="7"/>
        <v>waste</v>
      </c>
      <c r="C127" s="3" t="s">
        <v>30</v>
      </c>
      <c r="D127" s="1" t="s">
        <v>73</v>
      </c>
      <c r="E127" s="4" t="str">
        <f>sets_indices!$B$13</f>
        <v>waste</v>
      </c>
    </row>
    <row r="128" spans="1:5" x14ac:dyDescent="0.25">
      <c r="A128" s="3">
        <f t="shared" si="6"/>
        <v>127</v>
      </c>
      <c r="B128" s="4" t="str">
        <f t="shared" si="7"/>
        <v>storage</v>
      </c>
      <c r="C128" s="3" t="s">
        <v>30</v>
      </c>
      <c r="D128" s="1" t="s">
        <v>73</v>
      </c>
      <c r="E128" s="4" t="str">
        <f>sets_indices!$B$14</f>
        <v>storage</v>
      </c>
    </row>
    <row r="129" spans="1:5" x14ac:dyDescent="0.25">
      <c r="A129" s="3">
        <f t="shared" si="6"/>
        <v>128</v>
      </c>
      <c r="B129" s="4" t="str">
        <f t="shared" si="7"/>
        <v>total</v>
      </c>
      <c r="C129" s="3" t="s">
        <v>30</v>
      </c>
      <c r="D129" s="1" t="s">
        <v>73</v>
      </c>
      <c r="E129" s="4" t="s">
        <v>25</v>
      </c>
    </row>
    <row r="130" spans="1:5" x14ac:dyDescent="0.25">
      <c r="A130" s="3">
        <f t="shared" si="6"/>
        <v>129</v>
      </c>
      <c r="B130" s="4" t="str">
        <f t="shared" si="7"/>
        <v>coal</v>
      </c>
      <c r="C130" s="3" t="s">
        <v>22</v>
      </c>
      <c r="D130" s="1" t="s">
        <v>23</v>
      </c>
      <c r="E130" s="4" t="str">
        <f>sets_indices!$B$2</f>
        <v>coal</v>
      </c>
    </row>
    <row r="131" spans="1:5" x14ac:dyDescent="0.25">
      <c r="A131" s="3">
        <f t="shared" si="6"/>
        <v>130</v>
      </c>
      <c r="B131" s="4" t="str">
        <f t="shared" si="7"/>
        <v>ocgt</v>
      </c>
      <c r="C131" s="3" t="s">
        <v>22</v>
      </c>
      <c r="D131" s="1" t="s">
        <v>23</v>
      </c>
      <c r="E131" s="4" t="str">
        <f>sets_indices!$B$3</f>
        <v>ocgt</v>
      </c>
    </row>
    <row r="132" spans="1:5" x14ac:dyDescent="0.25">
      <c r="A132" s="3">
        <f t="shared" ref="A132:A157" si="8">A131+1</f>
        <v>131</v>
      </c>
      <c r="B132" s="4" t="str">
        <f t="shared" si="7"/>
        <v>ccgt</v>
      </c>
      <c r="C132" s="3" t="s">
        <v>22</v>
      </c>
      <c r="D132" s="1" t="s">
        <v>23</v>
      </c>
      <c r="E132" s="4" t="str">
        <f>sets_indices!$B$4</f>
        <v>ccgt</v>
      </c>
    </row>
    <row r="133" spans="1:5" x14ac:dyDescent="0.25">
      <c r="A133" s="3">
        <f t="shared" si="8"/>
        <v>132</v>
      </c>
      <c r="B133" s="4" t="str">
        <f t="shared" si="7"/>
        <v>reciprocating</v>
      </c>
      <c r="C133" s="3" t="s">
        <v>22</v>
      </c>
      <c r="D133" s="1" t="s">
        <v>23</v>
      </c>
      <c r="E133" s="4" t="str">
        <f>sets_indices!$B$5</f>
        <v>reciprocating</v>
      </c>
    </row>
    <row r="134" spans="1:5" x14ac:dyDescent="0.25">
      <c r="A134" s="3">
        <f t="shared" si="8"/>
        <v>133</v>
      </c>
      <c r="B134" s="4" t="str">
        <f t="shared" si="7"/>
        <v>geothermal</v>
      </c>
      <c r="C134" s="3" t="s">
        <v>22</v>
      </c>
      <c r="D134" s="1" t="s">
        <v>23</v>
      </c>
      <c r="E134" s="4" t="str">
        <f>sets_indices!$B$6</f>
        <v>geothermal</v>
      </c>
    </row>
    <row r="135" spans="1:5" x14ac:dyDescent="0.25">
      <c r="A135" s="3">
        <f t="shared" si="8"/>
        <v>134</v>
      </c>
      <c r="B135" s="4" t="str">
        <f t="shared" si="7"/>
        <v>lhydro</v>
      </c>
      <c r="C135" s="3" t="s">
        <v>22</v>
      </c>
      <c r="D135" s="1" t="s">
        <v>23</v>
      </c>
      <c r="E135" s="4" t="str">
        <f>sets_indices!$B$7</f>
        <v>lhydro</v>
      </c>
    </row>
    <row r="136" spans="1:5" x14ac:dyDescent="0.25">
      <c r="A136" s="3">
        <f t="shared" si="8"/>
        <v>135</v>
      </c>
      <c r="B136" s="4" t="str">
        <f t="shared" si="7"/>
        <v>mhydro</v>
      </c>
      <c r="C136" s="3" t="s">
        <v>22</v>
      </c>
      <c r="D136" s="1" t="s">
        <v>23</v>
      </c>
      <c r="E136" s="4" t="str">
        <f>sets_indices!$B$8</f>
        <v>mhydro</v>
      </c>
    </row>
    <row r="137" spans="1:5" x14ac:dyDescent="0.25">
      <c r="A137" s="3">
        <f t="shared" si="8"/>
        <v>136</v>
      </c>
      <c r="B137" s="4" t="str">
        <f t="shared" si="7"/>
        <v>solar</v>
      </c>
      <c r="C137" s="3" t="s">
        <v>22</v>
      </c>
      <c r="D137" s="1" t="s">
        <v>23</v>
      </c>
      <c r="E137" s="4" t="str">
        <f>sets_indices!$B$9</f>
        <v>solar</v>
      </c>
    </row>
    <row r="138" spans="1:5" x14ac:dyDescent="0.25">
      <c r="A138" s="3">
        <f t="shared" si="8"/>
        <v>137</v>
      </c>
      <c r="B138" s="4" t="str">
        <f t="shared" si="7"/>
        <v>wind</v>
      </c>
      <c r="C138" s="3" t="s">
        <v>22</v>
      </c>
      <c r="D138" s="1" t="s">
        <v>23</v>
      </c>
      <c r="E138" s="4" t="str">
        <f>sets_indices!$B$10</f>
        <v>wind</v>
      </c>
    </row>
    <row r="139" spans="1:5" x14ac:dyDescent="0.25">
      <c r="A139" s="3">
        <f t="shared" si="8"/>
        <v>138</v>
      </c>
      <c r="B139" s="4" t="str">
        <f t="shared" si="7"/>
        <v>biomass</v>
      </c>
      <c r="C139" s="3" t="s">
        <v>22</v>
      </c>
      <c r="D139" s="1" t="s">
        <v>23</v>
      </c>
      <c r="E139" s="4" t="str">
        <f>sets_indices!$B$11</f>
        <v>biomass</v>
      </c>
    </row>
    <row r="140" spans="1:5" x14ac:dyDescent="0.25">
      <c r="A140" s="3">
        <f t="shared" si="8"/>
        <v>139</v>
      </c>
      <c r="B140" s="4" t="str">
        <f t="shared" si="7"/>
        <v>ocean</v>
      </c>
      <c r="C140" s="3" t="s">
        <v>22</v>
      </c>
      <c r="D140" s="1" t="s">
        <v>23</v>
      </c>
      <c r="E140" s="4" t="str">
        <f>sets_indices!$B$12</f>
        <v>ocean</v>
      </c>
    </row>
    <row r="141" spans="1:5" x14ac:dyDescent="0.25">
      <c r="A141" s="3">
        <f t="shared" si="8"/>
        <v>140</v>
      </c>
      <c r="B141" s="4" t="str">
        <f t="shared" si="7"/>
        <v>waste</v>
      </c>
      <c r="C141" s="3" t="s">
        <v>22</v>
      </c>
      <c r="D141" s="1" t="s">
        <v>23</v>
      </c>
      <c r="E141" s="4" t="str">
        <f>sets_indices!$B$13</f>
        <v>waste</v>
      </c>
    </row>
    <row r="142" spans="1:5" x14ac:dyDescent="0.25">
      <c r="A142" s="3">
        <f t="shared" si="8"/>
        <v>141</v>
      </c>
      <c r="B142" s="4" t="str">
        <f t="shared" si="7"/>
        <v>storage</v>
      </c>
      <c r="C142" s="3" t="s">
        <v>22</v>
      </c>
      <c r="D142" s="1" t="s">
        <v>23</v>
      </c>
      <c r="E142" s="4" t="str">
        <f>sets_indices!$B$14</f>
        <v>storage</v>
      </c>
    </row>
    <row r="143" spans="1:5" x14ac:dyDescent="0.25">
      <c r="A143" s="3">
        <f t="shared" si="8"/>
        <v>142</v>
      </c>
      <c r="B143" s="4" t="str">
        <f t="shared" si="7"/>
        <v>total</v>
      </c>
      <c r="C143" s="3" t="s">
        <v>22</v>
      </c>
      <c r="D143" s="1" t="s">
        <v>23</v>
      </c>
      <c r="E143" s="4" t="s">
        <v>25</v>
      </c>
    </row>
    <row r="144" spans="1:5" x14ac:dyDescent="0.25">
      <c r="A144" s="3">
        <f t="shared" si="8"/>
        <v>143</v>
      </c>
      <c r="B144" s="4" t="str">
        <f t="shared" si="7"/>
        <v>coal</v>
      </c>
      <c r="C144" s="3" t="s">
        <v>24</v>
      </c>
      <c r="D144" s="1" t="s">
        <v>151</v>
      </c>
      <c r="E144" s="4" t="str">
        <f>sets_indices!$B$2</f>
        <v>coal</v>
      </c>
    </row>
    <row r="145" spans="1:5" x14ac:dyDescent="0.25">
      <c r="A145" s="3">
        <f t="shared" si="8"/>
        <v>144</v>
      </c>
      <c r="B145" s="4" t="str">
        <f t="shared" si="7"/>
        <v>ocgt</v>
      </c>
      <c r="C145" s="3" t="s">
        <v>24</v>
      </c>
      <c r="D145" s="1" t="s">
        <v>151</v>
      </c>
      <c r="E145" s="4" t="str">
        <f>sets_indices!$B$3</f>
        <v>ocgt</v>
      </c>
    </row>
    <row r="146" spans="1:5" x14ac:dyDescent="0.25">
      <c r="A146" s="3">
        <f t="shared" si="8"/>
        <v>145</v>
      </c>
      <c r="B146" s="4" t="str">
        <f t="shared" si="7"/>
        <v>ccgt</v>
      </c>
      <c r="C146" s="3" t="s">
        <v>24</v>
      </c>
      <c r="D146" s="1" t="s">
        <v>151</v>
      </c>
      <c r="E146" s="4" t="str">
        <f>sets_indices!$B$4</f>
        <v>ccgt</v>
      </c>
    </row>
    <row r="147" spans="1:5" x14ac:dyDescent="0.25">
      <c r="A147" s="3">
        <f t="shared" si="8"/>
        <v>146</v>
      </c>
      <c r="B147" s="4" t="str">
        <f t="shared" ref="B147:B157" si="9">E147</f>
        <v>reciprocating</v>
      </c>
      <c r="C147" s="3" t="s">
        <v>24</v>
      </c>
      <c r="D147" s="1" t="s">
        <v>151</v>
      </c>
      <c r="E147" s="4" t="str">
        <f>sets_indices!$B$5</f>
        <v>reciprocating</v>
      </c>
    </row>
    <row r="148" spans="1:5" x14ac:dyDescent="0.25">
      <c r="A148" s="3">
        <f t="shared" si="8"/>
        <v>147</v>
      </c>
      <c r="B148" s="4" t="str">
        <f t="shared" si="9"/>
        <v>geothermal</v>
      </c>
      <c r="C148" s="3" t="s">
        <v>24</v>
      </c>
      <c r="D148" s="1" t="s">
        <v>151</v>
      </c>
      <c r="E148" s="4" t="str">
        <f>sets_indices!$B$6</f>
        <v>geothermal</v>
      </c>
    </row>
    <row r="149" spans="1:5" x14ac:dyDescent="0.25">
      <c r="A149" s="3">
        <f t="shared" si="8"/>
        <v>148</v>
      </c>
      <c r="B149" s="4" t="str">
        <f t="shared" si="9"/>
        <v>lhydro</v>
      </c>
      <c r="C149" s="3" t="s">
        <v>24</v>
      </c>
      <c r="D149" s="1" t="s">
        <v>151</v>
      </c>
      <c r="E149" s="4" t="str">
        <f>sets_indices!$B$7</f>
        <v>lhydro</v>
      </c>
    </row>
    <row r="150" spans="1:5" x14ac:dyDescent="0.25">
      <c r="A150" s="3">
        <f t="shared" si="8"/>
        <v>149</v>
      </c>
      <c r="B150" s="4" t="str">
        <f t="shared" si="9"/>
        <v>mhydro</v>
      </c>
      <c r="C150" s="3" t="s">
        <v>24</v>
      </c>
      <c r="D150" s="1" t="s">
        <v>151</v>
      </c>
      <c r="E150" s="4" t="str">
        <f>sets_indices!$B$8</f>
        <v>mhydro</v>
      </c>
    </row>
    <row r="151" spans="1:5" x14ac:dyDescent="0.25">
      <c r="A151" s="3">
        <f t="shared" si="8"/>
        <v>150</v>
      </c>
      <c r="B151" s="4" t="str">
        <f t="shared" si="9"/>
        <v>solar</v>
      </c>
      <c r="C151" s="3" t="s">
        <v>24</v>
      </c>
      <c r="D151" s="1" t="s">
        <v>151</v>
      </c>
      <c r="E151" s="4" t="str">
        <f>sets_indices!$B$9</f>
        <v>solar</v>
      </c>
    </row>
    <row r="152" spans="1:5" x14ac:dyDescent="0.25">
      <c r="A152" s="3">
        <f t="shared" si="8"/>
        <v>151</v>
      </c>
      <c r="B152" s="4" t="str">
        <f t="shared" si="9"/>
        <v>wind</v>
      </c>
      <c r="C152" s="3" t="s">
        <v>24</v>
      </c>
      <c r="D152" s="1" t="s">
        <v>151</v>
      </c>
      <c r="E152" s="4" t="str">
        <f>sets_indices!$B$10</f>
        <v>wind</v>
      </c>
    </row>
    <row r="153" spans="1:5" x14ac:dyDescent="0.25">
      <c r="A153" s="3">
        <f t="shared" si="8"/>
        <v>152</v>
      </c>
      <c r="B153" s="4" t="str">
        <f t="shared" si="9"/>
        <v>biomass</v>
      </c>
      <c r="C153" s="3" t="s">
        <v>24</v>
      </c>
      <c r="D153" s="1" t="s">
        <v>151</v>
      </c>
      <c r="E153" s="4" t="str">
        <f>sets_indices!$B$11</f>
        <v>biomass</v>
      </c>
    </row>
    <row r="154" spans="1:5" x14ac:dyDescent="0.25">
      <c r="A154" s="3">
        <f t="shared" si="8"/>
        <v>153</v>
      </c>
      <c r="B154" s="4" t="str">
        <f t="shared" si="9"/>
        <v>ocean</v>
      </c>
      <c r="C154" s="3" t="s">
        <v>24</v>
      </c>
      <c r="D154" s="1" t="s">
        <v>151</v>
      </c>
      <c r="E154" s="4" t="str">
        <f>sets_indices!$B$12</f>
        <v>ocean</v>
      </c>
    </row>
    <row r="155" spans="1:5" x14ac:dyDescent="0.25">
      <c r="A155" s="3">
        <f t="shared" si="8"/>
        <v>154</v>
      </c>
      <c r="B155" s="4" t="str">
        <f t="shared" si="9"/>
        <v>waste</v>
      </c>
      <c r="C155" s="3" t="s">
        <v>24</v>
      </c>
      <c r="D155" s="1" t="s">
        <v>151</v>
      </c>
      <c r="E155" s="4" t="str">
        <f>sets_indices!$B$13</f>
        <v>waste</v>
      </c>
    </row>
    <row r="156" spans="1:5" x14ac:dyDescent="0.25">
      <c r="A156" s="3">
        <f t="shared" si="8"/>
        <v>155</v>
      </c>
      <c r="B156" s="4" t="str">
        <f t="shared" si="9"/>
        <v>storage</v>
      </c>
      <c r="C156" s="3" t="s">
        <v>24</v>
      </c>
      <c r="D156" s="1" t="s">
        <v>151</v>
      </c>
      <c r="E156" s="4" t="str">
        <f>sets_indices!$B$14</f>
        <v>storage</v>
      </c>
    </row>
    <row r="157" spans="1:5" x14ac:dyDescent="0.25">
      <c r="A157" s="3">
        <f t="shared" si="8"/>
        <v>156</v>
      </c>
      <c r="B157" s="4" t="str">
        <f t="shared" si="9"/>
        <v>total</v>
      </c>
      <c r="C157" s="3" t="s">
        <v>24</v>
      </c>
      <c r="D157" s="1" t="s">
        <v>151</v>
      </c>
      <c r="E157" s="4" t="s">
        <v>25</v>
      </c>
    </row>
  </sheetData>
  <phoneticPr fontId="1" type="noConversion"/>
  <conditionalFormatting sqref="E1:E1048576">
    <cfRule type="cellIs" dxfId="0" priority="1" operator="equal">
      <formula>"battery"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5234-2005-4741-8052-68B47281298B}">
  <sheetPr codeName="Sheet3"/>
  <dimension ref="A1:O17"/>
  <sheetViews>
    <sheetView zoomScale="85" zoomScaleNormal="8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6" activeCellId="1" sqref="A11:XFD11 A6:XFD6"/>
    </sheetView>
  </sheetViews>
  <sheetFormatPr defaultRowHeight="15" x14ac:dyDescent="0.25"/>
  <cols>
    <col min="1" max="1" width="12.5703125" style="6" bestFit="1" customWidth="1"/>
    <col min="2" max="3" width="10.7109375" style="3" customWidth="1"/>
    <col min="4" max="4" width="15.28515625" style="3" customWidth="1"/>
    <col min="5" max="10" width="17.28515625" style="3" customWidth="1"/>
    <col min="11" max="11" width="13.28515625" style="6" bestFit="1" customWidth="1"/>
    <col min="12" max="15" width="15.140625" style="6" customWidth="1"/>
    <col min="16" max="16" width="15.28515625" style="6" customWidth="1"/>
    <col min="17" max="16384" width="9.140625" style="6"/>
  </cols>
  <sheetData>
    <row r="1" spans="1:15" x14ac:dyDescent="0.25">
      <c r="A1" s="6" t="s">
        <v>33</v>
      </c>
      <c r="B1" s="3" t="s">
        <v>79</v>
      </c>
      <c r="C1" s="3" t="s">
        <v>98</v>
      </c>
      <c r="D1" s="3" t="s">
        <v>80</v>
      </c>
      <c r="E1" s="3" t="str">
        <f t="array" ref="E1:K1">TRANSPOSE(variables!B7:B13)</f>
        <v>tec_%_eff</v>
      </c>
      <c r="F1" s="3" t="str">
        <v>tec_mw_min</v>
      </c>
      <c r="G1" s="3" t="str">
        <v xml:space="preserve">tec_%_cf </v>
      </c>
      <c r="H1" s="3" t="str">
        <v xml:space="preserve">tec_%_of </v>
      </c>
      <c r="I1" s="3" t="str">
        <v xml:space="preserve">tec_%_ff </v>
      </c>
      <c r="J1" s="3" t="str">
        <v xml:space="preserve">tec_%_pf </v>
      </c>
      <c r="K1" s="6" t="str">
        <v>tec_tco2/TJ_co2</v>
      </c>
      <c r="L1" s="6" t="str">
        <f t="array" ref="L1:O1">TRANSPOSE(variables!B14:B17)</f>
        <v>fin_$/mw_cap</v>
      </c>
      <c r="M1" s="6" t="str">
        <v>fin_$/mw_fix</v>
      </c>
      <c r="N1" s="6" t="str">
        <v>fin_$/mwh_var</v>
      </c>
      <c r="O1" s="6" t="str">
        <v>fin_$/mmbtu_fue</v>
      </c>
    </row>
    <row r="2" spans="1:15" x14ac:dyDescent="0.25">
      <c r="A2" s="6" t="str">
        <f>sets_indices!B2</f>
        <v>coal</v>
      </c>
      <c r="B2" s="3" t="str">
        <f>A2</f>
        <v>coal</v>
      </c>
      <c r="C2" s="3" t="s">
        <v>99</v>
      </c>
      <c r="D2" s="3" t="s">
        <v>81</v>
      </c>
      <c r="E2" s="7">
        <f>AVERAGE(34,35,36,37,38,39,42,43,44)</f>
        <v>38.666666666666664</v>
      </c>
      <c r="F2" s="7">
        <f>AVERAGE(150,600,1000)</f>
        <v>583.33333333333337</v>
      </c>
      <c r="G2" s="7">
        <v>65</v>
      </c>
      <c r="H2" s="7">
        <f>I2+J2</f>
        <v>14.837606837606838</v>
      </c>
      <c r="I2" s="7">
        <f>AVERAGE(7,5,3,7,6,3,7,6,3)</f>
        <v>5.2222222222222223</v>
      </c>
      <c r="J2" s="7">
        <f>100*AVERAGE(7,5,3)/52</f>
        <v>9.615384615384615</v>
      </c>
      <c r="K2" s="6">
        <v>99.72</v>
      </c>
      <c r="L2" s="8">
        <f>1000000*AVERAGE(1.65,1.6,1.55,1.4,1.36,1.32,1.52,1.48,1.43)</f>
        <v>1478888.8888888888</v>
      </c>
      <c r="M2" s="8">
        <f>AVERAGE(45300,43900,42600,41200,40000,38700,56600,54900,53200)</f>
        <v>46266.666666666664</v>
      </c>
      <c r="N2" s="8">
        <f>AVERAGE(0.13,0.12,0.12,0.12,0.12,0.11,0.11,0.11,0.1)</f>
        <v>0.11555555555555556</v>
      </c>
      <c r="O2" s="8">
        <v>1.47</v>
      </c>
    </row>
    <row r="3" spans="1:15" x14ac:dyDescent="0.25">
      <c r="A3" s="6" t="str">
        <f>sets_indices!B3</f>
        <v>ocgt</v>
      </c>
      <c r="B3" s="3" t="str">
        <f t="shared" ref="B3:B15" si="0">A3</f>
        <v>ocgt</v>
      </c>
      <c r="C3" s="3" t="s">
        <v>99</v>
      </c>
      <c r="D3" s="3" t="s">
        <v>82</v>
      </c>
      <c r="E3" s="7">
        <f>AVERAGE(33,35,39)</f>
        <v>35.666666666666664</v>
      </c>
      <c r="F3" s="7">
        <v>50</v>
      </c>
      <c r="G3" s="7">
        <v>37</v>
      </c>
      <c r="H3" s="7">
        <f t="shared" ref="H3:H15" si="1">I3+J3</f>
        <v>7.7692307692307692</v>
      </c>
      <c r="I3" s="7">
        <v>2</v>
      </c>
      <c r="J3" s="7">
        <f>100*3/52</f>
        <v>5.7692307692307692</v>
      </c>
      <c r="K3" s="6">
        <v>62.1</v>
      </c>
      <c r="L3" s="8">
        <f>1000000*AVERAGE(0.77,0.73,0.68)</f>
        <v>726666.66666666663</v>
      </c>
      <c r="M3" s="8">
        <f>AVERAGE(23200,22500,21800)</f>
        <v>22500</v>
      </c>
      <c r="N3" s="8">
        <f>N4</f>
        <v>2.23</v>
      </c>
      <c r="O3" s="8">
        <v>3.45</v>
      </c>
    </row>
    <row r="4" spans="1:15" x14ac:dyDescent="0.25">
      <c r="A4" s="6" t="str">
        <f>sets_indices!B4</f>
        <v>ccgt</v>
      </c>
      <c r="B4" s="3" t="str">
        <f t="shared" si="0"/>
        <v>ccgt</v>
      </c>
      <c r="C4" s="3" t="s">
        <v>99</v>
      </c>
      <c r="D4" s="3" t="s">
        <v>82</v>
      </c>
      <c r="E4" s="7">
        <f>AVERAGE(56,59,60)</f>
        <v>58.333333333333336</v>
      </c>
      <c r="F4" s="7">
        <v>600</v>
      </c>
      <c r="G4" s="7">
        <v>37</v>
      </c>
      <c r="H4" s="7">
        <f t="shared" si="1"/>
        <v>14.615384615384615</v>
      </c>
      <c r="I4" s="7">
        <v>5</v>
      </c>
      <c r="J4" s="7">
        <f>100*5/52</f>
        <v>9.615384615384615</v>
      </c>
      <c r="K4" s="6">
        <v>62.1</v>
      </c>
      <c r="L4" s="8">
        <f>1000000*AVERAGE(0.69,0.66,0.61)</f>
        <v>653333.33333333337</v>
      </c>
      <c r="M4" s="8">
        <f>AVERAGE(23500,22800,22100)</f>
        <v>22800</v>
      </c>
      <c r="N4" s="8">
        <f>AVERAGE(2.3,2.23,2.16)</f>
        <v>2.23</v>
      </c>
      <c r="O4" s="8">
        <v>3.45</v>
      </c>
    </row>
    <row r="5" spans="1:15" x14ac:dyDescent="0.25">
      <c r="A5" s="6" t="str">
        <f>sets_indices!B5</f>
        <v>reciprocating</v>
      </c>
      <c r="B5" s="3" t="str">
        <f t="shared" si="0"/>
        <v>reciprocating</v>
      </c>
      <c r="C5" s="3" t="s">
        <v>99</v>
      </c>
      <c r="D5" s="3" t="s">
        <v>83</v>
      </c>
      <c r="E5" s="7">
        <f>AVERAGE(45,46,47)</f>
        <v>46</v>
      </c>
      <c r="F5" s="7">
        <v>20</v>
      </c>
      <c r="G5" s="7">
        <v>60</v>
      </c>
      <c r="H5" s="7">
        <f t="shared" si="1"/>
        <v>4.9230769230769234</v>
      </c>
      <c r="I5" s="7">
        <v>3</v>
      </c>
      <c r="J5" s="7">
        <f>100*1/52</f>
        <v>1.9230769230769231</v>
      </c>
      <c r="K5" s="6">
        <v>75.17</v>
      </c>
      <c r="L5" s="8">
        <f>1000000*AVERAGE(0.8,0.8,0.78)</f>
        <v>793333.33333333337</v>
      </c>
      <c r="M5" s="8">
        <f>AVERAGE(8000,8000,7760)</f>
        <v>7920</v>
      </c>
      <c r="N5" s="8">
        <f>AVERAGE(6.4,6,5.8)</f>
        <v>6.0666666666666664</v>
      </c>
      <c r="O5" s="8">
        <v>18.23</v>
      </c>
    </row>
    <row r="6" spans="1:15" x14ac:dyDescent="0.25">
      <c r="A6" s="6" t="str">
        <f>sets_indices!B6</f>
        <v>geothermal</v>
      </c>
      <c r="B6" s="3" t="str">
        <f t="shared" si="0"/>
        <v>geothermal</v>
      </c>
      <c r="C6" s="3" t="s">
        <v>99</v>
      </c>
      <c r="D6" s="3" t="s">
        <v>81</v>
      </c>
      <c r="E6" s="7">
        <f>AVERAGE(AVERAGE(15,16,17),AVERAGE(10,11,12))</f>
        <v>13.5</v>
      </c>
      <c r="F6" s="7">
        <f>AVERAGE(55,10)</f>
        <v>32.5</v>
      </c>
      <c r="G6" s="7">
        <f>AVERAGE(90,90)</f>
        <v>90</v>
      </c>
      <c r="H6" s="7">
        <f t="shared" si="1"/>
        <v>17.692307692307693</v>
      </c>
      <c r="I6" s="7">
        <f>AVERAGE(10,10)</f>
        <v>10</v>
      </c>
      <c r="J6" s="7">
        <f>100*4/52</f>
        <v>7.6923076923076925</v>
      </c>
      <c r="K6" s="6">
        <v>62.9</v>
      </c>
      <c r="L6" s="8">
        <f>1000000*AVERAGE(4,3.44,2.84,5,4.3,3.55)</f>
        <v>3855000</v>
      </c>
      <c r="M6" s="8">
        <f>AVERAGE(50000,43000,35500,65000,55900,46200)</f>
        <v>49266.666666666664</v>
      </c>
      <c r="N6" s="8">
        <f>AVERAGE(0.25,0.22,0.18,0.37,0.32,0.26)</f>
        <v>0.26666666666666666</v>
      </c>
      <c r="O6" s="8">
        <v>0</v>
      </c>
    </row>
    <row r="7" spans="1:15" x14ac:dyDescent="0.25">
      <c r="A7" s="6" t="str">
        <f>sets_indices!B7</f>
        <v>lhydro</v>
      </c>
      <c r="B7" s="3" t="str">
        <f t="shared" si="0"/>
        <v>lhydro</v>
      </c>
      <c r="C7" s="3" t="s">
        <v>99</v>
      </c>
      <c r="D7" s="3" t="s">
        <v>81</v>
      </c>
      <c r="E7" s="7">
        <f>AVERAGE(95,95)</f>
        <v>95</v>
      </c>
      <c r="F7" s="7">
        <f>AVERAGE(150,50)</f>
        <v>100</v>
      </c>
      <c r="G7" s="7">
        <f>AVERAGE(40,80)</f>
        <v>60</v>
      </c>
      <c r="H7" s="7">
        <f t="shared" si="1"/>
        <v>15.538461538461538</v>
      </c>
      <c r="I7" s="7">
        <f>AVERAGE(4,4)</f>
        <v>4</v>
      </c>
      <c r="J7" s="7">
        <f>100*6/52</f>
        <v>11.538461538461538</v>
      </c>
      <c r="K7" s="6">
        <v>0</v>
      </c>
      <c r="L7" s="8">
        <f>1000000*AVERAGE(2.08,2,1.85,2.29,2.2,2.04)</f>
        <v>2076666.6666666663</v>
      </c>
      <c r="M7" s="8">
        <f>AVERAGE(37700,36200,33600,41900,40200,37300)</f>
        <v>37816.666666666664</v>
      </c>
      <c r="N7" s="8">
        <f>AVERAGE(0.65,0.62,0.58,0.5,0.48,0.45)</f>
        <v>0.54666666666666675</v>
      </c>
      <c r="O7" s="8">
        <v>0</v>
      </c>
    </row>
    <row r="8" spans="1:15" x14ac:dyDescent="0.25">
      <c r="A8" s="6" t="str">
        <f>sets_indices!B8</f>
        <v>mhydro</v>
      </c>
      <c r="B8" s="3" t="str">
        <f t="shared" si="0"/>
        <v>mhydro</v>
      </c>
      <c r="C8" s="3" t="s">
        <v>99</v>
      </c>
      <c r="D8" s="3" t="s">
        <v>82</v>
      </c>
      <c r="E8" s="7">
        <v>80</v>
      </c>
      <c r="F8" s="7">
        <v>5</v>
      </c>
      <c r="G8" s="7">
        <v>80</v>
      </c>
      <c r="H8" s="7">
        <f t="shared" si="1"/>
        <v>15.538461538461538</v>
      </c>
      <c r="I8" s="7">
        <v>4</v>
      </c>
      <c r="J8" s="7">
        <f>100*6/52</f>
        <v>11.538461538461538</v>
      </c>
      <c r="K8" s="6">
        <v>0</v>
      </c>
      <c r="L8" s="8">
        <f>1000000*AVERAGE(2.7,2.59,2.4)</f>
        <v>2563333.333333333</v>
      </c>
      <c r="M8" s="8">
        <f>AVERAGE(53000,50900,47200)</f>
        <v>50366.666666666664</v>
      </c>
      <c r="N8" s="8">
        <f>AVERAGE(0.5,0.48,0.45)</f>
        <v>0.47666666666666663</v>
      </c>
      <c r="O8" s="8">
        <v>0</v>
      </c>
    </row>
    <row r="9" spans="1:15" x14ac:dyDescent="0.25">
      <c r="A9" s="6" t="str">
        <f>sets_indices!B9</f>
        <v>solar</v>
      </c>
      <c r="B9" s="3" t="str">
        <f t="shared" si="0"/>
        <v>solar</v>
      </c>
      <c r="C9" s="3" t="s">
        <v>99</v>
      </c>
      <c r="D9" s="3" t="s">
        <v>84</v>
      </c>
      <c r="E9" s="7">
        <v>16</v>
      </c>
      <c r="F9" s="7">
        <v>10</v>
      </c>
      <c r="G9" s="7">
        <f>AVERAGE(19,22,22)</f>
        <v>21</v>
      </c>
      <c r="H9" s="7">
        <f t="shared" si="1"/>
        <v>0</v>
      </c>
      <c r="I9" s="7">
        <v>0</v>
      </c>
      <c r="J9" s="7">
        <v>0</v>
      </c>
      <c r="K9" s="6">
        <v>0</v>
      </c>
      <c r="L9" s="8">
        <f>1000000*1.119</f>
        <v>1119000</v>
      </c>
      <c r="M9" s="8">
        <f>AVERAGE(14400,10000,8000)</f>
        <v>10800</v>
      </c>
      <c r="N9" s="8">
        <v>0</v>
      </c>
      <c r="O9" s="8">
        <v>0</v>
      </c>
    </row>
    <row r="10" spans="1:15" x14ac:dyDescent="0.25">
      <c r="A10" s="6" t="str">
        <f>sets_indices!B10</f>
        <v>wind</v>
      </c>
      <c r="B10" s="3" t="str">
        <f t="shared" si="0"/>
        <v>wind</v>
      </c>
      <c r="C10" s="3" t="s">
        <v>99</v>
      </c>
      <c r="D10" s="3" t="s">
        <v>85</v>
      </c>
      <c r="E10" s="7">
        <v>59.3</v>
      </c>
      <c r="F10" s="7">
        <v>3.5</v>
      </c>
      <c r="G10" s="7">
        <f>AVERAGE(35,36,37)</f>
        <v>36</v>
      </c>
      <c r="H10" s="7">
        <f t="shared" si="1"/>
        <v>2.4743589743589745</v>
      </c>
      <c r="I10" s="7">
        <f>AVERAGE(2.5,2,2)</f>
        <v>2.1666666666666665</v>
      </c>
      <c r="J10" s="7">
        <f>100*0.16/52</f>
        <v>0.30769230769230771</v>
      </c>
      <c r="K10" s="6">
        <v>0</v>
      </c>
      <c r="L10" s="8">
        <f>1000000*AVERAGE(1.5,1.28,1.08)</f>
        <v>1286666.6666666667</v>
      </c>
      <c r="M10" s="8">
        <f>AVERAGE(60000,51000,43200)</f>
        <v>51400</v>
      </c>
      <c r="N10" s="8">
        <v>0</v>
      </c>
      <c r="O10" s="8">
        <v>0</v>
      </c>
    </row>
    <row r="11" spans="1:15" x14ac:dyDescent="0.25">
      <c r="A11" s="6" t="str">
        <f>sets_indices!B11</f>
        <v>biomass</v>
      </c>
      <c r="B11" s="3" t="str">
        <f t="shared" si="0"/>
        <v>biomass</v>
      </c>
      <c r="C11" s="3" t="s">
        <v>99</v>
      </c>
      <c r="D11" s="3" t="s">
        <v>82</v>
      </c>
      <c r="E11" s="7">
        <v>31</v>
      </c>
      <c r="F11" s="7">
        <v>25</v>
      </c>
      <c r="G11" s="7">
        <v>35</v>
      </c>
      <c r="H11" s="7">
        <f t="shared" si="1"/>
        <v>18.53846153846154</v>
      </c>
      <c r="I11" s="7">
        <v>7</v>
      </c>
      <c r="J11" s="7">
        <f>100*6/52</f>
        <v>11.538461538461538</v>
      </c>
      <c r="K11" s="6">
        <v>112.36</v>
      </c>
      <c r="L11" s="8">
        <f>1000000*AVERAGE(2,1.82,1.6)</f>
        <v>1806666.6666666667</v>
      </c>
      <c r="M11" s="8">
        <f>AVERAGE(47600,43800,38100)</f>
        <v>43166.666666666664</v>
      </c>
      <c r="N11" s="8">
        <f>AVERAGE(3,2.8,2.4)</f>
        <v>2.7333333333333329</v>
      </c>
      <c r="O11" s="8">
        <v>1.5</v>
      </c>
    </row>
    <row r="12" spans="1:15" x14ac:dyDescent="0.25">
      <c r="A12" s="6" t="str">
        <f>sets_indices!B12</f>
        <v>ocean</v>
      </c>
      <c r="B12" s="3" t="str">
        <f t="shared" si="0"/>
        <v>ocean</v>
      </c>
      <c r="C12" s="3" t="s">
        <v>99</v>
      </c>
      <c r="D12" s="3" t="s">
        <v>81</v>
      </c>
      <c r="E12" s="7">
        <f>AVERAGE(90,AVERAGE(90,92,95))</f>
        <v>91.166666666666657</v>
      </c>
      <c r="F12" s="7">
        <f>AVERAGE(AVERAGE(1,10,25),AVERAGE(1,2,2))</f>
        <v>6.833333333333333</v>
      </c>
      <c r="G12" s="7">
        <f>AVERAGE(AVERAGE(35,35,40),AVERAGE(33,35,37))</f>
        <v>35.833333333333329</v>
      </c>
      <c r="H12" s="7">
        <f t="shared" si="1"/>
        <v>4</v>
      </c>
      <c r="I12" s="7">
        <v>4</v>
      </c>
      <c r="J12" s="7">
        <v>0</v>
      </c>
      <c r="K12" s="6">
        <v>0</v>
      </c>
      <c r="L12" s="8">
        <f>1000000*AVERAGE(5.5,5.1,5.1,5.3,4.6,3.4)</f>
        <v>4833333.333333333</v>
      </c>
      <c r="M12" s="8">
        <f>AVERAGE(70800,65500,37700,283000,230000,114000)</f>
        <v>133500</v>
      </c>
      <c r="N12" s="8">
        <f>AVERAGE(0,0,0,12,9,7)</f>
        <v>4.666666666666667</v>
      </c>
      <c r="O12" s="8">
        <v>0</v>
      </c>
    </row>
    <row r="13" spans="1:15" x14ac:dyDescent="0.25">
      <c r="A13" s="6" t="str">
        <f>sets_indices!B13</f>
        <v>waste</v>
      </c>
      <c r="B13" s="3" t="str">
        <f t="shared" si="0"/>
        <v>waste</v>
      </c>
      <c r="C13" s="3" t="s">
        <v>99</v>
      </c>
      <c r="D13" s="3" t="s">
        <v>89</v>
      </c>
      <c r="E13" s="7">
        <f>AVERAGE(28,29,29)</f>
        <v>28.666666666666668</v>
      </c>
      <c r="F13" s="7">
        <f>AVERAGE(22,22,23)</f>
        <v>22.333333333333332</v>
      </c>
      <c r="G13" s="7">
        <f>G11</f>
        <v>35</v>
      </c>
      <c r="H13" s="7">
        <f t="shared" si="1"/>
        <v>6.5769230769230766</v>
      </c>
      <c r="I13" s="7">
        <v>1</v>
      </c>
      <c r="J13" s="7">
        <f>100*2.9/52</f>
        <v>5.5769230769230766</v>
      </c>
      <c r="K13" s="6">
        <v>27.77</v>
      </c>
      <c r="L13" s="8">
        <f>1000000*AVERAGE(6.8,6.3,5.6)</f>
        <v>6233333.333333333</v>
      </c>
      <c r="M13" s="8">
        <f>AVERAGE(243700,224800,193500)</f>
        <v>220666.66666666666</v>
      </c>
      <c r="N13" s="8">
        <f>AVERAGE(24.1,23.4,22.6)</f>
        <v>23.366666666666664</v>
      </c>
      <c r="O13" s="8">
        <v>0</v>
      </c>
    </row>
    <row r="14" spans="1:15" x14ac:dyDescent="0.25">
      <c r="A14" s="6" t="str">
        <f>sets_indices!B14</f>
        <v>storage</v>
      </c>
      <c r="B14" s="3" t="str">
        <f t="shared" si="0"/>
        <v>storage</v>
      </c>
      <c r="C14" s="3" t="s">
        <v>100</v>
      </c>
      <c r="D14" s="3" t="s">
        <v>82</v>
      </c>
      <c r="E14" s="7">
        <v>80</v>
      </c>
      <c r="F14" s="7">
        <v>10000</v>
      </c>
      <c r="G14" s="7">
        <v>45</v>
      </c>
      <c r="H14" s="7">
        <f t="shared" si="1"/>
        <v>9.7692307692307701</v>
      </c>
      <c r="I14" s="7">
        <v>4</v>
      </c>
      <c r="J14" s="7">
        <f>100*3/52</f>
        <v>5.7692307692307692</v>
      </c>
      <c r="K14" s="6">
        <v>0</v>
      </c>
      <c r="L14" s="8">
        <f>1000000*0.86</f>
        <v>860000</v>
      </c>
      <c r="M14" s="8">
        <v>8000</v>
      </c>
      <c r="N14" s="8">
        <v>1.3</v>
      </c>
      <c r="O14" s="8">
        <v>0</v>
      </c>
    </row>
    <row r="15" spans="1:15" x14ac:dyDescent="0.25">
      <c r="A15" s="6" t="s">
        <v>31</v>
      </c>
      <c r="B15" s="3" t="str">
        <f t="shared" si="0"/>
        <v>battery</v>
      </c>
      <c r="C15" s="3" t="s">
        <v>100</v>
      </c>
      <c r="D15" s="3" t="s">
        <v>82</v>
      </c>
      <c r="E15" s="7">
        <f>AVERAGE(91,92,92)</f>
        <v>91.666666666666671</v>
      </c>
      <c r="F15" s="7">
        <f>AVERAGE(6,7,8)</f>
        <v>7</v>
      </c>
      <c r="G15" s="7">
        <v>45</v>
      </c>
      <c r="H15" s="7">
        <f t="shared" si="1"/>
        <v>0.58307692307692305</v>
      </c>
      <c r="I15" s="7">
        <f>AVERAGE(0.38,0.35,0.25)</f>
        <v>0.32666666666666666</v>
      </c>
      <c r="J15" s="7">
        <f>100*AVERAGE(0.2,0.1,0.1)/52</f>
        <v>0.25641025641025644</v>
      </c>
      <c r="K15" s="6">
        <v>0</v>
      </c>
      <c r="L15" s="8">
        <f>1000000*AVERAGE(0.578,0.264,0.157)</f>
        <v>333000</v>
      </c>
      <c r="M15" s="8">
        <f>AVERAGE(621,311,155)</f>
        <v>362.33333333333331</v>
      </c>
      <c r="N15" s="8">
        <f>AVERAGE(2.3,2.07,1.84)</f>
        <v>2.0699999999999998</v>
      </c>
      <c r="O15" s="8">
        <v>0</v>
      </c>
    </row>
    <row r="17" spans="1:6" x14ac:dyDescent="0.25">
      <c r="A17" s="6" t="s">
        <v>102</v>
      </c>
      <c r="B17" s="9" t="s">
        <v>112</v>
      </c>
      <c r="F17" s="1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68D5D-B6DD-41F9-85D2-46E2503A9AD3}">
  <sheetPr codeName="Sheet4"/>
  <dimension ref="A1:P11"/>
  <sheetViews>
    <sheetView zoomScaleNormal="100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A5" sqref="A5:XFD5"/>
    </sheetView>
  </sheetViews>
  <sheetFormatPr defaultRowHeight="15" x14ac:dyDescent="0.25"/>
  <cols>
    <col min="1" max="1" width="22.42578125" customWidth="1"/>
    <col min="3" max="16" width="15.140625" customWidth="1"/>
  </cols>
  <sheetData>
    <row r="1" spans="1:16" x14ac:dyDescent="0.25">
      <c r="A1" t="str">
        <f t="array" ref="A1:B1">TRANSPOSE(sets_indices!B22:B23)</f>
        <v>region</v>
      </c>
      <c r="B1" t="str">
        <v>year</v>
      </c>
      <c r="C1" t="str">
        <f t="array" ref="C1:P1">TRANSPOSE(variables!B74:B87)</f>
        <v>coal</v>
      </c>
      <c r="D1" t="str">
        <v>ocgt</v>
      </c>
      <c r="E1" t="str">
        <v>ccgt</v>
      </c>
      <c r="F1" t="str">
        <v>reciprocating</v>
      </c>
      <c r="G1" t="str">
        <v>geothermal</v>
      </c>
      <c r="H1" t="str">
        <v>lhydro</v>
      </c>
      <c r="I1" t="str">
        <v>mhydro</v>
      </c>
      <c r="J1" t="str">
        <v>solar</v>
      </c>
      <c r="K1" t="str">
        <v>wind</v>
      </c>
      <c r="L1" t="str">
        <v>biomass</v>
      </c>
      <c r="M1" t="str">
        <v>ocean</v>
      </c>
      <c r="N1" t="str">
        <v>waste</v>
      </c>
      <c r="O1" t="str">
        <v>storage</v>
      </c>
      <c r="P1" t="str">
        <v>total</v>
      </c>
    </row>
    <row r="2" spans="1:16" x14ac:dyDescent="0.25">
      <c r="A2" t="str">
        <f>sets_indices!B15</f>
        <v>INDONESIA</v>
      </c>
      <c r="B2">
        <v>2019</v>
      </c>
      <c r="C2" s="11">
        <f>SUM(C3:C8)</f>
        <v>0</v>
      </c>
      <c r="D2" s="11">
        <f t="shared" ref="D2:O2" si="0">SUM(D3:D8)</f>
        <v>0</v>
      </c>
      <c r="E2" s="11">
        <f t="shared" si="0"/>
        <v>0</v>
      </c>
      <c r="F2" s="11">
        <f t="shared" si="0"/>
        <v>0</v>
      </c>
      <c r="G2" s="11">
        <f t="shared" si="0"/>
        <v>23965.8</v>
      </c>
      <c r="H2" s="11">
        <f t="shared" si="0"/>
        <v>75091</v>
      </c>
      <c r="I2" s="11">
        <f t="shared" si="0"/>
        <v>19385</v>
      </c>
      <c r="J2" s="11">
        <f t="shared" si="0"/>
        <v>207898</v>
      </c>
      <c r="K2" s="11">
        <f t="shared" si="0"/>
        <v>60647</v>
      </c>
      <c r="L2" s="11">
        <f t="shared" si="0"/>
        <v>32654</v>
      </c>
      <c r="M2" s="11">
        <f t="shared" si="0"/>
        <v>17988</v>
      </c>
      <c r="N2" s="11">
        <f t="shared" si="0"/>
        <v>0</v>
      </c>
      <c r="O2" s="11">
        <f t="shared" si="0"/>
        <v>0</v>
      </c>
      <c r="P2" s="11">
        <f>SUM(G2:M2)</f>
        <v>437628.8</v>
      </c>
    </row>
    <row r="3" spans="1:16" x14ac:dyDescent="0.25">
      <c r="A3" t="str">
        <f>sets_indices!B16</f>
        <v>SUMATERA</v>
      </c>
      <c r="B3">
        <f>B2</f>
        <v>2019</v>
      </c>
      <c r="C3" s="11">
        <v>0</v>
      </c>
      <c r="D3" s="11">
        <v>0</v>
      </c>
      <c r="E3" s="11">
        <v>0</v>
      </c>
      <c r="F3" s="11">
        <v>0</v>
      </c>
      <c r="G3" s="11">
        <v>9679</v>
      </c>
      <c r="H3" s="11">
        <v>15579</v>
      </c>
      <c r="I3" s="11">
        <v>5734</v>
      </c>
      <c r="J3" s="11">
        <v>68749</v>
      </c>
      <c r="K3" s="11">
        <v>7397</v>
      </c>
      <c r="L3" s="11">
        <v>15589</v>
      </c>
      <c r="M3" s="11">
        <v>6027</v>
      </c>
      <c r="N3" s="11">
        <v>0</v>
      </c>
      <c r="O3" s="11">
        <v>0</v>
      </c>
      <c r="P3" s="11">
        <f t="shared" ref="P3:P8" si="1">SUM(G3:M3)</f>
        <v>128754</v>
      </c>
    </row>
    <row r="4" spans="1:16" x14ac:dyDescent="0.25">
      <c r="A4" t="str">
        <f>sets_indices!B17</f>
        <v>JAWA</v>
      </c>
      <c r="B4">
        <f t="shared" ref="B4:B5" si="2">B3</f>
        <v>2019</v>
      </c>
      <c r="C4" s="11">
        <v>0</v>
      </c>
      <c r="D4" s="11">
        <v>0</v>
      </c>
      <c r="E4" s="11">
        <v>0</v>
      </c>
      <c r="F4" s="11">
        <v>0</v>
      </c>
      <c r="G4" s="11">
        <v>8107</v>
      </c>
      <c r="H4" s="11">
        <v>4199</v>
      </c>
      <c r="I4" s="11">
        <v>2910</v>
      </c>
      <c r="J4" s="11">
        <v>31869</v>
      </c>
      <c r="K4" s="11">
        <v>22992</v>
      </c>
      <c r="L4" s="11">
        <v>9215</v>
      </c>
      <c r="M4" s="11">
        <v>2273</v>
      </c>
      <c r="N4" s="11">
        <v>0</v>
      </c>
      <c r="O4" s="11">
        <v>0</v>
      </c>
      <c r="P4" s="11">
        <f t="shared" si="1"/>
        <v>81565</v>
      </c>
    </row>
    <row r="5" spans="1:16" x14ac:dyDescent="0.25">
      <c r="A5" t="str">
        <f>sets_indices!B18</f>
        <v>BALI_NT</v>
      </c>
      <c r="B5">
        <f t="shared" si="2"/>
        <v>2019</v>
      </c>
      <c r="C5" s="11">
        <v>0</v>
      </c>
      <c r="D5" s="11">
        <v>0</v>
      </c>
      <c r="E5" s="11">
        <v>0</v>
      </c>
      <c r="F5" s="11">
        <v>0</v>
      </c>
      <c r="G5" s="11">
        <v>1698.8</v>
      </c>
      <c r="H5" s="11">
        <v>624</v>
      </c>
      <c r="I5" s="11">
        <v>141</v>
      </c>
      <c r="J5" s="11">
        <v>18457</v>
      </c>
      <c r="K5" s="11">
        <v>13812</v>
      </c>
      <c r="L5" s="11">
        <v>635</v>
      </c>
      <c r="M5" s="11">
        <v>9297</v>
      </c>
      <c r="N5" s="11">
        <v>0</v>
      </c>
      <c r="O5" s="11">
        <v>0</v>
      </c>
      <c r="P5" s="11">
        <f t="shared" si="1"/>
        <v>44664.800000000003</v>
      </c>
    </row>
    <row r="6" spans="1:16" x14ac:dyDescent="0.25">
      <c r="A6" t="str">
        <f>sets_indices!B19</f>
        <v>KALIMANTAN</v>
      </c>
      <c r="B6">
        <f>B4</f>
        <v>2019</v>
      </c>
      <c r="C6" s="11">
        <v>0</v>
      </c>
      <c r="D6" s="11">
        <v>0</v>
      </c>
      <c r="E6" s="11">
        <v>0</v>
      </c>
      <c r="F6" s="11">
        <v>0</v>
      </c>
      <c r="G6" s="11">
        <v>182</v>
      </c>
      <c r="H6" s="11">
        <v>21581</v>
      </c>
      <c r="I6" s="11">
        <v>8100</v>
      </c>
      <c r="J6" s="11">
        <v>52725</v>
      </c>
      <c r="K6" s="11">
        <v>2526</v>
      </c>
      <c r="L6" s="11">
        <v>5061</v>
      </c>
      <c r="M6" s="11">
        <v>0</v>
      </c>
      <c r="N6" s="11">
        <v>0</v>
      </c>
      <c r="O6" s="11">
        <v>0</v>
      </c>
      <c r="P6" s="11">
        <f t="shared" si="1"/>
        <v>90175</v>
      </c>
    </row>
    <row r="7" spans="1:16" x14ac:dyDescent="0.25">
      <c r="A7" t="str">
        <f>sets_indices!B20</f>
        <v>SULAWESI</v>
      </c>
      <c r="B7">
        <f t="shared" ref="B7:B8" si="3">B5</f>
        <v>2019</v>
      </c>
      <c r="C7" s="11">
        <v>0</v>
      </c>
      <c r="D7" s="11">
        <v>0</v>
      </c>
      <c r="E7" s="11">
        <v>0</v>
      </c>
      <c r="F7" s="11">
        <v>0</v>
      </c>
      <c r="G7" s="11">
        <v>3068</v>
      </c>
      <c r="H7" s="11">
        <v>10307</v>
      </c>
      <c r="I7" s="11">
        <v>1668</v>
      </c>
      <c r="J7" s="11">
        <v>22700</v>
      </c>
      <c r="K7" s="11">
        <v>8380</v>
      </c>
      <c r="L7" s="11">
        <v>1937</v>
      </c>
      <c r="M7" s="11">
        <v>0</v>
      </c>
      <c r="N7" s="11">
        <v>0</v>
      </c>
      <c r="O7" s="11">
        <v>0</v>
      </c>
      <c r="P7" s="11">
        <f t="shared" si="1"/>
        <v>48060</v>
      </c>
    </row>
    <row r="8" spans="1:16" x14ac:dyDescent="0.25">
      <c r="A8" t="str">
        <f>sets_indices!B21</f>
        <v>MALUKU_PAPUA</v>
      </c>
      <c r="B8">
        <f t="shared" si="3"/>
        <v>2019</v>
      </c>
      <c r="C8" s="11">
        <v>0</v>
      </c>
      <c r="D8" s="11">
        <v>0</v>
      </c>
      <c r="E8" s="11">
        <v>0</v>
      </c>
      <c r="F8" s="11">
        <v>0</v>
      </c>
      <c r="G8" s="11">
        <v>1231</v>
      </c>
      <c r="H8" s="11">
        <v>22801</v>
      </c>
      <c r="I8" s="11">
        <v>832</v>
      </c>
      <c r="J8" s="11">
        <v>13398</v>
      </c>
      <c r="K8" s="11">
        <v>5540</v>
      </c>
      <c r="L8" s="11">
        <v>217</v>
      </c>
      <c r="M8" s="11">
        <v>391</v>
      </c>
      <c r="N8" s="11">
        <v>0</v>
      </c>
      <c r="O8" s="11">
        <v>0</v>
      </c>
      <c r="P8" s="11">
        <f t="shared" si="1"/>
        <v>44410</v>
      </c>
    </row>
    <row r="9" spans="1:16" x14ac:dyDescent="0.25"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5">
      <c r="A10" s="6" t="s">
        <v>102</v>
      </c>
      <c r="B10" s="9" t="s">
        <v>103</v>
      </c>
    </row>
    <row r="11" spans="1:16" x14ac:dyDescent="0.25">
      <c r="A11" s="6" t="s">
        <v>104</v>
      </c>
      <c r="B11" s="10" t="s">
        <v>105</v>
      </c>
    </row>
  </sheetData>
  <hyperlinks>
    <hyperlink ref="B11" r:id="rId1" display="https://www.den.go.id/index.php/publikasi/index/BauranEnergi" xr:uid="{B7345BC0-8FB0-411B-B9F0-5D40742055E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ED83-8324-4FF8-AEFE-B5067B2FA5D8}">
  <sheetPr codeName="Sheet5"/>
  <dimension ref="A1:P1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3" sqref="I13"/>
    </sheetView>
  </sheetViews>
  <sheetFormatPr defaultRowHeight="15" x14ac:dyDescent="0.25"/>
  <cols>
    <col min="1" max="1" width="16.85546875" customWidth="1"/>
    <col min="3" max="16" width="13.7109375" customWidth="1"/>
  </cols>
  <sheetData>
    <row r="1" spans="1:16" x14ac:dyDescent="0.25">
      <c r="A1" t="str">
        <f t="array" ref="A1:B1">TRANSPOSE(sets_indices!B22:B23)</f>
        <v>region</v>
      </c>
      <c r="B1" t="str">
        <v>year</v>
      </c>
      <c r="C1" t="str">
        <f t="array" ref="C1:P1">TRANSPOSE(variables!B46:B59)</f>
        <v>coal</v>
      </c>
      <c r="D1" t="str">
        <v>ocgt</v>
      </c>
      <c r="E1" t="str">
        <v>ccgt</v>
      </c>
      <c r="F1" t="str">
        <v>reciprocating</v>
      </c>
      <c r="G1" t="str">
        <v>geothermal</v>
      </c>
      <c r="H1" t="str">
        <v>lhydro</v>
      </c>
      <c r="I1" t="str">
        <v>mhydro</v>
      </c>
      <c r="J1" t="str">
        <v>solar</v>
      </c>
      <c r="K1" t="str">
        <v>wind</v>
      </c>
      <c r="L1" t="str">
        <v>biomass</v>
      </c>
      <c r="M1" t="str">
        <v>ocean</v>
      </c>
      <c r="N1" t="str">
        <v>waste</v>
      </c>
      <c r="O1" t="str">
        <v>storage</v>
      </c>
      <c r="P1" t="str">
        <v>total</v>
      </c>
    </row>
    <row r="2" spans="1:16" x14ac:dyDescent="0.25">
      <c r="A2" t="str">
        <f>sets_indices!B15</f>
        <v>INDONESIA</v>
      </c>
      <c r="B2">
        <v>2019</v>
      </c>
      <c r="C2" s="11">
        <f>SUM(C3:C8)</f>
        <v>34457.47</v>
      </c>
      <c r="D2" s="11">
        <f t="shared" ref="D2:P2" si="0">SUM(D3:D8)</f>
        <v>5638.72</v>
      </c>
      <c r="E2" s="11">
        <f t="shared" si="0"/>
        <v>11525.460000000001</v>
      </c>
      <c r="F2" s="11">
        <f t="shared" si="0"/>
        <v>6623.4</v>
      </c>
      <c r="G2" s="11">
        <f t="shared" si="0"/>
        <v>1986.3999999999999</v>
      </c>
      <c r="H2" s="11">
        <f t="shared" si="0"/>
        <v>5689.6399999999994</v>
      </c>
      <c r="I2" s="11">
        <f t="shared" si="0"/>
        <v>169.62</v>
      </c>
      <c r="J2" s="11">
        <f t="shared" si="0"/>
        <v>17.52</v>
      </c>
      <c r="K2" s="11">
        <f t="shared" si="0"/>
        <v>0</v>
      </c>
      <c r="L2" s="11">
        <f t="shared" si="0"/>
        <v>142.85</v>
      </c>
      <c r="M2" s="11">
        <f t="shared" si="0"/>
        <v>0</v>
      </c>
      <c r="N2" s="11">
        <f t="shared" si="0"/>
        <v>0</v>
      </c>
      <c r="O2" s="11">
        <f t="shared" si="0"/>
        <v>0</v>
      </c>
      <c r="P2" s="11">
        <f t="shared" si="0"/>
        <v>66251.08</v>
      </c>
    </row>
    <row r="3" spans="1:16" x14ac:dyDescent="0.25">
      <c r="A3" t="str">
        <f>sets_indices!B16</f>
        <v>SUMATERA</v>
      </c>
      <c r="B3">
        <v>2019</v>
      </c>
      <c r="C3" s="11">
        <f>SUM([1]Capacity!C$6:C$15)</f>
        <v>5328.13</v>
      </c>
      <c r="D3" s="11">
        <f>SUM([1]Capacity!D$6:D$15)</f>
        <v>1253.6999999999998</v>
      </c>
      <c r="E3" s="11">
        <f>SUM([1]Capacity!E$6:E$15)</f>
        <v>1289.43</v>
      </c>
      <c r="F3" s="11">
        <f>SUM([1]Capacity!F$6:F$15)</f>
        <v>2494.56</v>
      </c>
      <c r="G3" s="11">
        <f>SUM([1]Capacity!G$6:G$15)</f>
        <v>677</v>
      </c>
      <c r="H3" s="11">
        <f>SUM([1]Capacity!H$6:H$15)</f>
        <v>1959.96</v>
      </c>
      <c r="I3" s="11">
        <f>SUM([1]Capacity!I$6:I$15)</f>
        <v>70.260000000000005</v>
      </c>
      <c r="J3" s="11">
        <f>SUM([1]Capacity!J$6:J$15)</f>
        <v>1.1300000000000001</v>
      </c>
      <c r="K3" s="11">
        <v>0</v>
      </c>
      <c r="L3" s="11">
        <f>SUM([1]Capacity!K$6:K$15)</f>
        <v>36.599999999999994</v>
      </c>
      <c r="M3" s="11">
        <v>0</v>
      </c>
      <c r="N3" s="11">
        <v>0</v>
      </c>
      <c r="O3" s="11">
        <v>0</v>
      </c>
      <c r="P3" s="11">
        <f t="shared" ref="P3:P8" si="1">SUM(C3:O3)</f>
        <v>13110.769999999999</v>
      </c>
    </row>
    <row r="4" spans="1:16" x14ac:dyDescent="0.25">
      <c r="A4" t="str">
        <f>sets_indices!B17</f>
        <v>JAWA</v>
      </c>
      <c r="B4">
        <v>2019</v>
      </c>
      <c r="C4" s="11">
        <f>SUM([1]Capacity!C$16:C$21)</f>
        <v>23045</v>
      </c>
      <c r="D4" s="11">
        <f>SUM([1]Capacity!D$16:D$21)</f>
        <v>2896.7400000000002</v>
      </c>
      <c r="E4" s="11">
        <f>SUM([1]Capacity!E$16:E$21)</f>
        <v>9861.0300000000007</v>
      </c>
      <c r="F4" s="11">
        <f>SUM([1]Capacity!F$16:F$21)</f>
        <v>33.130000000000003</v>
      </c>
      <c r="G4" s="11">
        <f>SUM([1]Capacity!G$16:G$21)</f>
        <v>1204.8</v>
      </c>
      <c r="H4" s="11">
        <f>SUM([1]Capacity!H$16:H$21)</f>
        <v>2599.35</v>
      </c>
      <c r="I4" s="11">
        <f>SUM([1]Capacity!I$16:I$21)</f>
        <v>17.350000000000001</v>
      </c>
      <c r="J4" s="11">
        <f>SUM([1]Capacity!J$16:J$21)</f>
        <v>1</v>
      </c>
      <c r="K4" s="11">
        <v>0</v>
      </c>
      <c r="L4" s="11">
        <f>SUM([1]Capacity!K$16:K$21)</f>
        <v>8</v>
      </c>
      <c r="M4" s="11">
        <v>0</v>
      </c>
      <c r="N4" s="11">
        <v>0</v>
      </c>
      <c r="O4" s="11">
        <v>0</v>
      </c>
      <c r="P4" s="11">
        <f t="shared" si="1"/>
        <v>39666.400000000001</v>
      </c>
    </row>
    <row r="5" spans="1:16" x14ac:dyDescent="0.25">
      <c r="A5" t="str">
        <f>sets_indices!B18</f>
        <v>BALI_NT</v>
      </c>
      <c r="B5">
        <v>2019</v>
      </c>
      <c r="C5" s="11">
        <f>SUM([1]Capacity!C$22:C$24)-356.74</f>
        <v>519.33999999999992</v>
      </c>
      <c r="D5" s="11">
        <f>SUM([1]Capacity!D$22:D$24)</f>
        <v>660.53</v>
      </c>
      <c r="E5" s="11">
        <f>SUM([1]Capacity!E$22:E$24)</f>
        <v>0</v>
      </c>
      <c r="F5" s="11">
        <f>SUM([1]Capacity!F$22:F$24)</f>
        <v>582.04999999999995</v>
      </c>
      <c r="G5" s="11">
        <f>SUM([1]Capacity!G$22:G$24)</f>
        <v>24.6</v>
      </c>
      <c r="H5" s="11">
        <f>SUM([1]Capacity!H$22:H$24)</f>
        <v>7.3000000000000007</v>
      </c>
      <c r="I5" s="11">
        <f>SUM([1]Capacity!I$22:I$24)</f>
        <v>16</v>
      </c>
      <c r="J5" s="11">
        <f>SUM([1]Capacity!J$22:J$24)</f>
        <v>4.13</v>
      </c>
      <c r="K5" s="11">
        <v>0</v>
      </c>
      <c r="L5" s="11">
        <f>SUM([1]Capacity!K$22:K$24)</f>
        <v>0</v>
      </c>
      <c r="M5" s="11">
        <v>0</v>
      </c>
      <c r="N5" s="11">
        <v>0</v>
      </c>
      <c r="O5" s="11">
        <v>0</v>
      </c>
      <c r="P5" s="11">
        <f t="shared" si="1"/>
        <v>1813.9499999999998</v>
      </c>
    </row>
    <row r="6" spans="1:16" x14ac:dyDescent="0.25">
      <c r="A6" t="str">
        <f>sets_indices!B19</f>
        <v>KALIMANTAN</v>
      </c>
      <c r="B6">
        <v>2019</v>
      </c>
      <c r="C6" s="11">
        <f>SUM([1]Capacity!C$25:C$29)</f>
        <v>2450.5</v>
      </c>
      <c r="D6" s="11">
        <f>SUM([1]Capacity!D$25:D$29)</f>
        <v>535.03</v>
      </c>
      <c r="E6" s="11">
        <f>SUM([1]Capacity!E$25:E$29)</f>
        <v>60</v>
      </c>
      <c r="F6" s="11">
        <f>SUM([1]Capacity!F$25:F$29)</f>
        <v>1724.67</v>
      </c>
      <c r="G6" s="11">
        <f>SUM([1]Capacity!G$25:G$29)</f>
        <v>0</v>
      </c>
      <c r="H6" s="11">
        <f>SUM([1]Capacity!H$25:H$29)</f>
        <v>264.27</v>
      </c>
      <c r="I6" s="11">
        <f>SUM([1]Capacity!I$25:I$29)</f>
        <v>3.46</v>
      </c>
      <c r="J6" s="11">
        <f>SUM([1]Capacity!J$25:J$29)</f>
        <v>0.61</v>
      </c>
      <c r="K6" s="11">
        <v>0</v>
      </c>
      <c r="L6" s="11">
        <f>SUM([1]Capacity!K$25:K$29)</f>
        <v>97.75</v>
      </c>
      <c r="M6" s="11">
        <v>0</v>
      </c>
      <c r="N6" s="11">
        <v>0</v>
      </c>
      <c r="O6" s="11">
        <v>0</v>
      </c>
      <c r="P6" s="11">
        <f t="shared" si="1"/>
        <v>5136.2899999999991</v>
      </c>
    </row>
    <row r="7" spans="1:16" x14ac:dyDescent="0.25">
      <c r="A7" t="str">
        <f>sets_indices!B20</f>
        <v>SULAWESI</v>
      </c>
      <c r="B7">
        <v>2019</v>
      </c>
      <c r="C7" s="11">
        <f>SUM([1]Capacity!C$30:C$35)</f>
        <v>2835.5</v>
      </c>
      <c r="D7" s="11">
        <f>SUM([1]Capacity!D$30:D$35)</f>
        <v>288.72000000000003</v>
      </c>
      <c r="E7" s="11">
        <f>SUM([1]Capacity!E$30:E$35)</f>
        <v>315</v>
      </c>
      <c r="F7" s="11">
        <f>SUM([1]Capacity!F$30:F$35)</f>
        <v>895.93</v>
      </c>
      <c r="G7" s="11">
        <f>SUM([1]Capacity!G$30:G$35)</f>
        <v>80</v>
      </c>
      <c r="H7" s="11">
        <f>SUM([1]Capacity!H$30:H$35)</f>
        <v>828.97</v>
      </c>
      <c r="I7" s="11">
        <f>SUM([1]Capacity!I$30:I$35)</f>
        <v>62.55</v>
      </c>
      <c r="J7" s="11">
        <f>SUM([1]Capacity!J$30:J$35)</f>
        <v>4.24</v>
      </c>
      <c r="K7" s="11">
        <v>0</v>
      </c>
      <c r="L7" s="11">
        <f>SUM([1]Capacity!K$30:K$35)</f>
        <v>0.5</v>
      </c>
      <c r="M7" s="11">
        <v>0</v>
      </c>
      <c r="N7" s="11">
        <v>0</v>
      </c>
      <c r="O7" s="11">
        <v>0</v>
      </c>
      <c r="P7" s="11">
        <f t="shared" si="1"/>
        <v>5311.4100000000008</v>
      </c>
    </row>
    <row r="8" spans="1:16" x14ac:dyDescent="0.25">
      <c r="A8" t="str">
        <f>sets_indices!B21</f>
        <v>MALUKU_PAPUA</v>
      </c>
      <c r="B8">
        <v>2019</v>
      </c>
      <c r="C8" s="11">
        <f>SUM([1]Capacity!C$36:C$39)</f>
        <v>279</v>
      </c>
      <c r="D8" s="11">
        <f>SUM([1]Capacity!D$36:D$39)</f>
        <v>4</v>
      </c>
      <c r="E8" s="11">
        <f>SUM([1]Capacity!E$36:E$39)</f>
        <v>0</v>
      </c>
      <c r="F8" s="11">
        <f>SUM([1]Capacity!F$36:F$39)</f>
        <v>893.06</v>
      </c>
      <c r="G8" s="11">
        <f>SUM([1]Capacity!G$36:G$39)</f>
        <v>0</v>
      </c>
      <c r="H8" s="11">
        <f>SUM([1]Capacity!H$36:H$39)</f>
        <v>29.79</v>
      </c>
      <c r="I8" s="11">
        <f>SUM([1]Capacity!I$36:I$39)</f>
        <v>0</v>
      </c>
      <c r="J8" s="11">
        <f>SUM([1]Capacity!J$36:J$39)</f>
        <v>6.41</v>
      </c>
      <c r="K8" s="11">
        <v>0</v>
      </c>
      <c r="L8" s="11">
        <f>SUM([1]Capacity!K$36:K$39)</f>
        <v>0</v>
      </c>
      <c r="M8" s="11">
        <v>0</v>
      </c>
      <c r="N8" s="11">
        <v>0</v>
      </c>
      <c r="O8" s="11">
        <v>0</v>
      </c>
      <c r="P8" s="11">
        <f t="shared" si="1"/>
        <v>1212.26</v>
      </c>
    </row>
    <row r="10" spans="1:16" x14ac:dyDescent="0.25">
      <c r="A10" s="6" t="s">
        <v>102</v>
      </c>
      <c r="B10" s="9" t="s">
        <v>106</v>
      </c>
    </row>
    <row r="11" spans="1:16" x14ac:dyDescent="0.25">
      <c r="A11" s="6" t="s">
        <v>104</v>
      </c>
      <c r="B11" s="10" t="s">
        <v>107</v>
      </c>
    </row>
  </sheetData>
  <hyperlinks>
    <hyperlink ref="B11" r:id="rId1" display="https://www.bps.go.id/publication/2020/12/21/156002f4b8b460ef941fa985/statistik-listrik-2014-2019.html" xr:uid="{FE04FEEA-A1F1-48BF-A7B7-75644673E1D6}"/>
  </hyperlinks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BB0A-91F1-46A3-8624-6667BB5C11DB}">
  <sheetPr codeName="Sheet6"/>
  <dimension ref="A1:H144"/>
  <sheetViews>
    <sheetView zoomScaleNormal="100" workbookViewId="0">
      <pane xSplit="2" ySplit="1" topLeftCell="C59" activePane="bottomRight" state="frozen"/>
      <selection pane="topRight" activeCell="D1" sqref="D1"/>
      <selection pane="bottomLeft" activeCell="A3" sqref="A3"/>
      <selection pane="bottomRight" activeCell="E71" sqref="E71"/>
    </sheetView>
  </sheetViews>
  <sheetFormatPr defaultRowHeight="15" x14ac:dyDescent="0.25"/>
  <cols>
    <col min="1" max="1" width="19.140625" customWidth="1"/>
    <col min="2" max="2" width="9.5703125" style="12" bestFit="1" customWidth="1"/>
    <col min="3" max="3" width="17.7109375" style="11" customWidth="1"/>
    <col min="4" max="4" width="18.42578125" style="11" customWidth="1"/>
    <col min="5" max="5" width="16.85546875" style="11" customWidth="1"/>
    <col min="6" max="7" width="18.42578125" style="11" customWidth="1"/>
    <col min="8" max="8" width="10.5703125" bestFit="1" customWidth="1"/>
  </cols>
  <sheetData>
    <row r="1" spans="1:8" x14ac:dyDescent="0.25">
      <c r="A1" t="str">
        <f t="array" ref="A1:B1">TRANSPOSE(sets_indices!B22:B23)</f>
        <v>region</v>
      </c>
      <c r="B1" s="12" t="str">
        <v>year</v>
      </c>
      <c r="C1" s="11" t="str">
        <f>variables!B6</f>
        <v>dem_gwh_tot</v>
      </c>
      <c r="D1" s="11" t="s">
        <v>183</v>
      </c>
      <c r="E1" s="11" t="s">
        <v>144</v>
      </c>
      <c r="F1" s="11" t="s">
        <v>182</v>
      </c>
      <c r="G1" s="11" t="s">
        <v>143</v>
      </c>
    </row>
    <row r="2" spans="1:8" x14ac:dyDescent="0.25">
      <c r="A2" t="s">
        <v>3</v>
      </c>
      <c r="B2" s="15">
        <v>2019</v>
      </c>
      <c r="C2" s="11">
        <v>289000</v>
      </c>
      <c r="D2" s="11">
        <f>C2</f>
        <v>289000</v>
      </c>
      <c r="E2" s="11">
        <v>41832</v>
      </c>
      <c r="F2" s="11">
        <v>316000</v>
      </c>
      <c r="H2" s="46"/>
    </row>
    <row r="3" spans="1:8" x14ac:dyDescent="0.25">
      <c r="A3" t="s">
        <v>3</v>
      </c>
      <c r="B3" s="15">
        <v>2020</v>
      </c>
      <c r="C3" s="11">
        <v>315000</v>
      </c>
      <c r="D3" s="11">
        <f t="shared" ref="D3:D66" si="0">C3</f>
        <v>315000</v>
      </c>
      <c r="E3" s="11">
        <v>44624</v>
      </c>
      <c r="F3" s="11">
        <v>345000</v>
      </c>
      <c r="G3" s="39">
        <f>(E3-E2)/E2</f>
        <v>6.6743163128705291E-2</v>
      </c>
    </row>
    <row r="4" spans="1:8" x14ac:dyDescent="0.25">
      <c r="A4" t="s">
        <v>3</v>
      </c>
      <c r="B4" s="15">
        <v>2021</v>
      </c>
      <c r="C4" s="11">
        <v>355000</v>
      </c>
      <c r="D4" s="11">
        <f t="shared" si="0"/>
        <v>355000</v>
      </c>
      <c r="E4" s="11">
        <v>47627</v>
      </c>
      <c r="F4" s="11">
        <v>388000</v>
      </c>
      <c r="G4" s="39">
        <f t="shared" ref="G4:G61" si="1">(E4-E3)/E3</f>
        <v>6.7295625672283976E-2</v>
      </c>
    </row>
    <row r="5" spans="1:8" x14ac:dyDescent="0.25">
      <c r="A5" t="s">
        <v>3</v>
      </c>
      <c r="B5" s="15">
        <v>2022</v>
      </c>
      <c r="C5" s="11">
        <v>375000</v>
      </c>
      <c r="D5" s="11">
        <f t="shared" si="0"/>
        <v>375000</v>
      </c>
      <c r="E5" s="11">
        <v>51006</v>
      </c>
      <c r="F5" s="11">
        <v>410000</v>
      </c>
      <c r="G5" s="39">
        <f t="shared" si="1"/>
        <v>7.0947151825645122E-2</v>
      </c>
    </row>
    <row r="6" spans="1:8" x14ac:dyDescent="0.25">
      <c r="A6" t="s">
        <v>3</v>
      </c>
      <c r="B6" s="15">
        <v>2023</v>
      </c>
      <c r="C6" s="11">
        <v>399000</v>
      </c>
      <c r="D6" s="11">
        <f t="shared" si="0"/>
        <v>399000</v>
      </c>
      <c r="E6" s="11">
        <v>54471</v>
      </c>
      <c r="F6" s="11">
        <v>434000</v>
      </c>
      <c r="G6" s="39">
        <f t="shared" si="1"/>
        <v>6.7933184331255142E-2</v>
      </c>
    </row>
    <row r="7" spans="1:8" x14ac:dyDescent="0.25">
      <c r="A7" t="s">
        <v>3</v>
      </c>
      <c r="B7" s="15">
        <v>2024</v>
      </c>
      <c r="C7" s="11">
        <v>429000</v>
      </c>
      <c r="D7" s="11">
        <f t="shared" si="0"/>
        <v>429000</v>
      </c>
      <c r="E7" s="11">
        <v>57717</v>
      </c>
      <c r="F7" s="11">
        <v>467000</v>
      </c>
      <c r="G7" s="39">
        <f t="shared" si="1"/>
        <v>5.9591342182078538E-2</v>
      </c>
    </row>
    <row r="8" spans="1:8" x14ac:dyDescent="0.25">
      <c r="A8" t="s">
        <v>3</v>
      </c>
      <c r="B8" s="15">
        <v>2025</v>
      </c>
      <c r="C8" s="11">
        <v>460000</v>
      </c>
      <c r="D8" s="11">
        <f t="shared" si="0"/>
        <v>460000</v>
      </c>
      <c r="E8" s="11">
        <v>61149</v>
      </c>
      <c r="F8" s="11">
        <v>500000</v>
      </c>
      <c r="G8" s="39">
        <f t="shared" si="1"/>
        <v>5.9462550028587767E-2</v>
      </c>
    </row>
    <row r="9" spans="1:8" x14ac:dyDescent="0.25">
      <c r="A9" t="s">
        <v>3</v>
      </c>
      <c r="B9" s="15">
        <v>2026</v>
      </c>
      <c r="C9" s="11">
        <v>499000</v>
      </c>
      <c r="D9" s="11">
        <f t="shared" si="0"/>
        <v>499000</v>
      </c>
      <c r="E9" s="11">
        <v>64759</v>
      </c>
      <c r="F9" s="11">
        <v>541000</v>
      </c>
      <c r="G9" s="39">
        <f t="shared" si="1"/>
        <v>5.9036124875304581E-2</v>
      </c>
    </row>
    <row r="10" spans="1:8" x14ac:dyDescent="0.25">
      <c r="A10" t="s">
        <v>3</v>
      </c>
      <c r="B10" s="15">
        <v>2027</v>
      </c>
      <c r="C10" s="11">
        <v>543000</v>
      </c>
      <c r="D10" s="11">
        <f t="shared" si="0"/>
        <v>543000</v>
      </c>
      <c r="E10" s="11">
        <v>69580</v>
      </c>
      <c r="F10" s="11">
        <v>589000</v>
      </c>
      <c r="G10" s="39">
        <f t="shared" si="1"/>
        <v>7.4445250853163267E-2</v>
      </c>
    </row>
    <row r="11" spans="1:8" x14ac:dyDescent="0.25">
      <c r="A11" t="s">
        <v>3</v>
      </c>
      <c r="B11" s="15">
        <v>2028</v>
      </c>
      <c r="C11" s="11">
        <v>573000</v>
      </c>
      <c r="D11" s="11">
        <f t="shared" si="0"/>
        <v>573000</v>
      </c>
      <c r="E11" s="11">
        <v>73628</v>
      </c>
      <c r="F11" s="11">
        <v>620000</v>
      </c>
      <c r="G11" s="39">
        <f t="shared" si="1"/>
        <v>5.8177637252083934E-2</v>
      </c>
    </row>
    <row r="12" spans="1:8" x14ac:dyDescent="0.25">
      <c r="A12" t="s">
        <v>3</v>
      </c>
      <c r="B12" s="15">
        <v>2029</v>
      </c>
      <c r="C12" s="11">
        <v>606000</v>
      </c>
      <c r="D12" s="11">
        <f t="shared" si="0"/>
        <v>606000</v>
      </c>
      <c r="E12" s="11">
        <f>E11*(1+AVERAGE($G$3:$G$11))</f>
        <v>78402.6287906465</v>
      </c>
      <c r="F12" s="11">
        <v>653000</v>
      </c>
      <c r="G12" s="39">
        <f t="shared" si="1"/>
        <v>6.484800334990086E-2</v>
      </c>
    </row>
    <row r="13" spans="1:8" x14ac:dyDescent="0.25">
      <c r="A13" t="s">
        <v>3</v>
      </c>
      <c r="B13" s="15">
        <v>2030</v>
      </c>
      <c r="C13" s="11">
        <v>639000</v>
      </c>
      <c r="D13" s="11">
        <f t="shared" si="0"/>
        <v>639000</v>
      </c>
      <c r="E13" s="11">
        <f t="shared" ref="E13:E21" si="2">E12*(1+AVERAGE($G$3:$G$11))</f>
        <v>83486.88272510338</v>
      </c>
      <c r="F13" s="11">
        <v>688000</v>
      </c>
      <c r="G13" s="39">
        <f t="shared" si="1"/>
        <v>6.4848003349900887E-2</v>
      </c>
    </row>
    <row r="14" spans="1:8" x14ac:dyDescent="0.25">
      <c r="A14" t="s">
        <v>3</v>
      </c>
      <c r="B14" s="15">
        <v>2031</v>
      </c>
      <c r="C14" s="11">
        <v>678000</v>
      </c>
      <c r="D14" s="11">
        <f t="shared" si="0"/>
        <v>678000</v>
      </c>
      <c r="E14" s="11">
        <f t="shared" si="2"/>
        <v>88900.840375733664</v>
      </c>
      <c r="F14" s="11">
        <v>728000</v>
      </c>
      <c r="G14" s="39">
        <f t="shared" si="1"/>
        <v>6.484800334990086E-2</v>
      </c>
    </row>
    <row r="15" spans="1:8" x14ac:dyDescent="0.25">
      <c r="A15" t="s">
        <v>3</v>
      </c>
      <c r="B15" s="15">
        <v>2032</v>
      </c>
      <c r="C15" s="11">
        <v>719000</v>
      </c>
      <c r="D15" s="11">
        <f t="shared" si="0"/>
        <v>719000</v>
      </c>
      <c r="E15" s="11">
        <f t="shared" si="2"/>
        <v>94665.882370228239</v>
      </c>
      <c r="F15" s="11">
        <v>771000</v>
      </c>
      <c r="G15" s="39">
        <f t="shared" si="1"/>
        <v>6.4848003349900832E-2</v>
      </c>
    </row>
    <row r="16" spans="1:8" x14ac:dyDescent="0.25">
      <c r="A16" t="s">
        <v>3</v>
      </c>
      <c r="B16" s="15">
        <v>2033</v>
      </c>
      <c r="C16" s="11">
        <v>760000</v>
      </c>
      <c r="D16" s="11">
        <f t="shared" si="0"/>
        <v>760000</v>
      </c>
      <c r="E16" s="11">
        <f t="shared" si="2"/>
        <v>100804.77582729411</v>
      </c>
      <c r="F16" s="11">
        <v>813000</v>
      </c>
      <c r="G16" s="39">
        <f t="shared" si="1"/>
        <v>6.484800334990079E-2</v>
      </c>
    </row>
    <row r="17" spans="1:7" x14ac:dyDescent="0.25">
      <c r="A17" t="s">
        <v>3</v>
      </c>
      <c r="B17" s="15">
        <v>2034</v>
      </c>
      <c r="C17" s="11">
        <v>807000</v>
      </c>
      <c r="D17" s="11">
        <f t="shared" si="0"/>
        <v>807000</v>
      </c>
      <c r="E17" s="11">
        <f t="shared" si="2"/>
        <v>107341.76426782849</v>
      </c>
      <c r="F17" s="11">
        <v>862000</v>
      </c>
      <c r="G17" s="39">
        <f t="shared" si="1"/>
        <v>6.4848003349900887E-2</v>
      </c>
    </row>
    <row r="18" spans="1:7" x14ac:dyDescent="0.25">
      <c r="A18" t="s">
        <v>3</v>
      </c>
      <c r="B18" s="15">
        <v>2035</v>
      </c>
      <c r="C18" s="11">
        <v>855000</v>
      </c>
      <c r="D18" s="11">
        <f t="shared" si="0"/>
        <v>855000</v>
      </c>
      <c r="E18" s="11">
        <f t="shared" si="2"/>
        <v>114302.66335665289</v>
      </c>
      <c r="F18" s="11">
        <v>911000</v>
      </c>
      <c r="G18" s="39">
        <f t="shared" si="1"/>
        <v>6.4848003349900776E-2</v>
      </c>
    </row>
    <row r="19" spans="1:7" x14ac:dyDescent="0.25">
      <c r="A19" t="s">
        <v>3</v>
      </c>
      <c r="B19" s="15">
        <v>2036</v>
      </c>
      <c r="C19" s="11">
        <v>908000</v>
      </c>
      <c r="D19" s="11">
        <f t="shared" si="0"/>
        <v>908000</v>
      </c>
      <c r="E19" s="11">
        <f t="shared" si="2"/>
        <v>121714.9628529077</v>
      </c>
      <c r="F19" s="11">
        <v>966000</v>
      </c>
      <c r="G19" s="39">
        <f t="shared" si="1"/>
        <v>6.4848003349900804E-2</v>
      </c>
    </row>
    <row r="20" spans="1:7" x14ac:dyDescent="0.25">
      <c r="A20" t="s">
        <v>3</v>
      </c>
      <c r="B20" s="15">
        <v>2037</v>
      </c>
      <c r="C20" s="11">
        <v>963000</v>
      </c>
      <c r="D20" s="11">
        <f t="shared" si="0"/>
        <v>963000</v>
      </c>
      <c r="E20" s="11">
        <f t="shared" si="2"/>
        <v>129607.93517172612</v>
      </c>
      <c r="F20" s="11">
        <v>1023000</v>
      </c>
      <c r="G20" s="39">
        <f t="shared" si="1"/>
        <v>6.4848003349900832E-2</v>
      </c>
    </row>
    <row r="21" spans="1:7" x14ac:dyDescent="0.25">
      <c r="A21" t="s">
        <v>3</v>
      </c>
      <c r="B21" s="15">
        <v>2038</v>
      </c>
      <c r="C21" s="11">
        <v>1026000</v>
      </c>
      <c r="D21" s="11">
        <f t="shared" si="0"/>
        <v>1026000</v>
      </c>
      <c r="E21" s="11">
        <f t="shared" si="2"/>
        <v>138012.75098591595</v>
      </c>
      <c r="F21" s="11">
        <v>1089000</v>
      </c>
      <c r="G21" s="39">
        <f t="shared" si="1"/>
        <v>6.4848003349900873E-2</v>
      </c>
    </row>
    <row r="22" spans="1:7" x14ac:dyDescent="0.25">
      <c r="A22" t="s">
        <v>4</v>
      </c>
      <c r="B22" s="15">
        <v>2019</v>
      </c>
      <c r="C22" s="11">
        <v>51583</v>
      </c>
      <c r="D22" s="11">
        <f t="shared" si="0"/>
        <v>51583</v>
      </c>
      <c r="E22" s="11">
        <v>7006</v>
      </c>
      <c r="F22" s="11">
        <v>59549</v>
      </c>
    </row>
    <row r="23" spans="1:7" x14ac:dyDescent="0.25">
      <c r="A23" t="s">
        <v>4</v>
      </c>
      <c r="B23" s="15">
        <v>2020</v>
      </c>
      <c r="C23" s="11">
        <v>57071</v>
      </c>
      <c r="D23" s="11">
        <f t="shared" si="0"/>
        <v>57071</v>
      </c>
      <c r="E23" s="11">
        <v>7563</v>
      </c>
      <c r="F23" s="11">
        <v>65908</v>
      </c>
      <c r="G23" s="39">
        <f t="shared" si="1"/>
        <v>7.9503282900371106E-2</v>
      </c>
    </row>
    <row r="24" spans="1:7" x14ac:dyDescent="0.25">
      <c r="A24" t="s">
        <v>4</v>
      </c>
      <c r="B24" s="15">
        <v>2021</v>
      </c>
      <c r="C24" s="11">
        <v>62727</v>
      </c>
      <c r="D24" s="11">
        <f t="shared" si="0"/>
        <v>62727</v>
      </c>
      <c r="E24" s="11">
        <v>8196</v>
      </c>
      <c r="F24" s="11">
        <v>71772</v>
      </c>
      <c r="G24" s="39">
        <f t="shared" si="1"/>
        <v>8.3696945656485527E-2</v>
      </c>
    </row>
    <row r="25" spans="1:7" x14ac:dyDescent="0.25">
      <c r="A25" t="s">
        <v>4</v>
      </c>
      <c r="B25" s="15">
        <v>2022</v>
      </c>
      <c r="C25" s="11">
        <v>68154</v>
      </c>
      <c r="D25" s="11">
        <f t="shared" si="0"/>
        <v>68154</v>
      </c>
      <c r="E25" s="11">
        <v>9078</v>
      </c>
      <c r="F25" s="11">
        <v>77828</v>
      </c>
      <c r="G25" s="39">
        <f t="shared" si="1"/>
        <v>0.10761346998535871</v>
      </c>
    </row>
    <row r="26" spans="1:7" x14ac:dyDescent="0.25">
      <c r="A26" t="s">
        <v>4</v>
      </c>
      <c r="B26" s="15">
        <v>2023</v>
      </c>
      <c r="C26" s="11">
        <v>74249</v>
      </c>
      <c r="D26" s="11">
        <f t="shared" si="0"/>
        <v>74249</v>
      </c>
      <c r="E26" s="11">
        <v>9947</v>
      </c>
      <c r="F26" s="11">
        <v>84581</v>
      </c>
      <c r="G26" s="39">
        <f t="shared" si="1"/>
        <v>9.5725930821766905E-2</v>
      </c>
    </row>
    <row r="27" spans="1:7" x14ac:dyDescent="0.25">
      <c r="A27" t="s">
        <v>4</v>
      </c>
      <c r="B27" s="15">
        <v>2024</v>
      </c>
      <c r="C27" s="11">
        <v>82533</v>
      </c>
      <c r="D27" s="11">
        <f t="shared" si="0"/>
        <v>82533</v>
      </c>
      <c r="E27" s="11">
        <v>10587</v>
      </c>
      <c r="F27" s="11">
        <v>93559</v>
      </c>
      <c r="G27" s="39">
        <f t="shared" si="1"/>
        <v>6.4341007338896153E-2</v>
      </c>
    </row>
    <row r="28" spans="1:7" x14ac:dyDescent="0.25">
      <c r="A28" t="s">
        <v>4</v>
      </c>
      <c r="B28" s="15">
        <v>2025</v>
      </c>
      <c r="C28" s="11">
        <v>90974</v>
      </c>
      <c r="D28" s="11">
        <f t="shared" si="0"/>
        <v>90974</v>
      </c>
      <c r="E28" s="11">
        <v>11278</v>
      </c>
      <c r="F28" s="11">
        <v>102816</v>
      </c>
      <c r="G28" s="39">
        <f t="shared" si="1"/>
        <v>6.5268725795787283E-2</v>
      </c>
    </row>
    <row r="29" spans="1:7" x14ac:dyDescent="0.25">
      <c r="A29" t="s">
        <v>4</v>
      </c>
      <c r="B29" s="15">
        <v>2026</v>
      </c>
      <c r="C29" s="11">
        <v>101129</v>
      </c>
      <c r="D29" s="11">
        <f t="shared" si="0"/>
        <v>101129</v>
      </c>
      <c r="E29" s="11">
        <v>11988</v>
      </c>
      <c r="F29" s="11">
        <v>128296</v>
      </c>
      <c r="G29" s="39">
        <f t="shared" si="1"/>
        <v>6.2954424543358756E-2</v>
      </c>
    </row>
    <row r="30" spans="1:7" x14ac:dyDescent="0.25">
      <c r="A30" t="s">
        <v>4</v>
      </c>
      <c r="B30" s="15">
        <v>2027</v>
      </c>
      <c r="C30" s="11">
        <v>113114</v>
      </c>
      <c r="D30" s="11">
        <f t="shared" si="0"/>
        <v>113114</v>
      </c>
      <c r="E30" s="11">
        <v>13836</v>
      </c>
      <c r="F30" s="11">
        <v>139472</v>
      </c>
      <c r="G30" s="39">
        <f t="shared" si="1"/>
        <v>0.15415415415415415</v>
      </c>
    </row>
    <row r="31" spans="1:7" x14ac:dyDescent="0.25">
      <c r="A31" t="s">
        <v>4</v>
      </c>
      <c r="B31" s="15">
        <v>2028</v>
      </c>
      <c r="C31" s="11">
        <v>120347</v>
      </c>
      <c r="D31" s="11">
        <f t="shared" si="0"/>
        <v>120347</v>
      </c>
      <c r="E31" s="11">
        <v>14711</v>
      </c>
      <c r="F31" s="11">
        <v>151305</v>
      </c>
      <c r="G31" s="39">
        <f t="shared" si="1"/>
        <v>6.3240821046545243E-2</v>
      </c>
    </row>
    <row r="32" spans="1:7" x14ac:dyDescent="0.25">
      <c r="A32" t="s">
        <v>4</v>
      </c>
      <c r="B32" s="15">
        <v>2029</v>
      </c>
      <c r="C32" s="11">
        <v>128006</v>
      </c>
      <c r="D32" s="11">
        <f t="shared" si="0"/>
        <v>128006</v>
      </c>
      <c r="E32" s="11">
        <f>E31*(1+AVERAGE($G$23:$G$31))</f>
        <v>15980.230365705858</v>
      </c>
      <c r="F32" s="11">
        <v>164294</v>
      </c>
      <c r="G32" s="39">
        <f t="shared" si="1"/>
        <v>8.6277640249191642E-2</v>
      </c>
    </row>
    <row r="33" spans="1:7" x14ac:dyDescent="0.25">
      <c r="A33" t="s">
        <v>4</v>
      </c>
      <c r="B33" s="15">
        <v>2030</v>
      </c>
      <c r="C33" s="11">
        <v>135872</v>
      </c>
      <c r="D33" s="11">
        <f t="shared" si="0"/>
        <v>135872</v>
      </c>
      <c r="E33" s="11">
        <f t="shared" ref="E33:E41" si="3">E32*(1+AVERAGE($G$23:$G$31))</f>
        <v>17358.966932297437</v>
      </c>
      <c r="F33" s="11">
        <v>172978</v>
      </c>
      <c r="G33" s="39">
        <f t="shared" si="1"/>
        <v>8.627764024919167E-2</v>
      </c>
    </row>
    <row r="34" spans="1:7" x14ac:dyDescent="0.25">
      <c r="A34" t="s">
        <v>4</v>
      </c>
      <c r="B34" s="15">
        <v>2031</v>
      </c>
      <c r="C34" s="11">
        <v>145019</v>
      </c>
      <c r="D34" s="11">
        <f t="shared" si="0"/>
        <v>145019</v>
      </c>
      <c r="E34" s="11">
        <f t="shared" si="3"/>
        <v>18856.657636379809</v>
      </c>
      <c r="F34" s="11">
        <v>183458</v>
      </c>
      <c r="G34" s="39">
        <f t="shared" si="1"/>
        <v>8.6277640249191614E-2</v>
      </c>
    </row>
    <row r="35" spans="1:7" x14ac:dyDescent="0.25">
      <c r="A35" t="s">
        <v>4</v>
      </c>
      <c r="B35" s="15">
        <v>2032</v>
      </c>
      <c r="C35" s="11">
        <v>154809</v>
      </c>
      <c r="D35" s="11">
        <f t="shared" si="0"/>
        <v>154809</v>
      </c>
      <c r="E35" s="11">
        <f t="shared" si="3"/>
        <v>20483.565560233557</v>
      </c>
      <c r="F35" s="11">
        <v>193824</v>
      </c>
      <c r="G35" s="39">
        <f t="shared" si="1"/>
        <v>8.6277640249191601E-2</v>
      </c>
    </row>
    <row r="36" spans="1:7" x14ac:dyDescent="0.25">
      <c r="A36" t="s">
        <v>4</v>
      </c>
      <c r="B36" s="15">
        <v>2033</v>
      </c>
      <c r="C36" s="11">
        <v>164318</v>
      </c>
      <c r="D36" s="11">
        <f t="shared" si="0"/>
        <v>164318</v>
      </c>
      <c r="E36" s="11">
        <f t="shared" si="3"/>
        <v>22250.839260660119</v>
      </c>
      <c r="F36" s="11">
        <v>203086</v>
      </c>
      <c r="G36" s="39">
        <f t="shared" si="1"/>
        <v>8.6277640249191614E-2</v>
      </c>
    </row>
    <row r="37" spans="1:7" x14ac:dyDescent="0.25">
      <c r="A37" t="s">
        <v>4</v>
      </c>
      <c r="B37" s="15">
        <v>2034</v>
      </c>
      <c r="C37" s="11">
        <v>175443</v>
      </c>
      <c r="D37" s="11">
        <f t="shared" si="0"/>
        <v>175443</v>
      </c>
      <c r="E37" s="11">
        <f t="shared" si="3"/>
        <v>24170.589165633941</v>
      </c>
      <c r="F37" s="11">
        <v>216115</v>
      </c>
      <c r="G37" s="39">
        <f t="shared" si="1"/>
        <v>8.6277640249191573E-2</v>
      </c>
    </row>
    <row r="38" spans="1:7" x14ac:dyDescent="0.25">
      <c r="A38" t="s">
        <v>4</v>
      </c>
      <c r="B38" s="15">
        <v>2035</v>
      </c>
      <c r="C38" s="11">
        <v>186529</v>
      </c>
      <c r="D38" s="11">
        <f t="shared" si="0"/>
        <v>186529</v>
      </c>
      <c r="E38" s="11">
        <f t="shared" si="3"/>
        <v>26255.970562277515</v>
      </c>
      <c r="F38" s="11">
        <v>228779</v>
      </c>
      <c r="G38" s="39">
        <f t="shared" si="1"/>
        <v>8.6277640249191614E-2</v>
      </c>
    </row>
    <row r="39" spans="1:7" x14ac:dyDescent="0.25">
      <c r="A39" t="s">
        <v>4</v>
      </c>
      <c r="B39" s="15">
        <v>2036</v>
      </c>
      <c r="C39" s="11">
        <v>199012</v>
      </c>
      <c r="D39" s="11">
        <f t="shared" si="0"/>
        <v>199012</v>
      </c>
      <c r="E39" s="11">
        <f t="shared" si="3"/>
        <v>28521.27374484306</v>
      </c>
      <c r="F39" s="11">
        <v>250009</v>
      </c>
      <c r="G39" s="39">
        <f t="shared" si="1"/>
        <v>8.6277640249191642E-2</v>
      </c>
    </row>
    <row r="40" spans="1:7" x14ac:dyDescent="0.25">
      <c r="A40" t="s">
        <v>4</v>
      </c>
      <c r="B40" s="15">
        <v>2037</v>
      </c>
      <c r="C40" s="11">
        <v>211866</v>
      </c>
      <c r="D40" s="11">
        <f t="shared" si="0"/>
        <v>211866</v>
      </c>
      <c r="E40" s="11">
        <f t="shared" si="3"/>
        <v>30982.021940449344</v>
      </c>
      <c r="F40" s="11">
        <v>280090</v>
      </c>
      <c r="G40" s="39">
        <f t="shared" si="1"/>
        <v>8.6277640249191628E-2</v>
      </c>
    </row>
    <row r="41" spans="1:7" x14ac:dyDescent="0.25">
      <c r="A41" t="s">
        <v>4</v>
      </c>
      <c r="B41" s="15">
        <v>2038</v>
      </c>
      <c r="C41" s="11">
        <v>226751</v>
      </c>
      <c r="D41" s="11">
        <f t="shared" si="0"/>
        <v>226751</v>
      </c>
      <c r="E41" s="11">
        <f t="shared" si="3"/>
        <v>33655.077683619995</v>
      </c>
      <c r="F41" s="11">
        <v>305476</v>
      </c>
      <c r="G41" s="39">
        <f t="shared" si="1"/>
        <v>8.6277640249191656E-2</v>
      </c>
    </row>
    <row r="42" spans="1:7" x14ac:dyDescent="0.25">
      <c r="A42" t="s">
        <v>110</v>
      </c>
      <c r="B42" s="15">
        <v>2019</v>
      </c>
      <c r="C42" s="11">
        <v>187575</v>
      </c>
      <c r="D42" s="11">
        <f t="shared" si="0"/>
        <v>187575</v>
      </c>
      <c r="E42" s="11">
        <v>30067</v>
      </c>
      <c r="F42" s="11">
        <v>202127</v>
      </c>
    </row>
    <row r="43" spans="1:7" x14ac:dyDescent="0.25">
      <c r="A43" t="s">
        <v>110</v>
      </c>
      <c r="B43" s="15">
        <v>2020</v>
      </c>
      <c r="C43" s="11">
        <v>203080</v>
      </c>
      <c r="D43" s="11">
        <f t="shared" si="0"/>
        <v>203080</v>
      </c>
      <c r="E43" s="11">
        <v>31834</v>
      </c>
      <c r="F43" s="11">
        <v>218489</v>
      </c>
      <c r="G43" s="39">
        <f t="shared" si="1"/>
        <v>5.8768749792130905E-2</v>
      </c>
    </row>
    <row r="44" spans="1:7" x14ac:dyDescent="0.25">
      <c r="A44" t="s">
        <v>110</v>
      </c>
      <c r="B44" s="15">
        <v>2021</v>
      </c>
      <c r="C44" s="11">
        <v>217964</v>
      </c>
      <c r="D44" s="11">
        <f t="shared" si="0"/>
        <v>217964</v>
      </c>
      <c r="E44" s="11">
        <v>33694</v>
      </c>
      <c r="F44" s="11">
        <v>234371</v>
      </c>
      <c r="G44" s="39">
        <f t="shared" si="1"/>
        <v>5.8428095746685935E-2</v>
      </c>
    </row>
    <row r="45" spans="1:7" x14ac:dyDescent="0.25">
      <c r="A45" t="s">
        <v>110</v>
      </c>
      <c r="B45" s="15">
        <v>2022</v>
      </c>
      <c r="C45" s="11">
        <v>229142</v>
      </c>
      <c r="D45" s="11">
        <f t="shared" si="0"/>
        <v>229142</v>
      </c>
      <c r="E45" s="11">
        <v>35704</v>
      </c>
      <c r="F45" s="11">
        <v>246346</v>
      </c>
      <c r="G45" s="39">
        <f t="shared" si="1"/>
        <v>5.9654537899922838E-2</v>
      </c>
    </row>
    <row r="46" spans="1:7" x14ac:dyDescent="0.25">
      <c r="A46" t="s">
        <v>110</v>
      </c>
      <c r="B46" s="15">
        <v>2023</v>
      </c>
      <c r="C46" s="11">
        <v>240179</v>
      </c>
      <c r="D46" s="11">
        <f t="shared" si="0"/>
        <v>240179</v>
      </c>
      <c r="E46" s="11">
        <v>37716</v>
      </c>
      <c r="F46" s="11">
        <v>257911</v>
      </c>
      <c r="G46" s="39">
        <f t="shared" si="1"/>
        <v>5.6352229442079321E-2</v>
      </c>
    </row>
    <row r="47" spans="1:7" x14ac:dyDescent="0.25">
      <c r="A47" t="s">
        <v>110</v>
      </c>
      <c r="B47" s="15">
        <v>2024</v>
      </c>
      <c r="C47" s="11">
        <v>252553</v>
      </c>
      <c r="D47" s="11">
        <f t="shared" si="0"/>
        <v>252553</v>
      </c>
      <c r="E47" s="11">
        <v>39814</v>
      </c>
      <c r="F47" s="11">
        <v>270906</v>
      </c>
      <c r="G47" s="39">
        <f t="shared" si="1"/>
        <v>5.5626259412450946E-2</v>
      </c>
    </row>
    <row r="48" spans="1:7" x14ac:dyDescent="0.25">
      <c r="A48" t="s">
        <v>110</v>
      </c>
      <c r="B48" s="15">
        <v>2025</v>
      </c>
      <c r="C48" s="11">
        <v>264290</v>
      </c>
      <c r="D48" s="11">
        <f t="shared" si="0"/>
        <v>264290</v>
      </c>
      <c r="E48" s="11">
        <v>42022</v>
      </c>
      <c r="F48" s="11">
        <v>283248</v>
      </c>
      <c r="G48" s="39">
        <f t="shared" si="1"/>
        <v>5.5457879137991661E-2</v>
      </c>
    </row>
    <row r="49" spans="1:7" x14ac:dyDescent="0.25">
      <c r="A49" t="s">
        <v>110</v>
      </c>
      <c r="B49" s="15">
        <v>2026</v>
      </c>
      <c r="C49" s="11">
        <v>281902</v>
      </c>
      <c r="D49" s="11">
        <f t="shared" si="0"/>
        <v>281902</v>
      </c>
      <c r="E49" s="11">
        <v>44398</v>
      </c>
      <c r="F49" s="11">
        <v>287643</v>
      </c>
      <c r="G49" s="39">
        <f t="shared" si="1"/>
        <v>5.6541811432106993E-2</v>
      </c>
    </row>
    <row r="50" spans="1:7" x14ac:dyDescent="0.25">
      <c r="A50" t="s">
        <v>110</v>
      </c>
      <c r="B50" s="15">
        <v>2027</v>
      </c>
      <c r="C50" s="11">
        <v>300547</v>
      </c>
      <c r="D50" s="11">
        <f t="shared" si="0"/>
        <v>300547</v>
      </c>
      <c r="E50" s="11">
        <v>46813</v>
      </c>
      <c r="F50" s="11">
        <v>309568</v>
      </c>
      <c r="G50" s="39">
        <f t="shared" si="1"/>
        <v>5.4394342087481416E-2</v>
      </c>
    </row>
    <row r="51" spans="1:7" x14ac:dyDescent="0.25">
      <c r="A51" t="s">
        <v>110</v>
      </c>
      <c r="B51" s="15">
        <v>2028</v>
      </c>
      <c r="C51" s="11">
        <v>319265</v>
      </c>
      <c r="D51" s="11">
        <f t="shared" si="0"/>
        <v>319265</v>
      </c>
      <c r="E51" s="11">
        <v>49372</v>
      </c>
      <c r="F51" s="11">
        <v>325403</v>
      </c>
      <c r="G51" s="39">
        <f t="shared" si="1"/>
        <v>5.4664302650973023E-2</v>
      </c>
    </row>
    <row r="52" spans="1:7" x14ac:dyDescent="0.25">
      <c r="A52" t="s">
        <v>110</v>
      </c>
      <c r="B52" s="15">
        <v>2029</v>
      </c>
      <c r="C52" s="11">
        <v>339231</v>
      </c>
      <c r="D52" s="11">
        <f t="shared" si="0"/>
        <v>339231</v>
      </c>
      <c r="E52" s="11">
        <f>E51*(1+AVERAGE($G$43:$G$51))</f>
        <v>52169.133398413025</v>
      </c>
      <c r="F52" s="11">
        <v>341319</v>
      </c>
      <c r="G52" s="39">
        <f t="shared" si="1"/>
        <v>5.6654245289091493E-2</v>
      </c>
    </row>
    <row r="53" spans="1:7" x14ac:dyDescent="0.25">
      <c r="A53" t="s">
        <v>110</v>
      </c>
      <c r="B53" s="15">
        <v>2030</v>
      </c>
      <c r="C53" s="11">
        <v>359968</v>
      </c>
      <c r="D53" s="11">
        <f t="shared" si="0"/>
        <v>359968</v>
      </c>
      <c r="E53" s="11">
        <f t="shared" ref="E53:E61" si="4">E52*(1+AVERAGE($G$43:$G$51))</f>
        <v>55124.736278486052</v>
      </c>
      <c r="F53" s="11">
        <v>360133</v>
      </c>
      <c r="G53" s="39">
        <f t="shared" si="1"/>
        <v>5.6654245289091507E-2</v>
      </c>
    </row>
    <row r="54" spans="1:7" x14ac:dyDescent="0.25">
      <c r="A54" t="s">
        <v>110</v>
      </c>
      <c r="B54" s="15">
        <v>2031</v>
      </c>
      <c r="C54" s="11">
        <v>384123</v>
      </c>
      <c r="D54" s="11">
        <f t="shared" si="0"/>
        <v>384123</v>
      </c>
      <c r="E54" s="11">
        <f t="shared" si="4"/>
        <v>58247.786609103881</v>
      </c>
      <c r="F54" s="11">
        <v>384883</v>
      </c>
      <c r="G54" s="39">
        <f t="shared" si="1"/>
        <v>5.6654245289091486E-2</v>
      </c>
    </row>
    <row r="55" spans="1:7" x14ac:dyDescent="0.25">
      <c r="A55" t="s">
        <v>110</v>
      </c>
      <c r="B55" s="15">
        <v>2032</v>
      </c>
      <c r="C55" s="11">
        <v>409968</v>
      </c>
      <c r="D55" s="11">
        <f t="shared" si="0"/>
        <v>409968</v>
      </c>
      <c r="E55" s="11">
        <f t="shared" si="4"/>
        <v>61547.770999202708</v>
      </c>
      <c r="F55" s="11">
        <v>412240</v>
      </c>
      <c r="G55" s="39">
        <f t="shared" si="1"/>
        <v>5.6654245289091444E-2</v>
      </c>
    </row>
    <row r="56" spans="1:7" x14ac:dyDescent="0.25">
      <c r="A56" t="s">
        <v>110</v>
      </c>
      <c r="B56" s="15">
        <v>2033</v>
      </c>
      <c r="C56" s="11">
        <v>435072</v>
      </c>
      <c r="D56" s="11">
        <f t="shared" si="0"/>
        <v>435072</v>
      </c>
      <c r="E56" s="11">
        <f t="shared" si="4"/>
        <v>65034.713514388372</v>
      </c>
      <c r="F56" s="11">
        <v>439426</v>
      </c>
      <c r="G56" s="39">
        <f t="shared" si="1"/>
        <v>5.6654245289091507E-2</v>
      </c>
    </row>
    <row r="57" spans="1:7" x14ac:dyDescent="0.25">
      <c r="A57" t="s">
        <v>110</v>
      </c>
      <c r="B57" s="15">
        <v>2034</v>
      </c>
      <c r="C57" s="11">
        <v>464393</v>
      </c>
      <c r="D57" s="11">
        <f t="shared" si="0"/>
        <v>464393</v>
      </c>
      <c r="E57" s="11">
        <f t="shared" si="4"/>
        <v>68719.206126138321</v>
      </c>
      <c r="F57" s="11">
        <v>468696</v>
      </c>
      <c r="G57" s="39">
        <f t="shared" si="1"/>
        <v>5.6654245289091444E-2</v>
      </c>
    </row>
    <row r="58" spans="1:7" x14ac:dyDescent="0.25">
      <c r="A58" t="s">
        <v>110</v>
      </c>
      <c r="B58" s="15">
        <v>2035</v>
      </c>
      <c r="C58" s="11">
        <v>493655</v>
      </c>
      <c r="D58" s="11">
        <f t="shared" si="0"/>
        <v>493655</v>
      </c>
      <c r="E58" s="11">
        <f t="shared" si="4"/>
        <v>72612.440886080192</v>
      </c>
      <c r="F58" s="11">
        <v>498643</v>
      </c>
      <c r="G58" s="39">
        <f t="shared" si="1"/>
        <v>5.6654245289091382E-2</v>
      </c>
    </row>
    <row r="59" spans="1:7" x14ac:dyDescent="0.25">
      <c r="A59" t="s">
        <v>110</v>
      </c>
      <c r="B59" s="15">
        <v>2036</v>
      </c>
      <c r="C59" s="11">
        <v>526341</v>
      </c>
      <c r="D59" s="11">
        <f t="shared" si="0"/>
        <v>526341</v>
      </c>
      <c r="E59" s="11">
        <f t="shared" si="4"/>
        <v>76726.243923079834</v>
      </c>
      <c r="F59" s="11">
        <v>522192</v>
      </c>
      <c r="G59" s="39">
        <f t="shared" si="1"/>
        <v>5.6654245289091465E-2</v>
      </c>
    </row>
    <row r="60" spans="1:7" x14ac:dyDescent="0.25">
      <c r="A60" t="s">
        <v>110</v>
      </c>
      <c r="B60" s="15">
        <v>2037</v>
      </c>
      <c r="C60" s="11">
        <v>560085</v>
      </c>
      <c r="D60" s="11">
        <f t="shared" si="0"/>
        <v>560085</v>
      </c>
      <c r="E60" s="11">
        <f t="shared" si="4"/>
        <v>81073.111366408659</v>
      </c>
      <c r="F60" s="11">
        <v>538846</v>
      </c>
      <c r="G60" s="39">
        <f t="shared" si="1"/>
        <v>5.6654245289091423E-2</v>
      </c>
    </row>
    <row r="61" spans="1:7" x14ac:dyDescent="0.25">
      <c r="A61" t="s">
        <v>110</v>
      </c>
      <c r="B61" s="15">
        <v>2038</v>
      </c>
      <c r="C61" s="11">
        <v>598885</v>
      </c>
      <c r="D61" s="11">
        <f t="shared" si="0"/>
        <v>598885</v>
      </c>
      <c r="E61" s="11">
        <f t="shared" si="4"/>
        <v>85666.247304111006</v>
      </c>
      <c r="F61" s="11">
        <v>569240</v>
      </c>
      <c r="G61" s="39">
        <f t="shared" si="1"/>
        <v>5.6654245289091486E-2</v>
      </c>
    </row>
    <row r="62" spans="1:7" x14ac:dyDescent="0.25">
      <c r="A62" t="s">
        <v>111</v>
      </c>
      <c r="B62" s="15">
        <v>2019</v>
      </c>
      <c r="C62" s="11">
        <v>8627</v>
      </c>
      <c r="D62" s="11">
        <f t="shared" si="0"/>
        <v>8627</v>
      </c>
      <c r="E62" s="11">
        <v>932</v>
      </c>
      <c r="F62" s="11">
        <v>7544</v>
      </c>
    </row>
    <row r="63" spans="1:7" x14ac:dyDescent="0.25">
      <c r="A63" t="s">
        <v>111</v>
      </c>
      <c r="B63" s="15">
        <v>2020</v>
      </c>
      <c r="C63" s="11">
        <v>9253</v>
      </c>
      <c r="D63" s="11">
        <f t="shared" si="0"/>
        <v>9253</v>
      </c>
      <c r="E63" s="11">
        <v>982</v>
      </c>
      <c r="F63" s="11">
        <v>7919</v>
      </c>
      <c r="G63" s="39">
        <f>(E63-E62)/E62</f>
        <v>5.3648068669527899E-2</v>
      </c>
    </row>
    <row r="64" spans="1:7" x14ac:dyDescent="0.25">
      <c r="A64" t="s">
        <v>111</v>
      </c>
      <c r="B64" s="15">
        <v>2021</v>
      </c>
      <c r="C64" s="11">
        <v>11683</v>
      </c>
      <c r="D64" s="11">
        <f t="shared" si="0"/>
        <v>11683</v>
      </c>
      <c r="E64" s="11">
        <v>1049</v>
      </c>
      <c r="F64" s="11">
        <v>10148</v>
      </c>
      <c r="G64" s="39">
        <f t="shared" ref="G64:G127" si="5">(E64-E63)/E63</f>
        <v>6.8228105906313646E-2</v>
      </c>
    </row>
    <row r="65" spans="1:7" x14ac:dyDescent="0.25">
      <c r="A65" t="s">
        <v>111</v>
      </c>
      <c r="B65" s="15">
        <v>2022</v>
      </c>
      <c r="C65" s="11">
        <v>12115</v>
      </c>
      <c r="D65" s="11">
        <f t="shared" si="0"/>
        <v>12115</v>
      </c>
      <c r="E65" s="11">
        <v>1120</v>
      </c>
      <c r="F65" s="11">
        <v>10291</v>
      </c>
      <c r="G65" s="39">
        <f t="shared" si="5"/>
        <v>6.7683508102955189E-2</v>
      </c>
    </row>
    <row r="66" spans="1:7" x14ac:dyDescent="0.25">
      <c r="A66" t="s">
        <v>111</v>
      </c>
      <c r="B66" s="15">
        <v>2023</v>
      </c>
      <c r="C66" s="11">
        <v>12451</v>
      </c>
      <c r="D66" s="11">
        <f t="shared" si="0"/>
        <v>12451</v>
      </c>
      <c r="E66" s="11">
        <v>1194</v>
      </c>
      <c r="F66" s="11">
        <v>10370</v>
      </c>
      <c r="G66" s="39">
        <f t="shared" si="5"/>
        <v>6.6071428571428573E-2</v>
      </c>
    </row>
    <row r="67" spans="1:7" x14ac:dyDescent="0.25">
      <c r="A67" t="s">
        <v>111</v>
      </c>
      <c r="B67" s="15">
        <v>2024</v>
      </c>
      <c r="C67" s="11">
        <v>12894</v>
      </c>
      <c r="D67" s="11">
        <f t="shared" ref="D67:D130" si="6">C67</f>
        <v>12894</v>
      </c>
      <c r="E67" s="11">
        <v>1269</v>
      </c>
      <c r="F67" s="11">
        <v>10595</v>
      </c>
      <c r="G67" s="39">
        <f t="shared" si="5"/>
        <v>6.2814070351758788E-2</v>
      </c>
    </row>
    <row r="68" spans="1:7" x14ac:dyDescent="0.25">
      <c r="A68" t="s">
        <v>111</v>
      </c>
      <c r="B68" s="15">
        <v>2025</v>
      </c>
      <c r="C68" s="11">
        <v>13474</v>
      </c>
      <c r="D68" s="11">
        <f t="shared" si="6"/>
        <v>13474</v>
      </c>
      <c r="E68" s="11">
        <v>1346</v>
      </c>
      <c r="F68" s="11">
        <v>10803</v>
      </c>
      <c r="G68" s="39">
        <f t="shared" si="5"/>
        <v>6.0677698975571313E-2</v>
      </c>
    </row>
    <row r="69" spans="1:7" x14ac:dyDescent="0.25">
      <c r="A69" t="s">
        <v>111</v>
      </c>
      <c r="B69" s="15">
        <v>2026</v>
      </c>
      <c r="C69" s="11">
        <v>14161</v>
      </c>
      <c r="D69" s="11">
        <f t="shared" si="6"/>
        <v>14161</v>
      </c>
      <c r="E69" s="11">
        <v>1435</v>
      </c>
      <c r="F69" s="11">
        <v>10911</v>
      </c>
      <c r="G69" s="39">
        <f t="shared" si="5"/>
        <v>6.6121842496285291E-2</v>
      </c>
    </row>
    <row r="70" spans="1:7" x14ac:dyDescent="0.25">
      <c r="A70" t="s">
        <v>111</v>
      </c>
      <c r="B70" s="15">
        <v>2027</v>
      </c>
      <c r="C70" s="11">
        <v>14806</v>
      </c>
      <c r="D70" s="11">
        <f t="shared" si="6"/>
        <v>14806</v>
      </c>
      <c r="E70" s="11">
        <v>1528</v>
      </c>
      <c r="F70" s="11">
        <v>11090</v>
      </c>
      <c r="G70" s="39">
        <f t="shared" si="5"/>
        <v>6.4808362369337985E-2</v>
      </c>
    </row>
    <row r="71" spans="1:7" x14ac:dyDescent="0.25">
      <c r="A71" t="s">
        <v>111</v>
      </c>
      <c r="B71" s="15">
        <v>2028</v>
      </c>
      <c r="C71" s="11">
        <v>15543</v>
      </c>
      <c r="D71" s="11">
        <f t="shared" si="6"/>
        <v>15543</v>
      </c>
      <c r="E71" s="11">
        <v>1625</v>
      </c>
      <c r="F71" s="11">
        <v>11403</v>
      </c>
      <c r="G71" s="39">
        <f t="shared" si="5"/>
        <v>6.3481675392670162E-2</v>
      </c>
    </row>
    <row r="72" spans="1:7" x14ac:dyDescent="0.25">
      <c r="A72" t="s">
        <v>111</v>
      </c>
      <c r="B72" s="15">
        <v>2029</v>
      </c>
      <c r="C72" s="11">
        <v>16297</v>
      </c>
      <c r="D72" s="11">
        <f t="shared" si="6"/>
        <v>16297</v>
      </c>
      <c r="E72" s="11">
        <f>E71*(1+AVERAGE($G$63:$G$71))</f>
        <v>1728.5548873731393</v>
      </c>
      <c r="F72" s="11">
        <v>11753</v>
      </c>
      <c r="G72" s="39">
        <f t="shared" si="5"/>
        <v>6.3726084537316499E-2</v>
      </c>
    </row>
    <row r="73" spans="1:7" x14ac:dyDescent="0.25">
      <c r="A73" t="s">
        <v>111</v>
      </c>
      <c r="B73" s="15">
        <v>2030</v>
      </c>
      <c r="C73" s="11">
        <v>17109</v>
      </c>
      <c r="D73" s="11">
        <f t="shared" si="6"/>
        <v>17109</v>
      </c>
      <c r="E73" s="11">
        <f t="shared" ref="E73:E81" si="7">E72*(1+AVERAGE($G$63:$G$71))</f>
        <v>1838.7089222532716</v>
      </c>
      <c r="F73" s="11">
        <v>14675</v>
      </c>
      <c r="G73" s="39">
        <f t="shared" si="5"/>
        <v>6.3726084537316485E-2</v>
      </c>
    </row>
    <row r="74" spans="1:7" x14ac:dyDescent="0.25">
      <c r="A74" t="s">
        <v>111</v>
      </c>
      <c r="B74" s="15">
        <v>2031</v>
      </c>
      <c r="C74" s="11">
        <v>18105</v>
      </c>
      <c r="D74" s="11">
        <f t="shared" si="6"/>
        <v>18105</v>
      </c>
      <c r="E74" s="11">
        <f t="shared" si="7"/>
        <v>1955.8826424723015</v>
      </c>
      <c r="F74" s="11">
        <v>14966</v>
      </c>
      <c r="G74" s="39">
        <f t="shared" si="5"/>
        <v>6.372608453731643E-2</v>
      </c>
    </row>
    <row r="75" spans="1:7" x14ac:dyDescent="0.25">
      <c r="A75" t="s">
        <v>111</v>
      </c>
      <c r="B75" s="15">
        <v>2032</v>
      </c>
      <c r="C75" s="11">
        <v>19166</v>
      </c>
      <c r="D75" s="11">
        <f t="shared" si="6"/>
        <v>19166</v>
      </c>
      <c r="E75" s="11">
        <f t="shared" si="7"/>
        <v>2080.5233850915611</v>
      </c>
      <c r="F75" s="11">
        <v>15267</v>
      </c>
      <c r="G75" s="39">
        <f t="shared" si="5"/>
        <v>6.3726084537316319E-2</v>
      </c>
    </row>
    <row r="76" spans="1:7" x14ac:dyDescent="0.25">
      <c r="A76" t="s">
        <v>111</v>
      </c>
      <c r="B76" s="15">
        <v>2033</v>
      </c>
      <c r="C76" s="11">
        <v>20105</v>
      </c>
      <c r="D76" s="11">
        <f t="shared" si="6"/>
        <v>20105</v>
      </c>
      <c r="E76" s="11">
        <f t="shared" si="7"/>
        <v>2213.1069942117697</v>
      </c>
      <c r="F76" s="11">
        <v>15564</v>
      </c>
      <c r="G76" s="39">
        <f t="shared" si="5"/>
        <v>6.3726084537316458E-2</v>
      </c>
    </row>
    <row r="77" spans="1:7" x14ac:dyDescent="0.25">
      <c r="A77" t="s">
        <v>111</v>
      </c>
      <c r="B77" s="15">
        <v>2034</v>
      </c>
      <c r="C77" s="11">
        <v>21293</v>
      </c>
      <c r="D77" s="11">
        <f t="shared" si="6"/>
        <v>21293</v>
      </c>
      <c r="E77" s="11">
        <f t="shared" si="7"/>
        <v>2354.1396376150351</v>
      </c>
      <c r="F77" s="11">
        <v>16407</v>
      </c>
      <c r="G77" s="39">
        <f t="shared" si="5"/>
        <v>6.3726084537316388E-2</v>
      </c>
    </row>
    <row r="78" spans="1:7" x14ac:dyDescent="0.25">
      <c r="A78" t="s">
        <v>111</v>
      </c>
      <c r="B78" s="15">
        <v>2035</v>
      </c>
      <c r="C78" s="11">
        <v>22446</v>
      </c>
      <c r="D78" s="11">
        <f t="shared" si="6"/>
        <v>22446</v>
      </c>
      <c r="E78" s="11">
        <f t="shared" si="7"/>
        <v>2504.1597391743385</v>
      </c>
      <c r="F78" s="11">
        <v>16707</v>
      </c>
      <c r="G78" s="39">
        <f t="shared" si="5"/>
        <v>6.3726084537316513E-2</v>
      </c>
    </row>
    <row r="79" spans="1:7" x14ac:dyDescent="0.25">
      <c r="A79" t="s">
        <v>111</v>
      </c>
      <c r="B79" s="15">
        <v>2036</v>
      </c>
      <c r="C79" s="11">
        <v>23676</v>
      </c>
      <c r="D79" s="11">
        <f t="shared" si="6"/>
        <v>23676</v>
      </c>
      <c r="E79" s="11">
        <f t="shared" si="7"/>
        <v>2663.7400344079065</v>
      </c>
      <c r="F79" s="11">
        <v>19879</v>
      </c>
      <c r="G79" s="39">
        <f t="shared" si="5"/>
        <v>6.372608453731636E-2</v>
      </c>
    </row>
    <row r="80" spans="1:7" x14ac:dyDescent="0.25">
      <c r="A80" t="s">
        <v>111</v>
      </c>
      <c r="B80" s="15">
        <v>2037</v>
      </c>
      <c r="C80" s="11">
        <v>24979</v>
      </c>
      <c r="D80" s="11">
        <f t="shared" si="6"/>
        <v>24979</v>
      </c>
      <c r="E80" s="11">
        <f t="shared" si="7"/>
        <v>2833.4897570260191</v>
      </c>
      <c r="F80" s="11">
        <v>22692</v>
      </c>
      <c r="G80" s="39">
        <f t="shared" si="5"/>
        <v>6.3726084537316513E-2</v>
      </c>
    </row>
    <row r="81" spans="1:7" x14ac:dyDescent="0.25">
      <c r="A81" t="s">
        <v>111</v>
      </c>
      <c r="B81" s="15">
        <v>2038</v>
      </c>
      <c r="C81" s="11">
        <v>26504</v>
      </c>
      <c r="D81" s="11">
        <f t="shared" si="6"/>
        <v>26504</v>
      </c>
      <c r="E81" s="11">
        <f t="shared" si="7"/>
        <v>3014.0569648178794</v>
      </c>
      <c r="F81" s="11">
        <v>24125</v>
      </c>
      <c r="G81" s="39">
        <f t="shared" si="5"/>
        <v>6.3726084537316416E-2</v>
      </c>
    </row>
    <row r="82" spans="1:7" x14ac:dyDescent="0.25">
      <c r="A82" t="s">
        <v>5</v>
      </c>
      <c r="B82" s="15">
        <v>2019</v>
      </c>
      <c r="C82" s="11">
        <v>12494</v>
      </c>
      <c r="D82" s="11">
        <f t="shared" si="6"/>
        <v>12494</v>
      </c>
      <c r="E82" s="11">
        <v>2003</v>
      </c>
      <c r="F82" s="11">
        <v>14441</v>
      </c>
      <c r="G82" s="39"/>
    </row>
    <row r="83" spans="1:7" x14ac:dyDescent="0.25">
      <c r="A83" t="s">
        <v>5</v>
      </c>
      <c r="B83" s="15">
        <v>2020</v>
      </c>
      <c r="C83" s="11">
        <v>13329</v>
      </c>
      <c r="D83" s="11">
        <f t="shared" si="6"/>
        <v>13329</v>
      </c>
      <c r="E83" s="11">
        <v>2214</v>
      </c>
      <c r="F83" s="11">
        <v>15363</v>
      </c>
      <c r="G83" s="39">
        <f t="shared" si="5"/>
        <v>0.1053419870194708</v>
      </c>
    </row>
    <row r="84" spans="1:7" x14ac:dyDescent="0.25">
      <c r="A84" t="s">
        <v>5</v>
      </c>
      <c r="B84" s="15">
        <v>2021</v>
      </c>
      <c r="C84" s="11">
        <v>15921</v>
      </c>
      <c r="D84" s="11">
        <f t="shared" si="6"/>
        <v>15921</v>
      </c>
      <c r="E84" s="11">
        <v>2416</v>
      </c>
      <c r="F84" s="11">
        <v>18197</v>
      </c>
      <c r="G84" s="39">
        <f t="shared" si="5"/>
        <v>9.1237579042457093E-2</v>
      </c>
    </row>
    <row r="85" spans="1:7" x14ac:dyDescent="0.25">
      <c r="A85" t="s">
        <v>5</v>
      </c>
      <c r="B85" s="15">
        <v>2022</v>
      </c>
      <c r="C85" s="11">
        <v>16705</v>
      </c>
      <c r="D85" s="11">
        <f t="shared" si="6"/>
        <v>16705</v>
      </c>
      <c r="E85" s="11">
        <v>2611</v>
      </c>
      <c r="F85" s="11">
        <v>19061</v>
      </c>
      <c r="G85" s="39">
        <f t="shared" si="5"/>
        <v>8.071192052980132E-2</v>
      </c>
    </row>
    <row r="86" spans="1:7" x14ac:dyDescent="0.25">
      <c r="A86" t="s">
        <v>5</v>
      </c>
      <c r="B86" s="15">
        <v>2023</v>
      </c>
      <c r="C86" s="11">
        <v>19399</v>
      </c>
      <c r="D86" s="11">
        <f t="shared" si="6"/>
        <v>19399</v>
      </c>
      <c r="E86" s="11">
        <v>2814</v>
      </c>
      <c r="F86" s="11">
        <v>22010</v>
      </c>
      <c r="G86" s="39">
        <f t="shared" si="5"/>
        <v>7.7747989276139406E-2</v>
      </c>
    </row>
    <row r="87" spans="1:7" x14ac:dyDescent="0.25">
      <c r="A87" t="s">
        <v>5</v>
      </c>
      <c r="B87" s="15">
        <v>2024</v>
      </c>
      <c r="C87" s="11">
        <v>24370</v>
      </c>
      <c r="D87" s="11">
        <f t="shared" si="6"/>
        <v>24370</v>
      </c>
      <c r="E87" s="11">
        <v>3018</v>
      </c>
      <c r="F87" s="11">
        <v>27410</v>
      </c>
      <c r="G87" s="39">
        <f t="shared" si="5"/>
        <v>7.2494669509594878E-2</v>
      </c>
    </row>
    <row r="88" spans="1:7" x14ac:dyDescent="0.25">
      <c r="A88" t="s">
        <v>5</v>
      </c>
      <c r="B88" s="15">
        <v>2025</v>
      </c>
      <c r="C88" s="11">
        <v>29601</v>
      </c>
      <c r="D88" s="11">
        <f t="shared" si="6"/>
        <v>29601</v>
      </c>
      <c r="E88" s="11">
        <v>3235</v>
      </c>
      <c r="F88" s="11">
        <v>33090</v>
      </c>
      <c r="G88" s="39">
        <f t="shared" si="5"/>
        <v>7.1901921802518226E-2</v>
      </c>
    </row>
    <row r="89" spans="1:7" x14ac:dyDescent="0.25">
      <c r="A89" t="s">
        <v>5</v>
      </c>
      <c r="B89" s="15">
        <v>2026</v>
      </c>
      <c r="C89" s="11">
        <v>35042</v>
      </c>
      <c r="D89" s="11">
        <f t="shared" si="6"/>
        <v>35042</v>
      </c>
      <c r="E89" s="11">
        <v>3435</v>
      </c>
      <c r="F89" s="11">
        <v>38999</v>
      </c>
      <c r="G89" s="39">
        <f t="shared" si="5"/>
        <v>6.1823802163833076E-2</v>
      </c>
    </row>
    <row r="90" spans="1:7" x14ac:dyDescent="0.25">
      <c r="A90" t="s">
        <v>5</v>
      </c>
      <c r="B90" s="15">
        <v>2027</v>
      </c>
      <c r="C90" s="11">
        <v>42519</v>
      </c>
      <c r="D90" s="11">
        <f t="shared" si="6"/>
        <v>42519</v>
      </c>
      <c r="E90" s="11">
        <v>3653</v>
      </c>
      <c r="F90" s="11">
        <v>47079</v>
      </c>
      <c r="G90" s="39">
        <f t="shared" si="5"/>
        <v>6.3464337700145562E-2</v>
      </c>
    </row>
    <row r="91" spans="1:7" x14ac:dyDescent="0.25">
      <c r="A91" t="s">
        <v>5</v>
      </c>
      <c r="B91" s="15">
        <v>2028</v>
      </c>
      <c r="C91" s="11">
        <v>43968</v>
      </c>
      <c r="D91" s="11">
        <f t="shared" si="6"/>
        <v>43968</v>
      </c>
      <c r="E91" s="11">
        <v>3881</v>
      </c>
      <c r="F91" s="11">
        <v>48622</v>
      </c>
      <c r="G91" s="39">
        <f t="shared" si="5"/>
        <v>6.2414453873528605E-2</v>
      </c>
    </row>
    <row r="92" spans="1:7" x14ac:dyDescent="0.25">
      <c r="A92" t="s">
        <v>5</v>
      </c>
      <c r="B92" s="15">
        <v>2029</v>
      </c>
      <c r="C92" s="11">
        <v>45507</v>
      </c>
      <c r="D92" s="11">
        <f t="shared" si="6"/>
        <v>45507</v>
      </c>
      <c r="E92" s="11">
        <f>E91*(1+AVERAGE($G$83:$G$91))</f>
        <v>4177.3094603356412</v>
      </c>
      <c r="F92" s="11">
        <v>46241</v>
      </c>
      <c r="G92" s="39">
        <f t="shared" si="5"/>
        <v>7.6348740101943119E-2</v>
      </c>
    </row>
    <row r="93" spans="1:7" x14ac:dyDescent="0.25">
      <c r="A93" t="s">
        <v>5</v>
      </c>
      <c r="B93" s="15">
        <v>2030</v>
      </c>
      <c r="C93" s="11">
        <v>47065</v>
      </c>
      <c r="D93" s="11">
        <f t="shared" si="6"/>
        <v>47065</v>
      </c>
      <c r="E93" s="11">
        <f t="shared" ref="E93:E101" si="8">E92*(1+AVERAGE($G$83:$G$91))</f>
        <v>4496.2417746481951</v>
      </c>
      <c r="F93" s="11">
        <v>46979</v>
      </c>
      <c r="G93" s="39">
        <f t="shared" si="5"/>
        <v>7.6348740101943063E-2</v>
      </c>
    </row>
    <row r="94" spans="1:7" x14ac:dyDescent="0.25">
      <c r="A94" t="s">
        <v>5</v>
      </c>
      <c r="B94" s="15">
        <v>2031</v>
      </c>
      <c r="C94" s="11">
        <v>48942</v>
      </c>
      <c r="D94" s="11">
        <f t="shared" si="6"/>
        <v>48942</v>
      </c>
      <c r="E94" s="11">
        <f t="shared" si="8"/>
        <v>4839.5241693363096</v>
      </c>
      <c r="F94" s="11">
        <v>49346</v>
      </c>
      <c r="G94" s="39">
        <f t="shared" si="5"/>
        <v>7.6348740101943091E-2</v>
      </c>
    </row>
    <row r="95" spans="1:7" x14ac:dyDescent="0.25">
      <c r="A95" t="s">
        <v>5</v>
      </c>
      <c r="B95" s="15">
        <v>2032</v>
      </c>
      <c r="C95" s="11">
        <v>50960</v>
      </c>
      <c r="D95" s="11">
        <f t="shared" si="6"/>
        <v>50960</v>
      </c>
      <c r="E95" s="11">
        <f t="shared" si="8"/>
        <v>5209.0157423580395</v>
      </c>
      <c r="F95" s="11">
        <v>51500</v>
      </c>
      <c r="G95" s="39">
        <f t="shared" si="5"/>
        <v>7.6348740101943077E-2</v>
      </c>
    </row>
    <row r="96" spans="1:7" x14ac:dyDescent="0.25">
      <c r="A96" t="s">
        <v>5</v>
      </c>
      <c r="B96" s="15">
        <v>2033</v>
      </c>
      <c r="C96" s="11">
        <v>52868</v>
      </c>
      <c r="D96" s="11">
        <f t="shared" si="6"/>
        <v>52868</v>
      </c>
      <c r="E96" s="11">
        <f t="shared" si="8"/>
        <v>5606.7175314582637</v>
      </c>
      <c r="F96" s="11">
        <v>53666</v>
      </c>
      <c r="G96" s="39">
        <f t="shared" si="5"/>
        <v>7.6348740101943119E-2</v>
      </c>
    </row>
    <row r="97" spans="1:7" x14ac:dyDescent="0.25">
      <c r="A97" t="s">
        <v>5</v>
      </c>
      <c r="B97" s="15">
        <v>2034</v>
      </c>
      <c r="C97" s="11">
        <v>55183</v>
      </c>
      <c r="D97" s="11">
        <f t="shared" si="6"/>
        <v>55183</v>
      </c>
      <c r="E97" s="11">
        <f t="shared" si="8"/>
        <v>6034.7833510925793</v>
      </c>
      <c r="F97" s="11">
        <v>58995</v>
      </c>
      <c r="G97" s="39">
        <f t="shared" si="5"/>
        <v>7.6348740101943216E-2</v>
      </c>
    </row>
    <row r="98" spans="1:7" x14ac:dyDescent="0.25">
      <c r="A98" t="s">
        <v>5</v>
      </c>
      <c r="B98" s="15">
        <v>2035</v>
      </c>
      <c r="C98" s="11">
        <v>57442</v>
      </c>
      <c r="D98" s="11">
        <f t="shared" si="6"/>
        <v>57442</v>
      </c>
      <c r="E98" s="11">
        <f t="shared" si="8"/>
        <v>6495.5314567366804</v>
      </c>
      <c r="F98" s="11">
        <v>62599</v>
      </c>
      <c r="G98" s="39">
        <f t="shared" si="5"/>
        <v>7.6348740101943188E-2</v>
      </c>
    </row>
    <row r="99" spans="1:7" x14ac:dyDescent="0.25">
      <c r="A99" t="s">
        <v>5</v>
      </c>
      <c r="B99" s="15">
        <v>2036</v>
      </c>
      <c r="C99" s="11">
        <v>60024</v>
      </c>
      <c r="D99" s="11">
        <f t="shared" si="6"/>
        <v>60024</v>
      </c>
      <c r="E99" s="11">
        <f t="shared" si="8"/>
        <v>6991.4570997510655</v>
      </c>
      <c r="F99" s="11">
        <v>64468</v>
      </c>
      <c r="G99" s="39">
        <f t="shared" si="5"/>
        <v>7.6348740101943161E-2</v>
      </c>
    </row>
    <row r="100" spans="1:7" x14ac:dyDescent="0.25">
      <c r="A100" t="s">
        <v>5</v>
      </c>
      <c r="B100" s="15">
        <v>2037</v>
      </c>
      <c r="C100" s="11">
        <v>62642</v>
      </c>
      <c r="D100" s="11">
        <f t="shared" si="6"/>
        <v>62642</v>
      </c>
      <c r="E100" s="11">
        <f t="shared" si="8"/>
        <v>7525.2460407938452</v>
      </c>
      <c r="F100" s="11">
        <v>66336</v>
      </c>
      <c r="G100" s="39">
        <f t="shared" si="5"/>
        <v>7.6348740101943202E-2</v>
      </c>
    </row>
    <row r="101" spans="1:7" x14ac:dyDescent="0.25">
      <c r="A101" t="s">
        <v>5</v>
      </c>
      <c r="B101" s="15">
        <v>2038</v>
      </c>
      <c r="C101" s="11">
        <v>65632</v>
      </c>
      <c r="D101" s="11">
        <f t="shared" si="6"/>
        <v>65632</v>
      </c>
      <c r="E101" s="11">
        <f t="shared" si="8"/>
        <v>8099.7890949655912</v>
      </c>
      <c r="F101" s="11">
        <v>68956</v>
      </c>
      <c r="G101" s="39">
        <f t="shared" si="5"/>
        <v>7.6348740101943161E-2</v>
      </c>
    </row>
    <row r="102" spans="1:7" x14ac:dyDescent="0.25">
      <c r="A102" t="s">
        <v>6</v>
      </c>
      <c r="B102" s="15">
        <v>2019</v>
      </c>
      <c r="C102" s="11">
        <v>20696</v>
      </c>
      <c r="D102" s="11">
        <f t="shared" si="6"/>
        <v>20696</v>
      </c>
      <c r="E102" s="5">
        <v>2178</v>
      </c>
      <c r="F102" s="11">
        <v>23609</v>
      </c>
    </row>
    <row r="103" spans="1:7" x14ac:dyDescent="0.25">
      <c r="A103" t="s">
        <v>6</v>
      </c>
      <c r="B103" s="15">
        <v>2020</v>
      </c>
      <c r="C103" s="11">
        <v>22221</v>
      </c>
      <c r="D103" s="11">
        <f t="shared" si="6"/>
        <v>22221</v>
      </c>
      <c r="E103" s="5">
        <v>2389</v>
      </c>
      <c r="F103" s="11">
        <v>25304</v>
      </c>
      <c r="G103" s="39">
        <f t="shared" si="5"/>
        <v>9.687786960514233E-2</v>
      </c>
    </row>
    <row r="104" spans="1:7" x14ac:dyDescent="0.25">
      <c r="A104" t="s">
        <v>6</v>
      </c>
      <c r="B104" s="15">
        <v>2021</v>
      </c>
      <c r="C104" s="11">
        <v>32796</v>
      </c>
      <c r="D104" s="11">
        <f t="shared" si="6"/>
        <v>32796</v>
      </c>
      <c r="E104" s="5">
        <v>2645</v>
      </c>
      <c r="F104" s="11">
        <v>37157</v>
      </c>
      <c r="G104" s="39">
        <f t="shared" si="5"/>
        <v>0.10715780661364588</v>
      </c>
    </row>
    <row r="105" spans="1:7" x14ac:dyDescent="0.25">
      <c r="A105" t="s">
        <v>6</v>
      </c>
      <c r="B105" s="15">
        <v>2022</v>
      </c>
      <c r="C105" s="11">
        <v>34358</v>
      </c>
      <c r="D105" s="11">
        <f t="shared" si="6"/>
        <v>34358</v>
      </c>
      <c r="E105" s="5">
        <v>2886</v>
      </c>
      <c r="F105" s="11">
        <v>38986</v>
      </c>
      <c r="G105" s="39">
        <f t="shared" si="5"/>
        <v>9.1115311909262767E-2</v>
      </c>
    </row>
    <row r="106" spans="1:7" x14ac:dyDescent="0.25">
      <c r="A106" t="s">
        <v>6</v>
      </c>
      <c r="B106" s="15">
        <v>2023</v>
      </c>
      <c r="C106" s="11">
        <v>36525</v>
      </c>
      <c r="D106" s="11">
        <f t="shared" si="6"/>
        <v>36525</v>
      </c>
      <c r="E106" s="5">
        <v>3220</v>
      </c>
      <c r="F106" s="11">
        <v>41321</v>
      </c>
      <c r="G106" s="39">
        <f t="shared" si="5"/>
        <v>0.11573111573111573</v>
      </c>
    </row>
    <row r="107" spans="1:7" x14ac:dyDescent="0.25">
      <c r="A107" t="s">
        <v>6</v>
      </c>
      <c r="B107" s="15">
        <v>2024</v>
      </c>
      <c r="C107" s="11">
        <v>39633</v>
      </c>
      <c r="D107" s="11">
        <f t="shared" si="6"/>
        <v>39633</v>
      </c>
      <c r="E107" s="5">
        <v>3476</v>
      </c>
      <c r="F107" s="11">
        <v>44645</v>
      </c>
      <c r="G107" s="39">
        <f t="shared" si="5"/>
        <v>7.9503105590062115E-2</v>
      </c>
    </row>
    <row r="108" spans="1:7" x14ac:dyDescent="0.25">
      <c r="A108" t="s">
        <v>6</v>
      </c>
      <c r="B108" s="15">
        <v>2025</v>
      </c>
      <c r="C108" s="11">
        <v>43224</v>
      </c>
      <c r="D108" s="11">
        <f t="shared" si="6"/>
        <v>43224</v>
      </c>
      <c r="E108" s="5">
        <v>3743</v>
      </c>
      <c r="F108" s="11">
        <v>48570</v>
      </c>
      <c r="G108" s="39">
        <f t="shared" si="5"/>
        <v>7.6812428078250866E-2</v>
      </c>
    </row>
    <row r="109" spans="1:7" x14ac:dyDescent="0.25">
      <c r="A109" t="s">
        <v>6</v>
      </c>
      <c r="B109" s="15">
        <v>2026</v>
      </c>
      <c r="C109" s="11">
        <v>46148</v>
      </c>
      <c r="D109" s="11">
        <f t="shared" si="6"/>
        <v>46148</v>
      </c>
      <c r="E109" s="5">
        <v>4011</v>
      </c>
      <c r="F109" s="11">
        <v>51769</v>
      </c>
      <c r="G109" s="39">
        <f t="shared" si="5"/>
        <v>7.1600320598450437E-2</v>
      </c>
    </row>
    <row r="110" spans="1:7" x14ac:dyDescent="0.25">
      <c r="A110" t="s">
        <v>6</v>
      </c>
      <c r="B110" s="15">
        <v>2027</v>
      </c>
      <c r="C110" s="11">
        <v>49818</v>
      </c>
      <c r="D110" s="11">
        <f t="shared" si="6"/>
        <v>49818</v>
      </c>
      <c r="E110" s="5">
        <v>4292</v>
      </c>
      <c r="F110" s="11">
        <v>55759</v>
      </c>
      <c r="G110" s="39">
        <f t="shared" si="5"/>
        <v>7.005734230865121E-2</v>
      </c>
    </row>
    <row r="111" spans="1:7" x14ac:dyDescent="0.25">
      <c r="A111" t="s">
        <v>6</v>
      </c>
      <c r="B111" s="15">
        <v>2028</v>
      </c>
      <c r="C111" s="11">
        <v>51490</v>
      </c>
      <c r="D111" s="11">
        <f t="shared" si="6"/>
        <v>51490</v>
      </c>
      <c r="E111" s="5">
        <v>4614</v>
      </c>
      <c r="F111" s="11">
        <v>57611</v>
      </c>
      <c r="G111" s="39">
        <f t="shared" si="5"/>
        <v>7.5023299161230197E-2</v>
      </c>
    </row>
    <row r="112" spans="1:7" x14ac:dyDescent="0.25">
      <c r="A112" t="s">
        <v>6</v>
      </c>
      <c r="B112" s="15">
        <v>2029</v>
      </c>
      <c r="C112" s="11">
        <v>53290</v>
      </c>
      <c r="D112" s="11">
        <f t="shared" si="6"/>
        <v>53290</v>
      </c>
      <c r="E112" s="11">
        <f>E111*(1+AVERAGE($G$103:$G$111))</f>
        <v>5015.8684287261194</v>
      </c>
      <c r="F112" s="11">
        <v>49430</v>
      </c>
      <c r="G112" s="39">
        <f t="shared" si="5"/>
        <v>8.70976221773124E-2</v>
      </c>
    </row>
    <row r="113" spans="1:7" x14ac:dyDescent="0.25">
      <c r="A113" t="s">
        <v>6</v>
      </c>
      <c r="B113" s="15">
        <v>2030</v>
      </c>
      <c r="C113" s="11">
        <v>55184</v>
      </c>
      <c r="D113" s="11">
        <f t="shared" si="6"/>
        <v>55184</v>
      </c>
      <c r="E113" s="11">
        <f t="shared" ref="E113:E121" si="9">E112*(1+AVERAGE($G$103:$G$111))</f>
        <v>5452.7386420224166</v>
      </c>
      <c r="F113" s="11">
        <v>48107</v>
      </c>
      <c r="G113" s="39">
        <f t="shared" si="5"/>
        <v>8.70976221773124E-2</v>
      </c>
    </row>
    <row r="114" spans="1:7" x14ac:dyDescent="0.25">
      <c r="A114" t="s">
        <v>6</v>
      </c>
      <c r="B114" s="15">
        <v>2031</v>
      </c>
      <c r="C114" s="11">
        <v>57463</v>
      </c>
      <c r="D114" s="11">
        <f t="shared" si="6"/>
        <v>57463</v>
      </c>
      <c r="E114" s="11">
        <f t="shared" si="9"/>
        <v>5927.6592120969162</v>
      </c>
      <c r="F114" s="11">
        <v>53463</v>
      </c>
      <c r="G114" s="39">
        <f t="shared" si="5"/>
        <v>8.7097622177312345E-2</v>
      </c>
    </row>
    <row r="115" spans="1:7" x14ac:dyDescent="0.25">
      <c r="A115" t="s">
        <v>6</v>
      </c>
      <c r="B115" s="15">
        <v>2032</v>
      </c>
      <c r="C115" s="11">
        <v>59961</v>
      </c>
      <c r="D115" s="11">
        <f t="shared" si="6"/>
        <v>59961</v>
      </c>
      <c r="E115" s="11">
        <f t="shared" si="9"/>
        <v>6443.9442345479983</v>
      </c>
      <c r="F115" s="11">
        <v>52763</v>
      </c>
      <c r="G115" s="39">
        <f t="shared" si="5"/>
        <v>8.7097622177312331E-2</v>
      </c>
    </row>
    <row r="116" spans="1:7" x14ac:dyDescent="0.25">
      <c r="A116" t="s">
        <v>6</v>
      </c>
      <c r="B116" s="15">
        <v>2033</v>
      </c>
      <c r="C116" s="11">
        <v>62425</v>
      </c>
      <c r="D116" s="11">
        <f t="shared" si="6"/>
        <v>62425</v>
      </c>
      <c r="E116" s="11">
        <f t="shared" si="9"/>
        <v>7005.1964548203296</v>
      </c>
      <c r="F116" s="11">
        <v>52681</v>
      </c>
      <c r="G116" s="39">
        <f t="shared" si="5"/>
        <v>8.7097622177312262E-2</v>
      </c>
    </row>
    <row r="117" spans="1:7" x14ac:dyDescent="0.25">
      <c r="A117" t="s">
        <v>6</v>
      </c>
      <c r="B117" s="15">
        <v>2034</v>
      </c>
      <c r="C117" s="11">
        <v>65397</v>
      </c>
      <c r="D117" s="11">
        <f t="shared" si="6"/>
        <v>65397</v>
      </c>
      <c r="E117" s="11">
        <f t="shared" si="9"/>
        <v>7615.3324089201187</v>
      </c>
      <c r="F117" s="11">
        <v>55625</v>
      </c>
      <c r="G117" s="39">
        <f t="shared" si="5"/>
        <v>8.7097622177312373E-2</v>
      </c>
    </row>
    <row r="118" spans="1:7" x14ac:dyDescent="0.25">
      <c r="A118" t="s">
        <v>6</v>
      </c>
      <c r="B118" s="15">
        <v>2035</v>
      </c>
      <c r="C118" s="11">
        <v>68446</v>
      </c>
      <c r="D118" s="11">
        <f t="shared" si="6"/>
        <v>68446</v>
      </c>
      <c r="E118" s="11">
        <f t="shared" si="9"/>
        <v>8278.6097538268841</v>
      </c>
      <c r="F118" s="11">
        <v>57647</v>
      </c>
      <c r="G118" s="39">
        <f t="shared" si="5"/>
        <v>8.709762217731222E-2</v>
      </c>
    </row>
    <row r="119" spans="1:7" x14ac:dyDescent="0.25">
      <c r="A119" t="s">
        <v>6</v>
      </c>
      <c r="B119" s="15">
        <v>2036</v>
      </c>
      <c r="C119" s="11">
        <v>71899</v>
      </c>
      <c r="D119" s="11">
        <f t="shared" si="6"/>
        <v>71899</v>
      </c>
      <c r="E119" s="11">
        <f t="shared" si="9"/>
        <v>8999.6569783191098</v>
      </c>
      <c r="F119" s="11">
        <v>60064</v>
      </c>
      <c r="G119" s="39">
        <f t="shared" si="5"/>
        <v>8.709762217731222E-2</v>
      </c>
    </row>
    <row r="120" spans="1:7" x14ac:dyDescent="0.25">
      <c r="A120" t="s">
        <v>6</v>
      </c>
      <c r="B120" s="15">
        <v>2037</v>
      </c>
      <c r="C120" s="11">
        <v>75580</v>
      </c>
      <c r="D120" s="11">
        <f t="shared" si="6"/>
        <v>75580</v>
      </c>
      <c r="E120" s="11">
        <f t="shared" si="9"/>
        <v>9783.5057015421608</v>
      </c>
      <c r="F120" s="11">
        <v>64892</v>
      </c>
      <c r="G120" s="39">
        <f t="shared" si="5"/>
        <v>8.7097622177312414E-2</v>
      </c>
    </row>
    <row r="121" spans="1:7" x14ac:dyDescent="0.25">
      <c r="A121" t="s">
        <v>6</v>
      </c>
      <c r="B121" s="15">
        <v>2038</v>
      </c>
      <c r="C121" s="11">
        <v>79906</v>
      </c>
      <c r="D121" s="11">
        <f t="shared" si="6"/>
        <v>79906</v>
      </c>
      <c r="E121" s="11">
        <f t="shared" si="9"/>
        <v>10635.62578470466</v>
      </c>
      <c r="F121" s="11">
        <v>70463</v>
      </c>
      <c r="G121" s="39">
        <f t="shared" si="5"/>
        <v>8.7097622177312234E-2</v>
      </c>
    </row>
    <row r="122" spans="1:7" x14ac:dyDescent="0.25">
      <c r="A122" t="s">
        <v>7</v>
      </c>
      <c r="B122" s="15">
        <v>2019</v>
      </c>
      <c r="C122" s="11">
        <v>7765</v>
      </c>
      <c r="D122" s="11">
        <f t="shared" si="6"/>
        <v>7765</v>
      </c>
      <c r="E122" s="5">
        <v>579</v>
      </c>
      <c r="F122" s="11">
        <v>8971</v>
      </c>
    </row>
    <row r="123" spans="1:7" x14ac:dyDescent="0.25">
      <c r="A123" t="s">
        <v>7</v>
      </c>
      <c r="B123" s="15">
        <v>2020</v>
      </c>
      <c r="C123" s="11">
        <v>9798</v>
      </c>
      <c r="D123" s="11">
        <f t="shared" si="6"/>
        <v>9798</v>
      </c>
      <c r="E123" s="5">
        <v>624</v>
      </c>
      <c r="F123" s="11">
        <v>11551</v>
      </c>
      <c r="G123" s="39">
        <f t="shared" si="5"/>
        <v>7.7720207253886009E-2</v>
      </c>
    </row>
    <row r="124" spans="1:7" x14ac:dyDescent="0.25">
      <c r="A124" t="s">
        <v>7</v>
      </c>
      <c r="B124" s="15">
        <v>2021</v>
      </c>
      <c r="C124" s="11">
        <v>13786</v>
      </c>
      <c r="D124" s="11">
        <f t="shared" si="6"/>
        <v>13786</v>
      </c>
      <c r="E124" s="5">
        <v>677</v>
      </c>
      <c r="F124" s="11">
        <v>16244</v>
      </c>
      <c r="G124" s="39">
        <f t="shared" si="5"/>
        <v>8.4935897435897439E-2</v>
      </c>
    </row>
    <row r="125" spans="1:7" x14ac:dyDescent="0.25">
      <c r="A125" t="s">
        <v>7</v>
      </c>
      <c r="B125" s="15">
        <v>2022</v>
      </c>
      <c r="C125" s="11">
        <v>15018</v>
      </c>
      <c r="D125" s="11">
        <f t="shared" si="6"/>
        <v>15018</v>
      </c>
      <c r="E125" s="5">
        <v>727</v>
      </c>
      <c r="F125" s="11">
        <v>17453</v>
      </c>
      <c r="G125" s="39">
        <f t="shared" si="5"/>
        <v>7.3855243722304287E-2</v>
      </c>
    </row>
    <row r="126" spans="1:7" x14ac:dyDescent="0.25">
      <c r="A126" t="s">
        <v>7</v>
      </c>
      <c r="B126" s="15">
        <v>2023</v>
      </c>
      <c r="C126" s="11">
        <v>15788</v>
      </c>
      <c r="D126" s="11">
        <f t="shared" si="6"/>
        <v>15788</v>
      </c>
      <c r="E126" s="5">
        <v>774</v>
      </c>
      <c r="F126" s="11">
        <v>18185</v>
      </c>
      <c r="G126" s="39">
        <f t="shared" si="5"/>
        <v>6.4649243466299869E-2</v>
      </c>
    </row>
    <row r="127" spans="1:7" x14ac:dyDescent="0.25">
      <c r="A127" t="s">
        <v>7</v>
      </c>
      <c r="B127" s="15">
        <v>2024</v>
      </c>
      <c r="C127" s="11">
        <v>17243</v>
      </c>
      <c r="D127" s="11">
        <f t="shared" si="6"/>
        <v>17243</v>
      </c>
      <c r="E127" s="5">
        <v>822</v>
      </c>
      <c r="F127" s="11">
        <v>19719</v>
      </c>
      <c r="G127" s="39">
        <f t="shared" si="5"/>
        <v>6.2015503875968991E-2</v>
      </c>
    </row>
    <row r="128" spans="1:7" x14ac:dyDescent="0.25">
      <c r="A128" t="s">
        <v>7</v>
      </c>
      <c r="B128" s="15">
        <v>2025</v>
      </c>
      <c r="C128" s="11">
        <v>18758</v>
      </c>
      <c r="D128" s="11">
        <f t="shared" si="6"/>
        <v>18758</v>
      </c>
      <c r="E128" s="5">
        <v>871</v>
      </c>
      <c r="F128" s="11">
        <v>21647</v>
      </c>
      <c r="G128" s="39">
        <f t="shared" ref="G128:G141" si="10">(E128-E127)/E127</f>
        <v>5.9610705596107053E-2</v>
      </c>
    </row>
    <row r="129" spans="1:7" x14ac:dyDescent="0.25">
      <c r="A129" t="s">
        <v>7</v>
      </c>
      <c r="B129" s="15">
        <v>2026</v>
      </c>
      <c r="C129" s="11">
        <v>20342</v>
      </c>
      <c r="D129" s="11">
        <f t="shared" si="6"/>
        <v>20342</v>
      </c>
      <c r="E129" s="5">
        <v>927</v>
      </c>
      <c r="F129" s="11">
        <v>23380</v>
      </c>
      <c r="G129" s="39">
        <f t="shared" si="10"/>
        <v>6.4293915040183697E-2</v>
      </c>
    </row>
    <row r="130" spans="1:7" x14ac:dyDescent="0.25">
      <c r="A130" t="s">
        <v>7</v>
      </c>
      <c r="B130" s="15">
        <v>2027</v>
      </c>
      <c r="C130" s="11">
        <v>22547</v>
      </c>
      <c r="D130" s="11">
        <f t="shared" si="6"/>
        <v>22547</v>
      </c>
      <c r="E130" s="5">
        <v>986</v>
      </c>
      <c r="F130" s="11">
        <v>25698</v>
      </c>
      <c r="G130" s="39">
        <f t="shared" si="10"/>
        <v>6.3646170442286945E-2</v>
      </c>
    </row>
    <row r="131" spans="1:7" x14ac:dyDescent="0.25">
      <c r="A131" t="s">
        <v>7</v>
      </c>
      <c r="B131" s="15">
        <v>2028</v>
      </c>
      <c r="C131" s="11">
        <v>22887</v>
      </c>
      <c r="D131" s="11">
        <f t="shared" ref="D131:D141" si="11">C131</f>
        <v>22887</v>
      </c>
      <c r="E131" s="5">
        <v>1048</v>
      </c>
      <c r="F131" s="11">
        <v>26027</v>
      </c>
      <c r="G131" s="39">
        <f t="shared" si="10"/>
        <v>6.2880324543610547E-2</v>
      </c>
    </row>
    <row r="132" spans="1:7" x14ac:dyDescent="0.25">
      <c r="A132" t="s">
        <v>7</v>
      </c>
      <c r="B132" s="15">
        <v>2029</v>
      </c>
      <c r="C132" s="11">
        <v>23247</v>
      </c>
      <c r="D132" s="11">
        <f t="shared" si="11"/>
        <v>23247</v>
      </c>
      <c r="E132" s="11">
        <f>E131*(1+AVERAGE($G$123:$G$131))</f>
        <v>1119.4511508358466</v>
      </c>
      <c r="F132" s="11">
        <v>26322</v>
      </c>
      <c r="G132" s="39">
        <f t="shared" si="10"/>
        <v>6.8178579041838397E-2</v>
      </c>
    </row>
    <row r="133" spans="1:7" x14ac:dyDescent="0.25">
      <c r="A133" t="s">
        <v>7</v>
      </c>
      <c r="B133" s="15">
        <v>2030</v>
      </c>
      <c r="C133" s="11">
        <v>23609</v>
      </c>
      <c r="D133" s="11">
        <f t="shared" si="11"/>
        <v>23609</v>
      </c>
      <c r="E133" s="11">
        <f t="shared" ref="E133:E141" si="12">E132*(1+AVERAGE($G$123:$G$131))</f>
        <v>1195.7737396065852</v>
      </c>
      <c r="F133" s="11">
        <v>26862</v>
      </c>
      <c r="G133" s="39">
        <f t="shared" si="10"/>
        <v>6.817857904183823E-2</v>
      </c>
    </row>
    <row r="134" spans="1:7" x14ac:dyDescent="0.25">
      <c r="A134" t="s">
        <v>7</v>
      </c>
      <c r="B134" s="15">
        <v>2031</v>
      </c>
      <c r="C134" s="11">
        <v>24061</v>
      </c>
      <c r="D134" s="11">
        <f t="shared" si="11"/>
        <v>24061</v>
      </c>
      <c r="E134" s="11">
        <f t="shared" si="12"/>
        <v>1277.2998940285074</v>
      </c>
      <c r="F134" s="11">
        <v>27264</v>
      </c>
      <c r="G134" s="39">
        <f t="shared" si="10"/>
        <v>6.8178579041838369E-2</v>
      </c>
    </row>
    <row r="135" spans="1:7" x14ac:dyDescent="0.25">
      <c r="A135" t="s">
        <v>7</v>
      </c>
      <c r="B135" s="15">
        <v>2032</v>
      </c>
      <c r="C135" s="11">
        <v>24553</v>
      </c>
      <c r="D135" s="11">
        <f t="shared" si="11"/>
        <v>24553</v>
      </c>
      <c r="E135" s="11">
        <f t="shared" si="12"/>
        <v>1364.3843858136618</v>
      </c>
      <c r="F135" s="11">
        <v>27712</v>
      </c>
      <c r="G135" s="39">
        <f t="shared" si="10"/>
        <v>6.8178579041838355E-2</v>
      </c>
    </row>
    <row r="136" spans="1:7" x14ac:dyDescent="0.25">
      <c r="A136" t="s">
        <v>7</v>
      </c>
      <c r="B136" s="15">
        <v>2033</v>
      </c>
      <c r="C136" s="11">
        <v>25000</v>
      </c>
      <c r="D136" s="11">
        <f t="shared" si="11"/>
        <v>25000</v>
      </c>
      <c r="E136" s="11">
        <f t="shared" si="12"/>
        <v>1457.4061745053086</v>
      </c>
      <c r="F136" s="11">
        <v>28120</v>
      </c>
      <c r="G136" s="39">
        <f t="shared" si="10"/>
        <v>6.8178579041838383E-2</v>
      </c>
    </row>
    <row r="137" spans="1:7" x14ac:dyDescent="0.25">
      <c r="A137" t="s">
        <v>7</v>
      </c>
      <c r="B137" s="15">
        <v>2034</v>
      </c>
      <c r="C137" s="11">
        <v>25570</v>
      </c>
      <c r="D137" s="11">
        <f t="shared" si="11"/>
        <v>25570</v>
      </c>
      <c r="E137" s="11">
        <f t="shared" si="12"/>
        <v>1556.7700565698819</v>
      </c>
      <c r="F137" s="11">
        <v>28697</v>
      </c>
      <c r="G137" s="39">
        <f t="shared" si="10"/>
        <v>6.8178579041838272E-2</v>
      </c>
    </row>
    <row r="138" spans="1:7" x14ac:dyDescent="0.25">
      <c r="A138" t="s">
        <v>7</v>
      </c>
      <c r="B138" s="15">
        <v>2035</v>
      </c>
      <c r="C138" s="11">
        <v>26114</v>
      </c>
      <c r="D138" s="11">
        <f t="shared" si="11"/>
        <v>26114</v>
      </c>
      <c r="E138" s="11">
        <f t="shared" si="12"/>
        <v>1662.9084269216987</v>
      </c>
      <c r="F138" s="11">
        <v>29236</v>
      </c>
      <c r="G138" s="39">
        <f t="shared" si="10"/>
        <v>6.81785790418383E-2</v>
      </c>
    </row>
    <row r="139" spans="1:7" x14ac:dyDescent="0.25">
      <c r="A139" t="s">
        <v>7</v>
      </c>
      <c r="B139" s="15">
        <v>2036</v>
      </c>
      <c r="C139" s="11">
        <v>26747</v>
      </c>
      <c r="D139" s="11">
        <f t="shared" si="11"/>
        <v>26747</v>
      </c>
      <c r="E139" s="11">
        <f t="shared" si="12"/>
        <v>1776.2831605459187</v>
      </c>
      <c r="F139" s="11">
        <v>29865</v>
      </c>
      <c r="G139" s="39">
        <f t="shared" si="10"/>
        <v>6.8178579041838272E-2</v>
      </c>
    </row>
    <row r="140" spans="1:7" x14ac:dyDescent="0.25">
      <c r="A140" t="s">
        <v>7</v>
      </c>
      <c r="B140" s="15">
        <v>2037</v>
      </c>
      <c r="C140" s="11">
        <v>27382</v>
      </c>
      <c r="D140" s="11">
        <f t="shared" si="11"/>
        <v>27382</v>
      </c>
      <c r="E140" s="11">
        <f t="shared" si="12"/>
        <v>1897.3876224078849</v>
      </c>
      <c r="F140" s="11">
        <v>30507</v>
      </c>
      <c r="G140" s="39">
        <f t="shared" si="10"/>
        <v>6.8178579041838272E-2</v>
      </c>
    </row>
    <row r="141" spans="1:7" x14ac:dyDescent="0.25">
      <c r="A141" t="s">
        <v>7</v>
      </c>
      <c r="B141" s="15">
        <v>2038</v>
      </c>
      <c r="C141" s="11">
        <v>28155</v>
      </c>
      <c r="D141" s="11">
        <f t="shared" si="11"/>
        <v>28155</v>
      </c>
      <c r="E141" s="11">
        <f t="shared" si="12"/>
        <v>2026.7488143952266</v>
      </c>
      <c r="F141" s="11">
        <v>31317</v>
      </c>
      <c r="G141" s="39">
        <f t="shared" si="10"/>
        <v>6.8178579041838355E-2</v>
      </c>
    </row>
    <row r="143" spans="1:7" x14ac:dyDescent="0.25">
      <c r="A143" s="6" t="s">
        <v>102</v>
      </c>
      <c r="B143" s="13" t="s">
        <v>113</v>
      </c>
    </row>
    <row r="144" spans="1:7" x14ac:dyDescent="0.25">
      <c r="A144" s="6"/>
      <c r="B144" s="14"/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601E8-DA99-49B4-9242-7FE87C1D947C}">
  <sheetPr codeName="Sheet7"/>
  <dimension ref="A1:CF96"/>
  <sheetViews>
    <sheetView topLeftCell="Z26" zoomScale="85" zoomScaleNormal="85" workbookViewId="0">
      <selection activeCell="AL54" sqref="AL54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.5703125" style="20" bestFit="1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5" width="10.5703125" style="20" bestFit="1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 t="shared" ref="B4:C19" si="0">B28</f>
        <v>INDONESIA</v>
      </c>
      <c r="C4" s="20">
        <f t="shared" si="0"/>
        <v>2019</v>
      </c>
      <c r="D4" s="30">
        <f>existing_capacity!C2</f>
        <v>34457.47</v>
      </c>
      <c r="E4" s="30">
        <f>existing_capacity!D2</f>
        <v>5638.72</v>
      </c>
      <c r="F4" s="30">
        <f>existing_capacity!E2</f>
        <v>11525.460000000001</v>
      </c>
      <c r="G4" s="30">
        <f>existing_capacity!F2</f>
        <v>6623.4</v>
      </c>
      <c r="H4" s="30">
        <f>existing_capacity!G2</f>
        <v>1986.3999999999999</v>
      </c>
      <c r="I4" s="30">
        <f>existing_capacity!H2</f>
        <v>5689.6399999999994</v>
      </c>
      <c r="J4" s="30">
        <f>existing_capacity!I2</f>
        <v>169.62</v>
      </c>
      <c r="K4" s="30">
        <f>existing_capacity!J2</f>
        <v>17.52</v>
      </c>
      <c r="L4" s="30">
        <f>existing_capacity!K2</f>
        <v>0</v>
      </c>
      <c r="M4" s="30">
        <f>existing_capacity!L2</f>
        <v>142.85</v>
      </c>
      <c r="N4" s="30">
        <f>existing_capacity!M2</f>
        <v>0</v>
      </c>
      <c r="O4" s="30">
        <f>existing_capacity!N2</f>
        <v>0</v>
      </c>
      <c r="P4" s="30">
        <v>0</v>
      </c>
      <c r="Q4" s="30">
        <f>SUM(D4:O4)</f>
        <v>66251.08</v>
      </c>
      <c r="R4" s="30"/>
      <c r="S4" s="36"/>
      <c r="T4" s="19"/>
      <c r="U4" s="20" t="str">
        <f t="shared" ref="U4:U23" si="1">B4</f>
        <v>INDONESIA</v>
      </c>
      <c r="V4" s="20">
        <f t="shared" ref="V4:V23" si="2">C4</f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3">SUM(W4:AI4)</f>
        <v>0</v>
      </c>
      <c r="AM4" s="23"/>
      <c r="AO4" s="20" t="str">
        <f t="shared" ref="AO4:AO23" si="4">U4</f>
        <v>INDONESIA</v>
      </c>
      <c r="AP4" s="20">
        <f t="shared" ref="AP4:AP23" si="5">V4</f>
        <v>2019</v>
      </c>
      <c r="AQ4" s="30">
        <v>99999</v>
      </c>
      <c r="AR4" s="30">
        <v>99999</v>
      </c>
      <c r="AS4" s="30">
        <v>99999</v>
      </c>
      <c r="AT4" s="30">
        <v>999</v>
      </c>
      <c r="AU4" s="30">
        <f>potential!G2</f>
        <v>23965.8</v>
      </c>
      <c r="AV4" s="30">
        <f>potential!H2</f>
        <v>75091</v>
      </c>
      <c r="AW4" s="30">
        <f>potential!I2</f>
        <v>19385</v>
      </c>
      <c r="AX4" s="30">
        <f>potential!J2</f>
        <v>207898</v>
      </c>
      <c r="AY4" s="30">
        <f>potential!K2</f>
        <v>60647</v>
      </c>
      <c r="AZ4" s="30">
        <f>potential!L2</f>
        <v>32654</v>
      </c>
      <c r="BA4" s="30">
        <f>potential!M2</f>
        <v>17988</v>
      </c>
      <c r="BB4" s="30">
        <v>99999</v>
      </c>
      <c r="BC4" s="30">
        <v>99999</v>
      </c>
      <c r="BD4" s="30">
        <f t="shared" ref="BD4:BD23" si="6">SUM(AU4:BA4)</f>
        <v>437628.8</v>
      </c>
      <c r="BF4" s="23"/>
      <c r="BG4" s="19"/>
      <c r="BH4" s="20" t="str">
        <f>AO4</f>
        <v>INDONESIA</v>
      </c>
      <c r="BI4" s="20">
        <f>AP4</f>
        <v>2019</v>
      </c>
      <c r="BJ4" s="25">
        <f t="shared" ref="BJ4:BJ22" si="7">SUM(K28:L28,N28)/Q28</f>
        <v>1.1172203854615971E-4</v>
      </c>
      <c r="BK4" s="43">
        <f t="shared" ref="BK4:BK23" si="8">$BO$5+((BJ4-$BN$5)*($BO$6-$BO$5)/($BN$6-$BN$5))</f>
        <v>2.7271431107057573E-4</v>
      </c>
      <c r="BL4" s="34">
        <f>BK4*Q28*1000</f>
        <v>78673.15737884985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 t="shared" si="0"/>
        <v>INDONESIA</v>
      </c>
      <c r="C5" s="20">
        <f t="shared" si="0"/>
        <v>2020</v>
      </c>
      <c r="D5" s="30">
        <f>D4+W5</f>
        <v>34602.072379899924</v>
      </c>
      <c r="E5" s="30">
        <f t="shared" ref="E5:O5" si="9">E4+X5</f>
        <v>5638.72</v>
      </c>
      <c r="F5" s="30">
        <f t="shared" si="9"/>
        <v>18880.757172890753</v>
      </c>
      <c r="G5" s="30">
        <f t="shared" si="9"/>
        <v>7087.596248967272</v>
      </c>
      <c r="H5" s="30">
        <f t="shared" si="9"/>
        <v>1986.3999999999999</v>
      </c>
      <c r="I5" s="30">
        <f t="shared" si="9"/>
        <v>5689.6399999999994</v>
      </c>
      <c r="J5" s="30">
        <f t="shared" si="9"/>
        <v>169.62</v>
      </c>
      <c r="K5" s="30">
        <f t="shared" si="9"/>
        <v>1178.6643979535652</v>
      </c>
      <c r="L5" s="30">
        <f t="shared" si="9"/>
        <v>326.90519831164056</v>
      </c>
      <c r="M5" s="30">
        <f t="shared" si="9"/>
        <v>142.85</v>
      </c>
      <c r="N5" s="30">
        <f t="shared" si="9"/>
        <v>0</v>
      </c>
      <c r="O5" s="30">
        <f t="shared" si="9"/>
        <v>0</v>
      </c>
      <c r="P5" s="30">
        <f>BL5/((VLOOKUP(P$3,tech_data!$B$2:$G$15,6,FALSE)/100)*24*365)</f>
        <v>21.967945541954599</v>
      </c>
      <c r="Q5" s="30">
        <f t="shared" ref="Q5:Q23" si="10">SUM(D5:O5)</f>
        <v>75703.225398023133</v>
      </c>
      <c r="R5" s="30"/>
      <c r="S5" s="36"/>
      <c r="T5" s="19"/>
      <c r="U5" s="20" t="str">
        <f t="shared" si="1"/>
        <v>INDONESIA</v>
      </c>
      <c r="V5" s="20">
        <f t="shared" si="2"/>
        <v>2020</v>
      </c>
      <c r="W5" s="30">
        <v>144.60237989992331</v>
      </c>
      <c r="X5" s="30">
        <v>0</v>
      </c>
      <c r="Y5" s="30">
        <v>7355.2971728907532</v>
      </c>
      <c r="Z5" s="30">
        <v>464.19624896727203</v>
      </c>
      <c r="AA5" s="30">
        <v>0</v>
      </c>
      <c r="AB5" s="30">
        <v>0</v>
      </c>
      <c r="AC5" s="30">
        <v>0</v>
      </c>
      <c r="AD5" s="30">
        <v>1161.1443979535652</v>
      </c>
      <c r="AE5" s="30">
        <v>326.90519831164056</v>
      </c>
      <c r="AF5" s="30">
        <v>0</v>
      </c>
      <c r="AG5" s="30">
        <v>0</v>
      </c>
      <c r="AH5" s="30">
        <v>0</v>
      </c>
      <c r="AI5" s="30">
        <f t="shared" ref="AI5" si="11">IF(P5&gt;=P4, P5-P4, 0)</f>
        <v>21.967945541954599</v>
      </c>
      <c r="AJ5" s="34">
        <f t="shared" si="3"/>
        <v>9474.11334356511</v>
      </c>
      <c r="AM5" s="23"/>
      <c r="AO5" s="20" t="str">
        <f t="shared" si="4"/>
        <v>INDONESIA</v>
      </c>
      <c r="AP5" s="20">
        <f t="shared" si="5"/>
        <v>2020</v>
      </c>
      <c r="AQ5" s="30">
        <v>99999</v>
      </c>
      <c r="AR5" s="30">
        <v>99999</v>
      </c>
      <c r="AS5" s="30">
        <v>99999</v>
      </c>
      <c r="AT5" s="30">
        <v>999</v>
      </c>
      <c r="AU5" s="30">
        <f t="shared" ref="AU5:AU23" si="12">AU4-AA5</f>
        <v>23965.8</v>
      </c>
      <c r="AV5" s="30">
        <f t="shared" ref="AV5:AV23" si="13">AV4-AB5</f>
        <v>75091</v>
      </c>
      <c r="AW5" s="30">
        <f t="shared" ref="AW5:AW23" si="14">AW4-AC5</f>
        <v>19385</v>
      </c>
      <c r="AX5" s="30">
        <f t="shared" ref="AX5:AX23" si="15">AX4-AD5</f>
        <v>206736.85560204645</v>
      </c>
      <c r="AY5" s="30">
        <f t="shared" ref="AY5:AY23" si="16">AY4-AE5</f>
        <v>60320.094801688363</v>
      </c>
      <c r="AZ5" s="30">
        <f t="shared" ref="AZ5:AZ23" si="17">AZ4-AF5</f>
        <v>32654</v>
      </c>
      <c r="BA5" s="30">
        <f t="shared" ref="BA5:BA23" si="18">BA4-AG5</f>
        <v>17988</v>
      </c>
      <c r="BB5" s="30">
        <v>99999</v>
      </c>
      <c r="BC5" s="30">
        <v>99999</v>
      </c>
      <c r="BD5" s="30">
        <f t="shared" si="6"/>
        <v>436140.75040373486</v>
      </c>
      <c r="BF5" s="23"/>
      <c r="BG5" s="19"/>
      <c r="BH5" s="20" t="str">
        <f t="shared" ref="BH5:BI23" si="19">AO5</f>
        <v>INDONESIA</v>
      </c>
      <c r="BI5" s="20">
        <f t="shared" si="19"/>
        <v>2020</v>
      </c>
      <c r="BJ5" s="25">
        <f t="shared" si="7"/>
        <v>1.0075207683068757E-2</v>
      </c>
      <c r="BK5" s="43">
        <f t="shared" si="8"/>
        <v>2.7491314928178073E-4</v>
      </c>
      <c r="BL5" s="34">
        <f t="shared" ref="BL5:BL23" si="20">BK5*Q29*1000</f>
        <v>86597.641326385041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si="0"/>
        <v>INDONESIA</v>
      </c>
      <c r="C6" s="20">
        <f t="shared" si="0"/>
        <v>2021</v>
      </c>
      <c r="D6" s="30">
        <f t="shared" ref="D6:D23" si="21">D5+W6</f>
        <v>35589.317973964789</v>
      </c>
      <c r="E6" s="30">
        <f t="shared" ref="E6:E23" si="22">E5+X6</f>
        <v>5638.72</v>
      </c>
      <c r="F6" s="30">
        <f t="shared" ref="F6:F23" si="23">F5+Y6</f>
        <v>25067.767929263595</v>
      </c>
      <c r="G6" s="30">
        <f t="shared" ref="G6:G23" si="24">G5+Z6</f>
        <v>7087.596248967272</v>
      </c>
      <c r="H6" s="30">
        <f t="shared" ref="H6:H23" si="25">H5+AA6</f>
        <v>1986.3999999999999</v>
      </c>
      <c r="I6" s="30">
        <f t="shared" ref="I6:I23" si="26">I5+AB6</f>
        <v>5689.6399999999994</v>
      </c>
      <c r="J6" s="30">
        <f t="shared" ref="J6:J23" si="27">J5+AC6</f>
        <v>169.62</v>
      </c>
      <c r="K6" s="30">
        <f t="shared" ref="K6:K23" si="28">K5+AD6</f>
        <v>1762.131897133323</v>
      </c>
      <c r="L6" s="30">
        <f t="shared" ref="L6:L23" si="29">L5+AE6</f>
        <v>5859.8301998952284</v>
      </c>
      <c r="M6" s="30">
        <f t="shared" ref="M6:M23" si="30">M5+AF6</f>
        <v>142.85</v>
      </c>
      <c r="N6" s="30">
        <f t="shared" ref="N6:N23" si="31">N5+AG6</f>
        <v>0</v>
      </c>
      <c r="O6" s="30">
        <f t="shared" ref="O6:O23" si="32">O5+AH6</f>
        <v>0</v>
      </c>
      <c r="P6" s="30">
        <f>BL6/((VLOOKUP(P$3,tech_data!$B$2:$G$15,6,FALSE)/100)*24*365)</f>
        <v>25.747731219777162</v>
      </c>
      <c r="Q6" s="30">
        <f t="shared" si="10"/>
        <v>88993.874249224187</v>
      </c>
      <c r="R6" s="30"/>
      <c r="S6" s="36"/>
      <c r="T6" s="19"/>
      <c r="U6" s="20" t="str">
        <f t="shared" si="1"/>
        <v>INDONESIA</v>
      </c>
      <c r="V6" s="20">
        <f t="shared" si="2"/>
        <v>2021</v>
      </c>
      <c r="W6" s="30">
        <v>987.24559406486833</v>
      </c>
      <c r="X6" s="30">
        <v>0</v>
      </c>
      <c r="Y6" s="30">
        <v>6187.0107563728407</v>
      </c>
      <c r="Z6" s="30">
        <v>0</v>
      </c>
      <c r="AA6" s="30">
        <v>0</v>
      </c>
      <c r="AB6" s="30">
        <v>0</v>
      </c>
      <c r="AC6" s="30">
        <v>0</v>
      </c>
      <c r="AD6" s="30">
        <v>583.46749917975785</v>
      </c>
      <c r="AE6" s="30">
        <v>5532.9250015835878</v>
      </c>
      <c r="AF6" s="30">
        <v>0</v>
      </c>
      <c r="AG6" s="30">
        <v>0</v>
      </c>
      <c r="AH6" s="30">
        <v>0</v>
      </c>
      <c r="AI6" s="30">
        <f t="shared" ref="AI6:AI23" si="33">IF(P6&gt;=P5, P6-P5, 0)</f>
        <v>3.7797856778225629</v>
      </c>
      <c r="AJ6" s="34">
        <f t="shared" si="3"/>
        <v>13294.428636878878</v>
      </c>
      <c r="AM6" s="23"/>
      <c r="AO6" s="20" t="str">
        <f t="shared" si="4"/>
        <v>INDONESIA</v>
      </c>
      <c r="AP6" s="20">
        <f t="shared" si="5"/>
        <v>2021</v>
      </c>
      <c r="AQ6" s="30">
        <v>99999</v>
      </c>
      <c r="AR6" s="30">
        <v>99999</v>
      </c>
      <c r="AS6" s="30">
        <v>99999</v>
      </c>
      <c r="AT6" s="30">
        <v>999</v>
      </c>
      <c r="AU6" s="30">
        <f t="shared" si="12"/>
        <v>23965.8</v>
      </c>
      <c r="AV6" s="30">
        <f t="shared" si="13"/>
        <v>75091</v>
      </c>
      <c r="AW6" s="30">
        <f t="shared" si="14"/>
        <v>19385</v>
      </c>
      <c r="AX6" s="30">
        <f t="shared" si="15"/>
        <v>206153.38810286668</v>
      </c>
      <c r="AY6" s="30">
        <f t="shared" si="16"/>
        <v>54787.169800104777</v>
      </c>
      <c r="AZ6" s="30">
        <f t="shared" si="17"/>
        <v>32654</v>
      </c>
      <c r="BA6" s="30">
        <f t="shared" si="18"/>
        <v>17988</v>
      </c>
      <c r="BB6" s="30">
        <v>99999</v>
      </c>
      <c r="BC6" s="30">
        <v>99999</v>
      </c>
      <c r="BD6" s="30">
        <f t="shared" si="6"/>
        <v>430024.35790297145</v>
      </c>
      <c r="BF6" s="23"/>
      <c r="BG6" s="19"/>
      <c r="BH6" s="20" t="str">
        <f t="shared" si="19"/>
        <v>INDONESIA</v>
      </c>
      <c r="BI6" s="20">
        <f t="shared" si="19"/>
        <v>2021</v>
      </c>
      <c r="BJ6" s="25">
        <f t="shared" si="7"/>
        <v>5.9898387857972406E-2</v>
      </c>
      <c r="BK6" s="43">
        <f t="shared" si="8"/>
        <v>2.8590860973417323E-4</v>
      </c>
      <c r="BL6" s="34">
        <f t="shared" si="20"/>
        <v>101497.55646836158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0"/>
        <v>INDONESIA</v>
      </c>
      <c r="C7" s="20">
        <f t="shared" si="0"/>
        <v>2022</v>
      </c>
      <c r="D7" s="30">
        <f t="shared" si="21"/>
        <v>35589.317973964789</v>
      </c>
      <c r="E7" s="30">
        <f t="shared" si="22"/>
        <v>5638.72</v>
      </c>
      <c r="F7" s="30">
        <f t="shared" si="23"/>
        <v>28937.159542545796</v>
      </c>
      <c r="G7" s="30">
        <f t="shared" si="24"/>
        <v>8103.4816684999196</v>
      </c>
      <c r="H7" s="30">
        <f t="shared" si="25"/>
        <v>1986.3999999999999</v>
      </c>
      <c r="I7" s="30">
        <f t="shared" si="26"/>
        <v>5689.6399999999994</v>
      </c>
      <c r="J7" s="30">
        <f t="shared" si="27"/>
        <v>169.62</v>
      </c>
      <c r="K7" s="30">
        <f t="shared" si="28"/>
        <v>1978.557002736346</v>
      </c>
      <c r="L7" s="30">
        <f t="shared" si="29"/>
        <v>7100.7716612114655</v>
      </c>
      <c r="M7" s="30">
        <f t="shared" si="30"/>
        <v>142.85</v>
      </c>
      <c r="N7" s="30">
        <f t="shared" si="31"/>
        <v>0</v>
      </c>
      <c r="O7" s="30">
        <f t="shared" si="32"/>
        <v>0</v>
      </c>
      <c r="P7" s="30">
        <f>BL7/((VLOOKUP(P$3,tech_data!$B$2:$G$15,6,FALSE)/100)*24*365)</f>
        <v>27.36718859584618</v>
      </c>
      <c r="Q7" s="30">
        <f t="shared" si="10"/>
        <v>95336.517848958305</v>
      </c>
      <c r="R7" s="30"/>
      <c r="S7" s="36"/>
      <c r="T7" s="19"/>
      <c r="U7" s="20" t="str">
        <f t="shared" si="1"/>
        <v>INDONESIA</v>
      </c>
      <c r="V7" s="20">
        <f t="shared" si="2"/>
        <v>2022</v>
      </c>
      <c r="W7" s="30">
        <v>0</v>
      </c>
      <c r="X7" s="30">
        <v>0</v>
      </c>
      <c r="Y7" s="30">
        <v>3869.3916132822005</v>
      </c>
      <c r="Z7" s="30">
        <v>1015.8854195326479</v>
      </c>
      <c r="AA7" s="30">
        <v>0</v>
      </c>
      <c r="AB7" s="30">
        <v>0</v>
      </c>
      <c r="AC7" s="30">
        <v>0</v>
      </c>
      <c r="AD7" s="30">
        <v>216.4251056030231</v>
      </c>
      <c r="AE7" s="30">
        <v>1240.9414613162371</v>
      </c>
      <c r="AF7" s="30">
        <v>0</v>
      </c>
      <c r="AG7" s="30">
        <v>0</v>
      </c>
      <c r="AH7" s="30">
        <v>0</v>
      </c>
      <c r="AI7" s="30">
        <f t="shared" si="33"/>
        <v>1.6194573760690183</v>
      </c>
      <c r="AJ7" s="34">
        <f t="shared" si="3"/>
        <v>6344.2630571101772</v>
      </c>
      <c r="AM7" s="23"/>
      <c r="AO7" s="20" t="str">
        <f t="shared" si="4"/>
        <v>INDONESIA</v>
      </c>
      <c r="AP7" s="20">
        <f t="shared" si="5"/>
        <v>2022</v>
      </c>
      <c r="AQ7" s="30">
        <v>99999</v>
      </c>
      <c r="AR7" s="30">
        <v>99999</v>
      </c>
      <c r="AS7" s="30">
        <v>99999</v>
      </c>
      <c r="AT7" s="30">
        <v>999</v>
      </c>
      <c r="AU7" s="30">
        <f t="shared" si="12"/>
        <v>23965.8</v>
      </c>
      <c r="AV7" s="30">
        <f t="shared" si="13"/>
        <v>75091</v>
      </c>
      <c r="AW7" s="30">
        <f t="shared" si="14"/>
        <v>19385</v>
      </c>
      <c r="AX7" s="30">
        <f t="shared" si="15"/>
        <v>205936.96299726365</v>
      </c>
      <c r="AY7" s="30">
        <f t="shared" si="16"/>
        <v>53546.22833878854</v>
      </c>
      <c r="AZ7" s="30">
        <f t="shared" si="17"/>
        <v>32654</v>
      </c>
      <c r="BA7" s="30">
        <f t="shared" si="18"/>
        <v>17988</v>
      </c>
      <c r="BB7" s="30">
        <v>99999</v>
      </c>
      <c r="BC7" s="30">
        <v>99999</v>
      </c>
      <c r="BD7" s="30">
        <f t="shared" si="6"/>
        <v>428566.99133605219</v>
      </c>
      <c r="BF7" s="23"/>
      <c r="BG7" s="19"/>
      <c r="BH7" s="20" t="str">
        <f t="shared" si="19"/>
        <v>INDONESIA</v>
      </c>
      <c r="BI7" s="20">
        <f t="shared" si="19"/>
        <v>2022</v>
      </c>
      <c r="BJ7" s="25">
        <f t="shared" si="7"/>
        <v>6.7943130918735509E-2</v>
      </c>
      <c r="BK7" s="43">
        <f t="shared" si="8"/>
        <v>2.876840013062037E-4</v>
      </c>
      <c r="BL7" s="34">
        <f t="shared" si="20"/>
        <v>107881.45744482566</v>
      </c>
      <c r="BP7" s="23"/>
    </row>
    <row r="8" spans="1:68" x14ac:dyDescent="0.25">
      <c r="A8" s="19"/>
      <c r="B8" s="20" t="str">
        <f t="shared" si="0"/>
        <v>INDONESIA</v>
      </c>
      <c r="C8" s="20">
        <f t="shared" si="0"/>
        <v>2023</v>
      </c>
      <c r="D8" s="30">
        <f t="shared" si="21"/>
        <v>35589.317973964789</v>
      </c>
      <c r="E8" s="30">
        <f t="shared" si="22"/>
        <v>5638.72</v>
      </c>
      <c r="F8" s="30">
        <f t="shared" si="23"/>
        <v>32756.463366085234</v>
      </c>
      <c r="G8" s="30">
        <f t="shared" si="24"/>
        <v>8449.6668173344096</v>
      </c>
      <c r="H8" s="30">
        <f t="shared" si="25"/>
        <v>1986.3999999999999</v>
      </c>
      <c r="I8" s="30">
        <f t="shared" si="26"/>
        <v>5689.6399999999994</v>
      </c>
      <c r="J8" s="30">
        <f t="shared" si="27"/>
        <v>169.62</v>
      </c>
      <c r="K8" s="30">
        <f t="shared" si="28"/>
        <v>2451.5140591297131</v>
      </c>
      <c r="L8" s="30">
        <f t="shared" si="29"/>
        <v>10622.160647746303</v>
      </c>
      <c r="M8" s="30">
        <f t="shared" si="30"/>
        <v>142.85</v>
      </c>
      <c r="N8" s="30">
        <f t="shared" si="31"/>
        <v>0</v>
      </c>
      <c r="O8" s="30">
        <f t="shared" si="32"/>
        <v>0</v>
      </c>
      <c r="P8" s="30">
        <f>BL8/((VLOOKUP(P$3,tech_data!$B$2:$G$15,6,FALSE)/100)*24*365)</f>
        <v>29.682444308316228</v>
      </c>
      <c r="Q8" s="30">
        <f t="shared" si="10"/>
        <v>103496.35286426044</v>
      </c>
      <c r="R8" s="30"/>
      <c r="S8" s="36"/>
      <c r="T8" s="19"/>
      <c r="U8" s="20" t="str">
        <f t="shared" si="1"/>
        <v>INDONESIA</v>
      </c>
      <c r="V8" s="20">
        <f t="shared" si="2"/>
        <v>2023</v>
      </c>
      <c r="W8" s="30">
        <v>0</v>
      </c>
      <c r="X8" s="30">
        <v>0</v>
      </c>
      <c r="Y8" s="30">
        <v>3819.3038235394388</v>
      </c>
      <c r="Z8" s="30">
        <v>346.18514883449075</v>
      </c>
      <c r="AA8" s="30">
        <v>0</v>
      </c>
      <c r="AB8" s="30">
        <v>5.6843418860808015E-14</v>
      </c>
      <c r="AC8" s="30">
        <v>0</v>
      </c>
      <c r="AD8" s="30">
        <v>472.95705639336717</v>
      </c>
      <c r="AE8" s="30">
        <v>3521.3889865348369</v>
      </c>
      <c r="AF8" s="30">
        <v>0</v>
      </c>
      <c r="AG8" s="30">
        <v>0</v>
      </c>
      <c r="AH8" s="30">
        <v>0</v>
      </c>
      <c r="AI8" s="30">
        <f t="shared" si="33"/>
        <v>2.3152557124700479</v>
      </c>
      <c r="AJ8" s="34">
        <f t="shared" si="3"/>
        <v>8162.1502710146051</v>
      </c>
      <c r="AM8" s="23"/>
      <c r="AO8" s="20" t="str">
        <f t="shared" si="4"/>
        <v>INDONESIA</v>
      </c>
      <c r="AP8" s="20">
        <f t="shared" si="5"/>
        <v>2023</v>
      </c>
      <c r="AQ8" s="30">
        <v>99999</v>
      </c>
      <c r="AR8" s="30">
        <v>99999</v>
      </c>
      <c r="AS8" s="30">
        <v>99999</v>
      </c>
      <c r="AT8" s="30">
        <v>999</v>
      </c>
      <c r="AU8" s="30">
        <f t="shared" si="12"/>
        <v>23965.8</v>
      </c>
      <c r="AV8" s="30">
        <f t="shared" si="13"/>
        <v>75091</v>
      </c>
      <c r="AW8" s="30">
        <f t="shared" si="14"/>
        <v>19385</v>
      </c>
      <c r="AX8" s="30">
        <f t="shared" si="15"/>
        <v>205464.00594087027</v>
      </c>
      <c r="AY8" s="30">
        <f t="shared" si="16"/>
        <v>50024.839352253701</v>
      </c>
      <c r="AZ8" s="30">
        <f t="shared" si="17"/>
        <v>32654</v>
      </c>
      <c r="BA8" s="30">
        <f t="shared" si="18"/>
        <v>17988</v>
      </c>
      <c r="BB8" s="30">
        <v>99999</v>
      </c>
      <c r="BC8" s="30">
        <v>99999</v>
      </c>
      <c r="BD8" s="30">
        <f t="shared" si="6"/>
        <v>424572.64529312396</v>
      </c>
      <c r="BF8" s="23"/>
      <c r="BG8" s="19"/>
      <c r="BH8" s="20" t="str">
        <f t="shared" si="19"/>
        <v>INDONESIA</v>
      </c>
      <c r="BI8" s="20">
        <f t="shared" si="19"/>
        <v>2023</v>
      </c>
      <c r="BJ8" s="25">
        <f t="shared" si="7"/>
        <v>9.3180419941140916E-2</v>
      </c>
      <c r="BK8" s="43">
        <f t="shared" si="8"/>
        <v>2.9325360991804488E-4</v>
      </c>
      <c r="BL8" s="34">
        <f t="shared" si="20"/>
        <v>117008.19546338258</v>
      </c>
      <c r="BP8" s="23"/>
    </row>
    <row r="9" spans="1:68" x14ac:dyDescent="0.25">
      <c r="A9" s="19"/>
      <c r="B9" s="20" t="str">
        <f t="shared" si="0"/>
        <v>INDONESIA</v>
      </c>
      <c r="C9" s="20">
        <f t="shared" si="0"/>
        <v>2024</v>
      </c>
      <c r="D9" s="30">
        <f t="shared" si="21"/>
        <v>35589.317973964789</v>
      </c>
      <c r="E9" s="30">
        <f t="shared" si="22"/>
        <v>5638.72</v>
      </c>
      <c r="F9" s="30">
        <f t="shared" si="23"/>
        <v>37764.279014577492</v>
      </c>
      <c r="G9" s="30">
        <f t="shared" si="24"/>
        <v>8903.282536266619</v>
      </c>
      <c r="H9" s="30">
        <f t="shared" si="25"/>
        <v>1986.3999999999999</v>
      </c>
      <c r="I9" s="30">
        <f t="shared" si="26"/>
        <v>5689.6399999999994</v>
      </c>
      <c r="J9" s="30">
        <f t="shared" si="27"/>
        <v>169.62</v>
      </c>
      <c r="K9" s="30">
        <f t="shared" si="28"/>
        <v>3039.7855700690379</v>
      </c>
      <c r="L9" s="30">
        <f t="shared" si="29"/>
        <v>14781.363148208045</v>
      </c>
      <c r="M9" s="30">
        <f t="shared" si="30"/>
        <v>142.85</v>
      </c>
      <c r="N9" s="30">
        <f t="shared" si="31"/>
        <v>0</v>
      </c>
      <c r="O9" s="30">
        <f t="shared" si="32"/>
        <v>0</v>
      </c>
      <c r="P9" s="30">
        <f>BL9/((VLOOKUP(P$3,tech_data!$B$2:$G$15,6,FALSE)/100)*24*365)</f>
        <v>32.534437040966168</v>
      </c>
      <c r="Q9" s="30">
        <f t="shared" si="10"/>
        <v>113705.25824308599</v>
      </c>
      <c r="R9" s="30"/>
      <c r="S9" s="36"/>
      <c r="T9" s="19"/>
      <c r="U9" s="20" t="str">
        <f t="shared" si="1"/>
        <v>INDONESIA</v>
      </c>
      <c r="V9" s="20">
        <f t="shared" si="2"/>
        <v>2024</v>
      </c>
      <c r="W9" s="30">
        <v>0</v>
      </c>
      <c r="X9" s="30">
        <v>0</v>
      </c>
      <c r="Y9" s="30">
        <v>5007.8156484922574</v>
      </c>
      <c r="Z9" s="30">
        <v>453.61571893220884</v>
      </c>
      <c r="AA9" s="30">
        <v>0</v>
      </c>
      <c r="AB9" s="30">
        <v>0</v>
      </c>
      <c r="AC9" s="30">
        <v>0</v>
      </c>
      <c r="AD9" s="30">
        <v>588.27151093932468</v>
      </c>
      <c r="AE9" s="30">
        <v>4159.2025004617417</v>
      </c>
      <c r="AF9" s="30">
        <v>0</v>
      </c>
      <c r="AG9" s="30">
        <v>0</v>
      </c>
      <c r="AH9" s="30">
        <v>0</v>
      </c>
      <c r="AI9" s="30">
        <f t="shared" si="33"/>
        <v>2.8519927326499399</v>
      </c>
      <c r="AJ9" s="34">
        <f t="shared" si="3"/>
        <v>10211.757371558184</v>
      </c>
      <c r="AM9" s="23"/>
      <c r="AO9" s="20" t="str">
        <f t="shared" si="4"/>
        <v>INDONESIA</v>
      </c>
      <c r="AP9" s="20">
        <f t="shared" si="5"/>
        <v>2024</v>
      </c>
      <c r="AQ9" s="30">
        <v>99999</v>
      </c>
      <c r="AR9" s="30">
        <v>99999</v>
      </c>
      <c r="AS9" s="30">
        <v>99999</v>
      </c>
      <c r="AT9" s="30">
        <v>999</v>
      </c>
      <c r="AU9" s="30">
        <f t="shared" si="12"/>
        <v>23965.8</v>
      </c>
      <c r="AV9" s="30">
        <f t="shared" si="13"/>
        <v>75091</v>
      </c>
      <c r="AW9" s="30">
        <f t="shared" si="14"/>
        <v>19385</v>
      </c>
      <c r="AX9" s="30">
        <f t="shared" si="15"/>
        <v>204875.73442993095</v>
      </c>
      <c r="AY9" s="30">
        <f t="shared" si="16"/>
        <v>45865.636851791962</v>
      </c>
      <c r="AZ9" s="30">
        <f t="shared" si="17"/>
        <v>32654</v>
      </c>
      <c r="BA9" s="30">
        <f t="shared" si="18"/>
        <v>17988</v>
      </c>
      <c r="BB9" s="30">
        <v>99999</v>
      </c>
      <c r="BC9" s="30">
        <v>99999</v>
      </c>
      <c r="BD9" s="30">
        <f t="shared" si="6"/>
        <v>419825.17128172296</v>
      </c>
      <c r="BF9" s="23"/>
      <c r="BG9" s="19"/>
      <c r="BH9" s="20" t="str">
        <f t="shared" si="19"/>
        <v>INDONESIA</v>
      </c>
      <c r="BI9" s="20">
        <f t="shared" si="19"/>
        <v>2024</v>
      </c>
      <c r="BJ9" s="25">
        <f t="shared" si="7"/>
        <v>0.11900486197713266</v>
      </c>
      <c r="BK9" s="43">
        <f t="shared" si="8"/>
        <v>2.9895279712598789E-4</v>
      </c>
      <c r="BL9" s="34">
        <f t="shared" si="20"/>
        <v>128250.75081548866</v>
      </c>
      <c r="BN9" s="38"/>
      <c r="BP9" s="23"/>
    </row>
    <row r="10" spans="1:68" x14ac:dyDescent="0.25">
      <c r="A10" s="19"/>
      <c r="B10" s="20" t="str">
        <f t="shared" si="0"/>
        <v>INDONESIA</v>
      </c>
      <c r="C10" s="20">
        <f t="shared" si="0"/>
        <v>2025</v>
      </c>
      <c r="D10" s="30">
        <f t="shared" si="21"/>
        <v>35589.317973964789</v>
      </c>
      <c r="E10" s="30">
        <f t="shared" si="22"/>
        <v>5638.72</v>
      </c>
      <c r="F10" s="30">
        <f t="shared" si="23"/>
        <v>42642.718019648579</v>
      </c>
      <c r="G10" s="30">
        <f t="shared" si="24"/>
        <v>9355.7080312254129</v>
      </c>
      <c r="H10" s="30">
        <f t="shared" si="25"/>
        <v>1986.3999999999999</v>
      </c>
      <c r="I10" s="30">
        <f t="shared" si="26"/>
        <v>5689.6399999999994</v>
      </c>
      <c r="J10" s="30">
        <f t="shared" si="27"/>
        <v>169.62</v>
      </c>
      <c r="K10" s="30">
        <f t="shared" si="28"/>
        <v>3728.8314684046945</v>
      </c>
      <c r="L10" s="30">
        <f t="shared" si="29"/>
        <v>19323.787968956127</v>
      </c>
      <c r="M10" s="30">
        <f t="shared" si="30"/>
        <v>142.85</v>
      </c>
      <c r="N10" s="30">
        <f t="shared" si="31"/>
        <v>0</v>
      </c>
      <c r="O10" s="30">
        <f t="shared" si="32"/>
        <v>0</v>
      </c>
      <c r="P10" s="30">
        <f>BL10/((VLOOKUP(P$3,tech_data!$B$2:$G$15,6,FALSE)/100)*24*365)</f>
        <v>35.531969332020445</v>
      </c>
      <c r="Q10" s="30">
        <f t="shared" si="10"/>
        <v>124267.59346219958</v>
      </c>
      <c r="R10" s="30"/>
      <c r="S10" s="36"/>
      <c r="T10" s="19"/>
      <c r="U10" s="20" t="str">
        <f t="shared" si="1"/>
        <v>INDONESIA</v>
      </c>
      <c r="V10" s="20">
        <f t="shared" si="2"/>
        <v>2025</v>
      </c>
      <c r="W10" s="30">
        <v>0</v>
      </c>
      <c r="X10" s="30">
        <v>0</v>
      </c>
      <c r="Y10" s="30">
        <v>4878.4390050710854</v>
      </c>
      <c r="Z10" s="30">
        <v>452.42549495879416</v>
      </c>
      <c r="AA10" s="30">
        <v>0</v>
      </c>
      <c r="AB10" s="30">
        <v>0</v>
      </c>
      <c r="AC10" s="30">
        <v>0</v>
      </c>
      <c r="AD10" s="30">
        <v>689.04589833565637</v>
      </c>
      <c r="AE10" s="30">
        <v>4542.4248207480823</v>
      </c>
      <c r="AF10" s="30">
        <v>0</v>
      </c>
      <c r="AG10" s="30">
        <v>0</v>
      </c>
      <c r="AH10" s="30">
        <v>0</v>
      </c>
      <c r="AI10" s="30">
        <f t="shared" si="33"/>
        <v>2.9975322910542772</v>
      </c>
      <c r="AJ10" s="34">
        <f t="shared" si="3"/>
        <v>10565.332751404672</v>
      </c>
      <c r="AM10" s="23"/>
      <c r="AO10" s="20" t="str">
        <f t="shared" si="4"/>
        <v>INDONESIA</v>
      </c>
      <c r="AP10" s="20">
        <f t="shared" si="5"/>
        <v>2025</v>
      </c>
      <c r="AQ10" s="30">
        <v>99999</v>
      </c>
      <c r="AR10" s="30">
        <v>99999</v>
      </c>
      <c r="AS10" s="30">
        <v>99999</v>
      </c>
      <c r="AT10" s="30">
        <v>999</v>
      </c>
      <c r="AU10" s="30">
        <f t="shared" si="12"/>
        <v>23965.8</v>
      </c>
      <c r="AV10" s="30">
        <f t="shared" si="13"/>
        <v>75091</v>
      </c>
      <c r="AW10" s="30">
        <f t="shared" si="14"/>
        <v>19385</v>
      </c>
      <c r="AX10" s="30">
        <f t="shared" si="15"/>
        <v>204186.68853159528</v>
      </c>
      <c r="AY10" s="30">
        <f t="shared" si="16"/>
        <v>41323.212031043877</v>
      </c>
      <c r="AZ10" s="30">
        <f t="shared" si="17"/>
        <v>32654</v>
      </c>
      <c r="BA10" s="30">
        <f t="shared" si="18"/>
        <v>17988</v>
      </c>
      <c r="BB10" s="30">
        <v>99999</v>
      </c>
      <c r="BC10" s="30">
        <v>99999</v>
      </c>
      <c r="BD10" s="30">
        <f t="shared" si="6"/>
        <v>414593.70056263916</v>
      </c>
      <c r="BF10" s="23"/>
      <c r="BG10" s="19"/>
      <c r="BH10" s="20" t="str">
        <f t="shared" si="19"/>
        <v>INDONESIA</v>
      </c>
      <c r="BI10" s="20">
        <f t="shared" si="19"/>
        <v>2025</v>
      </c>
      <c r="BJ10" s="25">
        <f t="shared" si="7"/>
        <v>0.14411129060489472</v>
      </c>
      <c r="BK10" s="43">
        <f t="shared" si="8"/>
        <v>3.0449352620245951E-4</v>
      </c>
      <c r="BL10" s="34">
        <f t="shared" si="20"/>
        <v>140067.02310682461</v>
      </c>
      <c r="BP10" s="23"/>
    </row>
    <row r="11" spans="1:68" x14ac:dyDescent="0.25">
      <c r="A11" s="19"/>
      <c r="B11" s="20" t="str">
        <f t="shared" si="0"/>
        <v>INDONESIA</v>
      </c>
      <c r="C11" s="20">
        <f t="shared" si="0"/>
        <v>2026</v>
      </c>
      <c r="D11" s="30">
        <f t="shared" si="21"/>
        <v>35589.317973964789</v>
      </c>
      <c r="E11" s="30">
        <f t="shared" si="22"/>
        <v>5638.72</v>
      </c>
      <c r="F11" s="30">
        <f t="shared" si="23"/>
        <v>51850.970348228358</v>
      </c>
      <c r="G11" s="30">
        <f t="shared" si="24"/>
        <v>9945.929294742089</v>
      </c>
      <c r="H11" s="30">
        <f t="shared" si="25"/>
        <v>1986.3999999999999</v>
      </c>
      <c r="I11" s="30">
        <f t="shared" si="26"/>
        <v>5689.6399999999994</v>
      </c>
      <c r="J11" s="30">
        <f t="shared" si="27"/>
        <v>169.62</v>
      </c>
      <c r="K11" s="30">
        <f t="shared" si="28"/>
        <v>4306.3100076728615</v>
      </c>
      <c r="L11" s="30">
        <f t="shared" si="29"/>
        <v>22414.100285003646</v>
      </c>
      <c r="M11" s="30">
        <f t="shared" si="30"/>
        <v>142.85</v>
      </c>
      <c r="N11" s="30">
        <f t="shared" si="31"/>
        <v>0</v>
      </c>
      <c r="O11" s="30">
        <f t="shared" si="32"/>
        <v>0</v>
      </c>
      <c r="P11" s="30">
        <f>BL11/((VLOOKUP(P$3,tech_data!$B$2:$G$15,6,FALSE)/100)*24*365)</f>
        <v>38.821384812191916</v>
      </c>
      <c r="Q11" s="30">
        <f t="shared" si="10"/>
        <v>137733.85790961175</v>
      </c>
      <c r="R11" s="30"/>
      <c r="S11" s="36"/>
      <c r="T11" s="19"/>
      <c r="U11" s="20" t="str">
        <f t="shared" si="1"/>
        <v>INDONESIA</v>
      </c>
      <c r="V11" s="20">
        <f t="shared" si="2"/>
        <v>2026</v>
      </c>
      <c r="W11" s="30">
        <v>0</v>
      </c>
      <c r="X11" s="30">
        <v>0</v>
      </c>
      <c r="Y11" s="30">
        <v>9208.2523285797779</v>
      </c>
      <c r="Z11" s="30">
        <v>590.22126351667589</v>
      </c>
      <c r="AA11" s="30">
        <v>0</v>
      </c>
      <c r="AB11" s="30">
        <v>0</v>
      </c>
      <c r="AC11" s="30">
        <v>0</v>
      </c>
      <c r="AD11" s="30">
        <v>577.47853926816663</v>
      </c>
      <c r="AE11" s="30">
        <v>3090.3123160475207</v>
      </c>
      <c r="AF11" s="30">
        <v>0</v>
      </c>
      <c r="AG11" s="30">
        <v>0</v>
      </c>
      <c r="AH11" s="30">
        <v>0</v>
      </c>
      <c r="AI11" s="30">
        <f t="shared" si="33"/>
        <v>3.2894154801714706</v>
      </c>
      <c r="AJ11" s="34">
        <f t="shared" si="3"/>
        <v>13469.553862892311</v>
      </c>
      <c r="AM11" s="23"/>
      <c r="AO11" s="20" t="str">
        <f t="shared" si="4"/>
        <v>INDONESIA</v>
      </c>
      <c r="AP11" s="20">
        <f t="shared" si="5"/>
        <v>2026</v>
      </c>
      <c r="AQ11" s="30">
        <v>99999</v>
      </c>
      <c r="AR11" s="30">
        <v>99999</v>
      </c>
      <c r="AS11" s="30">
        <v>99999</v>
      </c>
      <c r="AT11" s="30">
        <v>999</v>
      </c>
      <c r="AU11" s="30">
        <f t="shared" si="12"/>
        <v>23965.8</v>
      </c>
      <c r="AV11" s="30">
        <f t="shared" si="13"/>
        <v>75091</v>
      </c>
      <c r="AW11" s="30">
        <f t="shared" si="14"/>
        <v>19385</v>
      </c>
      <c r="AX11" s="30">
        <f t="shared" si="15"/>
        <v>203609.20999232712</v>
      </c>
      <c r="AY11" s="30">
        <f t="shared" si="16"/>
        <v>38232.899714996354</v>
      </c>
      <c r="AZ11" s="30">
        <f t="shared" si="17"/>
        <v>32654</v>
      </c>
      <c r="BA11" s="30">
        <f t="shared" si="18"/>
        <v>17988</v>
      </c>
      <c r="BB11" s="30">
        <v>99999</v>
      </c>
      <c r="BC11" s="30">
        <v>99999</v>
      </c>
      <c r="BD11" s="30">
        <f t="shared" si="6"/>
        <v>410925.90970732347</v>
      </c>
      <c r="BF11" s="23"/>
      <c r="BG11" s="19"/>
      <c r="BH11" s="20" t="str">
        <f t="shared" si="19"/>
        <v>INDONESIA</v>
      </c>
      <c r="BI11" s="20">
        <f t="shared" si="19"/>
        <v>2026</v>
      </c>
      <c r="BJ11" s="25">
        <f t="shared" si="7"/>
        <v>0.15402403353235222</v>
      </c>
      <c r="BK11" s="43">
        <f t="shared" si="8"/>
        <v>3.066811660209329E-4</v>
      </c>
      <c r="BL11" s="34">
        <f t="shared" si="20"/>
        <v>153033.89892966056</v>
      </c>
      <c r="BP11" s="23"/>
    </row>
    <row r="12" spans="1:68" x14ac:dyDescent="0.25">
      <c r="A12" s="19"/>
      <c r="B12" s="20" t="str">
        <f t="shared" si="0"/>
        <v>INDONESIA</v>
      </c>
      <c r="C12" s="20">
        <f t="shared" si="0"/>
        <v>2027</v>
      </c>
      <c r="D12" s="30">
        <f t="shared" si="21"/>
        <v>35589.317973964789</v>
      </c>
      <c r="E12" s="30">
        <f t="shared" si="22"/>
        <v>5638.72</v>
      </c>
      <c r="F12" s="30">
        <f t="shared" si="23"/>
        <v>62221.55807227645</v>
      </c>
      <c r="G12" s="30">
        <f t="shared" si="24"/>
        <v>10606.460587322834</v>
      </c>
      <c r="H12" s="30">
        <f t="shared" si="25"/>
        <v>1986.3999999999999</v>
      </c>
      <c r="I12" s="30">
        <f t="shared" si="26"/>
        <v>5689.6399999999994</v>
      </c>
      <c r="J12" s="30">
        <f t="shared" si="27"/>
        <v>169.62</v>
      </c>
      <c r="K12" s="30">
        <f t="shared" si="28"/>
        <v>4987.8388668095058</v>
      </c>
      <c r="L12" s="30">
        <f t="shared" si="29"/>
        <v>25907.620049224126</v>
      </c>
      <c r="M12" s="30">
        <f t="shared" si="30"/>
        <v>142.85</v>
      </c>
      <c r="N12" s="30">
        <f t="shared" si="31"/>
        <v>0</v>
      </c>
      <c r="O12" s="30">
        <f t="shared" si="32"/>
        <v>0</v>
      </c>
      <c r="P12" s="30">
        <f>BL12/((VLOOKUP(P$3,tech_data!$B$2:$G$15,6,FALSE)/100)*24*365)</f>
        <v>42.536791901618443</v>
      </c>
      <c r="Q12" s="30">
        <f t="shared" si="10"/>
        <v>152940.02554959769</v>
      </c>
      <c r="R12" s="30"/>
      <c r="S12" s="36"/>
      <c r="T12" s="19"/>
      <c r="U12" s="20" t="str">
        <f t="shared" si="1"/>
        <v>INDONESIA</v>
      </c>
      <c r="V12" s="20">
        <f t="shared" si="2"/>
        <v>2027</v>
      </c>
      <c r="W12" s="30">
        <v>0</v>
      </c>
      <c r="X12" s="30">
        <v>0</v>
      </c>
      <c r="Y12" s="30">
        <v>10370.587724048093</v>
      </c>
      <c r="Z12" s="30">
        <v>660.53129258074489</v>
      </c>
      <c r="AA12" s="30">
        <v>0</v>
      </c>
      <c r="AB12" s="30">
        <v>0</v>
      </c>
      <c r="AC12" s="30">
        <v>0</v>
      </c>
      <c r="AD12" s="30">
        <v>681.52885913664443</v>
      </c>
      <c r="AE12" s="30">
        <v>3493.5197642204821</v>
      </c>
      <c r="AF12" s="30">
        <v>0</v>
      </c>
      <c r="AG12" s="30">
        <v>0</v>
      </c>
      <c r="AH12" s="30">
        <v>0</v>
      </c>
      <c r="AI12" s="30">
        <f t="shared" si="33"/>
        <v>3.7154070894265274</v>
      </c>
      <c r="AJ12" s="34">
        <f t="shared" si="3"/>
        <v>15209.883047075391</v>
      </c>
      <c r="AM12" s="23"/>
      <c r="AO12" s="20" t="str">
        <f t="shared" si="4"/>
        <v>INDONESIA</v>
      </c>
      <c r="AP12" s="20">
        <f t="shared" si="5"/>
        <v>2027</v>
      </c>
      <c r="AQ12" s="30">
        <v>99999</v>
      </c>
      <c r="AR12" s="30">
        <v>99999</v>
      </c>
      <c r="AS12" s="30">
        <v>99999</v>
      </c>
      <c r="AT12" s="30">
        <v>999</v>
      </c>
      <c r="AU12" s="30">
        <f t="shared" si="12"/>
        <v>23965.8</v>
      </c>
      <c r="AV12" s="30">
        <f t="shared" si="13"/>
        <v>75091</v>
      </c>
      <c r="AW12" s="30">
        <f t="shared" si="14"/>
        <v>19385</v>
      </c>
      <c r="AX12" s="30">
        <f t="shared" si="15"/>
        <v>202927.68113319046</v>
      </c>
      <c r="AY12" s="30">
        <f t="shared" si="16"/>
        <v>34739.379950775874</v>
      </c>
      <c r="AZ12" s="30">
        <f t="shared" si="17"/>
        <v>32654</v>
      </c>
      <c r="BA12" s="30">
        <f t="shared" si="18"/>
        <v>17988</v>
      </c>
      <c r="BB12" s="30">
        <v>99999</v>
      </c>
      <c r="BC12" s="30">
        <v>99999</v>
      </c>
      <c r="BD12" s="30">
        <f t="shared" si="6"/>
        <v>406750.86108396633</v>
      </c>
      <c r="BF12" s="23"/>
      <c r="BG12" s="19"/>
      <c r="BH12" s="20" t="str">
        <f t="shared" si="19"/>
        <v>INDONESIA</v>
      </c>
      <c r="BI12" s="20">
        <f t="shared" si="19"/>
        <v>2027</v>
      </c>
      <c r="BJ12" s="25">
        <f t="shared" si="7"/>
        <v>0.16363970453264057</v>
      </c>
      <c r="BK12" s="43">
        <f t="shared" si="8"/>
        <v>3.0880324513823791E-4</v>
      </c>
      <c r="BL12" s="34">
        <f t="shared" si="20"/>
        <v>167680.03367617991</v>
      </c>
      <c r="BP12" s="23"/>
    </row>
    <row r="13" spans="1:68" x14ac:dyDescent="0.25">
      <c r="A13" s="19"/>
      <c r="B13" s="20" t="str">
        <f t="shared" si="0"/>
        <v>INDONESIA</v>
      </c>
      <c r="C13" s="20">
        <f t="shared" si="0"/>
        <v>2028</v>
      </c>
      <c r="D13" s="30">
        <f t="shared" si="21"/>
        <v>35589.317973964789</v>
      </c>
      <c r="E13" s="30">
        <f t="shared" si="22"/>
        <v>5638.72</v>
      </c>
      <c r="F13" s="30">
        <f t="shared" si="23"/>
        <v>69182.566929635752</v>
      </c>
      <c r="G13" s="30">
        <f t="shared" si="24"/>
        <v>10968.605197354187</v>
      </c>
      <c r="H13" s="30">
        <f t="shared" si="25"/>
        <v>1986.3999999999999</v>
      </c>
      <c r="I13" s="30">
        <f t="shared" si="26"/>
        <v>5689.6399999999994</v>
      </c>
      <c r="J13" s="30">
        <f t="shared" si="27"/>
        <v>169.62</v>
      </c>
      <c r="K13" s="30">
        <f t="shared" si="28"/>
        <v>5601.395322405353</v>
      </c>
      <c r="L13" s="30">
        <f t="shared" si="29"/>
        <v>28442.768318821058</v>
      </c>
      <c r="M13" s="30">
        <f t="shared" si="30"/>
        <v>142.85</v>
      </c>
      <c r="N13" s="30">
        <f t="shared" si="31"/>
        <v>0</v>
      </c>
      <c r="O13" s="30">
        <f t="shared" si="32"/>
        <v>0</v>
      </c>
      <c r="P13" s="30">
        <f>BL13/((VLOOKUP(P$3,tech_data!$B$2:$G$15,6,FALSE)/100)*24*365)</f>
        <v>45.111750776861967</v>
      </c>
      <c r="Q13" s="30">
        <f t="shared" si="10"/>
        <v>163411.88374218115</v>
      </c>
      <c r="R13" s="30"/>
      <c r="S13" s="36"/>
      <c r="T13" s="19"/>
      <c r="U13" s="20" t="str">
        <f t="shared" si="1"/>
        <v>INDONESIA</v>
      </c>
      <c r="V13" s="20">
        <f t="shared" si="2"/>
        <v>2028</v>
      </c>
      <c r="W13" s="30">
        <v>0</v>
      </c>
      <c r="X13" s="30">
        <v>0</v>
      </c>
      <c r="Y13" s="30">
        <v>6961.0088573593084</v>
      </c>
      <c r="Z13" s="30">
        <v>362.14461003135278</v>
      </c>
      <c r="AA13" s="30">
        <v>0</v>
      </c>
      <c r="AB13" s="30">
        <v>0</v>
      </c>
      <c r="AC13" s="30">
        <v>0</v>
      </c>
      <c r="AD13" s="30">
        <v>613.55645559584696</v>
      </c>
      <c r="AE13" s="30">
        <v>2535.1482695969312</v>
      </c>
      <c r="AF13" s="30">
        <v>0</v>
      </c>
      <c r="AG13" s="30">
        <v>0</v>
      </c>
      <c r="AH13" s="30">
        <v>0</v>
      </c>
      <c r="AI13" s="30">
        <f t="shared" si="33"/>
        <v>2.5749588752435244</v>
      </c>
      <c r="AJ13" s="34">
        <f t="shared" si="3"/>
        <v>10474.433151458683</v>
      </c>
      <c r="AM13" s="23"/>
      <c r="AO13" s="20" t="str">
        <f t="shared" si="4"/>
        <v>INDONESIA</v>
      </c>
      <c r="AP13" s="20">
        <f t="shared" si="5"/>
        <v>2028</v>
      </c>
      <c r="AQ13" s="30">
        <v>99999</v>
      </c>
      <c r="AR13" s="30">
        <v>99999</v>
      </c>
      <c r="AS13" s="30">
        <v>99999</v>
      </c>
      <c r="AT13" s="30">
        <v>999</v>
      </c>
      <c r="AU13" s="30">
        <f t="shared" si="12"/>
        <v>23965.8</v>
      </c>
      <c r="AV13" s="30">
        <f t="shared" si="13"/>
        <v>75091</v>
      </c>
      <c r="AW13" s="30">
        <f t="shared" si="14"/>
        <v>19385</v>
      </c>
      <c r="AX13" s="30">
        <f t="shared" si="15"/>
        <v>202314.12467759461</v>
      </c>
      <c r="AY13" s="30">
        <f t="shared" si="16"/>
        <v>32204.231681178942</v>
      </c>
      <c r="AZ13" s="30">
        <f t="shared" si="17"/>
        <v>32654</v>
      </c>
      <c r="BA13" s="30">
        <f t="shared" si="18"/>
        <v>17988</v>
      </c>
      <c r="BB13" s="30">
        <v>99999</v>
      </c>
      <c r="BC13" s="30">
        <v>99999</v>
      </c>
      <c r="BD13" s="30">
        <f t="shared" si="6"/>
        <v>403602.15635877359</v>
      </c>
      <c r="BF13" s="23"/>
      <c r="BG13" s="19"/>
      <c r="BH13" s="20" t="str">
        <f t="shared" si="19"/>
        <v>INDONESIA</v>
      </c>
      <c r="BI13" s="20">
        <f t="shared" si="19"/>
        <v>2028</v>
      </c>
      <c r="BJ13" s="25">
        <f t="shared" si="7"/>
        <v>0.17064937770082064</v>
      </c>
      <c r="BK13" s="43">
        <f t="shared" si="8"/>
        <v>3.1035020749259492E-4</v>
      </c>
      <c r="BL13" s="34">
        <f t="shared" si="20"/>
        <v>177830.52156238988</v>
      </c>
      <c r="BP13" s="23"/>
    </row>
    <row r="14" spans="1:68" x14ac:dyDescent="0.25">
      <c r="A14" s="19"/>
      <c r="B14" s="20" t="str">
        <f t="shared" si="0"/>
        <v>INDONESIA</v>
      </c>
      <c r="C14" s="20">
        <f t="shared" si="0"/>
        <v>2029</v>
      </c>
      <c r="D14" s="30">
        <f t="shared" si="21"/>
        <v>36491.372492230534</v>
      </c>
      <c r="E14" s="30">
        <f t="shared" si="22"/>
        <v>5638.72</v>
      </c>
      <c r="F14" s="30">
        <f t="shared" si="23"/>
        <v>75246.837800218535</v>
      </c>
      <c r="G14" s="30">
        <f t="shared" si="24"/>
        <v>11368.304863875954</v>
      </c>
      <c r="H14" s="30">
        <f t="shared" si="25"/>
        <v>1986.3999999999999</v>
      </c>
      <c r="I14" s="30">
        <f t="shared" si="26"/>
        <v>5689.6399999999994</v>
      </c>
      <c r="J14" s="30">
        <f t="shared" si="27"/>
        <v>169.62</v>
      </c>
      <c r="K14" s="30">
        <f t="shared" si="28"/>
        <v>6303.2649038180762</v>
      </c>
      <c r="L14" s="30">
        <f t="shared" si="29"/>
        <v>31224.35358442496</v>
      </c>
      <c r="M14" s="30">
        <f t="shared" si="30"/>
        <v>142.85</v>
      </c>
      <c r="N14" s="30">
        <f t="shared" si="31"/>
        <v>0</v>
      </c>
      <c r="O14" s="30">
        <f t="shared" si="32"/>
        <v>0</v>
      </c>
      <c r="P14" s="30">
        <f>BL14/((VLOOKUP(P$3,tech_data!$B$2:$G$15,6,FALSE)/100)*24*365)</f>
        <v>47.945801700348333</v>
      </c>
      <c r="Q14" s="30">
        <f t="shared" si="10"/>
        <v>174261.36364456807</v>
      </c>
      <c r="R14" s="30"/>
      <c r="S14" s="36"/>
      <c r="T14" s="19"/>
      <c r="U14" s="20" t="str">
        <f t="shared" si="1"/>
        <v>INDONESIA</v>
      </c>
      <c r="V14" s="20">
        <f t="shared" si="2"/>
        <v>2029</v>
      </c>
      <c r="W14" s="30">
        <v>902.05451826574176</v>
      </c>
      <c r="X14" s="30">
        <v>0</v>
      </c>
      <c r="Y14" s="30">
        <v>6064.2708705827863</v>
      </c>
      <c r="Z14" s="30">
        <v>399.6996665217672</v>
      </c>
      <c r="AA14" s="30">
        <v>0</v>
      </c>
      <c r="AB14" s="30">
        <v>0</v>
      </c>
      <c r="AC14" s="30">
        <v>0</v>
      </c>
      <c r="AD14" s="30">
        <v>701.86958141272339</v>
      </c>
      <c r="AE14" s="30">
        <v>2781.5852656039015</v>
      </c>
      <c r="AF14" s="30">
        <v>0</v>
      </c>
      <c r="AG14" s="30">
        <v>0</v>
      </c>
      <c r="AH14" s="30">
        <v>0</v>
      </c>
      <c r="AI14" s="30">
        <f t="shared" si="33"/>
        <v>2.834050923486366</v>
      </c>
      <c r="AJ14" s="34">
        <f t="shared" si="3"/>
        <v>10852.313953310406</v>
      </c>
      <c r="AM14" s="23"/>
      <c r="AO14" s="20" t="str">
        <f t="shared" si="4"/>
        <v>INDONESIA</v>
      </c>
      <c r="AP14" s="20">
        <f t="shared" si="5"/>
        <v>2029</v>
      </c>
      <c r="AQ14" s="30">
        <v>99999</v>
      </c>
      <c r="AR14" s="30">
        <v>99999</v>
      </c>
      <c r="AS14" s="30">
        <v>99999</v>
      </c>
      <c r="AT14" s="30">
        <v>999</v>
      </c>
      <c r="AU14" s="30">
        <f t="shared" si="12"/>
        <v>23965.8</v>
      </c>
      <c r="AV14" s="30">
        <f t="shared" si="13"/>
        <v>75091</v>
      </c>
      <c r="AW14" s="30">
        <f t="shared" si="14"/>
        <v>19385</v>
      </c>
      <c r="AX14" s="30">
        <f t="shared" si="15"/>
        <v>201612.25509618188</v>
      </c>
      <c r="AY14" s="30">
        <f t="shared" si="16"/>
        <v>29422.64641557504</v>
      </c>
      <c r="AZ14" s="30">
        <f t="shared" si="17"/>
        <v>32654</v>
      </c>
      <c r="BA14" s="30">
        <f t="shared" si="18"/>
        <v>17988</v>
      </c>
      <c r="BB14" s="30">
        <v>99999</v>
      </c>
      <c r="BC14" s="30">
        <v>99999</v>
      </c>
      <c r="BD14" s="30">
        <f t="shared" si="6"/>
        <v>400118.70151175692</v>
      </c>
      <c r="BF14" s="23"/>
      <c r="BG14" s="19"/>
      <c r="BH14" s="20" t="str">
        <f t="shared" si="19"/>
        <v>INDONESIA</v>
      </c>
      <c r="BI14" s="20">
        <f t="shared" si="19"/>
        <v>2029</v>
      </c>
      <c r="BJ14" s="25">
        <f t="shared" si="7"/>
        <v>0.17760416651402999</v>
      </c>
      <c r="BK14" s="43">
        <f t="shared" si="8"/>
        <v>3.1188505743757903E-4</v>
      </c>
      <c r="BL14" s="34">
        <f t="shared" si="20"/>
        <v>189002.35030277315</v>
      </c>
      <c r="BP14" s="23"/>
    </row>
    <row r="15" spans="1:68" x14ac:dyDescent="0.25">
      <c r="A15" s="19"/>
      <c r="B15" s="20" t="str">
        <f t="shared" si="0"/>
        <v>INDONESIA</v>
      </c>
      <c r="C15" s="20">
        <f t="shared" si="0"/>
        <v>2030</v>
      </c>
      <c r="D15" s="30">
        <f t="shared" si="21"/>
        <v>38214.972538077687</v>
      </c>
      <c r="E15" s="30">
        <f t="shared" si="22"/>
        <v>5638.72</v>
      </c>
      <c r="F15" s="30">
        <f t="shared" si="23"/>
        <v>79831.941781978385</v>
      </c>
      <c r="G15" s="30">
        <f t="shared" si="24"/>
        <v>11747.631146814838</v>
      </c>
      <c r="H15" s="30">
        <f t="shared" si="25"/>
        <v>1986.3999999999999</v>
      </c>
      <c r="I15" s="30">
        <f t="shared" si="26"/>
        <v>5689.6399999999994</v>
      </c>
      <c r="J15" s="30">
        <f t="shared" si="27"/>
        <v>169.62</v>
      </c>
      <c r="K15" s="30">
        <f t="shared" si="28"/>
        <v>7070.8186586611737</v>
      </c>
      <c r="L15" s="30">
        <f t="shared" si="29"/>
        <v>34035.282929923997</v>
      </c>
      <c r="M15" s="30">
        <f t="shared" si="30"/>
        <v>142.85</v>
      </c>
      <c r="N15" s="30">
        <f t="shared" si="31"/>
        <v>0</v>
      </c>
      <c r="O15" s="30">
        <f t="shared" si="32"/>
        <v>0</v>
      </c>
      <c r="P15" s="30">
        <f>BL15/((VLOOKUP(P$3,tech_data!$B$2:$G$15,6,FALSE)/100)*24*365)</f>
        <v>50.791634786931077</v>
      </c>
      <c r="Q15" s="30">
        <f t="shared" si="10"/>
        <v>184527.87705545608</v>
      </c>
      <c r="R15" s="30"/>
      <c r="S15" s="36"/>
      <c r="T15" s="19"/>
      <c r="U15" s="20" t="str">
        <f t="shared" si="1"/>
        <v>INDONESIA</v>
      </c>
      <c r="V15" s="20">
        <f t="shared" si="2"/>
        <v>2030</v>
      </c>
      <c r="W15" s="30">
        <v>1723.6000458471563</v>
      </c>
      <c r="X15" s="30">
        <v>0</v>
      </c>
      <c r="Y15" s="30">
        <v>4585.1039817598512</v>
      </c>
      <c r="Z15" s="30">
        <v>379.32628293888382</v>
      </c>
      <c r="AA15" s="30">
        <v>0</v>
      </c>
      <c r="AB15" s="30">
        <v>0</v>
      </c>
      <c r="AC15" s="30">
        <v>0</v>
      </c>
      <c r="AD15" s="30">
        <v>767.55375484309786</v>
      </c>
      <c r="AE15" s="30">
        <v>2810.9293454990402</v>
      </c>
      <c r="AF15" s="30">
        <v>0</v>
      </c>
      <c r="AG15" s="30">
        <v>0</v>
      </c>
      <c r="AH15" s="30">
        <v>0</v>
      </c>
      <c r="AI15" s="30">
        <f t="shared" si="33"/>
        <v>2.8458330865827435</v>
      </c>
      <c r="AJ15" s="34">
        <f t="shared" si="3"/>
        <v>10269.359243974613</v>
      </c>
      <c r="AM15" s="23"/>
      <c r="AO15" s="20" t="str">
        <f t="shared" si="4"/>
        <v>INDONESIA</v>
      </c>
      <c r="AP15" s="20">
        <f t="shared" si="5"/>
        <v>2030</v>
      </c>
      <c r="AQ15" s="30">
        <v>99999</v>
      </c>
      <c r="AR15" s="30">
        <v>99999</v>
      </c>
      <c r="AS15" s="30">
        <v>99999</v>
      </c>
      <c r="AT15" s="30">
        <v>999</v>
      </c>
      <c r="AU15" s="30">
        <f t="shared" si="12"/>
        <v>23965.8</v>
      </c>
      <c r="AV15" s="30">
        <f t="shared" si="13"/>
        <v>75091</v>
      </c>
      <c r="AW15" s="30">
        <f t="shared" si="14"/>
        <v>19385</v>
      </c>
      <c r="AX15" s="30">
        <f t="shared" si="15"/>
        <v>200844.70134133878</v>
      </c>
      <c r="AY15" s="30">
        <f t="shared" si="16"/>
        <v>26611.717070076</v>
      </c>
      <c r="AZ15" s="30">
        <f t="shared" si="17"/>
        <v>32654</v>
      </c>
      <c r="BA15" s="30">
        <f t="shared" si="18"/>
        <v>17988</v>
      </c>
      <c r="BB15" s="30">
        <v>99999</v>
      </c>
      <c r="BC15" s="30">
        <v>99999</v>
      </c>
      <c r="BD15" s="30">
        <f t="shared" si="6"/>
        <v>396540.21841141477</v>
      </c>
      <c r="BF15" s="23"/>
      <c r="BG15" s="19"/>
      <c r="BH15" s="20" t="str">
        <f t="shared" si="19"/>
        <v>INDONESIA</v>
      </c>
      <c r="BI15" s="20">
        <f t="shared" si="19"/>
        <v>2030</v>
      </c>
      <c r="BJ15" s="25">
        <f t="shared" si="7"/>
        <v>0.184171088502185</v>
      </c>
      <c r="BK15" s="43">
        <f t="shared" si="8"/>
        <v>3.1333430918668913E-4</v>
      </c>
      <c r="BL15" s="34">
        <f t="shared" si="20"/>
        <v>200220.62433008233</v>
      </c>
      <c r="BP15" s="23"/>
    </row>
    <row r="16" spans="1:68" x14ac:dyDescent="0.25">
      <c r="A16" s="19"/>
      <c r="B16" s="20" t="str">
        <f t="shared" si="0"/>
        <v>INDONESIA</v>
      </c>
      <c r="C16" s="20">
        <f t="shared" si="0"/>
        <v>2031</v>
      </c>
      <c r="D16" s="30">
        <f t="shared" si="21"/>
        <v>40267.685866580774</v>
      </c>
      <c r="E16" s="30">
        <f t="shared" si="22"/>
        <v>5638.72</v>
      </c>
      <c r="F16" s="30">
        <f t="shared" si="23"/>
        <v>85801.446244568608</v>
      </c>
      <c r="G16" s="30">
        <f t="shared" si="24"/>
        <v>11900.120388359677</v>
      </c>
      <c r="H16" s="30">
        <f t="shared" si="25"/>
        <v>1986.3999999999999</v>
      </c>
      <c r="I16" s="30">
        <f t="shared" si="26"/>
        <v>5689.6399999999994</v>
      </c>
      <c r="J16" s="30">
        <f t="shared" si="27"/>
        <v>169.62</v>
      </c>
      <c r="K16" s="30">
        <f t="shared" si="28"/>
        <v>7979.9551836355913</v>
      </c>
      <c r="L16" s="30">
        <f t="shared" si="29"/>
        <v>37316.298999201208</v>
      </c>
      <c r="M16" s="30">
        <f t="shared" si="30"/>
        <v>142.85</v>
      </c>
      <c r="N16" s="30">
        <f t="shared" si="31"/>
        <v>2.2043277000634607E-12</v>
      </c>
      <c r="O16" s="30">
        <f t="shared" si="32"/>
        <v>9.3051443002944111E-9</v>
      </c>
      <c r="P16" s="30">
        <f>BL16/((VLOOKUP(P$3,tech_data!$B$2:$G$15,6,FALSE)/100)*24*365)</f>
        <v>54.148036660006113</v>
      </c>
      <c r="Q16" s="30">
        <f t="shared" si="10"/>
        <v>196892.73668235514</v>
      </c>
      <c r="R16" s="30"/>
      <c r="S16" s="36"/>
      <c r="T16" s="19"/>
      <c r="U16" s="20" t="str">
        <f t="shared" si="1"/>
        <v>INDONESIA</v>
      </c>
      <c r="V16" s="20">
        <f t="shared" si="2"/>
        <v>2031</v>
      </c>
      <c r="W16" s="30">
        <v>2052.7133285030873</v>
      </c>
      <c r="X16" s="30">
        <v>0</v>
      </c>
      <c r="Y16" s="30">
        <v>5969.5044625902174</v>
      </c>
      <c r="Z16" s="30">
        <v>152.48924154483987</v>
      </c>
      <c r="AA16" s="30">
        <v>0</v>
      </c>
      <c r="AB16" s="30">
        <v>0</v>
      </c>
      <c r="AC16" s="30">
        <v>0</v>
      </c>
      <c r="AD16" s="30">
        <v>909.13652497441774</v>
      </c>
      <c r="AE16" s="30">
        <v>3281.0160692772142</v>
      </c>
      <c r="AF16" s="30">
        <v>0</v>
      </c>
      <c r="AG16" s="30">
        <v>2.2043277000634607E-12</v>
      </c>
      <c r="AH16" s="30">
        <v>9.3051443002944111E-9</v>
      </c>
      <c r="AI16" s="30">
        <f t="shared" si="33"/>
        <v>3.3564018730750362</v>
      </c>
      <c r="AJ16" s="34">
        <f t="shared" si="3"/>
        <v>12368.216028772162</v>
      </c>
      <c r="AM16" s="23"/>
      <c r="AO16" s="20" t="str">
        <f t="shared" si="4"/>
        <v>INDONESIA</v>
      </c>
      <c r="AP16" s="20">
        <f t="shared" si="5"/>
        <v>2031</v>
      </c>
      <c r="AQ16" s="30">
        <v>99999</v>
      </c>
      <c r="AR16" s="30">
        <v>99999</v>
      </c>
      <c r="AS16" s="30">
        <v>99999</v>
      </c>
      <c r="AT16" s="30">
        <v>999</v>
      </c>
      <c r="AU16" s="30">
        <f t="shared" si="12"/>
        <v>23965.8</v>
      </c>
      <c r="AV16" s="30">
        <f t="shared" si="13"/>
        <v>75091</v>
      </c>
      <c r="AW16" s="30">
        <f t="shared" si="14"/>
        <v>19385</v>
      </c>
      <c r="AX16" s="30">
        <f t="shared" si="15"/>
        <v>199935.56481636435</v>
      </c>
      <c r="AY16" s="30">
        <f t="shared" si="16"/>
        <v>23330.701000798785</v>
      </c>
      <c r="AZ16" s="30">
        <f t="shared" si="17"/>
        <v>32654</v>
      </c>
      <c r="BA16" s="30">
        <f t="shared" si="18"/>
        <v>17987.999999999996</v>
      </c>
      <c r="BB16" s="30">
        <v>99999</v>
      </c>
      <c r="BC16" s="30">
        <v>99999</v>
      </c>
      <c r="BD16" s="30">
        <f t="shared" si="6"/>
        <v>392350.06581716315</v>
      </c>
      <c r="BF16" s="23"/>
      <c r="BG16" s="19"/>
      <c r="BH16" s="20" t="str">
        <f t="shared" si="19"/>
        <v>INDONESIA</v>
      </c>
      <c r="BI16" s="20">
        <f t="shared" si="19"/>
        <v>2031</v>
      </c>
      <c r="BJ16" s="25">
        <f t="shared" si="7"/>
        <v>0.19092740957367071</v>
      </c>
      <c r="BK16" s="43">
        <f t="shared" si="8"/>
        <v>3.1482535935418939E-4</v>
      </c>
      <c r="BL16" s="34">
        <f t="shared" si="20"/>
        <v>213451.56051374413</v>
      </c>
      <c r="BP16" s="23"/>
    </row>
    <row r="17" spans="1:84" x14ac:dyDescent="0.25">
      <c r="A17" s="19"/>
      <c r="B17" s="20" t="str">
        <f t="shared" si="0"/>
        <v>INDONESIA</v>
      </c>
      <c r="C17" s="20">
        <f t="shared" si="0"/>
        <v>2032</v>
      </c>
      <c r="D17" s="30">
        <f t="shared" si="21"/>
        <v>42406.190094215563</v>
      </c>
      <c r="E17" s="30">
        <f t="shared" si="22"/>
        <v>5638.72</v>
      </c>
      <c r="F17" s="30">
        <f t="shared" si="23"/>
        <v>91815.071293724657</v>
      </c>
      <c r="G17" s="30">
        <f t="shared" si="24"/>
        <v>12194.145867799865</v>
      </c>
      <c r="H17" s="30">
        <f t="shared" si="25"/>
        <v>1986.3999999999999</v>
      </c>
      <c r="I17" s="30">
        <f t="shared" si="26"/>
        <v>5689.6399999999994</v>
      </c>
      <c r="J17" s="30">
        <f t="shared" si="27"/>
        <v>169.62</v>
      </c>
      <c r="K17" s="30">
        <f t="shared" si="28"/>
        <v>8999.7428711123139</v>
      </c>
      <c r="L17" s="30">
        <f t="shared" si="29"/>
        <v>40776.456352164234</v>
      </c>
      <c r="M17" s="30">
        <f t="shared" si="30"/>
        <v>142.85</v>
      </c>
      <c r="N17" s="30">
        <f t="shared" si="31"/>
        <v>2.2043277000634607E-12</v>
      </c>
      <c r="O17" s="30">
        <f t="shared" si="32"/>
        <v>9.3051443002944111E-9</v>
      </c>
      <c r="P17" s="30">
        <f>BL17/((VLOOKUP(P$3,tech_data!$B$2:$G$15,6,FALSE)/100)*24*365)</f>
        <v>57.685024966480519</v>
      </c>
      <c r="Q17" s="30">
        <f t="shared" si="10"/>
        <v>209818.83647902595</v>
      </c>
      <c r="R17" s="30"/>
      <c r="S17" s="36"/>
      <c r="T17" s="19"/>
      <c r="U17" s="20" t="str">
        <f t="shared" si="1"/>
        <v>INDONESIA</v>
      </c>
      <c r="V17" s="20">
        <f t="shared" si="2"/>
        <v>2032</v>
      </c>
      <c r="W17" s="30">
        <v>2138.5042276347867</v>
      </c>
      <c r="X17" s="30">
        <v>0</v>
      </c>
      <c r="Y17" s="30">
        <v>6013.625049156054</v>
      </c>
      <c r="Z17" s="30">
        <v>294.0254794401888</v>
      </c>
      <c r="AA17" s="30">
        <v>0</v>
      </c>
      <c r="AB17" s="30">
        <v>0</v>
      </c>
      <c r="AC17" s="30">
        <v>0</v>
      </c>
      <c r="AD17" s="30">
        <v>1019.7876874767235</v>
      </c>
      <c r="AE17" s="30">
        <v>3460.1573529630286</v>
      </c>
      <c r="AF17" s="30">
        <v>0</v>
      </c>
      <c r="AG17" s="30">
        <v>0</v>
      </c>
      <c r="AH17" s="30">
        <v>0</v>
      </c>
      <c r="AI17" s="30">
        <f t="shared" si="33"/>
        <v>3.5369883064744059</v>
      </c>
      <c r="AJ17" s="34">
        <f t="shared" si="3"/>
        <v>12929.636784977258</v>
      </c>
      <c r="AM17" s="23"/>
      <c r="AO17" s="20" t="str">
        <f t="shared" si="4"/>
        <v>INDONESIA</v>
      </c>
      <c r="AP17" s="20">
        <f t="shared" si="5"/>
        <v>2032</v>
      </c>
      <c r="AQ17" s="30">
        <v>99999</v>
      </c>
      <c r="AR17" s="30">
        <v>99999</v>
      </c>
      <c r="AS17" s="30">
        <v>99999</v>
      </c>
      <c r="AT17" s="30">
        <v>999</v>
      </c>
      <c r="AU17" s="30">
        <f t="shared" si="12"/>
        <v>23965.8</v>
      </c>
      <c r="AV17" s="30">
        <f t="shared" si="13"/>
        <v>75091</v>
      </c>
      <c r="AW17" s="30">
        <f t="shared" si="14"/>
        <v>19385</v>
      </c>
      <c r="AX17" s="30">
        <f t="shared" si="15"/>
        <v>198915.77712888762</v>
      </c>
      <c r="AY17" s="30">
        <f t="shared" si="16"/>
        <v>19870.543647835755</v>
      </c>
      <c r="AZ17" s="30">
        <f t="shared" si="17"/>
        <v>32654</v>
      </c>
      <c r="BA17" s="30">
        <f t="shared" si="18"/>
        <v>17987.999999999996</v>
      </c>
      <c r="BB17" s="30">
        <v>99999</v>
      </c>
      <c r="BC17" s="30">
        <v>99999</v>
      </c>
      <c r="BD17" s="30">
        <f t="shared" si="6"/>
        <v>387870.12077672337</v>
      </c>
      <c r="BF17" s="23"/>
      <c r="BG17" s="19"/>
      <c r="BH17" s="20" t="str">
        <f t="shared" si="19"/>
        <v>INDONESIA</v>
      </c>
      <c r="BI17" s="20">
        <f t="shared" si="19"/>
        <v>2032</v>
      </c>
      <c r="BJ17" s="25">
        <f t="shared" si="7"/>
        <v>0.19745031131524279</v>
      </c>
      <c r="BK17" s="43">
        <f t="shared" si="8"/>
        <v>3.1626489629026045E-4</v>
      </c>
      <c r="BL17" s="34">
        <f t="shared" si="20"/>
        <v>227394.36841786624</v>
      </c>
      <c r="BP17" s="23"/>
    </row>
    <row r="18" spans="1:84" x14ac:dyDescent="0.25">
      <c r="A18" s="19"/>
      <c r="B18" s="20" t="str">
        <f t="shared" si="0"/>
        <v>INDONESIA</v>
      </c>
      <c r="C18" s="20">
        <f t="shared" si="0"/>
        <v>2033</v>
      </c>
      <c r="D18" s="30">
        <f t="shared" si="21"/>
        <v>44510.921257929782</v>
      </c>
      <c r="E18" s="30">
        <f t="shared" si="22"/>
        <v>5638.72</v>
      </c>
      <c r="F18" s="30">
        <f t="shared" si="23"/>
        <v>96597.253639816685</v>
      </c>
      <c r="G18" s="30">
        <f t="shared" si="24"/>
        <v>13150.460120590367</v>
      </c>
      <c r="H18" s="30">
        <f t="shared" si="25"/>
        <v>1986.3999999999999</v>
      </c>
      <c r="I18" s="30">
        <f t="shared" si="26"/>
        <v>5689.6399999999994</v>
      </c>
      <c r="J18" s="30">
        <f t="shared" si="27"/>
        <v>169.62</v>
      </c>
      <c r="K18" s="30">
        <f t="shared" si="28"/>
        <v>10115.223331300554</v>
      </c>
      <c r="L18" s="30">
        <f t="shared" si="29"/>
        <v>44264.748549294913</v>
      </c>
      <c r="M18" s="30">
        <f t="shared" si="30"/>
        <v>142.85</v>
      </c>
      <c r="N18" s="30">
        <f t="shared" si="31"/>
        <v>2.2043277000634607E-12</v>
      </c>
      <c r="O18" s="30">
        <f t="shared" si="32"/>
        <v>9.3051443002944111E-9</v>
      </c>
      <c r="P18" s="30">
        <f>BL18/((VLOOKUP(P$3,tech_data!$B$2:$G$15,6,FALSE)/100)*24*365)</f>
        <v>61.236741506875575</v>
      </c>
      <c r="Q18" s="30">
        <f t="shared" si="10"/>
        <v>222265.8368989416</v>
      </c>
      <c r="R18" s="30"/>
      <c r="S18" s="36"/>
      <c r="T18" s="19"/>
      <c r="U18" s="20" t="str">
        <f t="shared" si="1"/>
        <v>INDONESIA</v>
      </c>
      <c r="V18" s="20">
        <f t="shared" si="2"/>
        <v>2033</v>
      </c>
      <c r="W18" s="30">
        <v>2104.7311637142216</v>
      </c>
      <c r="X18" s="30">
        <v>0</v>
      </c>
      <c r="Y18" s="30">
        <v>4782.1823460920314</v>
      </c>
      <c r="Z18" s="30">
        <v>956.31425279050143</v>
      </c>
      <c r="AA18" s="30">
        <v>0</v>
      </c>
      <c r="AB18" s="30">
        <v>0</v>
      </c>
      <c r="AC18" s="30">
        <v>0</v>
      </c>
      <c r="AD18" s="30">
        <v>1115.4804601882399</v>
      </c>
      <c r="AE18" s="30">
        <v>3488.2921971306773</v>
      </c>
      <c r="AF18" s="30">
        <v>0</v>
      </c>
      <c r="AG18" s="30">
        <v>0</v>
      </c>
      <c r="AH18" s="30">
        <v>0</v>
      </c>
      <c r="AI18" s="30">
        <f t="shared" si="33"/>
        <v>3.5517165403950557</v>
      </c>
      <c r="AJ18" s="34">
        <f t="shared" si="3"/>
        <v>12450.552136456065</v>
      </c>
      <c r="AM18" s="23"/>
      <c r="AO18" s="20" t="str">
        <f t="shared" si="4"/>
        <v>INDONESIA</v>
      </c>
      <c r="AP18" s="20">
        <f t="shared" si="5"/>
        <v>2033</v>
      </c>
      <c r="AQ18" s="30">
        <v>99999</v>
      </c>
      <c r="AR18" s="30">
        <v>99999</v>
      </c>
      <c r="AS18" s="30">
        <v>99999</v>
      </c>
      <c r="AT18" s="30">
        <v>999</v>
      </c>
      <c r="AU18" s="30">
        <f t="shared" si="12"/>
        <v>23965.8</v>
      </c>
      <c r="AV18" s="30">
        <f t="shared" si="13"/>
        <v>75091</v>
      </c>
      <c r="AW18" s="30">
        <f t="shared" si="14"/>
        <v>19385</v>
      </c>
      <c r="AX18" s="30">
        <f t="shared" si="15"/>
        <v>197800.29666869939</v>
      </c>
      <c r="AY18" s="30">
        <f t="shared" si="16"/>
        <v>16382.251450705078</v>
      </c>
      <c r="AZ18" s="30">
        <f t="shared" si="17"/>
        <v>32654</v>
      </c>
      <c r="BA18" s="30">
        <f t="shared" si="18"/>
        <v>17987.999999999996</v>
      </c>
      <c r="BB18" s="30">
        <v>99999</v>
      </c>
      <c r="BC18" s="30">
        <v>99999</v>
      </c>
      <c r="BD18" s="30">
        <f t="shared" si="6"/>
        <v>383266.34811940446</v>
      </c>
      <c r="BF18" s="23"/>
      <c r="BG18" s="19"/>
      <c r="BH18" s="20" t="str">
        <f t="shared" si="19"/>
        <v>INDONESIA</v>
      </c>
      <c r="BI18" s="20">
        <f t="shared" si="19"/>
        <v>2033</v>
      </c>
      <c r="BJ18" s="25">
        <f t="shared" si="7"/>
        <v>0.20361480135195428</v>
      </c>
      <c r="BK18" s="43">
        <f t="shared" si="8"/>
        <v>3.1762533547077614E-4</v>
      </c>
      <c r="BL18" s="34">
        <f t="shared" si="20"/>
        <v>241395.23502010354</v>
      </c>
      <c r="BP18" s="23"/>
    </row>
    <row r="19" spans="1:84" x14ac:dyDescent="0.25">
      <c r="A19" s="19"/>
      <c r="B19" s="20" t="str">
        <f t="shared" si="0"/>
        <v>INDONESIA</v>
      </c>
      <c r="C19" s="20">
        <f t="shared" si="0"/>
        <v>2034</v>
      </c>
      <c r="D19" s="30">
        <f t="shared" si="21"/>
        <v>46930.704599693971</v>
      </c>
      <c r="E19" s="30">
        <f t="shared" si="22"/>
        <v>5638.72</v>
      </c>
      <c r="F19" s="30">
        <f t="shared" si="23"/>
        <v>103542.00244735912</v>
      </c>
      <c r="G19" s="30">
        <f t="shared" si="24"/>
        <v>13294.899838820327</v>
      </c>
      <c r="H19" s="30">
        <f t="shared" si="25"/>
        <v>1986.3999999999999</v>
      </c>
      <c r="I19" s="30">
        <f t="shared" si="26"/>
        <v>5689.6400000000367</v>
      </c>
      <c r="J19" s="30">
        <f t="shared" si="27"/>
        <v>169.62</v>
      </c>
      <c r="K19" s="30">
        <f t="shared" si="28"/>
        <v>11458.87118021622</v>
      </c>
      <c r="L19" s="30">
        <f t="shared" si="29"/>
        <v>48443.84648945841</v>
      </c>
      <c r="M19" s="30">
        <f t="shared" si="30"/>
        <v>142.85</v>
      </c>
      <c r="N19" s="30">
        <f t="shared" si="31"/>
        <v>2.2043277000634607E-12</v>
      </c>
      <c r="O19" s="30">
        <f t="shared" si="32"/>
        <v>1.6829043427339545E-8</v>
      </c>
      <c r="P19" s="30">
        <f>BL19/((VLOOKUP(P$3,tech_data!$B$2:$G$15,6,FALSE)/100)*24*365)</f>
        <v>65.345942780187016</v>
      </c>
      <c r="Q19" s="30">
        <f t="shared" si="10"/>
        <v>237297.55455556492</v>
      </c>
      <c r="R19" s="30"/>
      <c r="S19" s="36"/>
      <c r="T19" s="19"/>
      <c r="U19" s="20" t="str">
        <f t="shared" si="1"/>
        <v>INDONESIA</v>
      </c>
      <c r="V19" s="20">
        <f t="shared" si="2"/>
        <v>2034</v>
      </c>
      <c r="W19" s="30">
        <v>2419.7833417641855</v>
      </c>
      <c r="X19" s="30">
        <v>0</v>
      </c>
      <c r="Y19" s="30">
        <v>6944.7488075424371</v>
      </c>
      <c r="Z19" s="30">
        <v>144.43971822995942</v>
      </c>
      <c r="AA19" s="30">
        <v>0</v>
      </c>
      <c r="AB19" s="30">
        <v>3.6993109105814234E-11</v>
      </c>
      <c r="AC19" s="30">
        <v>0</v>
      </c>
      <c r="AD19" s="30">
        <v>1343.6478489156646</v>
      </c>
      <c r="AE19" s="30">
        <v>4179.0979401634959</v>
      </c>
      <c r="AF19" s="30">
        <v>0</v>
      </c>
      <c r="AG19" s="30">
        <v>0</v>
      </c>
      <c r="AH19" s="30">
        <v>7.5238991270451343E-9</v>
      </c>
      <c r="AI19" s="30">
        <f t="shared" si="33"/>
        <v>4.1092012733114416</v>
      </c>
      <c r="AJ19" s="34">
        <f t="shared" si="3"/>
        <v>15035.826857896614</v>
      </c>
      <c r="AM19" s="23"/>
      <c r="AO19" s="20" t="str">
        <f t="shared" si="4"/>
        <v>INDONESIA</v>
      </c>
      <c r="AP19" s="20">
        <f t="shared" si="5"/>
        <v>2034</v>
      </c>
      <c r="AQ19" s="30">
        <v>99999</v>
      </c>
      <c r="AR19" s="30">
        <v>99999</v>
      </c>
      <c r="AS19" s="30">
        <v>99999</v>
      </c>
      <c r="AT19" s="30">
        <v>999</v>
      </c>
      <c r="AU19" s="30">
        <f t="shared" si="12"/>
        <v>23965.8</v>
      </c>
      <c r="AV19" s="30">
        <f t="shared" si="13"/>
        <v>75090.999999999956</v>
      </c>
      <c r="AW19" s="30">
        <f t="shared" si="14"/>
        <v>19385</v>
      </c>
      <c r="AX19" s="30">
        <f t="shared" si="15"/>
        <v>196456.64881978373</v>
      </c>
      <c r="AY19" s="30">
        <f t="shared" si="16"/>
        <v>12203.153510541582</v>
      </c>
      <c r="AZ19" s="30">
        <f t="shared" si="17"/>
        <v>32654</v>
      </c>
      <c r="BA19" s="30">
        <f t="shared" si="18"/>
        <v>17987.999999999996</v>
      </c>
      <c r="BB19" s="30">
        <v>99999</v>
      </c>
      <c r="BC19" s="30">
        <v>99999</v>
      </c>
      <c r="BD19" s="30">
        <f t="shared" si="6"/>
        <v>377743.60233032529</v>
      </c>
      <c r="BF19" s="23"/>
      <c r="BG19" s="19"/>
      <c r="BH19" s="20" t="str">
        <f t="shared" si="19"/>
        <v>INDONESIA</v>
      </c>
      <c r="BI19" s="20">
        <f t="shared" si="19"/>
        <v>2034</v>
      </c>
      <c r="BJ19" s="25">
        <f t="shared" si="7"/>
        <v>0.21074611439450811</v>
      </c>
      <c r="BK19" s="43">
        <f t="shared" si="8"/>
        <v>3.1919914248706386E-4</v>
      </c>
      <c r="BL19" s="34">
        <f t="shared" si="20"/>
        <v>257593.70643949727</v>
      </c>
      <c r="BP19" s="23"/>
    </row>
    <row r="20" spans="1:84" x14ac:dyDescent="0.25">
      <c r="A20" s="19"/>
      <c r="B20" s="20" t="str">
        <f t="shared" ref="B20:C23" si="34">B44</f>
        <v>INDONESIA</v>
      </c>
      <c r="C20" s="20">
        <f t="shared" si="34"/>
        <v>2035</v>
      </c>
      <c r="D20" s="30">
        <f t="shared" si="21"/>
        <v>49369.511969059597</v>
      </c>
      <c r="E20" s="30">
        <f t="shared" si="22"/>
        <v>6048.8141494055299</v>
      </c>
      <c r="F20" s="30">
        <f t="shared" si="23"/>
        <v>108862.77471490641</v>
      </c>
      <c r="G20" s="30">
        <f t="shared" si="24"/>
        <v>14071.572499981601</v>
      </c>
      <c r="H20" s="30">
        <f t="shared" si="25"/>
        <v>1986.3999999999999</v>
      </c>
      <c r="I20" s="30">
        <f t="shared" si="26"/>
        <v>6099.7466109133675</v>
      </c>
      <c r="J20" s="30">
        <f t="shared" si="27"/>
        <v>169.62</v>
      </c>
      <c r="K20" s="30">
        <f t="shared" si="28"/>
        <v>12969.979023942629</v>
      </c>
      <c r="L20" s="30">
        <f t="shared" si="29"/>
        <v>52261.401324471764</v>
      </c>
      <c r="M20" s="30">
        <f t="shared" si="30"/>
        <v>142.85000003349586</v>
      </c>
      <c r="N20" s="30">
        <f t="shared" si="31"/>
        <v>0</v>
      </c>
      <c r="O20" s="30">
        <f t="shared" si="32"/>
        <v>0</v>
      </c>
      <c r="P20" s="30">
        <f>BL20/((VLOOKUP(P$3,tech_data!$B$2:$G$15,6,FALSE)/100)*24*365)</f>
        <v>69.479311729667458</v>
      </c>
      <c r="Q20" s="30">
        <f t="shared" si="10"/>
        <v>251982.67029271438</v>
      </c>
      <c r="R20" s="30"/>
      <c r="S20" s="36"/>
      <c r="T20" s="19"/>
      <c r="U20" s="20" t="str">
        <f t="shared" si="1"/>
        <v>INDONESIA</v>
      </c>
      <c r="V20" s="20">
        <f t="shared" si="2"/>
        <v>2035</v>
      </c>
      <c r="W20" s="30">
        <v>2438.8073693656265</v>
      </c>
      <c r="X20" s="30">
        <v>410.09414940553</v>
      </c>
      <c r="Y20" s="30">
        <v>5320.7722675472842</v>
      </c>
      <c r="Z20" s="30">
        <v>776.6726611612745</v>
      </c>
      <c r="AA20" s="30">
        <v>0</v>
      </c>
      <c r="AB20" s="30">
        <v>410.10661091333117</v>
      </c>
      <c r="AC20" s="30">
        <v>0</v>
      </c>
      <c r="AD20" s="30">
        <v>1511.1078437264089</v>
      </c>
      <c r="AE20" s="30">
        <v>3817.5548350133577</v>
      </c>
      <c r="AF20" s="30">
        <v>3.3495864350098272E-8</v>
      </c>
      <c r="AG20" s="30">
        <v>-2.2043277000634579E-12</v>
      </c>
      <c r="AH20" s="30">
        <v>-1.6829043427339545E-8</v>
      </c>
      <c r="AI20" s="30">
        <f t="shared" si="33"/>
        <v>4.1333689494804418</v>
      </c>
      <c r="AJ20" s="34">
        <f t="shared" si="3"/>
        <v>14689.24910609896</v>
      </c>
      <c r="AM20" s="23"/>
      <c r="AO20" s="20" t="str">
        <f t="shared" si="4"/>
        <v>INDONESIA</v>
      </c>
      <c r="AP20" s="20">
        <f t="shared" si="5"/>
        <v>2035</v>
      </c>
      <c r="AQ20" s="30">
        <v>99999</v>
      </c>
      <c r="AR20" s="30">
        <v>99999</v>
      </c>
      <c r="AS20" s="30">
        <v>99999</v>
      </c>
      <c r="AT20" s="30">
        <v>999</v>
      </c>
      <c r="AU20" s="30">
        <f t="shared" si="12"/>
        <v>23965.8</v>
      </c>
      <c r="AV20" s="30">
        <f t="shared" si="13"/>
        <v>74680.893389086632</v>
      </c>
      <c r="AW20" s="30">
        <f t="shared" si="14"/>
        <v>19385</v>
      </c>
      <c r="AX20" s="30">
        <f t="shared" si="15"/>
        <v>194945.54097605732</v>
      </c>
      <c r="AY20" s="30">
        <f t="shared" si="16"/>
        <v>8385.5986755282247</v>
      </c>
      <c r="AZ20" s="30">
        <f t="shared" si="17"/>
        <v>32653.999999966505</v>
      </c>
      <c r="BA20" s="30">
        <f t="shared" si="18"/>
        <v>17988</v>
      </c>
      <c r="BB20" s="30">
        <v>99999</v>
      </c>
      <c r="BC20" s="30">
        <v>99999</v>
      </c>
      <c r="BD20" s="30">
        <f t="shared" si="6"/>
        <v>372004.83304063871</v>
      </c>
      <c r="BF20" s="23"/>
      <c r="BG20" s="19"/>
      <c r="BH20" s="20" t="str">
        <f t="shared" si="19"/>
        <v>INDONESIA</v>
      </c>
      <c r="BI20" s="20">
        <f t="shared" si="19"/>
        <v>2035</v>
      </c>
      <c r="BJ20" s="25">
        <f t="shared" si="7"/>
        <v>0.21589835758892481</v>
      </c>
      <c r="BK20" s="43">
        <f t="shared" si="8"/>
        <v>3.2033618926100412E-4</v>
      </c>
      <c r="BL20" s="34">
        <f t="shared" si="20"/>
        <v>273887.44683834916</v>
      </c>
      <c r="BP20" s="23"/>
    </row>
    <row r="21" spans="1:84" x14ac:dyDescent="0.25">
      <c r="A21" s="19"/>
      <c r="B21" s="20" t="str">
        <f t="shared" si="34"/>
        <v>INDONESIA</v>
      </c>
      <c r="C21" s="20">
        <f t="shared" si="34"/>
        <v>2036</v>
      </c>
      <c r="D21" s="30">
        <f t="shared" si="21"/>
        <v>52055.344449367491</v>
      </c>
      <c r="E21" s="30">
        <f t="shared" si="22"/>
        <v>6906.147131080862</v>
      </c>
      <c r="F21" s="30">
        <f t="shared" si="23"/>
        <v>115480.78915507458</v>
      </c>
      <c r="G21" s="30">
        <f t="shared" si="24"/>
        <v>14071.572499981601</v>
      </c>
      <c r="H21" s="30">
        <f t="shared" si="25"/>
        <v>1986.3999999999999</v>
      </c>
      <c r="I21" s="30">
        <f t="shared" si="26"/>
        <v>6957.0118449005458</v>
      </c>
      <c r="J21" s="30">
        <f t="shared" si="27"/>
        <v>169.62</v>
      </c>
      <c r="K21" s="30">
        <f t="shared" si="28"/>
        <v>14769.670436964001</v>
      </c>
      <c r="L21" s="30">
        <f t="shared" si="29"/>
        <v>56157.090582096505</v>
      </c>
      <c r="M21" s="30">
        <f t="shared" si="30"/>
        <v>142.85000003349586</v>
      </c>
      <c r="N21" s="30">
        <f t="shared" si="31"/>
        <v>0</v>
      </c>
      <c r="O21" s="30">
        <f t="shared" si="32"/>
        <v>0</v>
      </c>
      <c r="P21" s="30">
        <f>BL21/((VLOOKUP(P$3,tech_data!$B$2:$G$15,6,FALSE)/100)*24*365)</f>
        <v>74.00172969273774</v>
      </c>
      <c r="Q21" s="30">
        <f t="shared" si="10"/>
        <v>268696.49609949905</v>
      </c>
      <c r="R21" s="30"/>
      <c r="S21" s="36"/>
      <c r="T21" s="19"/>
      <c r="U21" s="20" t="str">
        <f t="shared" si="1"/>
        <v>INDONESIA</v>
      </c>
      <c r="V21" s="20">
        <f t="shared" si="2"/>
        <v>2036</v>
      </c>
      <c r="W21" s="30">
        <v>2685.8324803078922</v>
      </c>
      <c r="X21" s="30">
        <v>857.33298167533212</v>
      </c>
      <c r="Y21" s="30">
        <v>6618.0144401681719</v>
      </c>
      <c r="Z21" s="30">
        <v>0</v>
      </c>
      <c r="AA21" s="30">
        <v>0</v>
      </c>
      <c r="AB21" s="30">
        <v>857.26523398717836</v>
      </c>
      <c r="AC21" s="30">
        <v>0</v>
      </c>
      <c r="AD21" s="30">
        <v>1799.6914130213718</v>
      </c>
      <c r="AE21" s="30">
        <v>3895.6892576247396</v>
      </c>
      <c r="AF21" s="30">
        <v>0</v>
      </c>
      <c r="AG21" s="30">
        <v>0</v>
      </c>
      <c r="AH21" s="30">
        <v>0</v>
      </c>
      <c r="AI21" s="30">
        <f t="shared" si="33"/>
        <v>4.5224179630702821</v>
      </c>
      <c r="AJ21" s="34">
        <f t="shared" si="3"/>
        <v>16718.348224747759</v>
      </c>
      <c r="AM21" s="23"/>
      <c r="AO21" s="20" t="str">
        <f t="shared" si="4"/>
        <v>INDONESIA</v>
      </c>
      <c r="AP21" s="20">
        <f t="shared" si="5"/>
        <v>2036</v>
      </c>
      <c r="AQ21" s="30">
        <v>99999</v>
      </c>
      <c r="AR21" s="30">
        <v>99999</v>
      </c>
      <c r="AS21" s="30">
        <v>99999</v>
      </c>
      <c r="AT21" s="30">
        <v>999</v>
      </c>
      <c r="AU21" s="30">
        <f t="shared" si="12"/>
        <v>23965.8</v>
      </c>
      <c r="AV21" s="30">
        <f t="shared" si="13"/>
        <v>73823.628155099461</v>
      </c>
      <c r="AW21" s="30">
        <f t="shared" si="14"/>
        <v>19385</v>
      </c>
      <c r="AX21" s="30">
        <f t="shared" si="15"/>
        <v>193145.84956303594</v>
      </c>
      <c r="AY21" s="30">
        <f t="shared" si="16"/>
        <v>4489.9094179034855</v>
      </c>
      <c r="AZ21" s="30">
        <f t="shared" si="17"/>
        <v>32653.999999966505</v>
      </c>
      <c r="BA21" s="30">
        <f t="shared" si="18"/>
        <v>17988</v>
      </c>
      <c r="BB21" s="30">
        <v>99999</v>
      </c>
      <c r="BC21" s="30">
        <v>99999</v>
      </c>
      <c r="BD21" s="30">
        <f t="shared" si="6"/>
        <v>365452.18713600538</v>
      </c>
      <c r="BF21" s="23"/>
      <c r="BG21" s="19"/>
      <c r="BH21" s="20" t="str">
        <f t="shared" si="19"/>
        <v>INDONESIA</v>
      </c>
      <c r="BI21" s="20">
        <f t="shared" si="19"/>
        <v>2036</v>
      </c>
      <c r="BJ21" s="25">
        <f t="shared" si="7"/>
        <v>0.22013796371727973</v>
      </c>
      <c r="BK21" s="43">
        <f t="shared" si="8"/>
        <v>3.2127182647553762E-4</v>
      </c>
      <c r="BL21" s="34">
        <f t="shared" si="20"/>
        <v>291714.81844877219</v>
      </c>
      <c r="BP21" s="23"/>
    </row>
    <row r="22" spans="1:84" x14ac:dyDescent="0.25">
      <c r="A22" s="19"/>
      <c r="B22" s="20" t="str">
        <f t="shared" si="34"/>
        <v>INDONESIA</v>
      </c>
      <c r="C22" s="20">
        <f t="shared" si="34"/>
        <v>2037</v>
      </c>
      <c r="D22" s="30">
        <f t="shared" si="21"/>
        <v>54811.293310328787</v>
      </c>
      <c r="E22" s="30">
        <f t="shared" si="22"/>
        <v>6906.147131080862</v>
      </c>
      <c r="F22" s="30">
        <f t="shared" si="23"/>
        <v>123886.03215476229</v>
      </c>
      <c r="G22" s="30">
        <f t="shared" si="24"/>
        <v>14239.341305166956</v>
      </c>
      <c r="H22" s="30">
        <f t="shared" si="25"/>
        <v>1986.3999999999999</v>
      </c>
      <c r="I22" s="30">
        <f t="shared" si="26"/>
        <v>8585.9524914153335</v>
      </c>
      <c r="J22" s="30">
        <f t="shared" si="27"/>
        <v>169.62</v>
      </c>
      <c r="K22" s="30">
        <f t="shared" si="28"/>
        <v>16618.092257661134</v>
      </c>
      <c r="L22" s="30">
        <f t="shared" si="29"/>
        <v>58402.045291048249</v>
      </c>
      <c r="M22" s="30">
        <f t="shared" si="30"/>
        <v>142.85000003349586</v>
      </c>
      <c r="N22" s="30">
        <f t="shared" si="31"/>
        <v>0</v>
      </c>
      <c r="O22" s="30">
        <f t="shared" si="32"/>
        <v>0</v>
      </c>
      <c r="P22" s="30">
        <f>BL22/((VLOOKUP(P$3,tech_data!$B$2:$G$15,6,FALSE)/100)*24*365)</f>
        <v>78.3832894352891</v>
      </c>
      <c r="Q22" s="30">
        <f t="shared" si="10"/>
        <v>285747.77394149714</v>
      </c>
      <c r="R22" s="30"/>
      <c r="S22" s="36"/>
      <c r="T22" s="19"/>
      <c r="U22" s="20" t="str">
        <f t="shared" si="1"/>
        <v>INDONESIA</v>
      </c>
      <c r="V22" s="20">
        <f t="shared" si="2"/>
        <v>2037</v>
      </c>
      <c r="W22" s="30">
        <v>2755.9488609612931</v>
      </c>
      <c r="X22" s="30">
        <v>0</v>
      </c>
      <c r="Y22" s="30">
        <v>8405.2429996877017</v>
      </c>
      <c r="Z22" s="30">
        <v>167.76880518535543</v>
      </c>
      <c r="AA22" s="30">
        <v>0</v>
      </c>
      <c r="AB22" s="30">
        <v>1628.9406465147879</v>
      </c>
      <c r="AC22" s="30">
        <v>0</v>
      </c>
      <c r="AD22" s="30">
        <v>1848.421820697132</v>
      </c>
      <c r="AE22" s="30">
        <v>2244.9547089517428</v>
      </c>
      <c r="AF22" s="30">
        <v>0</v>
      </c>
      <c r="AG22" s="30">
        <v>0</v>
      </c>
      <c r="AH22" s="30">
        <v>0</v>
      </c>
      <c r="AI22" s="30">
        <f t="shared" si="33"/>
        <v>4.3815597425513602</v>
      </c>
      <c r="AJ22" s="34">
        <f t="shared" si="3"/>
        <v>17055.659401740566</v>
      </c>
      <c r="AM22" s="23"/>
      <c r="AO22" s="20" t="str">
        <f t="shared" si="4"/>
        <v>INDONESIA</v>
      </c>
      <c r="AP22" s="20">
        <f t="shared" si="5"/>
        <v>2037</v>
      </c>
      <c r="AQ22" s="30">
        <v>99999</v>
      </c>
      <c r="AR22" s="30">
        <v>99999</v>
      </c>
      <c r="AS22" s="30">
        <v>99999</v>
      </c>
      <c r="AT22" s="30">
        <v>999</v>
      </c>
      <c r="AU22" s="30">
        <f t="shared" si="12"/>
        <v>23965.8</v>
      </c>
      <c r="AV22" s="30">
        <f t="shared" si="13"/>
        <v>72194.68750858467</v>
      </c>
      <c r="AW22" s="30">
        <f t="shared" si="14"/>
        <v>19385</v>
      </c>
      <c r="AX22" s="30">
        <f t="shared" si="15"/>
        <v>191297.4277423388</v>
      </c>
      <c r="AY22" s="30">
        <f t="shared" si="16"/>
        <v>2244.9547089517428</v>
      </c>
      <c r="AZ22" s="30">
        <f t="shared" si="17"/>
        <v>32653.999999966505</v>
      </c>
      <c r="BA22" s="30">
        <f t="shared" si="18"/>
        <v>17988</v>
      </c>
      <c r="BB22" s="30">
        <v>99999</v>
      </c>
      <c r="BC22" s="30">
        <v>99999</v>
      </c>
      <c r="BD22" s="30">
        <f t="shared" si="6"/>
        <v>359729.86995984177</v>
      </c>
      <c r="BF22" s="23"/>
      <c r="BG22" s="19"/>
      <c r="BH22" s="20" t="str">
        <f t="shared" si="19"/>
        <v>INDONESIA</v>
      </c>
      <c r="BI22" s="20">
        <f t="shared" si="19"/>
        <v>2037</v>
      </c>
      <c r="BJ22" s="25">
        <f t="shared" si="7"/>
        <v>0.21826598182758589</v>
      </c>
      <c r="BK22" s="43">
        <f t="shared" si="8"/>
        <v>3.2085869943781207E-4</v>
      </c>
      <c r="BL22" s="34">
        <f t="shared" si="20"/>
        <v>308986.92695390969</v>
      </c>
      <c r="BP22" s="23"/>
    </row>
    <row r="23" spans="1:84" x14ac:dyDescent="0.25">
      <c r="A23" s="19"/>
      <c r="B23" s="20" t="str">
        <f t="shared" si="34"/>
        <v>INDONESIA</v>
      </c>
      <c r="C23" s="20">
        <f t="shared" si="34"/>
        <v>2038</v>
      </c>
      <c r="D23" s="30">
        <f t="shared" si="21"/>
        <v>57973.910713768375</v>
      </c>
      <c r="E23" s="30">
        <f t="shared" si="22"/>
        <v>6906.147131080862</v>
      </c>
      <c r="F23" s="30">
        <f t="shared" si="23"/>
        <v>132120.22333821197</v>
      </c>
      <c r="G23" s="30">
        <f t="shared" si="24"/>
        <v>14239.341305166956</v>
      </c>
      <c r="H23" s="30">
        <f t="shared" si="25"/>
        <v>1986.3999999999999</v>
      </c>
      <c r="I23" s="30">
        <f t="shared" si="26"/>
        <v>10514.253922822223</v>
      </c>
      <c r="J23" s="30">
        <f t="shared" si="27"/>
        <v>1570.7976344732087</v>
      </c>
      <c r="K23" s="30">
        <f t="shared" si="28"/>
        <v>19102.190978348208</v>
      </c>
      <c r="L23" s="30">
        <f t="shared" si="29"/>
        <v>59524.523643267348</v>
      </c>
      <c r="M23" s="30">
        <f t="shared" si="30"/>
        <v>142.85000003349586</v>
      </c>
      <c r="N23" s="30">
        <f t="shared" si="31"/>
        <v>0</v>
      </c>
      <c r="O23" s="30">
        <f t="shared" si="32"/>
        <v>0</v>
      </c>
      <c r="P23" s="30">
        <f>BL23/((VLOOKUP(P$3,tech_data!$B$2:$G$15,6,FALSE)/100)*24*365)</f>
        <v>83.190447395005776</v>
      </c>
      <c r="Q23" s="30">
        <f t="shared" si="10"/>
        <v>304080.63866717264</v>
      </c>
      <c r="R23" s="30"/>
      <c r="S23" s="36"/>
      <c r="T23" s="19"/>
      <c r="U23" s="20" t="str">
        <f t="shared" si="1"/>
        <v>INDONESIA</v>
      </c>
      <c r="V23" s="20">
        <f t="shared" si="2"/>
        <v>2038</v>
      </c>
      <c r="W23" s="30">
        <v>3162.6174034395917</v>
      </c>
      <c r="X23" s="30">
        <v>0</v>
      </c>
      <c r="Y23" s="30">
        <v>8234.1911834496805</v>
      </c>
      <c r="Z23" s="30">
        <v>0</v>
      </c>
      <c r="AA23" s="30">
        <v>0</v>
      </c>
      <c r="AB23" s="30">
        <v>1928.3014314068903</v>
      </c>
      <c r="AC23" s="30">
        <v>1401.1776344732086</v>
      </c>
      <c r="AD23" s="30">
        <v>2484.0987206870755</v>
      </c>
      <c r="AE23" s="30">
        <v>1122.4783522190996</v>
      </c>
      <c r="AF23" s="30">
        <v>0</v>
      </c>
      <c r="AG23" s="30">
        <v>0</v>
      </c>
      <c r="AH23" s="30">
        <v>0</v>
      </c>
      <c r="AI23" s="30">
        <f t="shared" si="33"/>
        <v>4.807157959716676</v>
      </c>
      <c r="AJ23" s="34">
        <f t="shared" si="3"/>
        <v>18337.671883635259</v>
      </c>
      <c r="AM23" s="23"/>
      <c r="AO23" s="20" t="str">
        <f t="shared" si="4"/>
        <v>INDONESIA</v>
      </c>
      <c r="AP23" s="20">
        <f t="shared" si="5"/>
        <v>2038</v>
      </c>
      <c r="AQ23" s="30">
        <v>99999</v>
      </c>
      <c r="AR23" s="30">
        <v>99999</v>
      </c>
      <c r="AS23" s="30">
        <v>99999</v>
      </c>
      <c r="AT23" s="30">
        <v>999</v>
      </c>
      <c r="AU23" s="30">
        <f t="shared" si="12"/>
        <v>23965.8</v>
      </c>
      <c r="AV23" s="30">
        <f t="shared" si="13"/>
        <v>70266.386077177784</v>
      </c>
      <c r="AW23" s="30">
        <f t="shared" si="14"/>
        <v>17983.82236552679</v>
      </c>
      <c r="AX23" s="30">
        <f t="shared" si="15"/>
        <v>188813.32902165173</v>
      </c>
      <c r="AY23" s="30">
        <f t="shared" si="16"/>
        <v>1122.4763567326431</v>
      </c>
      <c r="AZ23" s="30">
        <f t="shared" si="17"/>
        <v>32653.999999966505</v>
      </c>
      <c r="BA23" s="30">
        <f t="shared" si="18"/>
        <v>17988</v>
      </c>
      <c r="BB23" s="30">
        <v>99999</v>
      </c>
      <c r="BC23" s="30">
        <v>99999</v>
      </c>
      <c r="BD23" s="30">
        <f t="shared" si="6"/>
        <v>352793.81382105552</v>
      </c>
      <c r="BF23" s="23"/>
      <c r="BG23" s="19"/>
      <c r="BH23" s="20" t="str">
        <f t="shared" si="19"/>
        <v>INDONESIA</v>
      </c>
      <c r="BI23" s="20">
        <f t="shared" si="19"/>
        <v>2038</v>
      </c>
      <c r="BJ23" s="25">
        <f>SUM(K47:L47,N47)/Q47</f>
        <v>0.21268240941131905</v>
      </c>
      <c r="BK23" s="43">
        <f t="shared" si="8"/>
        <v>3.1962646276663593E-4</v>
      </c>
      <c r="BL23" s="34">
        <f t="shared" si="20"/>
        <v>327936.7436311128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proj_rukn!A2</f>
        <v>INDONESIA</v>
      </c>
      <c r="C28" s="20">
        <f>proj_rukn!B2</f>
        <v>2019</v>
      </c>
      <c r="D28" s="30">
        <f>(D4*(VLOOKUP(D$27,tech_data!$B$2:$O$15,6, FALSE)/100)*(1-(VLOOKUP(D$27,tech_data!$B$2:$O$15,7, FALSE)/100))*8760)/1000</f>
        <v>167089.32579226667</v>
      </c>
      <c r="E28" s="30">
        <f>(E4*(VLOOKUP(E$27,tech_data!$B$2:$O$15,6, FALSE)/100)*(1-(VLOOKUP(E$27,tech_data!$B$2:$O$15,7, FALSE)/100))*8760)/1000</f>
        <v>16856.297613489231</v>
      </c>
      <c r="F28" s="30">
        <f>(F4*(VLOOKUP(F$27,tech_data!$B$2:$O$15,6, FALSE)/100)*(1-(VLOOKUP(F$27,tech_data!$B$2:$O$15,7, FALSE)/100))*8760)/1000</f>
        <v>31896.550966707695</v>
      </c>
      <c r="G28" s="30">
        <f>(G4*(VLOOKUP(G$27,tech_data!$B$2:$O$15,6, FALSE)/100)*(1-(VLOOKUP(G$27,tech_data!$B$2:$O$15,7, FALSE)/100))*8760)/1000</f>
        <v>33098.739795692301</v>
      </c>
      <c r="H28" s="30">
        <f>(H4*(VLOOKUP(H$27,tech_data!$B$2:$O$15,6, FALSE)/100)*(1-(VLOOKUP(H$27,tech_data!$B$2:$O$15,7, FALSE)/100))*8760)/1000</f>
        <v>12890.02464</v>
      </c>
      <c r="I28" s="30">
        <f>(I4*(VLOOKUP(I$27,tech_data!$B$2:$O$15,6, FALSE)/100)*(1-(VLOOKUP(I$27,tech_data!$B$2:$O$15,7, FALSE)/100))*8760)/1000</f>
        <v>25258.010098707691</v>
      </c>
      <c r="J28" s="30">
        <f>(J4*(VLOOKUP(J$27,tech_data!$B$2:$O$15,6, FALSE)/100)*(1-(VLOOKUP(J$27,tech_data!$B$2:$O$15,7, FALSE)/100))*8760)/1000</f>
        <v>1003.9917400615384</v>
      </c>
      <c r="K28" s="30">
        <f>(K4*(VLOOKUP(K$27,tech_data!$B$2:$O$15,6, FALSE)/100)*(1-(VLOOKUP(K$27,tech_data!$B$2:$O$15,7, FALSE)/100))*8760)/1000</f>
        <v>32.229791999999996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356.78369838461538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35">SUM(D28:O28)</f>
        <v>288481.95413730975</v>
      </c>
      <c r="R28" s="34">
        <f>proj_rukn!D2</f>
        <v>289000</v>
      </c>
      <c r="S28" s="35"/>
      <c r="T28" s="19"/>
      <c r="U28" s="20" t="str">
        <f t="shared" ref="U28:U47" si="36">B28</f>
        <v>INDONESIA</v>
      </c>
      <c r="V28" s="20">
        <f t="shared" ref="V28:V47" si="37">C28</f>
        <v>2019</v>
      </c>
      <c r="W28" s="29">
        <f t="shared" ref="W28:W47" si="38">D28/$Q28</f>
        <v>0.57920200343878903</v>
      </c>
      <c r="X28" s="29">
        <f t="shared" ref="X28:X47" si="39">E28/$Q28</f>
        <v>5.843102964238131E-2</v>
      </c>
      <c r="Y28" s="29">
        <f t="shared" ref="Y28:Y47" si="40">F28/$Q28</f>
        <v>0.11056688471933251</v>
      </c>
      <c r="Z28" s="29">
        <f t="shared" ref="Z28:Z47" si="41">G28/$Q28</f>
        <v>0.11473417772238946</v>
      </c>
      <c r="AA28" s="29">
        <f t="shared" ref="AA28:AA47" si="42">H28/$Q28</f>
        <v>4.4682256394674484E-2</v>
      </c>
      <c r="AB28" s="29">
        <f t="shared" ref="AB28:AB47" si="43">I28/$Q28</f>
        <v>8.7554905034668298E-2</v>
      </c>
      <c r="AC28" s="29">
        <f t="shared" ref="AC28:AC47" si="44">J28/$Q28</f>
        <v>3.480258385880404E-3</v>
      </c>
      <c r="AD28" s="29">
        <f t="shared" ref="AD28:AD47" si="45">K28/$Q28</f>
        <v>1.1172203854615971E-4</v>
      </c>
      <c r="AE28" s="29">
        <f t="shared" ref="AE28:AE47" si="46">L28/$Q28</f>
        <v>0</v>
      </c>
      <c r="AF28" s="29">
        <f t="shared" ref="AF28:AF47" si="47">M28/$Q28</f>
        <v>1.2367626233382896E-3</v>
      </c>
      <c r="AG28" s="29">
        <f t="shared" ref="AG28:AG47" si="48">N28/$Q28</f>
        <v>0</v>
      </c>
      <c r="AH28" s="29">
        <f t="shared" ref="AH28:AH47" si="49">O28/$Q28</f>
        <v>0</v>
      </c>
      <c r="AI28" s="29">
        <f t="shared" ref="AI28:AI47" si="50">P28/$Q28</f>
        <v>0</v>
      </c>
      <c r="AJ28" s="29">
        <f t="shared" ref="AJ28:AJ47" si="51">SUM(W28:AH28)</f>
        <v>1</v>
      </c>
      <c r="AM28" s="23"/>
      <c r="AO28" s="20" t="str">
        <f>B28</f>
        <v>INDONESIA</v>
      </c>
      <c r="AP28" s="20">
        <f>C28</f>
        <v>2019</v>
      </c>
      <c r="AQ28" s="25">
        <f t="shared" ref="AQ28:AQ47" si="52">D28/Q28</f>
        <v>0.57920200343878903</v>
      </c>
      <c r="AR28" s="25">
        <f t="shared" ref="AR28:AR47" si="53">SUM(E28:F28)/Q28</f>
        <v>0.1689979143617138</v>
      </c>
      <c r="AS28" s="25">
        <f t="shared" ref="AS28:AS47" si="54">G28/Q28</f>
        <v>0.11473417772238946</v>
      </c>
      <c r="AT28" s="37">
        <f t="shared" ref="AT28:AT47" si="55">SUM(H28:N28)/Q28</f>
        <v>0.13706590447710762</v>
      </c>
      <c r="AU28" s="24">
        <f>SUM(AQ28:AT28)</f>
        <v>0.99999999999999989</v>
      </c>
      <c r="AW28" s="24">
        <f>$BD$29+((AP28-$BC$29)*($BD$30-$BD$29)/($BC$30-$BC$29))</f>
        <v>0.57920200343878903</v>
      </c>
      <c r="AX28" s="24">
        <f t="shared" ref="AX28:AX47" si="56">$BE$29+((AP28-$BC$29)*($BE$30-$BE$29)/($BC$30-$BC$29))</f>
        <v>0.19239999999999999</v>
      </c>
      <c r="AY28" s="24">
        <f>BF29</f>
        <v>0.11473417772238946</v>
      </c>
      <c r="AZ28" s="25">
        <f>$BG$29+((AP28-$BC$29)*($BG$30-$BG$29)/($BC$30-$BC$29))</f>
        <v>0.1166</v>
      </c>
      <c r="BA28" s="24">
        <f>SUM(AW28:AZ28)</f>
        <v>1.0029361811611786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INDONESIA</v>
      </c>
      <c r="BL28" s="20">
        <f>C4</f>
        <v>2019</v>
      </c>
      <c r="BM28" s="34">
        <f>VLOOKUP(BL28,proj_rukn!$B$2:$E$21,4,FALSE)</f>
        <v>41832</v>
      </c>
      <c r="BN28" s="30">
        <f t="shared" ref="BN28:BN47" si="57">(1+$CD$28)*BM28*$CD$29</f>
        <v>48106.799999999996</v>
      </c>
      <c r="BO28" s="30">
        <f>SUM(D4:I4,M4,O4:P4)</f>
        <v>66063.94</v>
      </c>
      <c r="BQ28" s="30">
        <f t="shared" ref="BQ28:BQ47" si="58">BN28*$CD$30</f>
        <v>19242.719999999998</v>
      </c>
      <c r="BR28" s="30">
        <f>SUM(D4,F4,H4,M4)</f>
        <v>48112.18</v>
      </c>
      <c r="BS28" s="30"/>
      <c r="BT28" s="30">
        <f t="shared" ref="BT28:BT47" si="59">BN28*$CD$31</f>
        <v>9621.3599999999988</v>
      </c>
      <c r="BU28" s="30">
        <f>SUM(E4,G4,P4,I4)</f>
        <v>17951.759999999998</v>
      </c>
      <c r="BW28" s="30">
        <f t="shared" ref="BW28:BW47" si="60">$CD$32*SUM(H4:O4)</f>
        <v>4.0030149999999995</v>
      </c>
      <c r="BX28" s="30">
        <f>N4</f>
        <v>0</v>
      </c>
      <c r="BY28" s="30"/>
      <c r="BZ28" s="24">
        <v>8.0000000000000004E-4</v>
      </c>
      <c r="CA28" s="24">
        <f t="shared" ref="CA28:CA47" si="61">K28/SUM(H28:O28)</f>
        <v>8.1509722620200719E-4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>proj_rukn!A3</f>
        <v>INDONESIA</v>
      </c>
      <c r="C29" s="20">
        <f>proj_rukn!B3</f>
        <v>2020</v>
      </c>
      <c r="D29" s="30">
        <f>(D5*(VLOOKUP(D$27,tech_data!$B$2:$O$15,6, FALSE)/100)*(1-(VLOOKUP(D$27,tech_data!$B$2:$O$15,7, FALSE)/100))*8760)/1000</f>
        <v>167790.52394075049</v>
      </c>
      <c r="E29" s="30">
        <f>(E5*(VLOOKUP(E$27,tech_data!$B$2:$O$15,6, FALSE)/100)*(1-(VLOOKUP(E$27,tech_data!$B$2:$O$15,7, FALSE)/100))*8760)/1000</f>
        <v>16856.297613489231</v>
      </c>
      <c r="F29" s="30">
        <f>(F5*(VLOOKUP(F$27,tech_data!$B$2:$O$15,6, FALSE)/100)*(1-(VLOOKUP(F$27,tech_data!$B$2:$O$15,7, FALSE)/100))*8760)/1000</f>
        <v>52252.234050106606</v>
      </c>
      <c r="G29" s="30">
        <f>(G5*(VLOOKUP(G$27,tech_data!$B$2:$O$15,6, FALSE)/100)*(1-(VLOOKUP(G$27,tech_data!$B$2:$O$15,7, FALSE)/100))*8760)/1000</f>
        <v>35418.441287177666</v>
      </c>
      <c r="H29" s="30">
        <f>(H5*(VLOOKUP(H$27,tech_data!$B$2:$O$15,6, FALSE)/100)*(1-(VLOOKUP(H$27,tech_data!$B$2:$O$15,7, FALSE)/100))*8760)/1000</f>
        <v>12890.02464</v>
      </c>
      <c r="I29" s="30">
        <f>(I5*(VLOOKUP(I$27,tech_data!$B$2:$O$15,6, FALSE)/100)*(1-(VLOOKUP(I$27,tech_data!$B$2:$O$15,7, FALSE)/100))*8760)/1000</f>
        <v>25258.010098707691</v>
      </c>
      <c r="J29" s="30">
        <f>(J5*(VLOOKUP(J$27,tech_data!$B$2:$O$15,6, FALSE)/100)*(1-(VLOOKUP(J$27,tech_data!$B$2:$O$15,7, FALSE)/100))*8760)/1000</f>
        <v>1003.9917400615384</v>
      </c>
      <c r="K29" s="30">
        <f>(K5*(VLOOKUP(K$27,tech_data!$B$2:$O$15,6, FALSE)/100)*(1-(VLOOKUP(K$27,tech_data!$B$2:$O$15,7, FALSE)/100))*8760)/1000</f>
        <v>2168.2710264753782</v>
      </c>
      <c r="L29" s="30">
        <f>(L5*(VLOOKUP(L$27,tech_data!$B$2:$O$15,6, FALSE)/100)*(1-(VLOOKUP(L$27,tech_data!$B$2:$O$15,7, FALSE)/100))*8760)/1000</f>
        <v>1005.4193681333654</v>
      </c>
      <c r="M29" s="30">
        <f>(M5*(VLOOKUP(M$27,tech_data!$B$2:$O$15,6, FALSE)/100)*(1-(VLOOKUP(M$27,tech_data!$B$2:$O$15,7, FALSE)/100))*8760)/1000</f>
        <v>356.78369838461538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78.137717904499723</v>
      </c>
      <c r="Q29" s="34">
        <f t="shared" si="35"/>
        <v>314999.99746328656</v>
      </c>
      <c r="R29" s="34">
        <f>proj_rukn!D3</f>
        <v>315000</v>
      </c>
      <c r="S29" s="35"/>
      <c r="T29" s="19"/>
      <c r="U29" s="20" t="str">
        <f t="shared" si="36"/>
        <v>INDONESIA</v>
      </c>
      <c r="V29" s="20">
        <f t="shared" si="37"/>
        <v>2020</v>
      </c>
      <c r="W29" s="29">
        <f t="shared" si="38"/>
        <v>0.53266833426024573</v>
      </c>
      <c r="X29" s="29">
        <f t="shared" si="39"/>
        <v>5.3512056346774549E-2</v>
      </c>
      <c r="Y29" s="29">
        <f t="shared" si="40"/>
        <v>0.16588010943141876</v>
      </c>
      <c r="Z29" s="29">
        <f t="shared" si="41"/>
        <v>0.11243949705525222</v>
      </c>
      <c r="AA29" s="29">
        <f t="shared" si="42"/>
        <v>4.0920713472394045E-2</v>
      </c>
      <c r="AB29" s="29">
        <f t="shared" si="43"/>
        <v>8.0184159689244208E-2</v>
      </c>
      <c r="AC29" s="29">
        <f t="shared" si="44"/>
        <v>3.1872753909420403E-3</v>
      </c>
      <c r="AD29" s="29">
        <f t="shared" si="45"/>
        <v>6.8834001394812439E-3</v>
      </c>
      <c r="AE29" s="29">
        <f t="shared" si="46"/>
        <v>3.1918075435875127E-3</v>
      </c>
      <c r="AF29" s="29">
        <f t="shared" si="47"/>
        <v>1.1326466706597315E-3</v>
      </c>
      <c r="AG29" s="29">
        <f t="shared" si="48"/>
        <v>0</v>
      </c>
      <c r="AH29" s="29">
        <f t="shared" si="49"/>
        <v>0</v>
      </c>
      <c r="AI29" s="29">
        <f t="shared" si="50"/>
        <v>2.4805624931348362E-4</v>
      </c>
      <c r="AJ29" s="29">
        <f t="shared" si="51"/>
        <v>0.99999999999999989</v>
      </c>
      <c r="AM29" s="23"/>
      <c r="AO29" s="20" t="str">
        <f>AO28</f>
        <v>INDONESIA</v>
      </c>
      <c r="AP29" s="20">
        <f>AP28+1</f>
        <v>2020</v>
      </c>
      <c r="AQ29" s="25">
        <f t="shared" si="52"/>
        <v>0.53266833426024573</v>
      </c>
      <c r="AR29" s="25">
        <f t="shared" si="53"/>
        <v>0.21939216577819334</v>
      </c>
      <c r="AS29" s="25">
        <f t="shared" si="54"/>
        <v>0.11243949705525222</v>
      </c>
      <c r="AT29" s="37">
        <f t="shared" si="55"/>
        <v>0.13550000290630876</v>
      </c>
      <c r="AU29" s="24">
        <f t="shared" ref="AU29:AU47" si="62">SUM(AQ29:AT29)</f>
        <v>1</v>
      </c>
      <c r="AW29" s="24">
        <f>$BD$29+((AP29-$BC$29)*($BD$30-$BD$29)/($BC$30-$BC$29))</f>
        <v>0.5326683361989909</v>
      </c>
      <c r="AX29" s="24">
        <f t="shared" si="56"/>
        <v>0.19699999999999998</v>
      </c>
      <c r="AY29" s="24">
        <f>AY28*0.98</f>
        <v>0.11243949416794168</v>
      </c>
      <c r="AZ29" s="25">
        <f t="shared" ref="AZ29:AZ34" si="63">$BG$29+((AP29-$BC$29)*($BG$30-$BG$29)/($BC$30-$BC$29))</f>
        <v>0.13550000000000001</v>
      </c>
      <c r="BA29" s="24">
        <f t="shared" ref="BA29:BA47" si="64">SUM(AW29:AZ29)</f>
        <v>0.97760783036693244</v>
      </c>
      <c r="BC29" s="20">
        <v>2019</v>
      </c>
      <c r="BD29" s="25">
        <f>AQ28</f>
        <v>0.57920200343878903</v>
      </c>
      <c r="BE29" s="25">
        <v>0.19239999999999999</v>
      </c>
      <c r="BF29" s="25">
        <f>AS28</f>
        <v>0.11473417772238946</v>
      </c>
      <c r="BG29" s="25">
        <v>0.1166</v>
      </c>
      <c r="BH29" s="24">
        <f>SUM(BD29:BG29)</f>
        <v>1.0029361811611786</v>
      </c>
      <c r="BJ29" s="19"/>
      <c r="BK29" s="20" t="str">
        <f>BK28</f>
        <v>INDONESIA</v>
      </c>
      <c r="BL29" s="20">
        <f>BL28+1</f>
        <v>2020</v>
      </c>
      <c r="BM29" s="34">
        <f>VLOOKUP(BL29,proj_rukn!$B$2:$E$21,4,FALSE)</f>
        <v>44624</v>
      </c>
      <c r="BN29" s="30">
        <f t="shared" si="57"/>
        <v>51317.599999999999</v>
      </c>
      <c r="BO29" s="30">
        <f t="shared" ref="BO29:BO47" si="65">SUM(D5:I5,M5,O5:P5)</f>
        <v>74050.003747299896</v>
      </c>
      <c r="BQ29" s="30">
        <f t="shared" si="58"/>
        <v>20527.04</v>
      </c>
      <c r="BR29" s="30">
        <f t="shared" ref="BR29:BR47" si="66">SUM(D5,F5,H5,M5)</f>
        <v>55612.079552790674</v>
      </c>
      <c r="BS29" s="30"/>
      <c r="BT29" s="30">
        <f t="shared" si="59"/>
        <v>10263.52</v>
      </c>
      <c r="BU29" s="30">
        <f t="shared" ref="BU29:BU47" si="67">SUM(E5,G5,P5,I5)</f>
        <v>18437.924194509229</v>
      </c>
      <c r="BW29" s="30">
        <f t="shared" si="60"/>
        <v>4.7470397981326027</v>
      </c>
      <c r="BX29" s="30">
        <f t="shared" ref="BX29:BX47" si="68">N5</f>
        <v>0</v>
      </c>
      <c r="BZ29" s="24">
        <f>BZ28+$CD$34</f>
        <v>5.0800000000000005E-2</v>
      </c>
      <c r="CA29" s="24">
        <f t="shared" si="61"/>
        <v>5.07999999397842E-2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>proj_rukn!A4</f>
        <v>INDONESIA</v>
      </c>
      <c r="C30" s="20">
        <f>proj_rukn!B4</f>
        <v>2021</v>
      </c>
      <c r="D30" s="30">
        <f>(D6*(VLOOKUP(D$27,tech_data!$B$2:$O$15,6, FALSE)/100)*(1-(VLOOKUP(D$27,tech_data!$B$2:$O$15,7, FALSE)/100))*8760)/1000</f>
        <v>172577.82262239142</v>
      </c>
      <c r="E30" s="30">
        <f>(E6*(VLOOKUP(E$27,tech_data!$B$2:$O$15,6, FALSE)/100)*(1-(VLOOKUP(E$27,tech_data!$B$2:$O$15,7, FALSE)/100))*8760)/1000</f>
        <v>16856.297613489231</v>
      </c>
      <c r="F30" s="30">
        <f>(F6*(VLOOKUP(F$27,tech_data!$B$2:$O$15,6, FALSE)/100)*(1-(VLOOKUP(F$27,tech_data!$B$2:$O$15,7, FALSE)/100))*8760)/1000</f>
        <v>69374.700652065658</v>
      </c>
      <c r="G30" s="30">
        <f>(G6*(VLOOKUP(G$27,tech_data!$B$2:$O$15,6, FALSE)/100)*(1-(VLOOKUP(G$27,tech_data!$B$2:$O$15,7, FALSE)/100))*8760)/1000</f>
        <v>35418.441287177666</v>
      </c>
      <c r="H30" s="30">
        <f>(H6*(VLOOKUP(H$27,tech_data!$B$2:$O$15,6, FALSE)/100)*(1-(VLOOKUP(H$27,tech_data!$B$2:$O$15,7, FALSE)/100))*8760)/1000</f>
        <v>12890.02464</v>
      </c>
      <c r="I30" s="30">
        <f>(I6*(VLOOKUP(I$27,tech_data!$B$2:$O$15,6, FALSE)/100)*(1-(VLOOKUP(I$27,tech_data!$B$2:$O$15,7, FALSE)/100))*8760)/1000</f>
        <v>25258.010098707691</v>
      </c>
      <c r="J30" s="30">
        <f>(J6*(VLOOKUP(J$27,tech_data!$B$2:$O$15,6, FALSE)/100)*(1-(VLOOKUP(J$27,tech_data!$B$2:$O$15,7, FALSE)/100))*8760)/1000</f>
        <v>1003.9917400615384</v>
      </c>
      <c r="K30" s="30">
        <f>(K6*(VLOOKUP(K$27,tech_data!$B$2:$O$15,6, FALSE)/100)*(1-(VLOOKUP(K$27,tech_data!$B$2:$O$15,7, FALSE)/100))*8760)/1000</f>
        <v>3241.6178379664607</v>
      </c>
      <c r="L30" s="30">
        <f>(L6*(VLOOKUP(L$27,tech_data!$B$2:$O$15,6, FALSE)/100)*(1-(VLOOKUP(L$27,tech_data!$B$2:$O$15,7, FALSE)/100))*8760)/1000</f>
        <v>18022.30985428072</v>
      </c>
      <c r="M30" s="30">
        <f>(M6*(VLOOKUP(M$27,tech_data!$B$2:$O$15,6, FALSE)/100)*(1-(VLOOKUP(M$27,tech_data!$B$2:$O$15,7, FALSE)/100))*8760)/1000</f>
        <v>356.78369838461538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91.582025951836997</v>
      </c>
      <c r="Q30" s="34">
        <f t="shared" si="35"/>
        <v>355000.00004452502</v>
      </c>
      <c r="R30" s="34">
        <f>proj_rukn!D4</f>
        <v>355000</v>
      </c>
      <c r="S30" s="35"/>
      <c r="T30" s="19"/>
      <c r="U30" s="20" t="str">
        <f t="shared" si="36"/>
        <v>INDONESIA</v>
      </c>
      <c r="V30" s="20">
        <f t="shared" si="37"/>
        <v>2021</v>
      </c>
      <c r="W30" s="29">
        <f t="shared" si="38"/>
        <v>0.48613471155139792</v>
      </c>
      <c r="X30" s="29">
        <f t="shared" si="39"/>
        <v>4.7482528482746679E-2</v>
      </c>
      <c r="Y30" s="29">
        <f t="shared" si="40"/>
        <v>0.19542169195313944</v>
      </c>
      <c r="Z30" s="29">
        <f t="shared" si="41"/>
        <v>9.9770257134465898E-2</v>
      </c>
      <c r="AA30" s="29">
        <f t="shared" si="42"/>
        <v>3.6309928558826199E-2</v>
      </c>
      <c r="AB30" s="29">
        <f t="shared" si="43"/>
        <v>7.1149324212788079E-2</v>
      </c>
      <c r="AC30" s="29">
        <f t="shared" si="44"/>
        <v>2.8281457462975075E-3</v>
      </c>
      <c r="AD30" s="29">
        <f t="shared" si="45"/>
        <v>9.1313178522813756E-3</v>
      </c>
      <c r="AE30" s="29">
        <f t="shared" si="46"/>
        <v>5.0767070005691028E-2</v>
      </c>
      <c r="AF30" s="29">
        <f t="shared" si="47"/>
        <v>1.0050245023658214E-3</v>
      </c>
      <c r="AG30" s="29">
        <f t="shared" si="48"/>
        <v>0</v>
      </c>
      <c r="AH30" s="29">
        <f t="shared" si="49"/>
        <v>0</v>
      </c>
      <c r="AI30" s="29">
        <f t="shared" si="50"/>
        <v>2.5797753786014238E-4</v>
      </c>
      <c r="AJ30" s="29">
        <f t="shared" si="51"/>
        <v>0.99999999999999989</v>
      </c>
      <c r="AM30" s="23"/>
      <c r="AO30" s="20" t="str">
        <f t="shared" ref="AO30:AO47" si="69">AO29</f>
        <v>INDONESIA</v>
      </c>
      <c r="AP30" s="20">
        <f t="shared" ref="AP30:AP47" si="70">AP29+1</f>
        <v>2021</v>
      </c>
      <c r="AQ30" s="25">
        <f t="shared" si="52"/>
        <v>0.48613471155139792</v>
      </c>
      <c r="AR30" s="25">
        <f t="shared" si="53"/>
        <v>0.24290422043588614</v>
      </c>
      <c r="AS30" s="25">
        <f t="shared" si="54"/>
        <v>9.9770257134465898E-2</v>
      </c>
      <c r="AT30" s="37">
        <f t="shared" si="55"/>
        <v>0.17119081087825</v>
      </c>
      <c r="AU30" s="24">
        <f t="shared" si="62"/>
        <v>1</v>
      </c>
      <c r="AW30" s="24">
        <f t="shared" ref="AW30:AW34" si="71">$BD$29+((AP30-$BC$29)*($BD$30-$BD$29)/($BC$30-$BC$29))</f>
        <v>0.48613466895919266</v>
      </c>
      <c r="AX30" s="24">
        <f t="shared" si="56"/>
        <v>0.2016</v>
      </c>
      <c r="AY30" s="24">
        <f t="shared" ref="AY30:AY47" si="72">AY29*0.98</f>
        <v>0.11019070428458284</v>
      </c>
      <c r="AZ30" s="25">
        <f t="shared" si="63"/>
        <v>0.15440000000000001</v>
      </c>
      <c r="BA30" s="24">
        <f t="shared" si="64"/>
        <v>0.95232537324377553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73">SUM(BD30:BG30)</f>
        <v>1</v>
      </c>
      <c r="BJ30" s="19"/>
      <c r="BK30" s="20" t="str">
        <f t="shared" ref="BK30:BK47" si="74">BK29</f>
        <v>INDONESIA</v>
      </c>
      <c r="BL30" s="20">
        <f t="shared" ref="BL30:BL47" si="75">BL29+1</f>
        <v>2021</v>
      </c>
      <c r="BM30" s="34">
        <f>VLOOKUP(BL30,proj_rukn!$B$2:$E$21,4,FALSE)</f>
        <v>47627</v>
      </c>
      <c r="BN30" s="30">
        <f t="shared" si="57"/>
        <v>54771.049999999996</v>
      </c>
      <c r="BO30" s="30">
        <f t="shared" si="65"/>
        <v>81228.039883415418</v>
      </c>
      <c r="BQ30" s="30">
        <f t="shared" si="58"/>
        <v>21908.42</v>
      </c>
      <c r="BR30" s="30">
        <f t="shared" si="66"/>
        <v>62786.335903228384</v>
      </c>
      <c r="BS30" s="30"/>
      <c r="BT30" s="30">
        <f t="shared" si="59"/>
        <v>10954.21</v>
      </c>
      <c r="BU30" s="30">
        <f t="shared" si="67"/>
        <v>18441.703980187049</v>
      </c>
      <c r="BW30" s="30">
        <f t="shared" si="60"/>
        <v>7.8052360485142751</v>
      </c>
      <c r="BX30" s="30">
        <f t="shared" si="68"/>
        <v>0</v>
      </c>
      <c r="BZ30" s="24">
        <f t="shared" ref="BZ30:BZ47" si="76">BZ29*1.05</f>
        <v>5.3340000000000005E-2</v>
      </c>
      <c r="CA30" s="24">
        <f t="shared" si="61"/>
        <v>5.3340000000207492E-2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>proj_rukn!A5</f>
        <v>INDONESIA</v>
      </c>
      <c r="C31" s="20">
        <f>proj_rukn!B5</f>
        <v>2022</v>
      </c>
      <c r="D31" s="30">
        <f>(D7*(VLOOKUP(D$27,tech_data!$B$2:$O$15,6, FALSE)/100)*(1-(VLOOKUP(D$27,tech_data!$B$2:$O$15,7, FALSE)/100))*8760)/1000</f>
        <v>172577.82262239142</v>
      </c>
      <c r="E31" s="30">
        <f>(E7*(VLOOKUP(E$27,tech_data!$B$2:$O$15,6, FALSE)/100)*(1-(VLOOKUP(E$27,tech_data!$B$2:$O$15,7, FALSE)/100))*8760)/1000</f>
        <v>16856.297613489231</v>
      </c>
      <c r="F31" s="30">
        <f>(F7*(VLOOKUP(F$27,tech_data!$B$2:$O$15,6, FALSE)/100)*(1-(VLOOKUP(F$27,tech_data!$B$2:$O$15,7, FALSE)/100))*8760)/1000</f>
        <v>80083.188365632595</v>
      </c>
      <c r="G31" s="30">
        <f>(G7*(VLOOKUP(G$27,tech_data!$B$2:$O$15,6, FALSE)/100)*(1-(VLOOKUP(G$27,tech_data!$B$2:$O$15,7, FALSE)/100))*8760)/1000</f>
        <v>40495.067666884293</v>
      </c>
      <c r="H31" s="30">
        <f>(H7*(VLOOKUP(H$27,tech_data!$B$2:$O$15,6, FALSE)/100)*(1-(VLOOKUP(H$27,tech_data!$B$2:$O$15,7, FALSE)/100))*8760)/1000</f>
        <v>12890.02464</v>
      </c>
      <c r="I31" s="30">
        <f>(I7*(VLOOKUP(I$27,tech_data!$B$2:$O$15,6, FALSE)/100)*(1-(VLOOKUP(I$27,tech_data!$B$2:$O$15,7, FALSE)/100))*8760)/1000</f>
        <v>25258.010098707691</v>
      </c>
      <c r="J31" s="30">
        <f>(J7*(VLOOKUP(J$27,tech_data!$B$2:$O$15,6, FALSE)/100)*(1-(VLOOKUP(J$27,tech_data!$B$2:$O$15,7, FALSE)/100))*8760)/1000</f>
        <v>1003.9917400615384</v>
      </c>
      <c r="K31" s="30">
        <f>(K7*(VLOOKUP(K$27,tech_data!$B$2:$O$15,6, FALSE)/100)*(1-(VLOOKUP(K$27,tech_data!$B$2:$O$15,7, FALSE)/100))*8760)/1000</f>
        <v>3639.7534622337821</v>
      </c>
      <c r="L31" s="30">
        <f>(L7*(VLOOKUP(L$27,tech_data!$B$2:$O$15,6, FALSE)/100)*(1-(VLOOKUP(L$27,tech_data!$B$2:$O$15,7, FALSE)/100))*8760)/1000</f>
        <v>21838.910466234462</v>
      </c>
      <c r="M31" s="30">
        <f>(M7*(VLOOKUP(M$27,tech_data!$B$2:$O$15,6, FALSE)/100)*(1-(VLOOKUP(M$27,tech_data!$B$2:$O$15,7, FALSE)/100))*8760)/1000</f>
        <v>356.78369838461538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97.342268909831134</v>
      </c>
      <c r="Q31" s="34">
        <f t="shared" si="35"/>
        <v>374999.85037401965</v>
      </c>
      <c r="R31" s="34">
        <f>proj_rukn!D5</f>
        <v>375000</v>
      </c>
      <c r="S31" s="35"/>
      <c r="T31" s="19"/>
      <c r="U31" s="20" t="str">
        <f t="shared" si="36"/>
        <v>INDONESIA</v>
      </c>
      <c r="V31" s="20">
        <f t="shared" si="37"/>
        <v>2022</v>
      </c>
      <c r="W31" s="29">
        <f t="shared" si="38"/>
        <v>0.46020771061712346</v>
      </c>
      <c r="X31" s="29">
        <f t="shared" si="39"/>
        <v>4.4950144904529941E-2</v>
      </c>
      <c r="Y31" s="29">
        <f t="shared" si="40"/>
        <v>0.21355525418412497</v>
      </c>
      <c r="Z31" s="29">
        <f t="shared" si="41"/>
        <v>0.10798689019874294</v>
      </c>
      <c r="AA31" s="29">
        <f t="shared" si="42"/>
        <v>3.4373412755081552E-2</v>
      </c>
      <c r="AB31" s="29">
        <f t="shared" si="43"/>
        <v>6.7354720471263396E-2</v>
      </c>
      <c r="AC31" s="29">
        <f t="shared" si="44"/>
        <v>2.6773123750854061E-3</v>
      </c>
      <c r="AD31" s="29">
        <f t="shared" si="45"/>
        <v>9.7060131053480214E-3</v>
      </c>
      <c r="AE31" s="29">
        <f t="shared" si="46"/>
        <v>5.8237117813387487E-2</v>
      </c>
      <c r="AF31" s="29">
        <f t="shared" si="47"/>
        <v>9.5142357531280148E-4</v>
      </c>
      <c r="AG31" s="29">
        <f t="shared" si="48"/>
        <v>0</v>
      </c>
      <c r="AH31" s="29">
        <f t="shared" si="49"/>
        <v>0</v>
      </c>
      <c r="AI31" s="29">
        <f t="shared" si="50"/>
        <v>2.5957948733244373E-4</v>
      </c>
      <c r="AJ31" s="29">
        <f t="shared" si="51"/>
        <v>1</v>
      </c>
      <c r="AM31" s="23"/>
      <c r="AO31" s="20" t="str">
        <f t="shared" si="69"/>
        <v>INDONESIA</v>
      </c>
      <c r="AP31" s="20">
        <f t="shared" si="70"/>
        <v>2022</v>
      </c>
      <c r="AQ31" s="25">
        <f t="shared" si="52"/>
        <v>0.46020771061712346</v>
      </c>
      <c r="AR31" s="25">
        <f t="shared" si="53"/>
        <v>0.25850539908865489</v>
      </c>
      <c r="AS31" s="25">
        <f t="shared" si="54"/>
        <v>0.10798689019874294</v>
      </c>
      <c r="AT31" s="37">
        <f t="shared" si="55"/>
        <v>0.17330000009547866</v>
      </c>
      <c r="AU31" s="24">
        <f t="shared" si="62"/>
        <v>1</v>
      </c>
      <c r="AW31" s="24">
        <f t="shared" si="71"/>
        <v>0.43960100171939454</v>
      </c>
      <c r="AX31" s="24">
        <f t="shared" si="56"/>
        <v>0.20619999999999999</v>
      </c>
      <c r="AY31" s="24">
        <f t="shared" si="72"/>
        <v>0.10798689019889118</v>
      </c>
      <c r="AZ31" s="25">
        <f t="shared" si="63"/>
        <v>0.17330000000000001</v>
      </c>
      <c r="BA31" s="24">
        <f t="shared" si="64"/>
        <v>0.92708789191828567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73"/>
        <v>1</v>
      </c>
      <c r="BJ31" s="19"/>
      <c r="BK31" s="20" t="str">
        <f t="shared" si="74"/>
        <v>INDONESIA</v>
      </c>
      <c r="BL31" s="20">
        <f t="shared" si="75"/>
        <v>2022</v>
      </c>
      <c r="BM31" s="34">
        <f>VLOOKUP(BL31,proj_rukn!$B$2:$E$21,4,FALSE)</f>
        <v>51006</v>
      </c>
      <c r="BN31" s="30">
        <f t="shared" si="57"/>
        <v>58656.899999999994</v>
      </c>
      <c r="BO31" s="30">
        <f t="shared" si="65"/>
        <v>86114.936373606353</v>
      </c>
      <c r="BQ31" s="30">
        <f t="shared" si="58"/>
        <v>23462.76</v>
      </c>
      <c r="BR31" s="30">
        <f t="shared" si="66"/>
        <v>66655.727516510582</v>
      </c>
      <c r="BS31" s="30"/>
      <c r="BT31" s="30">
        <f t="shared" si="59"/>
        <v>11731.38</v>
      </c>
      <c r="BU31" s="30">
        <f t="shared" si="67"/>
        <v>19459.208857095764</v>
      </c>
      <c r="BW31" s="30">
        <f t="shared" si="60"/>
        <v>8.5339193319739053</v>
      </c>
      <c r="BX31" s="30">
        <f t="shared" si="68"/>
        <v>0</v>
      </c>
      <c r="BZ31" s="24">
        <f t="shared" si="76"/>
        <v>5.6007000000000008E-2</v>
      </c>
      <c r="CA31" s="24">
        <f t="shared" si="61"/>
        <v>5.6007000000003165E-2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>proj_rukn!A6</f>
        <v>INDONESIA</v>
      </c>
      <c r="C32" s="20">
        <f>proj_rukn!B6</f>
        <v>2023</v>
      </c>
      <c r="D32" s="30">
        <f>(D8*(VLOOKUP(D$27,tech_data!$B$2:$O$15,6, FALSE)/100)*(1-(VLOOKUP(D$27,tech_data!$B$2:$O$15,7, FALSE)/100))*8760)/1000</f>
        <v>172577.82262239142</v>
      </c>
      <c r="E32" s="30">
        <f>(E8*(VLOOKUP(E$27,tech_data!$B$2:$O$15,6, FALSE)/100)*(1-(VLOOKUP(E$27,tech_data!$B$2:$O$15,7, FALSE)/100))*8760)/1000</f>
        <v>16856.297613489231</v>
      </c>
      <c r="F32" s="30">
        <f>(F8*(VLOOKUP(F$27,tech_data!$B$2:$O$15,6, FALSE)/100)*(1-(VLOOKUP(F$27,tech_data!$B$2:$O$15,7, FALSE)/100))*8760)/1000</f>
        <v>90653.058814609642</v>
      </c>
      <c r="G32" s="30">
        <f>(G8*(VLOOKUP(G$27,tech_data!$B$2:$O$15,6, FALSE)/100)*(1-(VLOOKUP(G$27,tech_data!$B$2:$O$15,7, FALSE)/100))*8760)/1000</f>
        <v>42225.039005231032</v>
      </c>
      <c r="H32" s="30">
        <f>(H8*(VLOOKUP(H$27,tech_data!$B$2:$O$15,6, FALSE)/100)*(1-(VLOOKUP(H$27,tech_data!$B$2:$O$15,7, FALSE)/100))*8760)/1000</f>
        <v>12890.02464</v>
      </c>
      <c r="I32" s="30">
        <f>(I8*(VLOOKUP(I$27,tech_data!$B$2:$O$15,6, FALSE)/100)*(1-(VLOOKUP(I$27,tech_data!$B$2:$O$15,7, FALSE)/100))*8760)/1000</f>
        <v>25258.010098707691</v>
      </c>
      <c r="J32" s="30">
        <f>(J8*(VLOOKUP(J$27,tech_data!$B$2:$O$15,6, FALSE)/100)*(1-(VLOOKUP(J$27,tech_data!$B$2:$O$15,7, FALSE)/100))*8760)/1000</f>
        <v>1003.9917400615384</v>
      </c>
      <c r="K32" s="30">
        <f>(K8*(VLOOKUP(K$27,tech_data!$B$2:$O$15,6, FALSE)/100)*(1-(VLOOKUP(K$27,tech_data!$B$2:$O$15,7, FALSE)/100))*8760)/1000</f>
        <v>4509.8052631750206</v>
      </c>
      <c r="L32" s="30">
        <f>(L8*(VLOOKUP(L$27,tech_data!$B$2:$O$15,6, FALSE)/100)*(1-(VLOOKUP(L$27,tech_data!$B$2:$O$15,7, FALSE)/100))*8760)/1000</f>
        <v>32669.183915782047</v>
      </c>
      <c r="M32" s="30">
        <f>(M8*(VLOOKUP(M$27,tech_data!$B$2:$O$15,6, FALSE)/100)*(1-(VLOOKUP(M$27,tech_data!$B$2:$O$15,7, FALSE)/100))*8760)/1000</f>
        <v>356.78369838461538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105.57739482965211</v>
      </c>
      <c r="Q32" s="34">
        <f t="shared" si="35"/>
        <v>399000.01741183229</v>
      </c>
      <c r="R32" s="34">
        <f>proj_rukn!D6</f>
        <v>399000</v>
      </c>
      <c r="S32" s="35"/>
      <c r="T32" s="19"/>
      <c r="U32" s="20" t="str">
        <f t="shared" si="36"/>
        <v>INDONESIA</v>
      </c>
      <c r="V32" s="20">
        <f t="shared" si="37"/>
        <v>2023</v>
      </c>
      <c r="W32" s="29">
        <f t="shared" si="38"/>
        <v>0.4325258523592076</v>
      </c>
      <c r="X32" s="29">
        <f t="shared" si="39"/>
        <v>4.2246358089981777E-2</v>
      </c>
      <c r="Y32" s="29">
        <f t="shared" si="40"/>
        <v>0.22720063874343416</v>
      </c>
      <c r="Z32" s="29">
        <f t="shared" si="41"/>
        <v>0.10582716080848686</v>
      </c>
      <c r="AA32" s="29">
        <f t="shared" si="42"/>
        <v>3.2305824755630069E-2</v>
      </c>
      <c r="AB32" s="29">
        <f t="shared" si="43"/>
        <v>6.3303280692936295E-2</v>
      </c>
      <c r="AC32" s="29">
        <f t="shared" si="44"/>
        <v>2.5162699154101971E-3</v>
      </c>
      <c r="AD32" s="29">
        <f t="shared" si="45"/>
        <v>1.1302769589907499E-2</v>
      </c>
      <c r="AE32" s="29">
        <f t="shared" si="46"/>
        <v>8.1877650351233414E-2</v>
      </c>
      <c r="AF32" s="29">
        <f t="shared" si="47"/>
        <v>8.9419469377204845E-4</v>
      </c>
      <c r="AG32" s="29">
        <f t="shared" si="48"/>
        <v>0</v>
      </c>
      <c r="AH32" s="29">
        <f t="shared" si="49"/>
        <v>0</v>
      </c>
      <c r="AI32" s="29">
        <f t="shared" si="50"/>
        <v>2.6460498802605121E-4</v>
      </c>
      <c r="AJ32" s="29">
        <f t="shared" si="51"/>
        <v>1</v>
      </c>
      <c r="AM32" s="23"/>
      <c r="AO32" s="20" t="str">
        <f t="shared" si="69"/>
        <v>INDONESIA</v>
      </c>
      <c r="AP32" s="20">
        <f t="shared" si="70"/>
        <v>2023</v>
      </c>
      <c r="AQ32" s="25">
        <f t="shared" si="52"/>
        <v>0.4325258523592076</v>
      </c>
      <c r="AR32" s="25">
        <f t="shared" si="53"/>
        <v>0.26944699683341589</v>
      </c>
      <c r="AS32" s="25">
        <f t="shared" si="54"/>
        <v>0.10582716080848686</v>
      </c>
      <c r="AT32" s="37">
        <f t="shared" si="55"/>
        <v>0.19219998999888954</v>
      </c>
      <c r="AU32" s="24">
        <f t="shared" si="62"/>
        <v>0.99999999999999989</v>
      </c>
      <c r="AW32" s="24">
        <f t="shared" si="71"/>
        <v>0.3930673344795963</v>
      </c>
      <c r="AX32" s="24">
        <f t="shared" si="56"/>
        <v>0.21079999999999999</v>
      </c>
      <c r="AY32" s="24">
        <f t="shared" si="72"/>
        <v>0.10582715239491336</v>
      </c>
      <c r="AZ32" s="25">
        <f t="shared" si="63"/>
        <v>0.19220000000000001</v>
      </c>
      <c r="BA32" s="24">
        <f t="shared" si="64"/>
        <v>0.90189448687450968</v>
      </c>
      <c r="BJ32" s="19"/>
      <c r="BK32" s="20" t="str">
        <f t="shared" si="74"/>
        <v>INDONESIA</v>
      </c>
      <c r="BL32" s="20">
        <f t="shared" si="75"/>
        <v>2023</v>
      </c>
      <c r="BM32" s="34">
        <f>VLOOKUP(BL32,proj_rukn!$B$2:$E$21,4,FALSE)</f>
        <v>54471</v>
      </c>
      <c r="BN32" s="30">
        <f t="shared" si="57"/>
        <v>62641.649999999994</v>
      </c>
      <c r="BO32" s="30">
        <f t="shared" si="65"/>
        <v>90282.740601692742</v>
      </c>
      <c r="BQ32" s="30">
        <f t="shared" si="58"/>
        <v>25056.66</v>
      </c>
      <c r="BR32" s="30">
        <f t="shared" si="66"/>
        <v>70475.031340050016</v>
      </c>
      <c r="BS32" s="30"/>
      <c r="BT32" s="30">
        <f t="shared" si="59"/>
        <v>12528.33</v>
      </c>
      <c r="BU32" s="30">
        <f t="shared" si="67"/>
        <v>19807.709261642725</v>
      </c>
      <c r="BW32" s="30">
        <f t="shared" si="60"/>
        <v>10.531092353438007</v>
      </c>
      <c r="BX32" s="30">
        <f t="shared" si="68"/>
        <v>0</v>
      </c>
      <c r="BZ32" s="24">
        <f t="shared" si="76"/>
        <v>5.8807350000000008E-2</v>
      </c>
      <c r="CA32" s="24">
        <f t="shared" si="61"/>
        <v>5.8807337034579465E-2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>proj_rukn!A7</f>
        <v>INDONESIA</v>
      </c>
      <c r="C33" s="20">
        <f>proj_rukn!B7</f>
        <v>2024</v>
      </c>
      <c r="D33" s="30">
        <f>(D9*(VLOOKUP(D$27,tech_data!$B$2:$O$15,6, FALSE)/100)*(1-(VLOOKUP(D$27,tech_data!$B$2:$O$15,7, FALSE)/100))*8760)/1000</f>
        <v>172577.82262239142</v>
      </c>
      <c r="E33" s="30">
        <f>(E9*(VLOOKUP(E$27,tech_data!$B$2:$O$15,6, FALSE)/100)*(1-(VLOOKUP(E$27,tech_data!$B$2:$O$15,7, FALSE)/100))*8760)/1000</f>
        <v>16856.297613489231</v>
      </c>
      <c r="F33" s="30">
        <f>(F9*(VLOOKUP(F$27,tech_data!$B$2:$O$15,6, FALSE)/100)*(1-(VLOOKUP(F$27,tech_data!$B$2:$O$15,7, FALSE)/100))*8760)/1000</f>
        <v>104512.11928282608</v>
      </c>
      <c r="G33" s="30">
        <f>(G9*(VLOOKUP(G$27,tech_data!$B$2:$O$15,6, FALSE)/100)*(1-(VLOOKUP(G$27,tech_data!$B$2:$O$15,7, FALSE)/100))*8760)/1000</f>
        <v>44491.867016248492</v>
      </c>
      <c r="H33" s="30">
        <f>(H9*(VLOOKUP(H$27,tech_data!$B$2:$O$15,6, FALSE)/100)*(1-(VLOOKUP(H$27,tech_data!$B$2:$O$15,7, FALSE)/100))*8760)/1000</f>
        <v>12890.02464</v>
      </c>
      <c r="I33" s="30">
        <f>(I9*(VLOOKUP(I$27,tech_data!$B$2:$O$15,6, FALSE)/100)*(1-(VLOOKUP(I$27,tech_data!$B$2:$O$15,7, FALSE)/100))*8760)/1000</f>
        <v>25258.010098707691</v>
      </c>
      <c r="J33" s="30">
        <f>(J9*(VLOOKUP(J$27,tech_data!$B$2:$O$15,6, FALSE)/100)*(1-(VLOOKUP(J$27,tech_data!$B$2:$O$15,7, FALSE)/100))*8760)/1000</f>
        <v>1003.9917400615384</v>
      </c>
      <c r="K33" s="30">
        <f>(K9*(VLOOKUP(K$27,tech_data!$B$2:$O$15,6, FALSE)/100)*(1-(VLOOKUP(K$27,tech_data!$B$2:$O$15,7, FALSE)/100))*8760)/1000</f>
        <v>5591.9895346990024</v>
      </c>
      <c r="L33" s="30">
        <f>(L9*(VLOOKUP(L$27,tech_data!$B$2:$O$15,6, FALSE)/100)*(1-(VLOOKUP(L$27,tech_data!$B$2:$O$15,7, FALSE)/100))*8760)/1000</f>
        <v>45461.096591231406</v>
      </c>
      <c r="M33" s="30">
        <f>(M9*(VLOOKUP(M$27,tech_data!$B$2:$O$15,6, FALSE)/100)*(1-(VLOOKUP(M$27,tech_data!$B$2:$O$15,7, FALSE)/100))*8760)/1000</f>
        <v>356.78369838461538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115.72163900505244</v>
      </c>
      <c r="Q33" s="34">
        <f t="shared" si="35"/>
        <v>429000.00283803948</v>
      </c>
      <c r="R33" s="34">
        <f>proj_rukn!D7</f>
        <v>429000</v>
      </c>
      <c r="S33" s="35"/>
      <c r="T33" s="19"/>
      <c r="U33" s="20" t="str">
        <f t="shared" si="36"/>
        <v>INDONESIA</v>
      </c>
      <c r="V33" s="20">
        <f t="shared" si="37"/>
        <v>2024</v>
      </c>
      <c r="W33" s="29">
        <f t="shared" si="38"/>
        <v>0.40227930415083191</v>
      </c>
      <c r="X33" s="29">
        <f t="shared" si="39"/>
        <v>3.9292068769176659E-2</v>
      </c>
      <c r="Y33" s="29">
        <f t="shared" si="40"/>
        <v>0.24361799205461213</v>
      </c>
      <c r="Z33" s="29">
        <f t="shared" si="41"/>
        <v>0.10371064503942561</v>
      </c>
      <c r="AA33" s="29">
        <f t="shared" si="42"/>
        <v>3.004667728374439E-2</v>
      </c>
      <c r="AB33" s="29">
        <f t="shared" si="43"/>
        <v>5.8876480027072069E-2</v>
      </c>
      <c r="AC33" s="29">
        <f t="shared" si="44"/>
        <v>2.3403070709082856E-3</v>
      </c>
      <c r="AD33" s="29">
        <f t="shared" si="45"/>
        <v>1.303494055409167E-2</v>
      </c>
      <c r="AE33" s="29">
        <f t="shared" si="46"/>
        <v>0.10596992142304099</v>
      </c>
      <c r="AF33" s="29">
        <f t="shared" si="47"/>
        <v>8.3166362709631971E-4</v>
      </c>
      <c r="AG33" s="29">
        <f t="shared" si="48"/>
        <v>0</v>
      </c>
      <c r="AH33" s="29">
        <f t="shared" si="49"/>
        <v>0</v>
      </c>
      <c r="AI33" s="29">
        <f t="shared" si="50"/>
        <v>2.697474084836798E-4</v>
      </c>
      <c r="AJ33" s="29">
        <f t="shared" si="51"/>
        <v>1</v>
      </c>
      <c r="AM33" s="23"/>
      <c r="AO33" s="20" t="str">
        <f t="shared" si="69"/>
        <v>INDONESIA</v>
      </c>
      <c r="AP33" s="20">
        <f t="shared" si="70"/>
        <v>2024</v>
      </c>
      <c r="AQ33" s="25">
        <f t="shared" si="52"/>
        <v>0.40227930415083191</v>
      </c>
      <c r="AR33" s="25">
        <f t="shared" si="53"/>
        <v>0.28291006082378883</v>
      </c>
      <c r="AS33" s="25">
        <f t="shared" si="54"/>
        <v>0.10371064503942561</v>
      </c>
      <c r="AT33" s="37">
        <f t="shared" si="55"/>
        <v>0.21109998998595372</v>
      </c>
      <c r="AU33" s="24">
        <f t="shared" si="62"/>
        <v>1.0000000000000002</v>
      </c>
      <c r="AW33" s="24">
        <f t="shared" si="71"/>
        <v>0.34653366723979817</v>
      </c>
      <c r="AX33" s="24">
        <f t="shared" si="56"/>
        <v>0.21540000000000001</v>
      </c>
      <c r="AY33" s="24">
        <f t="shared" si="72"/>
        <v>0.10371060934701509</v>
      </c>
      <c r="AZ33" s="25">
        <f t="shared" si="63"/>
        <v>0.21110000000000001</v>
      </c>
      <c r="BA33" s="24">
        <f t="shared" si="64"/>
        <v>0.87674427658681342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74"/>
        <v>INDONESIA</v>
      </c>
      <c r="BL33" s="20">
        <f t="shared" si="75"/>
        <v>2024</v>
      </c>
      <c r="BM33" s="34">
        <f>VLOOKUP(BL33,proj_rukn!$B$2:$E$21,4,FALSE)</f>
        <v>57717</v>
      </c>
      <c r="BN33" s="30">
        <f t="shared" si="57"/>
        <v>66374.549999999988</v>
      </c>
      <c r="BO33" s="30">
        <f t="shared" si="65"/>
        <v>95747.023961849874</v>
      </c>
      <c r="BQ33" s="30">
        <f t="shared" si="58"/>
        <v>26549.819999999996</v>
      </c>
      <c r="BR33" s="30">
        <f t="shared" si="66"/>
        <v>75482.846988542282</v>
      </c>
      <c r="BS33" s="30"/>
      <c r="BT33" s="30">
        <f t="shared" si="59"/>
        <v>13274.909999999998</v>
      </c>
      <c r="BU33" s="30">
        <f t="shared" si="67"/>
        <v>20264.176973307585</v>
      </c>
      <c r="BW33" s="30">
        <f t="shared" si="60"/>
        <v>12.904829359138541</v>
      </c>
      <c r="BX33" s="30">
        <f t="shared" si="68"/>
        <v>0</v>
      </c>
      <c r="BZ33" s="24">
        <f t="shared" si="76"/>
        <v>6.1747717500000014E-2</v>
      </c>
      <c r="CA33" s="24">
        <f t="shared" si="61"/>
        <v>6.1747708064595334E-2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>proj_rukn!A8</f>
        <v>INDONESIA</v>
      </c>
      <c r="C34" s="20">
        <f>proj_rukn!B8</f>
        <v>2025</v>
      </c>
      <c r="D34" s="30">
        <f>(D10*(VLOOKUP(D$27,tech_data!$B$2:$O$15,6, FALSE)/100)*(1-(VLOOKUP(D$27,tech_data!$B$2:$O$15,7, FALSE)/100))*8760)/1000</f>
        <v>172577.82262239142</v>
      </c>
      <c r="E34" s="30">
        <f>(E10*(VLOOKUP(E$27,tech_data!$B$2:$O$15,6, FALSE)/100)*(1-(VLOOKUP(E$27,tech_data!$B$2:$O$15,7, FALSE)/100))*8760)/1000</f>
        <v>16856.297613489231</v>
      </c>
      <c r="F34" s="30">
        <f>(F10*(VLOOKUP(F$27,tech_data!$B$2:$O$15,6, FALSE)/100)*(1-(VLOOKUP(F$27,tech_data!$B$2:$O$15,7, FALSE)/100))*8760)/1000</f>
        <v>118013.13168174331</v>
      </c>
      <c r="G34" s="30">
        <f>(G10*(VLOOKUP(G$27,tech_data!$B$2:$O$15,6, FALSE)/100)*(1-(VLOOKUP(G$27,tech_data!$B$2:$O$15,7, FALSE)/100))*8760)/1000</f>
        <v>46752.747188754824</v>
      </c>
      <c r="H34" s="30">
        <f>(H10*(VLOOKUP(H$27,tech_data!$B$2:$O$15,6, FALSE)/100)*(1-(VLOOKUP(H$27,tech_data!$B$2:$O$15,7, FALSE)/100))*8760)/1000</f>
        <v>12890.02464</v>
      </c>
      <c r="I34" s="30">
        <f>(I10*(VLOOKUP(I$27,tech_data!$B$2:$O$15,6, FALSE)/100)*(1-(VLOOKUP(I$27,tech_data!$B$2:$O$15,7, FALSE)/100))*8760)/1000</f>
        <v>25258.010098707691</v>
      </c>
      <c r="J34" s="30">
        <f>(J10*(VLOOKUP(J$27,tech_data!$B$2:$O$15,6, FALSE)/100)*(1-(VLOOKUP(J$27,tech_data!$B$2:$O$15,7, FALSE)/100))*8760)/1000</f>
        <v>1003.9917400615384</v>
      </c>
      <c r="K34" s="30">
        <f>(K10*(VLOOKUP(K$27,tech_data!$B$2:$O$15,6, FALSE)/100)*(1-(VLOOKUP(K$27,tech_data!$B$2:$O$15,7, FALSE)/100))*8760)/1000</f>
        <v>6859.5583692772761</v>
      </c>
      <c r="L34" s="30">
        <f>(L10*(VLOOKUP(L$27,tech_data!$B$2:$O$15,6, FALSE)/100)*(1-(VLOOKUP(L$27,tech_data!$B$2:$O$15,7, FALSE)/100))*8760)/1000</f>
        <v>59431.635807668281</v>
      </c>
      <c r="M34" s="30">
        <f>(M10*(VLOOKUP(M$27,tech_data!$B$2:$O$15,6, FALSE)/100)*(1-(VLOOKUP(M$27,tech_data!$B$2:$O$15,7, FALSE)/100))*8760)/1000</f>
        <v>356.78369838461538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126.38355238792711</v>
      </c>
      <c r="Q34" s="34">
        <f t="shared" si="35"/>
        <v>460000.00346047821</v>
      </c>
      <c r="R34" s="34">
        <f>proj_rukn!D8</f>
        <v>460000</v>
      </c>
      <c r="S34" s="35"/>
      <c r="T34" s="19"/>
      <c r="U34" s="20" t="str">
        <f t="shared" si="36"/>
        <v>INDONESIA</v>
      </c>
      <c r="V34" s="20">
        <f t="shared" si="37"/>
        <v>2025</v>
      </c>
      <c r="W34" s="29">
        <f t="shared" si="38"/>
        <v>0.37516917679157968</v>
      </c>
      <c r="X34" s="29">
        <f t="shared" si="39"/>
        <v>3.6644124971050074E-2</v>
      </c>
      <c r="Y34" s="29">
        <f t="shared" si="40"/>
        <v>0.25655028433468835</v>
      </c>
      <c r="Z34" s="29">
        <f t="shared" si="41"/>
        <v>0.10163640616748751</v>
      </c>
      <c r="AA34" s="29">
        <f t="shared" si="42"/>
        <v>2.8021792484850427E-2</v>
      </c>
      <c r="AB34" s="29">
        <f t="shared" si="43"/>
        <v>5.4908717192820158E-2</v>
      </c>
      <c r="AC34" s="29">
        <f t="shared" si="44"/>
        <v>2.1825907228450667E-3</v>
      </c>
      <c r="AD34" s="29">
        <f t="shared" si="45"/>
        <v>1.4912083299292037E-2</v>
      </c>
      <c r="AE34" s="29">
        <f t="shared" si="46"/>
        <v>0.12919920730560269</v>
      </c>
      <c r="AF34" s="29">
        <f t="shared" si="47"/>
        <v>7.75616729783936E-4</v>
      </c>
      <c r="AG34" s="29">
        <f t="shared" si="48"/>
        <v>0</v>
      </c>
      <c r="AH34" s="29">
        <f t="shared" si="49"/>
        <v>0</v>
      </c>
      <c r="AI34" s="29">
        <f t="shared" si="50"/>
        <v>2.7474685095037307E-4</v>
      </c>
      <c r="AJ34" s="29">
        <f t="shared" si="51"/>
        <v>1</v>
      </c>
      <c r="AM34" s="23"/>
      <c r="AO34" s="20" t="str">
        <f t="shared" si="69"/>
        <v>INDONESIA</v>
      </c>
      <c r="AP34" s="20">
        <f t="shared" si="70"/>
        <v>2025</v>
      </c>
      <c r="AQ34" s="25">
        <f t="shared" si="52"/>
        <v>0.37516917679157968</v>
      </c>
      <c r="AR34" s="25">
        <f t="shared" si="53"/>
        <v>0.29319440930573842</v>
      </c>
      <c r="AS34" s="25">
        <f t="shared" si="54"/>
        <v>0.10163640616748751</v>
      </c>
      <c r="AT34" s="37">
        <f t="shared" si="55"/>
        <v>0.23000000773519433</v>
      </c>
      <c r="AU34" s="24">
        <f t="shared" si="62"/>
        <v>0.99999999999999989</v>
      </c>
      <c r="AW34" s="24">
        <f t="shared" si="71"/>
        <v>0.3</v>
      </c>
      <c r="AX34" s="24">
        <f t="shared" si="56"/>
        <v>0.22</v>
      </c>
      <c r="AY34" s="24">
        <f t="shared" si="72"/>
        <v>0.10163639716007479</v>
      </c>
      <c r="AZ34" s="25">
        <f t="shared" si="63"/>
        <v>0.23</v>
      </c>
      <c r="BA34" s="24">
        <f t="shared" si="64"/>
        <v>0.85163639716007478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74"/>
        <v>INDONESIA</v>
      </c>
      <c r="BL34" s="20">
        <f t="shared" si="75"/>
        <v>2025</v>
      </c>
      <c r="BM34" s="34">
        <f>VLOOKUP(BL34,proj_rukn!$B$2:$E$21,4,FALSE)</f>
        <v>61149</v>
      </c>
      <c r="BN34" s="30">
        <f t="shared" si="57"/>
        <v>70321.349999999991</v>
      </c>
      <c r="BO34" s="30">
        <f t="shared" si="65"/>
        <v>101080.88599417079</v>
      </c>
      <c r="BQ34" s="30">
        <f t="shared" si="58"/>
        <v>28128.539999999997</v>
      </c>
      <c r="BR34" s="30">
        <f t="shared" si="66"/>
        <v>80361.285993613361</v>
      </c>
      <c r="BS34" s="30"/>
      <c r="BT34" s="30">
        <f t="shared" si="59"/>
        <v>14064.269999999999</v>
      </c>
      <c r="BU34" s="30">
        <f t="shared" si="67"/>
        <v>20719.600000557431</v>
      </c>
      <c r="BW34" s="30">
        <f t="shared" si="60"/>
        <v>15.52056471868041</v>
      </c>
      <c r="BX34" s="30">
        <f t="shared" si="68"/>
        <v>0</v>
      </c>
      <c r="BZ34" s="24">
        <f t="shared" si="76"/>
        <v>6.4835103375000022E-2</v>
      </c>
      <c r="CA34" s="24">
        <f t="shared" si="61"/>
        <v>6.4835142599041773E-2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>proj_rukn!A9</f>
        <v>INDONESIA</v>
      </c>
      <c r="C35" s="20">
        <f>proj_rukn!B9</f>
        <v>2026</v>
      </c>
      <c r="D35" s="30">
        <f>(D11*(VLOOKUP(D$27,tech_data!$B$2:$O$15,6, FALSE)/100)*(1-(VLOOKUP(D$27,tech_data!$B$2:$O$15,7, FALSE)/100))*8760)/1000</f>
        <v>172577.82262239142</v>
      </c>
      <c r="E35" s="30">
        <f>(E11*(VLOOKUP(E$27,tech_data!$B$2:$O$15,6, FALSE)/100)*(1-(VLOOKUP(E$27,tech_data!$B$2:$O$15,7, FALSE)/100))*8760)/1000</f>
        <v>16856.297613489231</v>
      </c>
      <c r="F35" s="30">
        <f>(F11*(VLOOKUP(F$27,tech_data!$B$2:$O$15,6, FALSE)/100)*(1-(VLOOKUP(F$27,tech_data!$B$2:$O$15,7, FALSE)/100))*8760)/1000</f>
        <v>143496.84250220947</v>
      </c>
      <c r="G35" s="30">
        <f>(G11*(VLOOKUP(G$27,tech_data!$B$2:$O$15,6, FALSE)/100)*(1-(VLOOKUP(G$27,tech_data!$B$2:$O$15,7, FALSE)/100))*8760)/1000</f>
        <v>49702.226311716324</v>
      </c>
      <c r="H35" s="30">
        <f>(H11*(VLOOKUP(H$27,tech_data!$B$2:$O$15,6, FALSE)/100)*(1-(VLOOKUP(H$27,tech_data!$B$2:$O$15,7, FALSE)/100))*8760)/1000</f>
        <v>12890.02464</v>
      </c>
      <c r="I35" s="30">
        <f>(I11*(VLOOKUP(I$27,tech_data!$B$2:$O$15,6, FALSE)/100)*(1-(VLOOKUP(I$27,tech_data!$B$2:$O$15,7, FALSE)/100))*8760)/1000</f>
        <v>25258.010098707691</v>
      </c>
      <c r="J35" s="30">
        <f>(J11*(VLOOKUP(J$27,tech_data!$B$2:$O$15,6, FALSE)/100)*(1-(VLOOKUP(J$27,tech_data!$B$2:$O$15,7, FALSE)/100))*8760)/1000</f>
        <v>1003.9917400615384</v>
      </c>
      <c r="K35" s="30">
        <f>(K11*(VLOOKUP(K$27,tech_data!$B$2:$O$15,6, FALSE)/100)*(1-(VLOOKUP(K$27,tech_data!$B$2:$O$15,7, FALSE)/100))*8760)/1000</f>
        <v>7921.8878901149956</v>
      </c>
      <c r="L35" s="30">
        <f>(L11*(VLOOKUP(L$27,tech_data!$B$2:$O$15,6, FALSE)/100)*(1-(VLOOKUP(L$27,tech_data!$B$2:$O$15,7, FALSE)/100))*8760)/1000</f>
        <v>68936.103378640575</v>
      </c>
      <c r="M35" s="30">
        <f>(M11*(VLOOKUP(M$27,tech_data!$B$2:$O$15,6, FALSE)/100)*(1-(VLOOKUP(M$27,tech_data!$B$2:$O$15,7, FALSE)/100))*8760)/1000</f>
        <v>356.78369838461538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138.0836641880706</v>
      </c>
      <c r="Q35" s="34">
        <f t="shared" si="35"/>
        <v>498999.99049571581</v>
      </c>
      <c r="R35" s="34">
        <f>proj_rukn!D9</f>
        <v>499000</v>
      </c>
      <c r="S35" s="35"/>
      <c r="T35" s="19"/>
      <c r="U35" s="20" t="str">
        <f t="shared" si="36"/>
        <v>INDONESIA</v>
      </c>
      <c r="V35" s="20">
        <f t="shared" si="37"/>
        <v>2026</v>
      </c>
      <c r="W35" s="29">
        <f t="shared" si="38"/>
        <v>0.34584734651186955</v>
      </c>
      <c r="X35" s="29">
        <f t="shared" si="39"/>
        <v>3.3780156181453774E-2</v>
      </c>
      <c r="Y35" s="29">
        <f t="shared" si="40"/>
        <v>0.28756882812694456</v>
      </c>
      <c r="Z35" s="29">
        <f t="shared" si="41"/>
        <v>9.9603661840436536E-2</v>
      </c>
      <c r="AA35" s="29">
        <f t="shared" si="42"/>
        <v>2.5831713197418723E-2</v>
      </c>
      <c r="AB35" s="29">
        <f t="shared" si="43"/>
        <v>5.0617255670918786E-2</v>
      </c>
      <c r="AC35" s="29">
        <f t="shared" si="44"/>
        <v>2.0120075334353303E-3</v>
      </c>
      <c r="AD35" s="29">
        <f t="shared" si="45"/>
        <v>1.587552713627358E-2</v>
      </c>
      <c r="AE35" s="29">
        <f t="shared" si="46"/>
        <v>0.13814850639607865</v>
      </c>
      <c r="AF35" s="29">
        <f t="shared" si="47"/>
        <v>7.1499740517064908E-4</v>
      </c>
      <c r="AG35" s="29">
        <f t="shared" si="48"/>
        <v>0</v>
      </c>
      <c r="AH35" s="29">
        <f t="shared" si="49"/>
        <v>0</v>
      </c>
      <c r="AI35" s="29">
        <f t="shared" si="50"/>
        <v>2.7672077518658012E-4</v>
      </c>
      <c r="AJ35" s="29">
        <f t="shared" si="51"/>
        <v>1.0000000000000002</v>
      </c>
      <c r="AM35" s="23"/>
      <c r="AO35" s="20" t="str">
        <f t="shared" si="69"/>
        <v>INDONESIA</v>
      </c>
      <c r="AP35" s="20">
        <f t="shared" si="70"/>
        <v>2026</v>
      </c>
      <c r="AQ35" s="25">
        <f t="shared" si="52"/>
        <v>0.34584734651186955</v>
      </c>
      <c r="AR35" s="25">
        <f t="shared" si="53"/>
        <v>0.32134898430839837</v>
      </c>
      <c r="AS35" s="25">
        <f t="shared" si="54"/>
        <v>9.9603661840436536E-2</v>
      </c>
      <c r="AT35" s="37">
        <f t="shared" si="55"/>
        <v>0.23320000733929572</v>
      </c>
      <c r="AU35" s="24">
        <f t="shared" si="62"/>
        <v>1.0000000000000002</v>
      </c>
      <c r="AW35" s="24">
        <f>$BD$30+((AP35-$BC$30)*($BD$31-$BD$30)/($BC$31-$BC$30))</f>
        <v>0.29799999999999999</v>
      </c>
      <c r="AX35" s="24">
        <f t="shared" si="56"/>
        <v>0.22459999999999999</v>
      </c>
      <c r="AY35" s="24">
        <f t="shared" si="72"/>
        <v>9.9603669216873289E-2</v>
      </c>
      <c r="AZ35" s="25">
        <f t="shared" ref="AZ35:AZ47" si="77">$BG$30+((AP35-$BC$30)*($BG$31-$BG$30)/($BC$31-$BC$30))</f>
        <v>0.23320000000000002</v>
      </c>
      <c r="BA35" s="24">
        <f t="shared" si="64"/>
        <v>0.85540366921687316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78">SUM(BD35:BG35)</f>
        <v>1</v>
      </c>
      <c r="BJ35" s="19"/>
      <c r="BK35" s="20" t="str">
        <f t="shared" si="74"/>
        <v>INDONESIA</v>
      </c>
      <c r="BL35" s="20">
        <f t="shared" si="75"/>
        <v>2026</v>
      </c>
      <c r="BM35" s="34">
        <f>VLOOKUP(BL35,proj_rukn!$B$2:$E$21,4,FALSE)</f>
        <v>64759</v>
      </c>
      <c r="BN35" s="30">
        <f t="shared" si="57"/>
        <v>74472.849999999991</v>
      </c>
      <c r="BO35" s="30">
        <f t="shared" si="65"/>
        <v>110882.64900174743</v>
      </c>
      <c r="BQ35" s="30">
        <f t="shared" si="58"/>
        <v>29789.14</v>
      </c>
      <c r="BR35" s="30">
        <f t="shared" si="66"/>
        <v>89569.538322193141</v>
      </c>
      <c r="BS35" s="30"/>
      <c r="BT35" s="30">
        <f t="shared" si="59"/>
        <v>14894.57</v>
      </c>
      <c r="BU35" s="30">
        <f t="shared" si="67"/>
        <v>21313.11067955428</v>
      </c>
      <c r="BW35" s="30">
        <f t="shared" si="60"/>
        <v>17.354460146338255</v>
      </c>
      <c r="BX35" s="30">
        <f t="shared" si="68"/>
        <v>0</v>
      </c>
      <c r="BZ35" s="24">
        <f t="shared" si="76"/>
        <v>6.8076858543750021E-2</v>
      </c>
      <c r="CA35" s="24">
        <f t="shared" si="61"/>
        <v>6.8076872369799674E-2</v>
      </c>
      <c r="CF35" s="23"/>
    </row>
    <row r="36" spans="1:84" x14ac:dyDescent="0.25">
      <c r="A36" s="19"/>
      <c r="B36" s="20" t="str">
        <f>proj_rukn!A10</f>
        <v>INDONESIA</v>
      </c>
      <c r="C36" s="20">
        <f>proj_rukn!B10</f>
        <v>2027</v>
      </c>
      <c r="D36" s="30">
        <f>(D12*(VLOOKUP(D$27,tech_data!$B$2:$O$15,6, FALSE)/100)*(1-(VLOOKUP(D$27,tech_data!$B$2:$O$15,7, FALSE)/100))*8760)/1000</f>
        <v>172577.82262239142</v>
      </c>
      <c r="E36" s="30">
        <f>(E12*(VLOOKUP(E$27,tech_data!$B$2:$O$15,6, FALSE)/100)*(1-(VLOOKUP(E$27,tech_data!$B$2:$O$15,7, FALSE)/100))*8760)/1000</f>
        <v>16856.297613489231</v>
      </c>
      <c r="F36" s="30">
        <f>(F12*(VLOOKUP(F$27,tech_data!$B$2:$O$15,6, FALSE)/100)*(1-(VLOOKUP(F$27,tech_data!$B$2:$O$15,7, FALSE)/100))*8760)/1000</f>
        <v>172197.30043575942</v>
      </c>
      <c r="G36" s="30">
        <f>(G12*(VLOOKUP(G$27,tech_data!$B$2:$O$15,6, FALSE)/100)*(1-(VLOOKUP(G$27,tech_data!$B$2:$O$15,7, FALSE)/100))*8760)/1000</f>
        <v>53003.061740656507</v>
      </c>
      <c r="H36" s="30">
        <f>(H12*(VLOOKUP(H$27,tech_data!$B$2:$O$15,6, FALSE)/100)*(1-(VLOOKUP(H$27,tech_data!$B$2:$O$15,7, FALSE)/100))*8760)/1000</f>
        <v>12890.02464</v>
      </c>
      <c r="I36" s="30">
        <f>(I12*(VLOOKUP(I$27,tech_data!$B$2:$O$15,6, FALSE)/100)*(1-(VLOOKUP(I$27,tech_data!$B$2:$O$15,7, FALSE)/100))*8760)/1000</f>
        <v>25258.010098707691</v>
      </c>
      <c r="J36" s="30">
        <f>(J12*(VLOOKUP(J$27,tech_data!$B$2:$O$15,6, FALSE)/100)*(1-(VLOOKUP(J$27,tech_data!$B$2:$O$15,7, FALSE)/100))*8760)/1000</f>
        <v>1003.9917400615384</v>
      </c>
      <c r="K36" s="30">
        <f>(K12*(VLOOKUP(K$27,tech_data!$B$2:$O$15,6, FALSE)/100)*(1-(VLOOKUP(K$27,tech_data!$B$2:$O$15,7, FALSE)/100))*8760)/1000</f>
        <v>9175.6283793827661</v>
      </c>
      <c r="L36" s="30">
        <f>(L12*(VLOOKUP(L$27,tech_data!$B$2:$O$15,6, FALSE)/100)*(1-(VLOOKUP(L$27,tech_data!$B$2:$O$15,7, FALSE)/100))*8760)/1000</f>
        <v>79680.663122702943</v>
      </c>
      <c r="M36" s="30">
        <f>(M12*(VLOOKUP(M$27,tech_data!$B$2:$O$15,6, FALSE)/100)*(1-(VLOOKUP(M$27,tech_data!$B$2:$O$15,7, FALSE)/100))*8760)/1000</f>
        <v>356.78369838461538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151.29898423243003</v>
      </c>
      <c r="Q36" s="34">
        <f t="shared" si="35"/>
        <v>542999.58409153624</v>
      </c>
      <c r="R36" s="34">
        <f>proj_rukn!D10</f>
        <v>543000</v>
      </c>
      <c r="S36" s="35"/>
      <c r="T36" s="19"/>
      <c r="U36" s="20" t="str">
        <f t="shared" si="36"/>
        <v>INDONESIA</v>
      </c>
      <c r="V36" s="20">
        <f t="shared" si="37"/>
        <v>2027</v>
      </c>
      <c r="W36" s="29">
        <f t="shared" si="38"/>
        <v>0.31782312119284994</v>
      </c>
      <c r="X36" s="29">
        <f t="shared" si="39"/>
        <v>3.1042929142737017E-2</v>
      </c>
      <c r="Y36" s="29">
        <f t="shared" si="40"/>
        <v>0.31712234314848248</v>
      </c>
      <c r="Z36" s="29">
        <f t="shared" si="41"/>
        <v>9.7611606515929691E-2</v>
      </c>
      <c r="AA36" s="29">
        <f t="shared" si="42"/>
        <v>2.3738553431059465E-2</v>
      </c>
      <c r="AB36" s="29">
        <f t="shared" si="43"/>
        <v>4.6515708001812796E-2</v>
      </c>
      <c r="AC36" s="29">
        <f t="shared" si="44"/>
        <v>1.8489733131955592E-3</v>
      </c>
      <c r="AD36" s="29">
        <f t="shared" si="45"/>
        <v>1.6898039424346933E-2</v>
      </c>
      <c r="AE36" s="29">
        <f t="shared" si="46"/>
        <v>0.14674166510829365</v>
      </c>
      <c r="AF36" s="29">
        <f t="shared" si="47"/>
        <v>6.5706072129232144E-4</v>
      </c>
      <c r="AG36" s="29">
        <f t="shared" si="48"/>
        <v>0</v>
      </c>
      <c r="AH36" s="29">
        <f t="shared" si="49"/>
        <v>0</v>
      </c>
      <c r="AI36" s="29">
        <f t="shared" si="50"/>
        <v>2.7863554349781008E-4</v>
      </c>
      <c r="AJ36" s="29">
        <f t="shared" si="51"/>
        <v>1</v>
      </c>
      <c r="AM36" s="23"/>
      <c r="AO36" s="20" t="str">
        <f t="shared" si="69"/>
        <v>INDONESIA</v>
      </c>
      <c r="AP36" s="20">
        <f t="shared" si="70"/>
        <v>2027</v>
      </c>
      <c r="AQ36" s="25">
        <f t="shared" si="52"/>
        <v>0.31782312119284994</v>
      </c>
      <c r="AR36" s="25">
        <f t="shared" si="53"/>
        <v>0.34816527229121952</v>
      </c>
      <c r="AS36" s="25">
        <f t="shared" si="54"/>
        <v>9.7611606515929691E-2</v>
      </c>
      <c r="AT36" s="37">
        <f t="shared" si="55"/>
        <v>0.23640000000000075</v>
      </c>
      <c r="AU36" s="24">
        <f t="shared" si="62"/>
        <v>0.99999999999999989</v>
      </c>
      <c r="AW36" s="24">
        <f t="shared" ref="AW36:AW47" si="79">$BD$30+((AP36-$BC$30)*($BD$31-$BD$30)/($BC$31-$BC$30))</f>
        <v>0.29599999999999999</v>
      </c>
      <c r="AX36" s="24">
        <f t="shared" si="56"/>
        <v>0.22920000000000001</v>
      </c>
      <c r="AY36" s="24">
        <f t="shared" si="72"/>
        <v>9.7611595832535827E-2</v>
      </c>
      <c r="AZ36" s="25">
        <f t="shared" si="77"/>
        <v>0.2364</v>
      </c>
      <c r="BA36" s="24">
        <f t="shared" si="64"/>
        <v>0.85921159583253592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78"/>
        <v>1</v>
      </c>
      <c r="BJ36" s="19"/>
      <c r="BK36" s="20" t="str">
        <f t="shared" si="74"/>
        <v>INDONESIA</v>
      </c>
      <c r="BL36" s="20">
        <f t="shared" si="75"/>
        <v>2027</v>
      </c>
      <c r="BM36" s="34">
        <f>VLOOKUP(BL36,proj_rukn!$B$2:$E$21,4,FALSE)</f>
        <v>69580</v>
      </c>
      <c r="BN36" s="30">
        <f t="shared" si="57"/>
        <v>80017</v>
      </c>
      <c r="BO36" s="30">
        <f t="shared" si="65"/>
        <v>121917.48342546567</v>
      </c>
      <c r="BQ36" s="30">
        <f t="shared" si="58"/>
        <v>32006.800000000003</v>
      </c>
      <c r="BR36" s="30">
        <f t="shared" si="66"/>
        <v>99940.126046241232</v>
      </c>
      <c r="BS36" s="30"/>
      <c r="BT36" s="30">
        <f t="shared" si="59"/>
        <v>16003.400000000001</v>
      </c>
      <c r="BU36" s="30">
        <f t="shared" si="67"/>
        <v>21977.35737922445</v>
      </c>
      <c r="BW36" s="30">
        <f t="shared" si="60"/>
        <v>19.441984458016815</v>
      </c>
      <c r="BX36" s="30">
        <f t="shared" si="68"/>
        <v>0</v>
      </c>
      <c r="BZ36" s="24">
        <f t="shared" si="76"/>
        <v>7.1480701470937519E-2</v>
      </c>
      <c r="CA36" s="24">
        <f t="shared" si="61"/>
        <v>7.1480708224817585E-2</v>
      </c>
      <c r="CF36" s="23"/>
    </row>
    <row r="37" spans="1:84" x14ac:dyDescent="0.25">
      <c r="A37" s="19"/>
      <c r="B37" s="20" t="str">
        <f>proj_rukn!A11</f>
        <v>INDONESIA</v>
      </c>
      <c r="C37" s="20">
        <f>proj_rukn!B11</f>
        <v>2028</v>
      </c>
      <c r="D37" s="30">
        <f>(D13*(VLOOKUP(D$27,tech_data!$B$2:$O$15,6, FALSE)/100)*(1-(VLOOKUP(D$27,tech_data!$B$2:$O$15,7, FALSE)/100))*8760)/1000</f>
        <v>172577.82262239142</v>
      </c>
      <c r="E37" s="30">
        <f>(E13*(VLOOKUP(E$27,tech_data!$B$2:$O$15,6, FALSE)/100)*(1-(VLOOKUP(E$27,tech_data!$B$2:$O$15,7, FALSE)/100))*8760)/1000</f>
        <v>16856.297613489231</v>
      </c>
      <c r="F37" s="30">
        <f>(F13*(VLOOKUP(F$27,tech_data!$B$2:$O$15,6, FALSE)/100)*(1-(VLOOKUP(F$27,tech_data!$B$2:$O$15,7, FALSE)/100))*8760)/1000</f>
        <v>191461.79606530175</v>
      </c>
      <c r="G37" s="30">
        <f>(G13*(VLOOKUP(G$27,tech_data!$B$2:$O$15,6, FALSE)/100)*(1-(VLOOKUP(G$27,tech_data!$B$2:$O$15,7, FALSE)/100))*8760)/1000</f>
        <v>54812.786385980689</v>
      </c>
      <c r="H37" s="30">
        <f>(H13*(VLOOKUP(H$27,tech_data!$B$2:$O$15,6, FALSE)/100)*(1-(VLOOKUP(H$27,tech_data!$B$2:$O$15,7, FALSE)/100))*8760)/1000</f>
        <v>12890.02464</v>
      </c>
      <c r="I37" s="30">
        <f>(I13*(VLOOKUP(I$27,tech_data!$B$2:$O$15,6, FALSE)/100)*(1-(VLOOKUP(I$27,tech_data!$B$2:$O$15,7, FALSE)/100))*8760)/1000</f>
        <v>25258.010098707691</v>
      </c>
      <c r="J37" s="30">
        <f>(J13*(VLOOKUP(J$27,tech_data!$B$2:$O$15,6, FALSE)/100)*(1-(VLOOKUP(J$27,tech_data!$B$2:$O$15,7, FALSE)/100))*8760)/1000</f>
        <v>1003.9917400615384</v>
      </c>
      <c r="K37" s="30">
        <f>(K13*(VLOOKUP(K$27,tech_data!$B$2:$O$15,6, FALSE)/100)*(1-(VLOOKUP(K$27,tech_data!$B$2:$O$15,7, FALSE)/100))*8760)/1000</f>
        <v>10304.326835096888</v>
      </c>
      <c r="L37" s="30">
        <f>(L13*(VLOOKUP(L$27,tech_data!$B$2:$O$15,6, FALSE)/100)*(1-(VLOOKUP(L$27,tech_data!$B$2:$O$15,7, FALSE)/100))*8760)/1000</f>
        <v>87477.685576021875</v>
      </c>
      <c r="M37" s="30">
        <f>(M13*(VLOOKUP(M$27,tech_data!$B$2:$O$15,6, FALSE)/100)*(1-(VLOOKUP(M$27,tech_data!$B$2:$O$15,7, FALSE)/100))*8760)/1000</f>
        <v>356.78369838461538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160.45784753283331</v>
      </c>
      <c r="Q37" s="34">
        <f t="shared" si="35"/>
        <v>572999.52527543576</v>
      </c>
      <c r="R37" s="34">
        <f>proj_rukn!D11</f>
        <v>573000</v>
      </c>
      <c r="S37" s="35"/>
      <c r="T37" s="19"/>
      <c r="U37" s="20" t="str">
        <f t="shared" si="36"/>
        <v>INDONESIA</v>
      </c>
      <c r="V37" s="20">
        <f t="shared" si="37"/>
        <v>2028</v>
      </c>
      <c r="W37" s="29">
        <f t="shared" si="38"/>
        <v>0.30118318604092176</v>
      </c>
      <c r="X37" s="29">
        <f t="shared" si="39"/>
        <v>2.9417646734325929E-2</v>
      </c>
      <c r="Y37" s="29">
        <f t="shared" si="40"/>
        <v>0.3341395369800137</v>
      </c>
      <c r="Z37" s="29">
        <f t="shared" si="41"/>
        <v>9.5659392317354319E-2</v>
      </c>
      <c r="AA37" s="29">
        <f t="shared" si="42"/>
        <v>2.2495698637453286E-2</v>
      </c>
      <c r="AB37" s="29">
        <f t="shared" si="43"/>
        <v>4.4080333376482976E-2</v>
      </c>
      <c r="AC37" s="29">
        <f t="shared" si="44"/>
        <v>1.7521685372757132E-3</v>
      </c>
      <c r="AD37" s="29">
        <f t="shared" si="45"/>
        <v>1.7983133284698079E-2</v>
      </c>
      <c r="AE37" s="29">
        <f t="shared" si="46"/>
        <v>0.15266624441612256</v>
      </c>
      <c r="AF37" s="29">
        <f t="shared" si="47"/>
        <v>6.2265967535158544E-4</v>
      </c>
      <c r="AG37" s="29">
        <f t="shared" si="48"/>
        <v>0</v>
      </c>
      <c r="AH37" s="29">
        <f t="shared" si="49"/>
        <v>0</v>
      </c>
      <c r="AI37" s="29">
        <f t="shared" si="50"/>
        <v>2.8003137952985679E-4</v>
      </c>
      <c r="AJ37" s="29">
        <f t="shared" si="51"/>
        <v>0.99999999999999978</v>
      </c>
      <c r="AM37" s="23"/>
      <c r="AO37" s="20" t="str">
        <f t="shared" si="69"/>
        <v>INDONESIA</v>
      </c>
      <c r="AP37" s="20">
        <f t="shared" si="70"/>
        <v>2028</v>
      </c>
      <c r="AQ37" s="25">
        <f t="shared" si="52"/>
        <v>0.30118318604092176</v>
      </c>
      <c r="AR37" s="25">
        <f t="shared" si="53"/>
        <v>0.36355718371433959</v>
      </c>
      <c r="AS37" s="25">
        <f t="shared" si="54"/>
        <v>9.5659392317354319E-2</v>
      </c>
      <c r="AT37" s="37">
        <f t="shared" si="55"/>
        <v>0.23960023792738419</v>
      </c>
      <c r="AU37" s="24">
        <f t="shared" si="62"/>
        <v>0.99999999999999989</v>
      </c>
      <c r="AW37" s="24">
        <f t="shared" si="79"/>
        <v>0.29399999999999998</v>
      </c>
      <c r="AX37" s="24">
        <f t="shared" si="56"/>
        <v>0.23380000000000001</v>
      </c>
      <c r="AY37" s="24">
        <f t="shared" si="72"/>
        <v>9.5659363915885115E-2</v>
      </c>
      <c r="AZ37" s="25">
        <f t="shared" si="77"/>
        <v>0.23960000000000001</v>
      </c>
      <c r="BA37" s="24">
        <f t="shared" si="64"/>
        <v>0.86305936391588522</v>
      </c>
      <c r="BJ37" s="19"/>
      <c r="BK37" s="20" t="str">
        <f t="shared" si="74"/>
        <v>INDONESIA</v>
      </c>
      <c r="BL37" s="20">
        <f t="shared" si="75"/>
        <v>2028</v>
      </c>
      <c r="BM37" s="34">
        <f>VLOOKUP(BL37,proj_rukn!$B$2:$E$21,4,FALSE)</f>
        <v>73628</v>
      </c>
      <c r="BN37" s="30">
        <f t="shared" si="57"/>
        <v>84672.2</v>
      </c>
      <c r="BO37" s="30">
        <f t="shared" si="65"/>
        <v>129243.2118517316</v>
      </c>
      <c r="BQ37" s="30">
        <f t="shared" si="58"/>
        <v>33868.879999999997</v>
      </c>
      <c r="BR37" s="30">
        <f t="shared" si="66"/>
        <v>106901.13490360054</v>
      </c>
      <c r="BS37" s="30"/>
      <c r="BT37" s="30">
        <f t="shared" si="59"/>
        <v>16934.439999999999</v>
      </c>
      <c r="BU37" s="30">
        <f t="shared" si="67"/>
        <v>22342.076948131049</v>
      </c>
      <c r="BW37" s="30">
        <f t="shared" si="60"/>
        <v>21.016336820613205</v>
      </c>
      <c r="BX37" s="30">
        <f t="shared" si="68"/>
        <v>0</v>
      </c>
      <c r="BZ37" s="24">
        <f t="shared" si="76"/>
        <v>7.5054736544484399E-2</v>
      </c>
      <c r="CA37" s="24">
        <f t="shared" si="61"/>
        <v>7.5054738844408997E-2</v>
      </c>
      <c r="CF37" s="23"/>
    </row>
    <row r="38" spans="1:84" x14ac:dyDescent="0.25">
      <c r="A38" s="19"/>
      <c r="B38" s="20" t="str">
        <f>proj_rukn!A12</f>
        <v>INDONESIA</v>
      </c>
      <c r="C38" s="20">
        <f>proj_rukn!B12</f>
        <v>2029</v>
      </c>
      <c r="D38" s="30">
        <f>(D14*(VLOOKUP(D$27,tech_data!$B$2:$O$15,6, FALSE)/100)*(1-(VLOOKUP(D$27,tech_data!$B$2:$O$15,7, FALSE)/100))*8760)/1000</f>
        <v>176952.01728279138</v>
      </c>
      <c r="E38" s="30">
        <f>(E14*(VLOOKUP(E$27,tech_data!$B$2:$O$15,6, FALSE)/100)*(1-(VLOOKUP(E$27,tech_data!$B$2:$O$15,7, FALSE)/100))*8760)/1000</f>
        <v>16856.297613489231</v>
      </c>
      <c r="F38" s="30">
        <f>(F14*(VLOOKUP(F$27,tech_data!$B$2:$O$15,6, FALSE)/100)*(1-(VLOOKUP(F$27,tech_data!$B$2:$O$15,7, FALSE)/100))*8760)/1000</f>
        <v>208244.58173281216</v>
      </c>
      <c r="G38" s="30">
        <f>(G14*(VLOOKUP(G$27,tech_data!$B$2:$O$15,6, FALSE)/100)*(1-(VLOOKUP(G$27,tech_data!$B$2:$O$15,7, FALSE)/100))*8760)/1000</f>
        <v>56810.182777355061</v>
      </c>
      <c r="H38" s="30">
        <f>(H14*(VLOOKUP(H$27,tech_data!$B$2:$O$15,6, FALSE)/100)*(1-(VLOOKUP(H$27,tech_data!$B$2:$O$15,7, FALSE)/100))*8760)/1000</f>
        <v>12890.02464</v>
      </c>
      <c r="I38" s="30">
        <f>(I14*(VLOOKUP(I$27,tech_data!$B$2:$O$15,6, FALSE)/100)*(1-(VLOOKUP(I$27,tech_data!$B$2:$O$15,7, FALSE)/100))*8760)/1000</f>
        <v>25258.010098707691</v>
      </c>
      <c r="J38" s="30">
        <f>(J14*(VLOOKUP(J$27,tech_data!$B$2:$O$15,6, FALSE)/100)*(1-(VLOOKUP(J$27,tech_data!$B$2:$O$15,7, FALSE)/100))*8760)/1000</f>
        <v>1003.9917400615384</v>
      </c>
      <c r="K38" s="30">
        <f>(K14*(VLOOKUP(K$27,tech_data!$B$2:$O$15,6, FALSE)/100)*(1-(VLOOKUP(K$27,tech_data!$B$2:$O$15,7, FALSE)/100))*8760)/1000</f>
        <v>11595.486117063732</v>
      </c>
      <c r="L38" s="30">
        <f>(L14*(VLOOKUP(L$27,tech_data!$B$2:$O$15,6, FALSE)/100)*(1-(VLOOKUP(L$27,tech_data!$B$2:$O$15,7, FALSE)/100))*8760)/1000</f>
        <v>96032.64191992952</v>
      </c>
      <c r="M38" s="30">
        <f>(M14*(VLOOKUP(M$27,tech_data!$B$2:$O$15,6, FALSE)/100)*(1-(VLOOKUP(M$27,tech_data!$B$2:$O$15,7, FALSE)/100))*8760)/1000</f>
        <v>356.78369838461538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170.53827454242528</v>
      </c>
      <c r="Q38" s="34">
        <f t="shared" si="35"/>
        <v>606000.01762059494</v>
      </c>
      <c r="R38" s="34">
        <f>proj_rukn!D12</f>
        <v>606000</v>
      </c>
      <c r="S38" s="35"/>
      <c r="T38" s="19"/>
      <c r="U38" s="20" t="str">
        <f t="shared" si="36"/>
        <v>INDONESIA</v>
      </c>
      <c r="V38" s="20">
        <f t="shared" si="37"/>
        <v>2029</v>
      </c>
      <c r="W38" s="29">
        <f t="shared" si="38"/>
        <v>0.29200002002900544</v>
      </c>
      <c r="X38" s="29">
        <f t="shared" si="39"/>
        <v>2.7815671820726973E-2</v>
      </c>
      <c r="Y38" s="29">
        <f t="shared" si="40"/>
        <v>0.34363791365958363</v>
      </c>
      <c r="Z38" s="29">
        <f t="shared" si="41"/>
        <v>9.3746173474408764E-2</v>
      </c>
      <c r="AA38" s="29">
        <f t="shared" si="42"/>
        <v>2.1270667104287443E-2</v>
      </c>
      <c r="AB38" s="29">
        <f t="shared" si="43"/>
        <v>4.1679883439411466E-2</v>
      </c>
      <c r="AC38" s="29">
        <f t="shared" si="44"/>
        <v>1.6567519981329744E-3</v>
      </c>
      <c r="AD38" s="29">
        <f t="shared" si="45"/>
        <v>1.9134464983338408E-2</v>
      </c>
      <c r="AE38" s="29">
        <f t="shared" si="46"/>
        <v>0.15846970153069159</v>
      </c>
      <c r="AF38" s="29">
        <f t="shared" si="47"/>
        <v>5.8875196041329304E-4</v>
      </c>
      <c r="AG38" s="29">
        <f t="shared" si="48"/>
        <v>0</v>
      </c>
      <c r="AH38" s="29">
        <f t="shared" si="49"/>
        <v>0</v>
      </c>
      <c r="AI38" s="29">
        <f t="shared" si="50"/>
        <v>2.8141628644175393E-4</v>
      </c>
      <c r="AJ38" s="29">
        <f t="shared" si="51"/>
        <v>1</v>
      </c>
      <c r="AM38" s="23"/>
      <c r="AO38" s="20" t="str">
        <f t="shared" si="69"/>
        <v>INDONESIA</v>
      </c>
      <c r="AP38" s="20">
        <f t="shared" si="70"/>
        <v>2029</v>
      </c>
      <c r="AQ38" s="25">
        <f t="shared" si="52"/>
        <v>0.29200002002900544</v>
      </c>
      <c r="AR38" s="25">
        <f t="shared" si="53"/>
        <v>0.3714535854803106</v>
      </c>
      <c r="AS38" s="25">
        <f t="shared" si="54"/>
        <v>9.3746173474408764E-2</v>
      </c>
      <c r="AT38" s="37">
        <f t="shared" si="55"/>
        <v>0.24280022101627516</v>
      </c>
      <c r="AU38" s="24">
        <f t="shared" si="62"/>
        <v>1</v>
      </c>
      <c r="AW38" s="24">
        <f t="shared" si="79"/>
        <v>0.29199999999999998</v>
      </c>
      <c r="AX38" s="24">
        <f t="shared" si="56"/>
        <v>0.2384</v>
      </c>
      <c r="AY38" s="24">
        <f t="shared" si="72"/>
        <v>9.3746176637567416E-2</v>
      </c>
      <c r="AZ38" s="25">
        <f t="shared" si="77"/>
        <v>0.24280000000000002</v>
      </c>
      <c r="BA38" s="24">
        <f t="shared" si="64"/>
        <v>0.86694617663756746</v>
      </c>
      <c r="BJ38" s="19"/>
      <c r="BK38" s="20" t="str">
        <f t="shared" si="74"/>
        <v>INDONESIA</v>
      </c>
      <c r="BL38" s="20">
        <f t="shared" si="75"/>
        <v>2029</v>
      </c>
      <c r="BM38" s="34">
        <f>VLOOKUP(BL38,proj_rukn!$B$2:$E$21,4,FALSE)</f>
        <v>78402.6287906465</v>
      </c>
      <c r="BN38" s="30">
        <f t="shared" si="57"/>
        <v>90163.02310924347</v>
      </c>
      <c r="BO38" s="30">
        <f t="shared" si="65"/>
        <v>136612.07095802538</v>
      </c>
      <c r="BQ38" s="30">
        <f t="shared" si="58"/>
        <v>36065.209243697391</v>
      </c>
      <c r="BR38" s="30">
        <f t="shared" si="66"/>
        <v>113867.46029244908</v>
      </c>
      <c r="BS38" s="30"/>
      <c r="BT38" s="30">
        <f t="shared" si="59"/>
        <v>18032.604621848695</v>
      </c>
      <c r="BU38" s="30">
        <f t="shared" si="67"/>
        <v>22744.610665576303</v>
      </c>
      <c r="BW38" s="30">
        <f t="shared" si="60"/>
        <v>22.758064244121517</v>
      </c>
      <c r="BX38" s="30">
        <f t="shared" si="68"/>
        <v>0</v>
      </c>
      <c r="BZ38" s="24">
        <f t="shared" si="76"/>
        <v>7.8807473371708625E-2</v>
      </c>
      <c r="CA38" s="24">
        <f t="shared" si="61"/>
        <v>7.8807444668906643E-2</v>
      </c>
      <c r="CF38" s="23"/>
    </row>
    <row r="39" spans="1:84" x14ac:dyDescent="0.25">
      <c r="A39" s="19"/>
      <c r="B39" s="20" t="str">
        <f>proj_rukn!A13</f>
        <v>INDONESIA</v>
      </c>
      <c r="C39" s="20">
        <f>proj_rukn!B13</f>
        <v>2030</v>
      </c>
      <c r="D39" s="30">
        <f>(D15*(VLOOKUP(D$27,tech_data!$B$2:$O$15,6, FALSE)/100)*(1-(VLOOKUP(D$27,tech_data!$B$2:$O$15,7, FALSE)/100))*8760)/1000</f>
        <v>185310.00669977764</v>
      </c>
      <c r="E39" s="30">
        <f>(E15*(VLOOKUP(E$27,tech_data!$B$2:$O$15,6, FALSE)/100)*(1-(VLOOKUP(E$27,tech_data!$B$2:$O$15,7, FALSE)/100))*8760)/1000</f>
        <v>16856.297613489231</v>
      </c>
      <c r="F39" s="30">
        <f>(F15*(VLOOKUP(F$27,tech_data!$B$2:$O$15,6, FALSE)/100)*(1-(VLOOKUP(F$27,tech_data!$B$2:$O$15,7, FALSE)/100))*8760)/1000</f>
        <v>220933.79351627742</v>
      </c>
      <c r="G39" s="30">
        <f>(G15*(VLOOKUP(G$27,tech_data!$B$2:$O$15,6, FALSE)/100)*(1-(VLOOKUP(G$27,tech_data!$B$2:$O$15,7, FALSE)/100))*8760)/1000</f>
        <v>58705.768418666354</v>
      </c>
      <c r="H39" s="30">
        <f>(H15*(VLOOKUP(H$27,tech_data!$B$2:$O$15,6, FALSE)/100)*(1-(VLOOKUP(H$27,tech_data!$B$2:$O$15,7, FALSE)/100))*8760)/1000</f>
        <v>12890.02464</v>
      </c>
      <c r="I39" s="30">
        <f>(I15*(VLOOKUP(I$27,tech_data!$B$2:$O$15,6, FALSE)/100)*(1-(VLOOKUP(I$27,tech_data!$B$2:$O$15,7, FALSE)/100))*8760)/1000</f>
        <v>25258.010098707691</v>
      </c>
      <c r="J39" s="30">
        <f>(J15*(VLOOKUP(J$27,tech_data!$B$2:$O$15,6, FALSE)/100)*(1-(VLOOKUP(J$27,tech_data!$B$2:$O$15,7, FALSE)/100))*8760)/1000</f>
        <v>1003.9917400615384</v>
      </c>
      <c r="K39" s="30">
        <f>(K15*(VLOOKUP(K$27,tech_data!$B$2:$O$15,6, FALSE)/100)*(1-(VLOOKUP(K$27,tech_data!$B$2:$O$15,7, FALSE)/100))*8760)/1000</f>
        <v>13007.478004473094</v>
      </c>
      <c r="L39" s="30">
        <f>(L15*(VLOOKUP(L$27,tech_data!$B$2:$O$15,6, FALSE)/100)*(1-(VLOOKUP(L$27,tech_data!$B$2:$O$15,7, FALSE)/100))*8760)/1000</f>
        <v>104677.84799500997</v>
      </c>
      <c r="M39" s="30">
        <f>(M15*(VLOOKUP(M$27,tech_data!$B$2:$O$15,6, FALSE)/100)*(1-(VLOOKUP(M$27,tech_data!$B$2:$O$15,7, FALSE)/100))*8760)/1000</f>
        <v>356.78369838461538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180.66060949168195</v>
      </c>
      <c r="Q39" s="34">
        <f t="shared" si="35"/>
        <v>639000.00242484768</v>
      </c>
      <c r="R39" s="34">
        <f>proj_rukn!D13</f>
        <v>639000</v>
      </c>
      <c r="S39" s="35"/>
      <c r="T39" s="19"/>
      <c r="U39" s="20" t="str">
        <f t="shared" si="36"/>
        <v>INDONESIA</v>
      </c>
      <c r="V39" s="20">
        <f t="shared" si="37"/>
        <v>2030</v>
      </c>
      <c r="W39" s="29">
        <f t="shared" si="38"/>
        <v>0.29000000938430642</v>
      </c>
      <c r="X39" s="29">
        <f t="shared" si="39"/>
        <v>2.6379182393620863E-2</v>
      </c>
      <c r="Y39" s="29">
        <f t="shared" si="40"/>
        <v>0.34574928431594376</v>
      </c>
      <c r="Z39" s="29">
        <f t="shared" si="41"/>
        <v>9.1871311730661057E-2</v>
      </c>
      <c r="AA39" s="29">
        <f t="shared" si="42"/>
        <v>2.0172182458662802E-2</v>
      </c>
      <c r="AB39" s="29">
        <f t="shared" si="43"/>
        <v>3.9527402195398686E-2</v>
      </c>
      <c r="AC39" s="29">
        <f t="shared" si="44"/>
        <v>1.5711920755111688E-3</v>
      </c>
      <c r="AD39" s="29">
        <f t="shared" si="45"/>
        <v>2.0355990540082813E-2</v>
      </c>
      <c r="AE39" s="29">
        <f t="shared" si="46"/>
        <v>0.1638150979621022</v>
      </c>
      <c r="AF39" s="29">
        <f t="shared" si="47"/>
        <v>5.5834694371002986E-4</v>
      </c>
      <c r="AG39" s="29">
        <f t="shared" si="48"/>
        <v>0</v>
      </c>
      <c r="AH39" s="29">
        <f t="shared" si="49"/>
        <v>0</v>
      </c>
      <c r="AI39" s="29">
        <f t="shared" si="50"/>
        <v>2.8272395744306637E-4</v>
      </c>
      <c r="AJ39" s="29">
        <f t="shared" si="51"/>
        <v>1</v>
      </c>
      <c r="AM39" s="23"/>
      <c r="AO39" s="20" t="str">
        <f t="shared" si="69"/>
        <v>INDONESIA</v>
      </c>
      <c r="AP39" s="20">
        <f t="shared" si="70"/>
        <v>2030</v>
      </c>
      <c r="AQ39" s="25">
        <f t="shared" si="52"/>
        <v>0.29000000938430642</v>
      </c>
      <c r="AR39" s="25">
        <f t="shared" si="53"/>
        <v>0.37212846670956462</v>
      </c>
      <c r="AS39" s="25">
        <f t="shared" si="54"/>
        <v>9.1871311730661057E-2</v>
      </c>
      <c r="AT39" s="37">
        <f t="shared" si="55"/>
        <v>0.24600021217546769</v>
      </c>
      <c r="AU39" s="24">
        <f t="shared" si="62"/>
        <v>0.99999999999999978</v>
      </c>
      <c r="AW39" s="24">
        <f t="shared" si="79"/>
        <v>0.28999999999999998</v>
      </c>
      <c r="AX39" s="24">
        <f t="shared" si="56"/>
        <v>0.24300000000000002</v>
      </c>
      <c r="AY39" s="24">
        <f t="shared" si="72"/>
        <v>9.1871253104816072E-2</v>
      </c>
      <c r="AZ39" s="25">
        <f t="shared" si="77"/>
        <v>0.246</v>
      </c>
      <c r="BA39" s="24">
        <f t="shared" si="64"/>
        <v>0.87087125310481606</v>
      </c>
      <c r="BJ39" s="19"/>
      <c r="BK39" s="20" t="str">
        <f t="shared" si="74"/>
        <v>INDONESIA</v>
      </c>
      <c r="BL39" s="20">
        <f t="shared" si="75"/>
        <v>2030</v>
      </c>
      <c r="BM39" s="34">
        <f>VLOOKUP(BL39,proj_rukn!$B$2:$E$21,4,FALSE)</f>
        <v>83486.88272510338</v>
      </c>
      <c r="BN39" s="30">
        <f t="shared" si="57"/>
        <v>96009.915133868883</v>
      </c>
      <c r="BO39" s="30">
        <f t="shared" si="65"/>
        <v>143302.94710165783</v>
      </c>
      <c r="BQ39" s="30">
        <f t="shared" si="58"/>
        <v>38403.966053547556</v>
      </c>
      <c r="BR39" s="30">
        <f t="shared" si="66"/>
        <v>120176.16432005606</v>
      </c>
      <c r="BS39" s="30"/>
      <c r="BT39" s="30">
        <f t="shared" si="59"/>
        <v>19201.983026773778</v>
      </c>
      <c r="BU39" s="30">
        <f t="shared" si="67"/>
        <v>23126.782781601771</v>
      </c>
      <c r="BW39" s="30">
        <f t="shared" si="60"/>
        <v>24.547305794292583</v>
      </c>
      <c r="BX39" s="30">
        <f t="shared" si="68"/>
        <v>0</v>
      </c>
      <c r="BZ39" s="24">
        <f t="shared" si="76"/>
        <v>8.2747847040294059E-2</v>
      </c>
      <c r="CA39" s="24">
        <f t="shared" si="61"/>
        <v>8.2747857654542331E-2</v>
      </c>
      <c r="CF39" s="23"/>
    </row>
    <row r="40" spans="1:84" x14ac:dyDescent="0.25">
      <c r="A40" s="19"/>
      <c r="B40" s="20" t="str">
        <f>proj_rukn!A14</f>
        <v>INDONESIA</v>
      </c>
      <c r="C40" s="20">
        <f>proj_rukn!B14</f>
        <v>2031</v>
      </c>
      <c r="D40" s="30">
        <f>(D16*(VLOOKUP(D$27,tech_data!$B$2:$O$15,6, FALSE)/100)*(1-(VLOOKUP(D$27,tech_data!$B$2:$O$15,7, FALSE)/100))*8760)/1000</f>
        <v>195263.9146943106</v>
      </c>
      <c r="E40" s="30">
        <f>(E16*(VLOOKUP(E$27,tech_data!$B$2:$O$15,6, FALSE)/100)*(1-(VLOOKUP(E$27,tech_data!$B$2:$O$15,7, FALSE)/100))*8760)/1000</f>
        <v>16856.297613489231</v>
      </c>
      <c r="F40" s="30">
        <f>(F16*(VLOOKUP(F$27,tech_data!$B$2:$O$15,6, FALSE)/100)*(1-(VLOOKUP(F$27,tech_data!$B$2:$O$15,7, FALSE)/100))*8760)/1000</f>
        <v>237454.31446181869</v>
      </c>
      <c r="G40" s="30">
        <f>(G16*(VLOOKUP(G$27,tech_data!$B$2:$O$15,6, FALSE)/100)*(1-(VLOOKUP(G$27,tech_data!$B$2:$O$15,7, FALSE)/100))*8760)/1000</f>
        <v>59467.794225281548</v>
      </c>
      <c r="H40" s="30">
        <f>(H16*(VLOOKUP(H$27,tech_data!$B$2:$O$15,6, FALSE)/100)*(1-(VLOOKUP(H$27,tech_data!$B$2:$O$15,7, FALSE)/100))*8760)/1000</f>
        <v>12890.02464</v>
      </c>
      <c r="I40" s="30">
        <f>(I16*(VLOOKUP(I$27,tech_data!$B$2:$O$15,6, FALSE)/100)*(1-(VLOOKUP(I$27,tech_data!$B$2:$O$15,7, FALSE)/100))*8760)/1000</f>
        <v>25258.010098707691</v>
      </c>
      <c r="J40" s="30">
        <f>(J16*(VLOOKUP(J$27,tech_data!$B$2:$O$15,6, FALSE)/100)*(1-(VLOOKUP(J$27,tech_data!$B$2:$O$15,7, FALSE)/100))*8760)/1000</f>
        <v>1003.9917400615384</v>
      </c>
      <c r="K40" s="30">
        <f>(K16*(VLOOKUP(K$27,tech_data!$B$2:$O$15,6, FALSE)/100)*(1-(VLOOKUP(K$27,tech_data!$B$2:$O$15,7, FALSE)/100))*8760)/1000</f>
        <v>14679.925555816033</v>
      </c>
      <c r="L40" s="30">
        <f>(L16*(VLOOKUP(L$27,tech_data!$B$2:$O$15,6, FALSE)/100)*(1-(VLOOKUP(L$27,tech_data!$B$2:$O$15,7, FALSE)/100))*8760)/1000</f>
        <v>114768.83804425156</v>
      </c>
      <c r="M40" s="30">
        <f>(M16*(VLOOKUP(M$27,tech_data!$B$2:$O$15,6, FALSE)/100)*(1-(VLOOKUP(M$27,tech_data!$B$2:$O$15,7, FALSE)/100))*8760)/1000</f>
        <v>356.78369838461538</v>
      </c>
      <c r="N40" s="30">
        <f>(N16*(VLOOKUP(N$27,tech_data!$B$2:$O$15,6, FALSE)/100)*(1-(VLOOKUP(N$27,tech_data!$B$2:$O$15,7, FALSE)/100))*8760)/1000</f>
        <v>6.6426092644792333E-12</v>
      </c>
      <c r="O40" s="30">
        <f>(O16*(VLOOKUP(O$27,tech_data!$B$2:$O$15,6, FALSE)/100)*(1-(VLOOKUP(O$27,tech_data!$B$2:$O$15,7, FALSE)/100))*8760)/1000</f>
        <v>2.6653204392154913E-8</v>
      </c>
      <c r="P40" s="30">
        <f>(P16*(VLOOKUP(P$27,tech_data!$B$2:$O$15,6, FALSE)/100)*(1-(VLOOKUP(P$27,tech_data!$B$2:$O$15,7, FALSE)/100))*8760)/1000</f>
        <v>192.59898498663219</v>
      </c>
      <c r="Q40" s="34">
        <f t="shared" si="35"/>
        <v>677999.89477214823</v>
      </c>
      <c r="R40" s="34">
        <f>proj_rukn!D14</f>
        <v>678000</v>
      </c>
      <c r="S40" s="35"/>
      <c r="T40" s="19"/>
      <c r="U40" s="20" t="str">
        <f t="shared" si="36"/>
        <v>INDONESIA</v>
      </c>
      <c r="V40" s="20">
        <f t="shared" si="37"/>
        <v>2031</v>
      </c>
      <c r="W40" s="29">
        <f t="shared" si="38"/>
        <v>0.28799991887894305</v>
      </c>
      <c r="X40" s="29">
        <f t="shared" si="39"/>
        <v>2.4861799748736001E-2</v>
      </c>
      <c r="Y40" s="29">
        <f t="shared" si="40"/>
        <v>0.35022765680755552</v>
      </c>
      <c r="Z40" s="29">
        <f t="shared" si="41"/>
        <v>8.7710624564722936E-2</v>
      </c>
      <c r="AA40" s="29">
        <f t="shared" si="42"/>
        <v>1.9011838702912898E-2</v>
      </c>
      <c r="AB40" s="29">
        <f t="shared" si="43"/>
        <v>3.7253707992382527E-2</v>
      </c>
      <c r="AC40" s="29">
        <f t="shared" si="44"/>
        <v>1.4808140057292259E-3</v>
      </c>
      <c r="AD40" s="29">
        <f t="shared" si="45"/>
        <v>2.1651810964881398E-2</v>
      </c>
      <c r="AE40" s="29">
        <f t="shared" si="46"/>
        <v>0.16927559860878932</v>
      </c>
      <c r="AF40" s="29">
        <f t="shared" si="47"/>
        <v>5.2622972530772698E-4</v>
      </c>
      <c r="AG40" s="29">
        <f t="shared" si="48"/>
        <v>9.7973603177498703E-18</v>
      </c>
      <c r="AH40" s="29">
        <f t="shared" si="49"/>
        <v>3.9311517004161352E-14</v>
      </c>
      <c r="AI40" s="29">
        <f t="shared" si="50"/>
        <v>2.8406934347881854E-4</v>
      </c>
      <c r="AJ40" s="29">
        <f t="shared" si="51"/>
        <v>0.99999999999999978</v>
      </c>
      <c r="AM40" s="23"/>
      <c r="AO40" s="20" t="str">
        <f t="shared" si="69"/>
        <v>INDONESIA</v>
      </c>
      <c r="AP40" s="20">
        <f t="shared" si="70"/>
        <v>2031</v>
      </c>
      <c r="AQ40" s="25">
        <f t="shared" si="52"/>
        <v>0.28799991887894305</v>
      </c>
      <c r="AR40" s="25">
        <f t="shared" si="53"/>
        <v>0.37508945655629156</v>
      </c>
      <c r="AS40" s="25">
        <f t="shared" si="54"/>
        <v>8.7710624564722936E-2</v>
      </c>
      <c r="AT40" s="37">
        <f t="shared" si="55"/>
        <v>0.24920000000000314</v>
      </c>
      <c r="AU40" s="24">
        <f t="shared" si="62"/>
        <v>0.9999999999999607</v>
      </c>
      <c r="AW40" s="24">
        <f t="shared" si="79"/>
        <v>0.28799999999999998</v>
      </c>
      <c r="AX40" s="24">
        <f t="shared" si="56"/>
        <v>0.24760000000000001</v>
      </c>
      <c r="AY40" s="24">
        <f t="shared" si="72"/>
        <v>9.0033828042719755E-2</v>
      </c>
      <c r="AZ40" s="25">
        <f t="shared" si="77"/>
        <v>0.2492</v>
      </c>
      <c r="BA40" s="24">
        <f t="shared" si="64"/>
        <v>0.8748338280427197</v>
      </c>
      <c r="BJ40" s="19"/>
      <c r="BK40" s="20" t="str">
        <f t="shared" si="74"/>
        <v>INDONESIA</v>
      </c>
      <c r="BL40" s="20">
        <f t="shared" si="75"/>
        <v>2031</v>
      </c>
      <c r="BM40" s="34">
        <f>VLOOKUP(BL40,proj_rukn!$B$2:$E$21,4,FALSE)</f>
        <v>88900.840375733664</v>
      </c>
      <c r="BN40" s="30">
        <f t="shared" si="57"/>
        <v>102235.9664320937</v>
      </c>
      <c r="BO40" s="30">
        <f t="shared" si="65"/>
        <v>151481.01053617836</v>
      </c>
      <c r="BQ40" s="30">
        <f t="shared" si="58"/>
        <v>40894.38657283748</v>
      </c>
      <c r="BR40" s="30">
        <f t="shared" si="66"/>
        <v>128198.38211114937</v>
      </c>
      <c r="BS40" s="30"/>
      <c r="BT40" s="30">
        <f t="shared" si="59"/>
        <v>20447.19328641874</v>
      </c>
      <c r="BU40" s="30">
        <f t="shared" si="67"/>
        <v>23282.62842501968</v>
      </c>
      <c r="BW40" s="30">
        <f t="shared" si="60"/>
        <v>26.642382091423052</v>
      </c>
      <c r="BX40" s="30">
        <f t="shared" si="68"/>
        <v>2.2043277000634607E-12</v>
      </c>
      <c r="BZ40" s="24">
        <f t="shared" si="76"/>
        <v>8.6885239392308772E-2</v>
      </c>
      <c r="CA40" s="24">
        <f t="shared" si="61"/>
        <v>8.6885276745095136E-2</v>
      </c>
      <c r="CF40" s="23"/>
    </row>
    <row r="41" spans="1:84" x14ac:dyDescent="0.25">
      <c r="A41" s="19"/>
      <c r="B41" s="20" t="str">
        <f>proj_rukn!A15</f>
        <v>INDONESIA</v>
      </c>
      <c r="C41" s="20">
        <f>proj_rukn!B15</f>
        <v>2032</v>
      </c>
      <c r="D41" s="30">
        <f>(D17*(VLOOKUP(D$27,tech_data!$B$2:$O$15,6, FALSE)/100)*(1-(VLOOKUP(D$27,tech_data!$B$2:$O$15,7, FALSE)/100))*8760)/1000</f>
        <v>205633.83534139843</v>
      </c>
      <c r="E41" s="30">
        <f>(E17*(VLOOKUP(E$27,tech_data!$B$2:$O$15,6, FALSE)/100)*(1-(VLOOKUP(E$27,tech_data!$B$2:$O$15,7, FALSE)/100))*8760)/1000</f>
        <v>16856.297613489231</v>
      </c>
      <c r="F41" s="30">
        <f>(F17*(VLOOKUP(F$27,tech_data!$B$2:$O$15,6, FALSE)/100)*(1-(VLOOKUP(F$27,tech_data!$B$2:$O$15,7, FALSE)/100))*8760)/1000</f>
        <v>254096.93851978047</v>
      </c>
      <c r="G41" s="30">
        <f>(G17*(VLOOKUP(G$27,tech_data!$B$2:$O$15,6, FALSE)/100)*(1-(VLOOKUP(G$27,tech_data!$B$2:$O$15,7, FALSE)/100))*8760)/1000</f>
        <v>60937.111016853021</v>
      </c>
      <c r="H41" s="30">
        <f>(H17*(VLOOKUP(H$27,tech_data!$B$2:$O$15,6, FALSE)/100)*(1-(VLOOKUP(H$27,tech_data!$B$2:$O$15,7, FALSE)/100))*8760)/1000</f>
        <v>12890.02464</v>
      </c>
      <c r="I41" s="30">
        <f>(I17*(VLOOKUP(I$27,tech_data!$B$2:$O$15,6, FALSE)/100)*(1-(VLOOKUP(I$27,tech_data!$B$2:$O$15,7, FALSE)/100))*8760)/1000</f>
        <v>25258.010098707691</v>
      </c>
      <c r="J41" s="30">
        <f>(J17*(VLOOKUP(J$27,tech_data!$B$2:$O$15,6, FALSE)/100)*(1-(VLOOKUP(J$27,tech_data!$B$2:$O$15,7, FALSE)/100))*8760)/1000</f>
        <v>1003.9917400615384</v>
      </c>
      <c r="K41" s="30">
        <f>(K17*(VLOOKUP(K$27,tech_data!$B$2:$O$15,6, FALSE)/100)*(1-(VLOOKUP(K$27,tech_data!$B$2:$O$15,7, FALSE)/100))*8760)/1000</f>
        <v>16555.926985698214</v>
      </c>
      <c r="L41" s="30">
        <f>(L17*(VLOOKUP(L$27,tech_data!$B$2:$O$15,6, FALSE)/100)*(1-(VLOOKUP(L$27,tech_data!$B$2:$O$15,7, FALSE)/100))*8760)/1000</f>
        <v>125410.78940331696</v>
      </c>
      <c r="M41" s="30">
        <f>(M17*(VLOOKUP(M$27,tech_data!$B$2:$O$15,6, FALSE)/100)*(1-(VLOOKUP(M$27,tech_data!$B$2:$O$15,7, FALSE)/100))*8760)/1000</f>
        <v>356.78369838461538</v>
      </c>
      <c r="N41" s="30">
        <f>(N17*(VLOOKUP(N$27,tech_data!$B$2:$O$15,6, FALSE)/100)*(1-(VLOOKUP(N$27,tech_data!$B$2:$O$15,7, FALSE)/100))*8760)/1000</f>
        <v>6.6426092644792333E-12</v>
      </c>
      <c r="O41" s="30">
        <f>(O17*(VLOOKUP(O$27,tech_data!$B$2:$O$15,6, FALSE)/100)*(1-(VLOOKUP(O$27,tech_data!$B$2:$O$15,7, FALSE)/100))*8760)/1000</f>
        <v>2.6653204392154913E-8</v>
      </c>
      <c r="P41" s="30">
        <f>(P17*(VLOOKUP(P$27,tech_data!$B$2:$O$15,6, FALSE)/100)*(1-(VLOOKUP(P$27,tech_data!$B$2:$O$15,7, FALSE)/100))*8760)/1000</f>
        <v>205.17968781089002</v>
      </c>
      <c r="Q41" s="34">
        <f t="shared" si="35"/>
        <v>718999.70905771677</v>
      </c>
      <c r="R41" s="34">
        <f>proj_rukn!D15</f>
        <v>719000</v>
      </c>
      <c r="S41" s="35"/>
      <c r="T41" s="19"/>
      <c r="U41" s="20" t="str">
        <f t="shared" si="36"/>
        <v>INDONESIA</v>
      </c>
      <c r="V41" s="20">
        <f t="shared" si="37"/>
        <v>2032</v>
      </c>
      <c r="W41" s="29">
        <f t="shared" si="38"/>
        <v>0.2859998867188574</v>
      </c>
      <c r="X41" s="29">
        <f t="shared" si="39"/>
        <v>2.3444095179927415E-2</v>
      </c>
      <c r="Y41" s="29">
        <f t="shared" si="40"/>
        <v>0.35340339546560673</v>
      </c>
      <c r="Z41" s="29">
        <f t="shared" si="41"/>
        <v>8.4752622635569624E-2</v>
      </c>
      <c r="AA41" s="29">
        <f t="shared" si="42"/>
        <v>1.7927718853868506E-2</v>
      </c>
      <c r="AB41" s="29">
        <f t="shared" si="43"/>
        <v>3.5129374574865285E-2</v>
      </c>
      <c r="AC41" s="29">
        <f t="shared" si="44"/>
        <v>1.3963729434290275E-3</v>
      </c>
      <c r="AD41" s="29">
        <f t="shared" si="45"/>
        <v>2.3026333358876518E-2</v>
      </c>
      <c r="AE41" s="29">
        <f t="shared" si="46"/>
        <v>0.17442397795636627</v>
      </c>
      <c r="AF41" s="29">
        <f t="shared" si="47"/>
        <v>4.9622231259620027E-4</v>
      </c>
      <c r="AG41" s="29">
        <f t="shared" si="48"/>
        <v>9.2386814358863766E-18</v>
      </c>
      <c r="AH41" s="29">
        <f t="shared" si="49"/>
        <v>3.7069840302279398E-14</v>
      </c>
      <c r="AI41" s="29">
        <f t="shared" si="50"/>
        <v>2.8536824872959647E-4</v>
      </c>
      <c r="AJ41" s="29">
        <f t="shared" si="51"/>
        <v>0.99999999999999978</v>
      </c>
      <c r="AM41" s="23"/>
      <c r="AO41" s="20" t="str">
        <f t="shared" si="69"/>
        <v>INDONESIA</v>
      </c>
      <c r="AP41" s="20">
        <f t="shared" si="70"/>
        <v>2032</v>
      </c>
      <c r="AQ41" s="25">
        <f t="shared" si="52"/>
        <v>0.2859998867188574</v>
      </c>
      <c r="AR41" s="25">
        <f t="shared" si="53"/>
        <v>0.37684749064553413</v>
      </c>
      <c r="AS41" s="25">
        <f t="shared" si="54"/>
        <v>8.4752622635569624E-2</v>
      </c>
      <c r="AT41" s="37">
        <f t="shared" si="55"/>
        <v>0.25240000000000185</v>
      </c>
      <c r="AU41" s="24">
        <f t="shared" si="62"/>
        <v>0.99999999999996292</v>
      </c>
      <c r="AW41" s="24">
        <f t="shared" si="79"/>
        <v>0.28599999999999998</v>
      </c>
      <c r="AX41" s="24">
        <f t="shared" si="56"/>
        <v>0.25220000000000004</v>
      </c>
      <c r="AY41" s="24">
        <f t="shared" si="72"/>
        <v>8.8233151481865363E-2</v>
      </c>
      <c r="AZ41" s="25">
        <f t="shared" si="77"/>
        <v>0.25240000000000001</v>
      </c>
      <c r="BA41" s="24">
        <f t="shared" si="64"/>
        <v>0.87883315148186547</v>
      </c>
      <c r="BJ41" s="19"/>
      <c r="BK41" s="20" t="str">
        <f t="shared" si="74"/>
        <v>INDONESIA</v>
      </c>
      <c r="BL41" s="20">
        <f t="shared" si="75"/>
        <v>2032</v>
      </c>
      <c r="BM41" s="34">
        <f>VLOOKUP(BL41,proj_rukn!$B$2:$E$21,4,FALSE)</f>
        <v>94665.882370228239</v>
      </c>
      <c r="BN41" s="30">
        <f t="shared" si="57"/>
        <v>108865.76472576246</v>
      </c>
      <c r="BO41" s="30">
        <f t="shared" si="65"/>
        <v>159930.70228071589</v>
      </c>
      <c r="BQ41" s="30">
        <f t="shared" si="58"/>
        <v>43546.30589030499</v>
      </c>
      <c r="BR41" s="30">
        <f t="shared" si="66"/>
        <v>136350.51138794021</v>
      </c>
      <c r="BS41" s="30"/>
      <c r="BT41" s="30">
        <f t="shared" si="59"/>
        <v>21773.152945152495</v>
      </c>
      <c r="BU41" s="30">
        <f t="shared" si="67"/>
        <v>23580.190892766346</v>
      </c>
      <c r="BW41" s="30">
        <f t="shared" si="60"/>
        <v>28.882354611642928</v>
      </c>
      <c r="BX41" s="30">
        <f t="shared" si="68"/>
        <v>2.2043277000634607E-12</v>
      </c>
      <c r="BZ41" s="24">
        <f t="shared" si="76"/>
        <v>9.1229501361924217E-2</v>
      </c>
      <c r="CA41" s="24">
        <f t="shared" si="61"/>
        <v>9.1229529947991161E-2</v>
      </c>
      <c r="CF41" s="23"/>
    </row>
    <row r="42" spans="1:84" x14ac:dyDescent="0.25">
      <c r="A42" s="19"/>
      <c r="B42" s="20" t="str">
        <f>proj_rukn!A16</f>
        <v>INDONESIA</v>
      </c>
      <c r="C42" s="20">
        <f>proj_rukn!B16</f>
        <v>2033</v>
      </c>
      <c r="D42" s="30">
        <f>(D18*(VLOOKUP(D$27,tech_data!$B$2:$O$15,6, FALSE)/100)*(1-(VLOOKUP(D$27,tech_data!$B$2:$O$15,7, FALSE)/100))*8760)/1000</f>
        <v>215839.98544815267</v>
      </c>
      <c r="E42" s="30">
        <f>(E18*(VLOOKUP(E$27,tech_data!$B$2:$O$15,6, FALSE)/100)*(1-(VLOOKUP(E$27,tech_data!$B$2:$O$15,7, FALSE)/100))*8760)/1000</f>
        <v>16856.297613489231</v>
      </c>
      <c r="F42" s="30">
        <f>(F18*(VLOOKUP(F$27,tech_data!$B$2:$O$15,6, FALSE)/100)*(1-(VLOOKUP(F$27,tech_data!$B$2:$O$15,7, FALSE)/100))*8760)/1000</f>
        <v>267331.56194775767</v>
      </c>
      <c r="G42" s="30">
        <f>(G18*(VLOOKUP(G$27,tech_data!$B$2:$O$15,6, FALSE)/100)*(1-(VLOOKUP(G$27,tech_data!$B$2:$O$15,7, FALSE)/100))*8760)/1000</f>
        <v>65716.045795973216</v>
      </c>
      <c r="H42" s="30">
        <f>(H18*(VLOOKUP(H$27,tech_data!$B$2:$O$15,6, FALSE)/100)*(1-(VLOOKUP(H$27,tech_data!$B$2:$O$15,7, FALSE)/100))*8760)/1000</f>
        <v>12890.02464</v>
      </c>
      <c r="I42" s="30">
        <f>(I18*(VLOOKUP(I$27,tech_data!$B$2:$O$15,6, FALSE)/100)*(1-(VLOOKUP(I$27,tech_data!$B$2:$O$15,7, FALSE)/100))*8760)/1000</f>
        <v>25258.010098707691</v>
      </c>
      <c r="J42" s="30">
        <f>(J18*(VLOOKUP(J$27,tech_data!$B$2:$O$15,6, FALSE)/100)*(1-(VLOOKUP(J$27,tech_data!$B$2:$O$15,7, FALSE)/100))*8760)/1000</f>
        <v>1003.9917400615384</v>
      </c>
      <c r="K42" s="30">
        <f>(K18*(VLOOKUP(K$27,tech_data!$B$2:$O$15,6, FALSE)/100)*(1-(VLOOKUP(K$27,tech_data!$B$2:$O$15,7, FALSE)/100))*8760)/1000</f>
        <v>18607.964840260498</v>
      </c>
      <c r="L42" s="30">
        <f>(L18*(VLOOKUP(L$27,tech_data!$B$2:$O$15,6, FALSE)/100)*(1-(VLOOKUP(L$27,tech_data!$B$2:$O$15,7, FALSE)/100))*8760)/1000</f>
        <v>136139.27140610313</v>
      </c>
      <c r="M42" s="30">
        <f>(M18*(VLOOKUP(M$27,tech_data!$B$2:$O$15,6, FALSE)/100)*(1-(VLOOKUP(M$27,tech_data!$B$2:$O$15,7, FALSE)/100))*8760)/1000</f>
        <v>356.78369838461538</v>
      </c>
      <c r="N42" s="30">
        <f>(N18*(VLOOKUP(N$27,tech_data!$B$2:$O$15,6, FALSE)/100)*(1-(VLOOKUP(N$27,tech_data!$B$2:$O$15,7, FALSE)/100))*8760)/1000</f>
        <v>6.6426092644792333E-12</v>
      </c>
      <c r="O42" s="30">
        <f>(O18*(VLOOKUP(O$27,tech_data!$B$2:$O$15,6, FALSE)/100)*(1-(VLOOKUP(O$27,tech_data!$B$2:$O$15,7, FALSE)/100))*8760)/1000</f>
        <v>2.6653204392154913E-8</v>
      </c>
      <c r="P42" s="30">
        <f>(P18*(VLOOKUP(P$27,tech_data!$B$2:$O$15,6, FALSE)/100)*(1-(VLOOKUP(P$27,tech_data!$B$2:$O$15,7, FALSE)/100))*8760)/1000</f>
        <v>217.81277744506264</v>
      </c>
      <c r="Q42" s="34">
        <f t="shared" si="35"/>
        <v>759999.93722891691</v>
      </c>
      <c r="R42" s="34">
        <f>proj_rukn!D16</f>
        <v>760000</v>
      </c>
      <c r="S42" s="35"/>
      <c r="T42" s="19"/>
      <c r="U42" s="20" t="str">
        <f t="shared" si="36"/>
        <v>INDONESIA</v>
      </c>
      <c r="V42" s="20">
        <f t="shared" si="37"/>
        <v>2033</v>
      </c>
      <c r="W42" s="29">
        <f t="shared" si="38"/>
        <v>0.28400000430939543</v>
      </c>
      <c r="X42" s="29">
        <f t="shared" si="39"/>
        <v>2.2179340796987468E-2</v>
      </c>
      <c r="Y42" s="29">
        <f t="shared" si="40"/>
        <v>0.35175208424686444</v>
      </c>
      <c r="Z42" s="29">
        <f t="shared" si="41"/>
        <v>8.6468488452228806E-2</v>
      </c>
      <c r="AA42" s="29">
        <f t="shared" si="42"/>
        <v>1.6960560137674642E-2</v>
      </c>
      <c r="AB42" s="29">
        <f t="shared" si="43"/>
        <v>3.3234226559021168E-2</v>
      </c>
      <c r="AC42" s="29">
        <f t="shared" si="44"/>
        <v>1.3210418723483782E-3</v>
      </c>
      <c r="AD42" s="29">
        <f t="shared" si="45"/>
        <v>2.4484166285734386E-2</v>
      </c>
      <c r="AE42" s="29">
        <f t="shared" si="46"/>
        <v>0.17913063506621987</v>
      </c>
      <c r="AF42" s="29">
        <f t="shared" si="47"/>
        <v>4.6945227349031978E-4</v>
      </c>
      <c r="AG42" s="29">
        <f t="shared" si="48"/>
        <v>8.740276069889248E-18</v>
      </c>
      <c r="AH42" s="29">
        <f t="shared" si="49"/>
        <v>3.5070008675707026E-14</v>
      </c>
      <c r="AI42" s="29">
        <f t="shared" si="50"/>
        <v>2.8659578346709258E-4</v>
      </c>
      <c r="AJ42" s="29">
        <f t="shared" si="51"/>
        <v>0.99999999999999989</v>
      </c>
      <c r="AM42" s="23"/>
      <c r="AO42" s="20" t="str">
        <f t="shared" si="69"/>
        <v>INDONESIA</v>
      </c>
      <c r="AP42" s="20">
        <f t="shared" si="70"/>
        <v>2033</v>
      </c>
      <c r="AQ42" s="25">
        <f t="shared" si="52"/>
        <v>0.28400000430939543</v>
      </c>
      <c r="AR42" s="25">
        <f t="shared" si="53"/>
        <v>0.37393142504385191</v>
      </c>
      <c r="AS42" s="25">
        <f t="shared" si="54"/>
        <v>8.6468488452228806E-2</v>
      </c>
      <c r="AT42" s="37">
        <f t="shared" si="55"/>
        <v>0.25560008219448882</v>
      </c>
      <c r="AU42" s="24">
        <f t="shared" si="62"/>
        <v>0.99999999999996492</v>
      </c>
      <c r="AW42" s="24">
        <f t="shared" si="79"/>
        <v>0.28399999999999997</v>
      </c>
      <c r="AX42" s="24">
        <f t="shared" si="56"/>
        <v>0.25680000000000003</v>
      </c>
      <c r="AY42" s="24">
        <f t="shared" si="72"/>
        <v>8.6468488452228057E-2</v>
      </c>
      <c r="AZ42" s="25">
        <f t="shared" si="77"/>
        <v>0.25559999999999999</v>
      </c>
      <c r="BA42" s="24">
        <f t="shared" si="64"/>
        <v>0.88286848845222798</v>
      </c>
      <c r="BJ42" s="19"/>
      <c r="BK42" s="20" t="str">
        <f t="shared" si="74"/>
        <v>INDONESIA</v>
      </c>
      <c r="BL42" s="20">
        <f t="shared" si="75"/>
        <v>2033</v>
      </c>
      <c r="BM42" s="34">
        <f>VLOOKUP(BL42,proj_rukn!$B$2:$E$21,4,FALSE)</f>
        <v>100804.77582729411</v>
      </c>
      <c r="BN42" s="30">
        <f t="shared" si="57"/>
        <v>115925.49220138822</v>
      </c>
      <c r="BO42" s="30">
        <f t="shared" si="65"/>
        <v>167777.48175985302</v>
      </c>
      <c r="BQ42" s="30">
        <f t="shared" si="58"/>
        <v>46370.19688055529</v>
      </c>
      <c r="BR42" s="30">
        <f t="shared" si="66"/>
        <v>143237.42489774647</v>
      </c>
      <c r="BS42" s="30"/>
      <c r="BT42" s="30">
        <f t="shared" si="59"/>
        <v>23185.098440277645</v>
      </c>
      <c r="BU42" s="30">
        <f t="shared" si="67"/>
        <v>24540.056862097244</v>
      </c>
      <c r="BW42" s="30">
        <f t="shared" si="60"/>
        <v>31.184240940302384</v>
      </c>
      <c r="BX42" s="30">
        <f t="shared" si="68"/>
        <v>2.2043277000634607E-12</v>
      </c>
      <c r="BZ42" s="24">
        <f t="shared" si="76"/>
        <v>9.5790976430020436E-2</v>
      </c>
      <c r="CA42" s="24">
        <f t="shared" si="61"/>
        <v>9.5790917105812071E-2</v>
      </c>
      <c r="CF42" s="23"/>
    </row>
    <row r="43" spans="1:84" x14ac:dyDescent="0.25">
      <c r="A43" s="19"/>
      <c r="B43" s="20" t="str">
        <f>proj_rukn!A17</f>
        <v>INDONESIA</v>
      </c>
      <c r="C43" s="20">
        <f>proj_rukn!B17</f>
        <v>2034</v>
      </c>
      <c r="D43" s="30">
        <f>(D19*(VLOOKUP(D$27,tech_data!$B$2:$O$15,6, FALSE)/100)*(1-(VLOOKUP(D$27,tech_data!$B$2:$O$15,7, FALSE)/100))*8760)/1000</f>
        <v>227573.86977392403</v>
      </c>
      <c r="E43" s="30">
        <f>(E19*(VLOOKUP(E$27,tech_data!$B$2:$O$15,6, FALSE)/100)*(1-(VLOOKUP(E$27,tech_data!$B$2:$O$15,7, FALSE)/100))*8760)/1000</f>
        <v>16856.297613489231</v>
      </c>
      <c r="F43" s="30">
        <f>(F19*(VLOOKUP(F$27,tech_data!$B$2:$O$15,6, FALSE)/100)*(1-(VLOOKUP(F$27,tech_data!$B$2:$O$15,7, FALSE)/100))*8760)/1000</f>
        <v>286551.05811457091</v>
      </c>
      <c r="G43" s="30">
        <f>(G19*(VLOOKUP(G$27,tech_data!$B$2:$O$15,6, FALSE)/100)*(1-(VLOOKUP(G$27,tech_data!$B$2:$O$15,7, FALSE)/100))*8760)/1000</f>
        <v>66437.846177930609</v>
      </c>
      <c r="H43" s="30">
        <f>(H19*(VLOOKUP(H$27,tech_data!$B$2:$O$15,6, FALSE)/100)*(1-(VLOOKUP(H$27,tech_data!$B$2:$O$15,7, FALSE)/100))*8760)/1000</f>
        <v>12890.02464</v>
      </c>
      <c r="I43" s="30">
        <f>(I19*(VLOOKUP(I$27,tech_data!$B$2:$O$15,6, FALSE)/100)*(1-(VLOOKUP(I$27,tech_data!$B$2:$O$15,7, FALSE)/100))*8760)/1000</f>
        <v>25258.010098707855</v>
      </c>
      <c r="J43" s="30">
        <f>(J19*(VLOOKUP(J$27,tech_data!$B$2:$O$15,6, FALSE)/100)*(1-(VLOOKUP(J$27,tech_data!$B$2:$O$15,7, FALSE)/100))*8760)/1000</f>
        <v>1003.9917400615384</v>
      </c>
      <c r="K43" s="30">
        <f>(K19*(VLOOKUP(K$27,tech_data!$B$2:$O$15,6, FALSE)/100)*(1-(VLOOKUP(K$27,tech_data!$B$2:$O$15,7, FALSE)/100))*8760)/1000</f>
        <v>21079.739423125757</v>
      </c>
      <c r="L43" s="30">
        <f>(L19*(VLOOKUP(L$27,tech_data!$B$2:$O$15,6, FALSE)/100)*(1-(VLOOKUP(L$27,tech_data!$B$2:$O$15,7, FALSE)/100))*8760)/1000</f>
        <v>148992.37387148847</v>
      </c>
      <c r="M43" s="30">
        <f>(M19*(VLOOKUP(M$27,tech_data!$B$2:$O$15,6, FALSE)/100)*(1-(VLOOKUP(M$27,tech_data!$B$2:$O$15,7, FALSE)/100))*8760)/1000</f>
        <v>356.78369838461538</v>
      </c>
      <c r="N43" s="30">
        <f>(N19*(VLOOKUP(N$27,tech_data!$B$2:$O$15,6, FALSE)/100)*(1-(VLOOKUP(N$27,tech_data!$B$2:$O$15,7, FALSE)/100))*8760)/1000</f>
        <v>6.6426092644792333E-12</v>
      </c>
      <c r="O43" s="30">
        <f>(O19*(VLOOKUP(O$27,tech_data!$B$2:$O$15,6, FALSE)/100)*(1-(VLOOKUP(O$27,tech_data!$B$2:$O$15,7, FALSE)/100))*8760)/1000</f>
        <v>4.8204296431936068E-8</v>
      </c>
      <c r="P43" s="30">
        <f>(P19*(VLOOKUP(P$27,tech_data!$B$2:$O$15,6, FALSE)/100)*(1-(VLOOKUP(P$27,tech_data!$B$2:$O$15,7, FALSE)/100))*8760)/1000</f>
        <v>232.42878281040785</v>
      </c>
      <c r="Q43" s="34">
        <f t="shared" si="35"/>
        <v>806999.99515173119</v>
      </c>
      <c r="R43" s="34">
        <f>proj_rukn!D17</f>
        <v>807000</v>
      </c>
      <c r="S43" s="35"/>
      <c r="T43" s="19"/>
      <c r="U43" s="20" t="str">
        <f t="shared" si="36"/>
        <v>INDONESIA</v>
      </c>
      <c r="V43" s="20">
        <f t="shared" si="37"/>
        <v>2034</v>
      </c>
      <c r="W43" s="29">
        <f t="shared" si="38"/>
        <v>0.28199984032358744</v>
      </c>
      <c r="X43" s="29">
        <f t="shared" si="39"/>
        <v>2.0887605594495609E-2</v>
      </c>
      <c r="Y43" s="29">
        <f t="shared" si="40"/>
        <v>0.35508185853296559</v>
      </c>
      <c r="Z43" s="29">
        <f t="shared" si="41"/>
        <v>8.2326947431318187E-2</v>
      </c>
      <c r="AA43" s="29">
        <f t="shared" si="42"/>
        <v>1.5972769166592661E-2</v>
      </c>
      <c r="AB43" s="29">
        <f t="shared" si="43"/>
        <v>3.1298649628813041E-2</v>
      </c>
      <c r="AC43" s="29">
        <f t="shared" si="44"/>
        <v>1.2441037745889564E-3</v>
      </c>
      <c r="AD43" s="29">
        <f t="shared" si="45"/>
        <v>2.6121114683727315E-2</v>
      </c>
      <c r="AE43" s="29">
        <f t="shared" si="46"/>
        <v>0.18462499971078078</v>
      </c>
      <c r="AF43" s="29">
        <f t="shared" si="47"/>
        <v>4.4211115307074236E-4</v>
      </c>
      <c r="AG43" s="29">
        <f t="shared" si="48"/>
        <v>8.231238295398375E-18</v>
      </c>
      <c r="AH43" s="29">
        <f t="shared" si="49"/>
        <v>5.9732709692114372E-14</v>
      </c>
      <c r="AI43" s="29">
        <f t="shared" si="50"/>
        <v>2.8801584164409673E-4</v>
      </c>
      <c r="AJ43" s="29">
        <f t="shared" si="51"/>
        <v>0.99999999999999989</v>
      </c>
      <c r="AM43" s="23"/>
      <c r="AO43" s="20" t="str">
        <f t="shared" si="69"/>
        <v>INDONESIA</v>
      </c>
      <c r="AP43" s="20">
        <f t="shared" si="70"/>
        <v>2034</v>
      </c>
      <c r="AQ43" s="25">
        <f t="shared" si="52"/>
        <v>0.28199984032358744</v>
      </c>
      <c r="AR43" s="25">
        <f t="shared" si="53"/>
        <v>0.37596946412746113</v>
      </c>
      <c r="AS43" s="25">
        <f t="shared" si="54"/>
        <v>8.2326947431318187E-2</v>
      </c>
      <c r="AT43" s="37">
        <f t="shared" si="55"/>
        <v>0.25970374811757352</v>
      </c>
      <c r="AU43" s="24">
        <f t="shared" si="62"/>
        <v>0.99999999999994027</v>
      </c>
      <c r="AW43" s="24">
        <f t="shared" si="79"/>
        <v>0.28199999999999997</v>
      </c>
      <c r="AX43" s="24">
        <f t="shared" si="56"/>
        <v>0.26140000000000002</v>
      </c>
      <c r="AY43" s="24">
        <f t="shared" si="72"/>
        <v>8.4739118683183498E-2</v>
      </c>
      <c r="AZ43" s="25">
        <f t="shared" si="77"/>
        <v>0.25880000000000003</v>
      </c>
      <c r="BA43" s="24">
        <f t="shared" si="64"/>
        <v>0.88693911868318354</v>
      </c>
      <c r="BJ43" s="19"/>
      <c r="BK43" s="20" t="str">
        <f t="shared" si="74"/>
        <v>INDONESIA</v>
      </c>
      <c r="BL43" s="20">
        <f t="shared" si="75"/>
        <v>2034</v>
      </c>
      <c r="BM43" s="34">
        <f>VLOOKUP(BL43,proj_rukn!$B$2:$E$21,4,FALSE)</f>
        <v>107341.76426782849</v>
      </c>
      <c r="BN43" s="30">
        <f t="shared" si="57"/>
        <v>123443.02890800276</v>
      </c>
      <c r="BO43" s="30">
        <f t="shared" si="65"/>
        <v>177290.56282867049</v>
      </c>
      <c r="BQ43" s="30">
        <f t="shared" si="58"/>
        <v>49377.211563201105</v>
      </c>
      <c r="BR43" s="30">
        <f t="shared" si="66"/>
        <v>152601.95704705309</v>
      </c>
      <c r="BS43" s="30"/>
      <c r="BT43" s="30">
        <f t="shared" si="59"/>
        <v>24688.605781600552</v>
      </c>
      <c r="BU43" s="30">
        <f t="shared" si="67"/>
        <v>24688.605781600549</v>
      </c>
      <c r="BW43" s="30">
        <f t="shared" si="60"/>
        <v>33.945613834845744</v>
      </c>
      <c r="BX43" s="30">
        <f t="shared" si="68"/>
        <v>2.2043277000634607E-12</v>
      </c>
      <c r="BZ43" s="24">
        <f t="shared" si="76"/>
        <v>0.10058052525152146</v>
      </c>
      <c r="CA43" s="24">
        <f t="shared" si="61"/>
        <v>0.10058043009797345</v>
      </c>
      <c r="CF43" s="23"/>
    </row>
    <row r="44" spans="1:84" x14ac:dyDescent="0.25">
      <c r="A44" s="19"/>
      <c r="B44" s="20" t="str">
        <f>proj_rukn!A18</f>
        <v>INDONESIA</v>
      </c>
      <c r="C44" s="20">
        <f>proj_rukn!B18</f>
        <v>2035</v>
      </c>
      <c r="D44" s="30">
        <f>(D20*(VLOOKUP(D$27,tech_data!$B$2:$O$15,6, FALSE)/100)*(1-(VLOOKUP(D$27,tech_data!$B$2:$O$15,7, FALSE)/100))*8760)/1000</f>
        <v>239400.00439972544</v>
      </c>
      <c r="E44" s="30">
        <f>(E20*(VLOOKUP(E$27,tech_data!$B$2:$O$15,6, FALSE)/100)*(1-(VLOOKUP(E$27,tech_data!$B$2:$O$15,7, FALSE)/100))*8760)/1000</f>
        <v>18082.226376032915</v>
      </c>
      <c r="F44" s="30">
        <f>(F20*(VLOOKUP(F$27,tech_data!$B$2:$O$15,6, FALSE)/100)*(1-(VLOOKUP(F$27,tech_data!$B$2:$O$15,7, FALSE)/100))*8760)/1000</f>
        <v>301276.22169277666</v>
      </c>
      <c r="G44" s="30">
        <f>(G20*(VLOOKUP(G$27,tech_data!$B$2:$O$15,6, FALSE)/100)*(1-(VLOOKUP(G$27,tech_data!$B$2:$O$15,7, FALSE)/100))*8760)/1000</f>
        <v>70319.068256954211</v>
      </c>
      <c r="H44" s="30">
        <f>(H20*(VLOOKUP(H$27,tech_data!$B$2:$O$15,6, FALSE)/100)*(1-(VLOOKUP(H$27,tech_data!$B$2:$O$15,7, FALSE)/100))*8760)/1000</f>
        <v>12890.02464</v>
      </c>
      <c r="I44" s="30">
        <f>(I20*(VLOOKUP(I$27,tech_data!$B$2:$O$15,6, FALSE)/100)*(1-(VLOOKUP(I$27,tech_data!$B$2:$O$15,7, FALSE)/100))*8760)/1000</f>
        <v>27078.595745602161</v>
      </c>
      <c r="J44" s="30">
        <f>(J20*(VLOOKUP(J$27,tech_data!$B$2:$O$15,6, FALSE)/100)*(1-(VLOOKUP(J$27,tech_data!$B$2:$O$15,7, FALSE)/100))*8760)/1000</f>
        <v>1003.9917400615384</v>
      </c>
      <c r="K44" s="30">
        <f>(K20*(VLOOKUP(K$27,tech_data!$B$2:$O$15,6, FALSE)/100)*(1-(VLOOKUP(K$27,tech_data!$B$2:$O$15,7, FALSE)/100))*8760)/1000</f>
        <v>23859.573412444861</v>
      </c>
      <c r="L44" s="30">
        <f>(L20*(VLOOKUP(L$27,tech_data!$B$2:$O$15,6, FALSE)/100)*(1-(VLOOKUP(L$27,tech_data!$B$2:$O$15,7, FALSE)/100))*8760)/1000</f>
        <v>160733.52570956532</v>
      </c>
      <c r="M44" s="30">
        <f>(M20*(VLOOKUP(M$27,tech_data!$B$2:$O$15,6, FALSE)/100)*(1-(VLOOKUP(M$27,tech_data!$B$2:$O$15,7, FALSE)/100))*8760)/1000</f>
        <v>356.78369846827496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247.13075010875653</v>
      </c>
      <c r="Q44" s="34">
        <f t="shared" si="35"/>
        <v>855000.01567163132</v>
      </c>
      <c r="R44" s="34">
        <f>proj_rukn!D18</f>
        <v>855000</v>
      </c>
      <c r="S44" s="35"/>
      <c r="T44" s="19"/>
      <c r="U44" s="20" t="str">
        <f t="shared" si="36"/>
        <v>INDONESIA</v>
      </c>
      <c r="V44" s="20">
        <f t="shared" si="37"/>
        <v>2035</v>
      </c>
      <c r="W44" s="29">
        <f t="shared" si="38"/>
        <v>0.28000000001364755</v>
      </c>
      <c r="X44" s="29">
        <f t="shared" si="39"/>
        <v>2.1148802391341148E-2</v>
      </c>
      <c r="Y44" s="29">
        <f t="shared" si="40"/>
        <v>0.35236984347434663</v>
      </c>
      <c r="Z44" s="29">
        <f t="shared" si="41"/>
        <v>8.2244522769647221E-2</v>
      </c>
      <c r="AA44" s="29">
        <f t="shared" si="42"/>
        <v>1.5076051934191429E-2</v>
      </c>
      <c r="AB44" s="29">
        <f t="shared" si="43"/>
        <v>3.1670871636570688E-2</v>
      </c>
      <c r="AC44" s="29">
        <f t="shared" si="44"/>
        <v>1.1742593235777535E-3</v>
      </c>
      <c r="AD44" s="29">
        <f t="shared" si="45"/>
        <v>2.7905933304226156E-2</v>
      </c>
      <c r="AE44" s="29">
        <f t="shared" si="46"/>
        <v>0.18799242428469867</v>
      </c>
      <c r="AF44" s="29">
        <f t="shared" si="47"/>
        <v>4.1729086775280273E-4</v>
      </c>
      <c r="AG44" s="29">
        <f t="shared" si="48"/>
        <v>0</v>
      </c>
      <c r="AH44" s="29">
        <f t="shared" si="49"/>
        <v>0</v>
      </c>
      <c r="AI44" s="29">
        <f t="shared" si="50"/>
        <v>2.8904180769473669E-4</v>
      </c>
      <c r="AJ44" s="29">
        <f t="shared" si="51"/>
        <v>1.0000000000000002</v>
      </c>
      <c r="AM44" s="23"/>
      <c r="AO44" s="20" t="str">
        <f t="shared" si="69"/>
        <v>INDONESIA</v>
      </c>
      <c r="AP44" s="20">
        <f t="shared" si="70"/>
        <v>2035</v>
      </c>
      <c r="AQ44" s="25">
        <f t="shared" si="52"/>
        <v>0.28000000001364755</v>
      </c>
      <c r="AR44" s="25">
        <f t="shared" si="53"/>
        <v>0.37351864586568778</v>
      </c>
      <c r="AS44" s="25">
        <f t="shared" si="54"/>
        <v>8.2244522769647221E-2</v>
      </c>
      <c r="AT44" s="37">
        <f t="shared" si="55"/>
        <v>0.2642368313510175</v>
      </c>
      <c r="AU44" s="24">
        <f t="shared" si="62"/>
        <v>1</v>
      </c>
      <c r="AW44" s="24">
        <f t="shared" si="79"/>
        <v>0.27999999999999997</v>
      </c>
      <c r="AX44" s="24">
        <f t="shared" si="56"/>
        <v>0.26600000000000001</v>
      </c>
      <c r="AY44" s="24">
        <f t="shared" si="72"/>
        <v>8.3044336309519823E-2</v>
      </c>
      <c r="AZ44" s="25">
        <f t="shared" si="77"/>
        <v>0.26200000000000001</v>
      </c>
      <c r="BA44" s="24">
        <f t="shared" si="64"/>
        <v>0.89104433630951985</v>
      </c>
      <c r="BJ44" s="19"/>
      <c r="BK44" s="20" t="str">
        <f t="shared" si="74"/>
        <v>INDONESIA</v>
      </c>
      <c r="BL44" s="20">
        <f t="shared" si="75"/>
        <v>2035</v>
      </c>
      <c r="BM44" s="34">
        <f>VLOOKUP(BL44,proj_rukn!$B$2:$E$21,4,FALSE)</f>
        <v>114302.66335665289</v>
      </c>
      <c r="BN44" s="30">
        <f t="shared" si="57"/>
        <v>131448.06286015082</v>
      </c>
      <c r="BO44" s="30">
        <f t="shared" si="65"/>
        <v>186651.14925602966</v>
      </c>
      <c r="BQ44" s="30">
        <f t="shared" si="58"/>
        <v>52579.225144060329</v>
      </c>
      <c r="BR44" s="30">
        <f t="shared" si="66"/>
        <v>160361.5366839995</v>
      </c>
      <c r="BS44" s="30"/>
      <c r="BT44" s="30">
        <f t="shared" si="59"/>
        <v>26289.612572030164</v>
      </c>
      <c r="BU44" s="30">
        <f t="shared" si="67"/>
        <v>26289.612572030168</v>
      </c>
      <c r="BW44" s="30">
        <f t="shared" si="60"/>
        <v>36.814998479680625</v>
      </c>
      <c r="BX44" s="30">
        <f t="shared" si="68"/>
        <v>0</v>
      </c>
      <c r="BZ44" s="24">
        <f t="shared" si="76"/>
        <v>0.10560955151409754</v>
      </c>
      <c r="CA44" s="24">
        <f t="shared" si="61"/>
        <v>0.10560955170990283</v>
      </c>
      <c r="CF44" s="23"/>
    </row>
    <row r="45" spans="1:84" x14ac:dyDescent="0.25">
      <c r="A45" s="19"/>
      <c r="B45" s="20" t="str">
        <f>proj_rukn!A19</f>
        <v>INDONESIA</v>
      </c>
      <c r="C45" s="20">
        <f>proj_rukn!B19</f>
        <v>2036</v>
      </c>
      <c r="D45" s="30">
        <f>(D21*(VLOOKUP(D$27,tech_data!$B$2:$O$15,6, FALSE)/100)*(1-(VLOOKUP(D$27,tech_data!$B$2:$O$15,7, FALSE)/100))*8760)/1000</f>
        <v>252424.00001883553</v>
      </c>
      <c r="E45" s="30">
        <f>(E21*(VLOOKUP(E$27,tech_data!$B$2:$O$15,6, FALSE)/100)*(1-(VLOOKUP(E$27,tech_data!$B$2:$O$15,7, FALSE)/100))*8760)/1000</f>
        <v>20645.12361033068</v>
      </c>
      <c r="F45" s="30">
        <f>(F21*(VLOOKUP(F$27,tech_data!$B$2:$O$15,6, FALSE)/100)*(1-(VLOOKUP(F$27,tech_data!$B$2:$O$15,7, FALSE)/100))*8760)/1000</f>
        <v>319591.48502189602</v>
      </c>
      <c r="G45" s="30">
        <f>(G21*(VLOOKUP(G$27,tech_data!$B$2:$O$15,6, FALSE)/100)*(1-(VLOOKUP(G$27,tech_data!$B$2:$O$15,7, FALSE)/100))*8760)/1000</f>
        <v>70319.068256954211</v>
      </c>
      <c r="H45" s="30">
        <f>(H21*(VLOOKUP(H$27,tech_data!$B$2:$O$15,6, FALSE)/100)*(1-(VLOOKUP(H$27,tech_data!$B$2:$O$15,7, FALSE)/100))*8760)/1000</f>
        <v>12890.02464</v>
      </c>
      <c r="I45" s="30">
        <f>(I21*(VLOOKUP(I$27,tech_data!$B$2:$O$15,6, FALSE)/100)*(1-(VLOOKUP(I$27,tech_data!$B$2:$O$15,7, FALSE)/100))*8760)/1000</f>
        <v>30884.25197997185</v>
      </c>
      <c r="J45" s="30">
        <f>(J21*(VLOOKUP(J$27,tech_data!$B$2:$O$15,6, FALSE)/100)*(1-(VLOOKUP(J$27,tech_data!$B$2:$O$15,7, FALSE)/100))*8760)/1000</f>
        <v>1003.9917400615384</v>
      </c>
      <c r="K45" s="30">
        <f>(K21*(VLOOKUP(K$27,tech_data!$B$2:$O$15,6, FALSE)/100)*(1-(VLOOKUP(K$27,tech_data!$B$2:$O$15,7, FALSE)/100))*8760)/1000</f>
        <v>27170.285735838974</v>
      </c>
      <c r="L45" s="30">
        <f>(L21*(VLOOKUP(L$27,tech_data!$B$2:$O$15,6, FALSE)/100)*(1-(VLOOKUP(L$27,tech_data!$B$2:$O$15,7, FALSE)/100))*8760)/1000</f>
        <v>172714.98532560698</v>
      </c>
      <c r="M45" s="30">
        <f>(M21*(VLOOKUP(M$27,tech_data!$B$2:$O$15,6, FALSE)/100)*(1-(VLOOKUP(M$27,tech_data!$B$2:$O$15,7, FALSE)/100))*8760)/1000</f>
        <v>356.78369846827496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263.21652464646905</v>
      </c>
      <c r="Q45" s="34">
        <f t="shared" si="35"/>
        <v>908000.00002796401</v>
      </c>
      <c r="R45" s="34">
        <f>proj_rukn!D19</f>
        <v>908000</v>
      </c>
      <c r="S45" s="35"/>
      <c r="T45" s="19"/>
      <c r="U45" s="20" t="str">
        <f t="shared" si="36"/>
        <v>INDONESIA</v>
      </c>
      <c r="V45" s="20">
        <f t="shared" si="37"/>
        <v>2036</v>
      </c>
      <c r="W45" s="29">
        <f t="shared" si="38"/>
        <v>0.27800000001218234</v>
      </c>
      <c r="X45" s="29">
        <f t="shared" si="39"/>
        <v>2.2736920274994344E-2</v>
      </c>
      <c r="Y45" s="29">
        <f t="shared" si="40"/>
        <v>0.35197300111459628</v>
      </c>
      <c r="Z45" s="29">
        <f t="shared" si="41"/>
        <v>7.7443907769590939E-2</v>
      </c>
      <c r="AA45" s="29">
        <f t="shared" si="42"/>
        <v>1.4196062378417423E-2</v>
      </c>
      <c r="AB45" s="29">
        <f t="shared" si="43"/>
        <v>3.4013493368965524E-2</v>
      </c>
      <c r="AC45" s="29">
        <f t="shared" si="44"/>
        <v>1.1057177753641169E-3</v>
      </c>
      <c r="AD45" s="29">
        <f t="shared" si="45"/>
        <v>2.9923222175112556E-2</v>
      </c>
      <c r="AE45" s="29">
        <f t="shared" si="46"/>
        <v>0.19021474154216719</v>
      </c>
      <c r="AF45" s="29">
        <f t="shared" si="47"/>
        <v>3.9293358860934685E-4</v>
      </c>
      <c r="AG45" s="29">
        <f t="shared" si="48"/>
        <v>0</v>
      </c>
      <c r="AH45" s="29">
        <f t="shared" si="49"/>
        <v>0</v>
      </c>
      <c r="AI45" s="29">
        <f t="shared" si="50"/>
        <v>2.8988604035061971E-4</v>
      </c>
      <c r="AJ45" s="29">
        <f t="shared" si="51"/>
        <v>1.0000000000000002</v>
      </c>
      <c r="AM45" s="23"/>
      <c r="AO45" s="20" t="str">
        <f t="shared" si="69"/>
        <v>INDONESIA</v>
      </c>
      <c r="AP45" s="20">
        <f t="shared" si="70"/>
        <v>2036</v>
      </c>
      <c r="AQ45" s="25">
        <f t="shared" si="52"/>
        <v>0.27800000001218234</v>
      </c>
      <c r="AR45" s="25">
        <f t="shared" si="53"/>
        <v>0.37470992138959064</v>
      </c>
      <c r="AS45" s="25">
        <f t="shared" si="54"/>
        <v>7.7443907769590939E-2</v>
      </c>
      <c r="AT45" s="37">
        <f t="shared" si="55"/>
        <v>0.26984617082863616</v>
      </c>
      <c r="AU45" s="24">
        <f t="shared" si="62"/>
        <v>1</v>
      </c>
      <c r="AW45" s="24">
        <f t="shared" si="79"/>
        <v>0.27800000000000002</v>
      </c>
      <c r="AX45" s="24">
        <f t="shared" si="56"/>
        <v>0.27060000000000001</v>
      </c>
      <c r="AY45" s="24">
        <f t="shared" si="72"/>
        <v>8.1383449583329423E-2</v>
      </c>
      <c r="AZ45" s="25">
        <f t="shared" si="77"/>
        <v>0.26519999999999999</v>
      </c>
      <c r="BA45" s="24">
        <f t="shared" si="64"/>
        <v>0.8951834495833294</v>
      </c>
      <c r="BJ45" s="19"/>
      <c r="BK45" s="20" t="str">
        <f t="shared" si="74"/>
        <v>INDONESIA</v>
      </c>
      <c r="BL45" s="20">
        <f t="shared" si="75"/>
        <v>2036</v>
      </c>
      <c r="BM45" s="34">
        <f>VLOOKUP(BL45,proj_rukn!$B$2:$E$21,4,FALSE)</f>
        <v>121714.9628529077</v>
      </c>
      <c r="BN45" s="30">
        <f t="shared" si="57"/>
        <v>139972.20728084384</v>
      </c>
      <c r="BO45" s="30">
        <f t="shared" si="65"/>
        <v>197674.11681013132</v>
      </c>
      <c r="BQ45" s="30">
        <f t="shared" si="58"/>
        <v>55988.88291233754</v>
      </c>
      <c r="BR45" s="30">
        <f t="shared" si="66"/>
        <v>169665.38360447556</v>
      </c>
      <c r="BS45" s="30"/>
      <c r="BT45" s="30">
        <f t="shared" si="59"/>
        <v>27994.44145616877</v>
      </c>
      <c r="BU45" s="30">
        <f t="shared" si="67"/>
        <v>28008.733205655746</v>
      </c>
      <c r="BW45" s="30">
        <f t="shared" si="60"/>
        <v>40.091321431997272</v>
      </c>
      <c r="BX45" s="30">
        <f t="shared" si="68"/>
        <v>0</v>
      </c>
      <c r="BZ45" s="24">
        <f t="shared" si="76"/>
        <v>0.11089002908980242</v>
      </c>
      <c r="CA45" s="24">
        <f t="shared" si="61"/>
        <v>0.11088992696551948</v>
      </c>
      <c r="CF45" s="23"/>
    </row>
    <row r="46" spans="1:84" x14ac:dyDescent="0.25">
      <c r="A46" s="19"/>
      <c r="B46" s="20" t="str">
        <f>proj_rukn!A20</f>
        <v>INDONESIA</v>
      </c>
      <c r="C46" s="20">
        <f>proj_rukn!B20</f>
        <v>2037</v>
      </c>
      <c r="D46" s="30">
        <f>(D22*(VLOOKUP(D$27,tech_data!$B$2:$O$15,6, FALSE)/100)*(1-(VLOOKUP(D$27,tech_data!$B$2:$O$15,7, FALSE)/100))*8760)/1000</f>
        <v>265788.00025146978</v>
      </c>
      <c r="E46" s="30">
        <f>(E22*(VLOOKUP(E$27,tech_data!$B$2:$O$15,6, FALSE)/100)*(1-(VLOOKUP(E$27,tech_data!$B$2:$O$15,7, FALSE)/100))*8760)/1000</f>
        <v>20645.12361033068</v>
      </c>
      <c r="F46" s="30">
        <f>(F22*(VLOOKUP(F$27,tech_data!$B$2:$O$15,6, FALSE)/100)*(1-(VLOOKUP(F$27,tech_data!$B$2:$O$15,7, FALSE)/100))*8760)/1000</f>
        <v>342852.87864324404</v>
      </c>
      <c r="G46" s="30">
        <f>(G22*(VLOOKUP(G$27,tech_data!$B$2:$O$15,6, FALSE)/100)*(1-(VLOOKUP(G$27,tech_data!$B$2:$O$15,7, FALSE)/100))*8760)/1000</f>
        <v>71157.449757190378</v>
      </c>
      <c r="H46" s="30">
        <f>(H22*(VLOOKUP(H$27,tech_data!$B$2:$O$15,6, FALSE)/100)*(1-(VLOOKUP(H$27,tech_data!$B$2:$O$15,7, FALSE)/100))*8760)/1000</f>
        <v>12890.02464</v>
      </c>
      <c r="I46" s="30">
        <f>(I22*(VLOOKUP(I$27,tech_data!$B$2:$O$15,6, FALSE)/100)*(1-(VLOOKUP(I$27,tech_data!$B$2:$O$15,7, FALSE)/100))*8760)/1000</f>
        <v>38115.605685982409</v>
      </c>
      <c r="J46" s="30">
        <f>(J22*(VLOOKUP(J$27,tech_data!$B$2:$O$15,6, FALSE)/100)*(1-(VLOOKUP(J$27,tech_data!$B$2:$O$15,7, FALSE)/100))*8760)/1000</f>
        <v>1003.9917400615384</v>
      </c>
      <c r="K46" s="30">
        <f>(K22*(VLOOKUP(K$27,tech_data!$B$2:$O$15,6, FALSE)/100)*(1-(VLOOKUP(K$27,tech_data!$B$2:$O$15,7, FALSE)/100))*8760)/1000</f>
        <v>30570.642517193421</v>
      </c>
      <c r="L46" s="30">
        <f>(L22*(VLOOKUP(L$27,tech_data!$B$2:$O$15,6, FALSE)/100)*(1-(VLOOKUP(L$27,tech_data!$B$2:$O$15,7, FALSE)/100))*8760)/1000</f>
        <v>179619.49757141885</v>
      </c>
      <c r="M46" s="30">
        <f>(M22*(VLOOKUP(M$27,tech_data!$B$2:$O$15,6, FALSE)/100)*(1-(VLOOKUP(M$27,tech_data!$B$2:$O$15,7, FALSE)/100))*8760)/1000</f>
        <v>356.78369846827496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278.80128101302773</v>
      </c>
      <c r="Q46" s="34">
        <f t="shared" si="35"/>
        <v>962999.99811535934</v>
      </c>
      <c r="R46" s="34">
        <f>proj_rukn!D20</f>
        <v>963000</v>
      </c>
      <c r="S46" s="35"/>
      <c r="T46" s="19"/>
      <c r="U46" s="20" t="str">
        <f t="shared" si="36"/>
        <v>INDONESIA</v>
      </c>
      <c r="V46" s="20">
        <f t="shared" si="37"/>
        <v>2037</v>
      </c>
      <c r="W46" s="29">
        <f t="shared" si="38"/>
        <v>0.2760000008012779</v>
      </c>
      <c r="X46" s="29">
        <f t="shared" si="39"/>
        <v>2.1438342316442628E-2</v>
      </c>
      <c r="Y46" s="29">
        <f t="shared" si="40"/>
        <v>0.35602583521726355</v>
      </c>
      <c r="Z46" s="29">
        <f t="shared" si="41"/>
        <v>7.3891432914277438E-2</v>
      </c>
      <c r="AA46" s="29">
        <f t="shared" si="42"/>
        <v>1.3385280026195682E-2</v>
      </c>
      <c r="AB46" s="29">
        <f t="shared" si="43"/>
        <v>3.9580068287203132E-2</v>
      </c>
      <c r="AC46" s="29">
        <f t="shared" si="44"/>
        <v>1.0425667103077902E-3</v>
      </c>
      <c r="AD46" s="29">
        <f t="shared" si="45"/>
        <v>3.1745215552462874E-2</v>
      </c>
      <c r="AE46" s="29">
        <f t="shared" si="46"/>
        <v>0.18652076627512301</v>
      </c>
      <c r="AF46" s="29">
        <f t="shared" si="47"/>
        <v>3.7049189944602187E-4</v>
      </c>
      <c r="AG46" s="29">
        <f t="shared" si="48"/>
        <v>0</v>
      </c>
      <c r="AH46" s="29">
        <f t="shared" si="49"/>
        <v>0</v>
      </c>
      <c r="AI46" s="29">
        <f t="shared" si="50"/>
        <v>2.8951327264657966E-4</v>
      </c>
      <c r="AJ46" s="29">
        <f t="shared" si="51"/>
        <v>1.0000000000000002</v>
      </c>
      <c r="AM46" s="23"/>
      <c r="AO46" s="20" t="str">
        <f t="shared" si="69"/>
        <v>INDONESIA</v>
      </c>
      <c r="AP46" s="20">
        <f t="shared" si="70"/>
        <v>2037</v>
      </c>
      <c r="AQ46" s="25">
        <f t="shared" si="52"/>
        <v>0.2760000008012779</v>
      </c>
      <c r="AR46" s="25">
        <f t="shared" si="53"/>
        <v>0.3774641775337062</v>
      </c>
      <c r="AS46" s="25">
        <f t="shared" si="54"/>
        <v>7.3891432914277438E-2</v>
      </c>
      <c r="AT46" s="37">
        <f t="shared" si="55"/>
        <v>0.27264438875073854</v>
      </c>
      <c r="AU46" s="24">
        <f t="shared" si="62"/>
        <v>1.0000000000000002</v>
      </c>
      <c r="AW46" s="24">
        <f t="shared" si="79"/>
        <v>0.27600000000000002</v>
      </c>
      <c r="AX46" s="24">
        <f t="shared" si="56"/>
        <v>0.2752</v>
      </c>
      <c r="AY46" s="24">
        <f t="shared" si="72"/>
        <v>7.9755780591662828E-2</v>
      </c>
      <c r="AZ46" s="25">
        <f t="shared" si="77"/>
        <v>0.26840000000000003</v>
      </c>
      <c r="BA46" s="24">
        <f t="shared" si="64"/>
        <v>0.89935578059166277</v>
      </c>
      <c r="BJ46" s="19"/>
      <c r="BK46" s="20" t="str">
        <f t="shared" si="74"/>
        <v>INDONESIA</v>
      </c>
      <c r="BL46" s="20">
        <f t="shared" si="75"/>
        <v>2037</v>
      </c>
      <c r="BM46" s="34">
        <f>VLOOKUP(BL46,proj_rukn!$B$2:$E$21,4,FALSE)</f>
        <v>129607.93517172612</v>
      </c>
      <c r="BN46" s="30">
        <f t="shared" si="57"/>
        <v>149049.12544748501</v>
      </c>
      <c r="BO46" s="30">
        <f t="shared" si="65"/>
        <v>210636.39968222304</v>
      </c>
      <c r="BQ46" s="30">
        <f t="shared" si="58"/>
        <v>59619.650178994008</v>
      </c>
      <c r="BR46" s="30">
        <f t="shared" si="66"/>
        <v>180826.57546512457</v>
      </c>
      <c r="BS46" s="30"/>
      <c r="BT46" s="30">
        <f t="shared" si="59"/>
        <v>29809.825089497004</v>
      </c>
      <c r="BU46" s="30">
        <f t="shared" si="67"/>
        <v>29809.824217098441</v>
      </c>
      <c r="BW46" s="30">
        <f t="shared" si="60"/>
        <v>42.952480020079101</v>
      </c>
      <c r="BX46" s="30">
        <f t="shared" si="68"/>
        <v>0</v>
      </c>
      <c r="BZ46" s="24">
        <f t="shared" si="76"/>
        <v>0.11643453054429254</v>
      </c>
      <c r="CA46" s="24">
        <f t="shared" si="61"/>
        <v>0.11643450906112543</v>
      </c>
      <c r="CF46" s="23"/>
    </row>
    <row r="47" spans="1:84" x14ac:dyDescent="0.25">
      <c r="A47" s="19"/>
      <c r="B47" s="20" t="str">
        <f>proj_rukn!A21</f>
        <v>INDONESIA</v>
      </c>
      <c r="C47" s="20">
        <f>proj_rukn!B21</f>
        <v>2038</v>
      </c>
      <c r="D47" s="30">
        <f>(D23*(VLOOKUP(D$27,tech_data!$B$2:$O$15,6, FALSE)/100)*(1-(VLOOKUP(D$27,tech_data!$B$2:$O$15,7, FALSE)/100))*8760)/1000</f>
        <v>281123.99589130084</v>
      </c>
      <c r="E47" s="30">
        <f>(E23*(VLOOKUP(E$27,tech_data!$B$2:$O$15,6, FALSE)/100)*(1-(VLOOKUP(E$27,tech_data!$B$2:$O$15,7, FALSE)/100))*8760)/1000</f>
        <v>20645.12361033068</v>
      </c>
      <c r="F47" s="30">
        <f>(F23*(VLOOKUP(F$27,tech_data!$B$2:$O$15,6, FALSE)/100)*(1-(VLOOKUP(F$27,tech_data!$B$2:$O$15,7, FALSE)/100))*8760)/1000</f>
        <v>365640.88873156311</v>
      </c>
      <c r="G47" s="30">
        <f>(G23*(VLOOKUP(G$27,tech_data!$B$2:$O$15,6, FALSE)/100)*(1-(VLOOKUP(G$27,tech_data!$B$2:$O$15,7, FALSE)/100))*8760)/1000</f>
        <v>71157.449757190378</v>
      </c>
      <c r="H47" s="30">
        <f>(H23*(VLOOKUP(H$27,tech_data!$B$2:$O$15,6, FALSE)/100)*(1-(VLOOKUP(H$27,tech_data!$B$2:$O$15,7, FALSE)/100))*8760)/1000</f>
        <v>12890.02464</v>
      </c>
      <c r="I47" s="30">
        <f>(I23*(VLOOKUP(I$27,tech_data!$B$2:$O$15,6, FALSE)/100)*(1-(VLOOKUP(I$27,tech_data!$B$2:$O$15,7, FALSE)/100))*8760)/1000</f>
        <v>46675.91126380943</v>
      </c>
      <c r="J47" s="30">
        <f>(J23*(VLOOKUP(J$27,tech_data!$B$2:$O$15,6, FALSE)/100)*(1-(VLOOKUP(J$27,tech_data!$B$2:$O$15,7, FALSE)/100))*8760)/1000</f>
        <v>9297.6526961402287</v>
      </c>
      <c r="K47" s="30">
        <f>(K23*(VLOOKUP(K$27,tech_data!$B$2:$O$15,6, FALSE)/100)*(1-(VLOOKUP(K$27,tech_data!$B$2:$O$15,7, FALSE)/100))*8760)/1000</f>
        <v>35140.390523769362</v>
      </c>
      <c r="L47" s="30">
        <f>(L23*(VLOOKUP(L$27,tech_data!$B$2:$O$15,6, FALSE)/100)*(1-(VLOOKUP(L$27,tech_data!$B$2:$O$15,7, FALSE)/100))*8760)/1000</f>
        <v>183071.75676295257</v>
      </c>
      <c r="M47" s="30">
        <f>(M23*(VLOOKUP(M$27,tech_data!$B$2:$O$15,6, FALSE)/100)*(1-(VLOOKUP(M$27,tech_data!$B$2:$O$15,7, FALSE)/100))*8760)/1000</f>
        <v>356.78369846827496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295.89984636868866</v>
      </c>
      <c r="Q47" s="34">
        <f t="shared" si="35"/>
        <v>1025999.9775755248</v>
      </c>
      <c r="R47" s="34">
        <f>proj_rukn!D21</f>
        <v>1026000</v>
      </c>
      <c r="S47" s="35"/>
      <c r="T47" s="19"/>
      <c r="U47" s="20" t="str">
        <f t="shared" si="36"/>
        <v>INDONESIA</v>
      </c>
      <c r="V47" s="20">
        <f t="shared" si="37"/>
        <v>2038</v>
      </c>
      <c r="W47" s="29">
        <f t="shared" si="38"/>
        <v>0.27400000198402252</v>
      </c>
      <c r="X47" s="29">
        <f t="shared" si="39"/>
        <v>2.0121953276369318E-2</v>
      </c>
      <c r="Y47" s="29">
        <f t="shared" si="40"/>
        <v>0.3563751430049597</v>
      </c>
      <c r="Z47" s="29">
        <f t="shared" si="41"/>
        <v>6.9354241045246429E-2</v>
      </c>
      <c r="AA47" s="29">
        <f t="shared" si="42"/>
        <v>1.2563377116693118E-2</v>
      </c>
      <c r="AB47" s="29">
        <f t="shared" si="43"/>
        <v>4.5493091894705788E-2</v>
      </c>
      <c r="AC47" s="29">
        <f t="shared" si="44"/>
        <v>9.0620398629159028E-3</v>
      </c>
      <c r="AD47" s="29">
        <f t="shared" si="45"/>
        <v>3.4249894046593822E-2</v>
      </c>
      <c r="AE47" s="29">
        <f t="shared" si="46"/>
        <v>0.17843251536472524</v>
      </c>
      <c r="AF47" s="29">
        <f t="shared" si="47"/>
        <v>3.4774240376824156E-4</v>
      </c>
      <c r="AG47" s="29">
        <f t="shared" si="48"/>
        <v>0</v>
      </c>
      <c r="AH47" s="29">
        <f t="shared" si="49"/>
        <v>0</v>
      </c>
      <c r="AI47" s="29">
        <f t="shared" si="50"/>
        <v>2.8840141601943378E-4</v>
      </c>
      <c r="AJ47" s="29">
        <f t="shared" si="51"/>
        <v>1</v>
      </c>
      <c r="AM47" s="23"/>
      <c r="AO47" s="20" t="str">
        <f t="shared" si="69"/>
        <v>INDONESIA</v>
      </c>
      <c r="AP47" s="20">
        <f t="shared" si="70"/>
        <v>2038</v>
      </c>
      <c r="AQ47" s="25">
        <f t="shared" si="52"/>
        <v>0.27400000198402252</v>
      </c>
      <c r="AR47" s="25">
        <f t="shared" si="53"/>
        <v>0.37649709628132905</v>
      </c>
      <c r="AS47" s="25">
        <f t="shared" si="54"/>
        <v>6.9354241045246429E-2</v>
      </c>
      <c r="AT47" s="37">
        <f t="shared" si="55"/>
        <v>0.28014866068940208</v>
      </c>
      <c r="AU47" s="24">
        <f t="shared" si="62"/>
        <v>1</v>
      </c>
      <c r="AW47" s="24">
        <f t="shared" si="79"/>
        <v>0.27400000000000002</v>
      </c>
      <c r="AX47" s="24">
        <f t="shared" si="56"/>
        <v>0.27980000000000005</v>
      </c>
      <c r="AY47" s="24">
        <f t="shared" si="72"/>
        <v>7.8160664979829569E-2</v>
      </c>
      <c r="AZ47" s="25">
        <f t="shared" si="77"/>
        <v>0.27160000000000001</v>
      </c>
      <c r="BA47" s="24">
        <f t="shared" si="64"/>
        <v>0.90356066497982956</v>
      </c>
      <c r="BJ47" s="19"/>
      <c r="BK47" s="20" t="str">
        <f t="shared" si="74"/>
        <v>INDONESIA</v>
      </c>
      <c r="BL47" s="20">
        <f t="shared" si="75"/>
        <v>2038</v>
      </c>
      <c r="BM47" s="34">
        <f>VLOOKUP(BL47,proj_rukn!$B$2:$E$21,4,FALSE)</f>
        <v>138012.75098591595</v>
      </c>
      <c r="BN47" s="30">
        <f t="shared" si="57"/>
        <v>158714.66363380331</v>
      </c>
      <c r="BO47" s="30">
        <f t="shared" si="65"/>
        <v>223966.31685847888</v>
      </c>
      <c r="BQ47" s="30">
        <f t="shared" si="58"/>
        <v>63485.865453521328</v>
      </c>
      <c r="BR47" s="30">
        <f t="shared" si="66"/>
        <v>192223.38405201383</v>
      </c>
      <c r="BS47" s="30"/>
      <c r="BT47" s="30">
        <f t="shared" si="59"/>
        <v>31742.932726760664</v>
      </c>
      <c r="BU47" s="30">
        <f t="shared" si="67"/>
        <v>31742.932806465047</v>
      </c>
      <c r="BW47" s="30">
        <f t="shared" si="60"/>
        <v>46.420508089472243</v>
      </c>
      <c r="BX47" s="30">
        <f t="shared" si="68"/>
        <v>0</v>
      </c>
      <c r="BZ47" s="24">
        <f t="shared" si="76"/>
        <v>0.12225625707150717</v>
      </c>
      <c r="CA47" s="24">
        <f t="shared" si="61"/>
        <v>0.12225614058732311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71" si="80">B4</f>
        <v>INDONESIA</v>
      </c>
      <c r="C52" s="20">
        <f t="shared" si="80"/>
        <v>2019</v>
      </c>
      <c r="D52" s="30">
        <f>(indonesia!D28*3.6/(VLOOKUP(D$51,tech_data!$B$2:$J$15,4,FALSE)/100))/1000</f>
        <v>1555.6592401348964</v>
      </c>
      <c r="E52" s="30">
        <f>(indonesia!E28*3.6/(VLOOKUP(E$51,tech_data!$B$2:$J$15,4,FALSE)/100))/1000</f>
        <v>170.13833105204085</v>
      </c>
      <c r="F52" s="30">
        <f>(indonesia!F28*3.6/(VLOOKUP(F$51,tech_data!$B$2:$J$15,4,FALSE)/100))/1000</f>
        <v>196.8472859659675</v>
      </c>
      <c r="G52" s="30">
        <f>(indonesia!G28*3.6/(VLOOKUP(G$51,tech_data!$B$2:$J$15,4,FALSE)/100))/1000</f>
        <v>259.03361579237452</v>
      </c>
      <c r="H52" s="30">
        <f>(indonesia!H28*3.6/(VLOOKUP(H$51,tech_data!$B$2:$J$15,4,FALSE)/100))/1000</f>
        <v>343.73399039999998</v>
      </c>
      <c r="I52" s="30">
        <f>(indonesia!I28*3.6/(VLOOKUP(I$51,tech_data!$B$2:$J$15,4,FALSE)/100))/1000</f>
        <v>95.714564584576522</v>
      </c>
      <c r="J52" s="30">
        <f>(indonesia!J28*3.6/(VLOOKUP(J$51,tech_data!$B$2:$J$15,4,FALSE)/100))/1000</f>
        <v>4.5179628302769226</v>
      </c>
      <c r="K52" s="30">
        <f>K28*3.6/1000</f>
        <v>0.1160272512</v>
      </c>
      <c r="L52" s="30">
        <f>L28*3.6/1000</f>
        <v>0</v>
      </c>
      <c r="M52" s="30">
        <f>(indonesia!M28*3.6/(VLOOKUP(M$51,tech_data!$B$2:$J$15,4,FALSE)/100))/1000</f>
        <v>4.1432945618858561</v>
      </c>
      <c r="N52" s="30">
        <f>N28*3.6/1000</f>
        <v>0</v>
      </c>
      <c r="O52" s="30">
        <f>(indonesia!O28*3.6/(VLOOKUP(O$51,tech_data!$B$2:$J$15,4,FALSE)/100))/1000</f>
        <v>0</v>
      </c>
      <c r="P52" s="30">
        <v>0</v>
      </c>
      <c r="Q52" s="30">
        <f t="shared" ref="Q52:Q71" si="81">SUM(D52:O52)</f>
        <v>2629.9043125732187</v>
      </c>
      <c r="R52" s="30"/>
      <c r="T52" s="19"/>
      <c r="U52" s="20" t="str">
        <f t="shared" ref="U52:U71" si="82">B52</f>
        <v>INDONESIA</v>
      </c>
      <c r="V52" s="20">
        <f t="shared" ref="V52:V71" si="83">C52</f>
        <v>2019</v>
      </c>
      <c r="W52" s="30">
        <f>D52*VLOOKUP(W$51,tech_data!$B$2:$K$15,10,FALSE)*1000</f>
        <v>155130339.42625189</v>
      </c>
      <c r="X52" s="30">
        <f>E52*VLOOKUP(X$51,tech_data!$B$2:$K$15,10,FALSE)*1000</f>
        <v>10565590.358331738</v>
      </c>
      <c r="Y52" s="30">
        <f>F52*VLOOKUP(Y$51,tech_data!$B$2:$K$15,10,FALSE)*1000</f>
        <v>12224216.458486583</v>
      </c>
      <c r="Z52" s="30">
        <f>G52*VLOOKUP(Z$51,tech_data!$B$2:$K$15,10,FALSE)*1000</f>
        <v>19471556.899112795</v>
      </c>
      <c r="AA52" s="30">
        <f>H28*VLOOKUP(AA$51,tech_data!$B$2:$K$15,10,FALSE)/1000</f>
        <v>810.78254985599995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465540.57697349478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84">SUM(W52:AI52)</f>
        <v>197858054.50170636</v>
      </c>
      <c r="AK52" s="25"/>
      <c r="AM52" s="23"/>
      <c r="AO52" s="20" t="str">
        <f t="shared" ref="AO52:AO71" si="85">U52</f>
        <v>INDONESIA</v>
      </c>
      <c r="AP52" s="20">
        <f t="shared" ref="AP52:AP71" si="86">V52</f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1594.2526376387464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126.87719464123566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262.78489925769122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52.493925748358635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97.863398329064097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215.16327165729527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8.5431961535622829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0.189216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6.1664380627951392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2364.3341774887494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80"/>
        <v>INDONESIA</v>
      </c>
      <c r="C53" s="20">
        <f t="shared" si="80"/>
        <v>2020</v>
      </c>
      <c r="D53" s="30">
        <f>(indonesia!D29*3.6/(VLOOKUP(D$51,tech_data!$B$2:$J$15,4,FALSE)/100))/1000</f>
        <v>1562.1876366897459</v>
      </c>
      <c r="E53" s="30">
        <f>(indonesia!E29*3.6/(VLOOKUP(E$51,tech_data!$B$2:$J$15,4,FALSE)/100))/1000</f>
        <v>170.13833105204085</v>
      </c>
      <c r="F53" s="30">
        <f>(indonesia!F29*3.6/(VLOOKUP(F$51,tech_data!$B$2:$J$15,4,FALSE)/100))/1000</f>
        <v>322.47093013780079</v>
      </c>
      <c r="G53" s="30">
        <f>(indonesia!G29*3.6/(VLOOKUP(G$51,tech_data!$B$2:$J$15,4,FALSE)/100))/1000</f>
        <v>277.18780137791219</v>
      </c>
      <c r="H53" s="30">
        <f>(indonesia!H29*3.6/(VLOOKUP(H$51,tech_data!$B$2:$J$15,4,FALSE)/100))/1000</f>
        <v>343.73399039999998</v>
      </c>
      <c r="I53" s="30">
        <f>(indonesia!I29*3.6/(VLOOKUP(I$51,tech_data!$B$2:$J$15,4,FALSE)/100))/1000</f>
        <v>95.714564584576522</v>
      </c>
      <c r="J53" s="30">
        <f>(indonesia!J29*3.6/(VLOOKUP(J$51,tech_data!$B$2:$J$15,4,FALSE)/100))/1000</f>
        <v>4.5179628302769226</v>
      </c>
      <c r="K53" s="30">
        <f t="shared" ref="K53:L53" si="87">K29*3.6/1000</f>
        <v>7.805775695311362</v>
      </c>
      <c r="L53" s="30">
        <f t="shared" si="87"/>
        <v>3.6195097252801158</v>
      </c>
      <c r="M53" s="30">
        <f>(indonesia!M29*3.6/(VLOOKUP(M$51,tech_data!$B$2:$J$15,4,FALSE)/100))/1000</f>
        <v>4.1432945618858561</v>
      </c>
      <c r="N53" s="30">
        <f t="shared" ref="N53:N71" si="88">N29*3.6/1000</f>
        <v>0</v>
      </c>
      <c r="O53" s="30">
        <f>(indonesia!O29*3.6/(VLOOKUP(O$51,tech_data!$B$2:$J$15,4,FALSE)/100))/1000</f>
        <v>0</v>
      </c>
      <c r="P53" s="30">
        <v>0</v>
      </c>
      <c r="Q53" s="30">
        <f t="shared" si="81"/>
        <v>2791.5197970548306</v>
      </c>
      <c r="R53" s="30"/>
      <c r="T53" s="19"/>
      <c r="U53" s="20" t="str">
        <f t="shared" si="82"/>
        <v>INDONESIA</v>
      </c>
      <c r="V53" s="20">
        <f t="shared" si="83"/>
        <v>2020</v>
      </c>
      <c r="W53" s="30">
        <f>D53*VLOOKUP(W$51,tech_data!$B$2:$K$15,10,FALSE)*1000</f>
        <v>155781351.13070145</v>
      </c>
      <c r="X53" s="30">
        <f>E53*VLOOKUP(X$51,tech_data!$B$2:$K$15,10,FALSE)*1000</f>
        <v>10565590.358331738</v>
      </c>
      <c r="Y53" s="30">
        <f>F53*VLOOKUP(Y$51,tech_data!$B$2:$K$15,10,FALSE)*1000</f>
        <v>20025444.761557426</v>
      </c>
      <c r="Z53" s="30">
        <f>G53*VLOOKUP(Z$51,tech_data!$B$2:$K$15,10,FALSE)*1000</f>
        <v>20836207.029577661</v>
      </c>
      <c r="AA53" s="30">
        <f>H29*VLOOKUP(AA$51,tech_data!$B$2:$K$15,10,FALSE)/1000</f>
        <v>810.78254985599995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465540.57697349478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84"/>
        <v>207674944.63969165</v>
      </c>
      <c r="AK53" s="25">
        <f>(AJ53-AJ52)/AJ52</f>
        <v>4.9615822629553989E-2</v>
      </c>
      <c r="AL53" s="24">
        <v>5.2999999999999999E-2</v>
      </c>
      <c r="AM53" s="26"/>
      <c r="AN53" s="24"/>
      <c r="AO53" s="20" t="str">
        <f t="shared" si="85"/>
        <v>INDONESIA</v>
      </c>
      <c r="AP53" s="20">
        <f t="shared" si="8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1814.7938461270448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126.87719464123566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5235.949309589997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424.43528248121783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97.863398329064097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215.16327165729527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8.5431961535622829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1312.050156807938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437.42094902086257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6.1664380627951392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19.068176730416592</v>
      </c>
      <c r="BD53" s="30">
        <f>SUM(AQ53:BC53)</f>
        <v>9698.3312196014285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80"/>
        <v>INDONESIA</v>
      </c>
      <c r="C54" s="20">
        <f t="shared" si="80"/>
        <v>2021</v>
      </c>
      <c r="D54" s="30">
        <f>(indonesia!D30*3.6/(VLOOKUP(D$51,tech_data!$B$2:$J$15,4,FALSE)/100))/1000</f>
        <v>1606.7590382084718</v>
      </c>
      <c r="E54" s="30">
        <f>(indonesia!E30*3.6/(VLOOKUP(E$51,tech_data!$B$2:$J$15,4,FALSE)/100))/1000</f>
        <v>170.13833105204085</v>
      </c>
      <c r="F54" s="30">
        <f>(indonesia!F30*3.6/(VLOOKUP(F$51,tech_data!$B$2:$J$15,4,FALSE)/100))/1000</f>
        <v>428.14100973846234</v>
      </c>
      <c r="G54" s="30">
        <f>(indonesia!G30*3.6/(VLOOKUP(G$51,tech_data!$B$2:$J$15,4,FALSE)/100))/1000</f>
        <v>277.18780137791219</v>
      </c>
      <c r="H54" s="30">
        <f>(indonesia!H30*3.6/(VLOOKUP(H$51,tech_data!$B$2:$J$15,4,FALSE)/100))/1000</f>
        <v>343.73399039999998</v>
      </c>
      <c r="I54" s="30">
        <f>(indonesia!I30*3.6/(VLOOKUP(I$51,tech_data!$B$2:$J$15,4,FALSE)/100))/1000</f>
        <v>95.714564584576522</v>
      </c>
      <c r="J54" s="30">
        <f>(indonesia!J30*3.6/(VLOOKUP(J$51,tech_data!$B$2:$J$15,4,FALSE)/100))/1000</f>
        <v>4.5179628302769226</v>
      </c>
      <c r="K54" s="30">
        <f t="shared" ref="K54:L54" si="89">K30*3.6/1000</f>
        <v>11.66982421667926</v>
      </c>
      <c r="L54" s="30">
        <f t="shared" si="89"/>
        <v>64.880315475410598</v>
      </c>
      <c r="M54" s="30">
        <f>(indonesia!M30*3.6/(VLOOKUP(M$51,tech_data!$B$2:$J$15,4,FALSE)/100))/1000</f>
        <v>4.1432945618858561</v>
      </c>
      <c r="N54" s="30">
        <f t="shared" si="88"/>
        <v>0</v>
      </c>
      <c r="O54" s="30">
        <f>(indonesia!O30*3.6/(VLOOKUP(O$51,tech_data!$B$2:$J$15,4,FALSE)/100))/1000</f>
        <v>0</v>
      </c>
      <c r="P54" s="30">
        <v>0</v>
      </c>
      <c r="Q54" s="30">
        <f t="shared" si="81"/>
        <v>3006.8861324457166</v>
      </c>
      <c r="R54" s="30"/>
      <c r="T54" s="19"/>
      <c r="U54" s="20" t="str">
        <f t="shared" si="82"/>
        <v>INDONESIA</v>
      </c>
      <c r="V54" s="20">
        <f t="shared" si="83"/>
        <v>2021</v>
      </c>
      <c r="W54" s="30">
        <f>D54*VLOOKUP(W$51,tech_data!$B$2:$K$15,10,FALSE)*1000</f>
        <v>160226011.29014879</v>
      </c>
      <c r="X54" s="30">
        <f>E54*VLOOKUP(X$51,tech_data!$B$2:$K$15,10,FALSE)*1000</f>
        <v>10565590.358331738</v>
      </c>
      <c r="Y54" s="30">
        <f>F54*VLOOKUP(Y$51,tech_data!$B$2:$K$15,10,FALSE)*1000</f>
        <v>26587556.704758514</v>
      </c>
      <c r="Z54" s="30">
        <f>G54*VLOOKUP(Z$51,tech_data!$B$2:$K$15,10,FALSE)*1000</f>
        <v>20836207.029577661</v>
      </c>
      <c r="AA54" s="30">
        <f>H30*VLOOKUP(AA$51,tech_data!$B$2:$K$15,10,FALSE)/1000</f>
        <v>810.78254985599995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465540.57697349478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84"/>
        <v>218681716.74234009</v>
      </c>
      <c r="AK54" s="25">
        <f t="shared" ref="AK54:AK71" si="90">(AJ54-AJ53)/AJ53</f>
        <v>5.3000000176934098E-2</v>
      </c>
      <c r="AL54" s="24">
        <f>AL53</f>
        <v>5.2999999999999999E-2</v>
      </c>
      <c r="AM54" s="26"/>
      <c r="AN54" s="24"/>
      <c r="AO54" s="20" t="str">
        <f t="shared" si="85"/>
        <v>INDONESIA</v>
      </c>
      <c r="AP54" s="20">
        <f t="shared" si="8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3106.6466789795768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126.87719464123566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4613.7350640617724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56.172924967181977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97.863398329064097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215.16327165729527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8.5431961535622829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671.93115607118898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7420.2254409788311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6.1664380627951392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3.4565975326856213</v>
      </c>
      <c r="BD54" s="30">
        <f t="shared" ref="BD54:BD71" si="91">SUM(AQ54:BC54)</f>
        <v>16326.781361435189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80"/>
        <v>INDONESIA</v>
      </c>
      <c r="C55" s="20">
        <f t="shared" si="80"/>
        <v>2022</v>
      </c>
      <c r="D55" s="30">
        <f>(indonesia!D31*3.6/(VLOOKUP(D$51,tech_data!$B$2:$J$15,4,FALSE)/100))/1000</f>
        <v>1606.7590382084718</v>
      </c>
      <c r="E55" s="30">
        <f>(indonesia!E31*3.6/(VLOOKUP(E$51,tech_data!$B$2:$J$15,4,FALSE)/100))/1000</f>
        <v>170.13833105204085</v>
      </c>
      <c r="F55" s="30">
        <f>(indonesia!F31*3.6/(VLOOKUP(F$51,tech_data!$B$2:$J$15,4,FALSE)/100))/1000</f>
        <v>494.22767677076121</v>
      </c>
      <c r="G55" s="30">
        <f>(indonesia!G31*3.6/(VLOOKUP(G$51,tech_data!$B$2:$J$15,4,FALSE)/100))/1000</f>
        <v>316.91792087126839</v>
      </c>
      <c r="H55" s="30">
        <f>(indonesia!H31*3.6/(VLOOKUP(H$51,tech_data!$B$2:$J$15,4,FALSE)/100))/1000</f>
        <v>343.73399039999998</v>
      </c>
      <c r="I55" s="30">
        <f>(indonesia!I31*3.6/(VLOOKUP(I$51,tech_data!$B$2:$J$15,4,FALSE)/100))/1000</f>
        <v>95.714564584576522</v>
      </c>
      <c r="J55" s="30">
        <f>(indonesia!J31*3.6/(VLOOKUP(J$51,tech_data!$B$2:$J$15,4,FALSE)/100))/1000</f>
        <v>4.5179628302769226</v>
      </c>
      <c r="K55" s="30">
        <f t="shared" ref="K55:L55" si="92">K31*3.6/1000</f>
        <v>13.103112464041617</v>
      </c>
      <c r="L55" s="30">
        <f t="shared" si="92"/>
        <v>78.620077678444062</v>
      </c>
      <c r="M55" s="30">
        <f>(indonesia!M31*3.6/(VLOOKUP(M$51,tech_data!$B$2:$J$15,4,FALSE)/100))/1000</f>
        <v>4.1432945618858561</v>
      </c>
      <c r="N55" s="30">
        <f t="shared" si="88"/>
        <v>0</v>
      </c>
      <c r="O55" s="30">
        <f>(indonesia!O31*3.6/(VLOOKUP(O$51,tech_data!$B$2:$J$15,4,FALSE)/100))/1000</f>
        <v>0</v>
      </c>
      <c r="P55" s="30">
        <v>0</v>
      </c>
      <c r="Q55" s="30">
        <f t="shared" si="81"/>
        <v>3127.8759694217674</v>
      </c>
      <c r="R55" s="30"/>
      <c r="T55" s="19"/>
      <c r="U55" s="20" t="str">
        <f t="shared" si="82"/>
        <v>INDONESIA</v>
      </c>
      <c r="V55" s="20">
        <f t="shared" si="83"/>
        <v>2022</v>
      </c>
      <c r="W55" s="30">
        <f>D55*VLOOKUP(W$51,tech_data!$B$2:$K$15,10,FALSE)*1000</f>
        <v>160226011.29014879</v>
      </c>
      <c r="X55" s="30">
        <f>E55*VLOOKUP(X$51,tech_data!$B$2:$K$15,10,FALSE)*1000</f>
        <v>10565590.358331738</v>
      </c>
      <c r="Y55" s="30">
        <f>F55*VLOOKUP(Y$51,tech_data!$B$2:$K$15,10,FALSE)*1000</f>
        <v>30691538.72746427</v>
      </c>
      <c r="Z55" s="30">
        <f>G55*VLOOKUP(Z$51,tech_data!$B$2:$K$15,10,FALSE)*1000</f>
        <v>23822720.111893248</v>
      </c>
      <c r="AA55" s="30">
        <f>H31*VLOOKUP(AA$51,tech_data!$B$2:$K$15,10,FALSE)/1000</f>
        <v>810.78254985599995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465540.57697349478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84"/>
        <v>225772211.84736139</v>
      </c>
      <c r="AK55" s="25">
        <f t="shared" si="90"/>
        <v>3.2423813067900938E-2</v>
      </c>
      <c r="AL55" s="24">
        <f>AL54</f>
        <v>5.2999999999999999E-2</v>
      </c>
      <c r="AM55" s="26"/>
      <c r="AN55" s="24"/>
      <c r="AO55" s="20" t="str">
        <f t="shared" si="85"/>
        <v>INDONESIA</v>
      </c>
      <c r="AP55" s="20">
        <f t="shared" si="8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1646.6201393125323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126.87719464123566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3187.7808336640519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870.16011695059478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97.863398329064097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215.16327165729527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8.5431961535622829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263.54810879933541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1961.6576769464946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6.1664380627951392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1.6116708521861252</v>
      </c>
      <c r="BD55" s="30">
        <f t="shared" si="91"/>
        <v>8385.9920453691466</v>
      </c>
      <c r="BE55" s="20">
        <v>2022</v>
      </c>
      <c r="BF55" s="23"/>
      <c r="BG55" s="19"/>
      <c r="BH55" s="30"/>
      <c r="BI55" s="30">
        <f>MIN($BD$53)</f>
        <v>9698.3312196014285</v>
      </c>
      <c r="BJ55" s="30">
        <f>MIN($BD$54)</f>
        <v>16326.781361435189</v>
      </c>
      <c r="BK55" s="30">
        <f t="shared" ref="BK55" si="93">MIN($BD$55)</f>
        <v>8385.9920453691466</v>
      </c>
      <c r="BL55" s="30">
        <f>MIN($BD$56)</f>
        <v>11319.757070308428</v>
      </c>
      <c r="BM55" s="30">
        <f>MIN($BD$57)</f>
        <v>13469.565984502093</v>
      </c>
      <c r="BN55" s="30">
        <f>MIN($BD$58)</f>
        <v>14345.829053444835</v>
      </c>
      <c r="BO55" s="30">
        <f>MIN($BD$59)</f>
        <v>15670.715417632715</v>
      </c>
      <c r="BP55" s="30">
        <f>MIN($BD$60)</f>
        <v>17550.124987546376</v>
      </c>
      <c r="BQ55" s="30">
        <f>MIN($BD$61)</f>
        <v>14074.20428138325</v>
      </c>
      <c r="BR55" s="30">
        <f>MIN($BD$62)</f>
        <v>15602.042482908393</v>
      </c>
      <c r="BS55" s="30">
        <f>MIN($BD$63)</f>
        <v>16285.82073778516</v>
      </c>
      <c r="BT55" s="30">
        <f>MIN($BD$64)</f>
        <v>18671.554147951247</v>
      </c>
      <c r="BU55" s="30">
        <f>MIN($BD$65)</f>
        <v>19721.289370067749</v>
      </c>
      <c r="BV55" s="30">
        <f>MIN($BD$66)</f>
        <v>19940.877841608217</v>
      </c>
      <c r="BW55" s="30">
        <f>MIN($BD$67)</f>
        <v>22821.024433832063</v>
      </c>
      <c r="BX55" s="30">
        <f>MIN($BD$68)</f>
        <v>23639.231737423055</v>
      </c>
      <c r="BY55" s="30">
        <f>MIN($BD$69)</f>
        <v>26459.891647569977</v>
      </c>
      <c r="BZ55" s="30">
        <f>MIN($BD$70)</f>
        <v>27291.791346616934</v>
      </c>
      <c r="CA55" s="30">
        <f>MIN($BD$71)</f>
        <v>31691.277019656642</v>
      </c>
      <c r="CD55" s="23"/>
    </row>
    <row r="56" spans="1:82" x14ac:dyDescent="0.25">
      <c r="A56" s="19"/>
      <c r="B56" s="20" t="str">
        <f t="shared" si="80"/>
        <v>INDONESIA</v>
      </c>
      <c r="C56" s="20">
        <f t="shared" si="80"/>
        <v>2023</v>
      </c>
      <c r="D56" s="30">
        <f>(indonesia!D32*3.6/(VLOOKUP(D$51,tech_data!$B$2:$J$15,4,FALSE)/100))/1000</f>
        <v>1606.7590382084718</v>
      </c>
      <c r="E56" s="30">
        <f>(indonesia!E32*3.6/(VLOOKUP(E$51,tech_data!$B$2:$J$15,4,FALSE)/100))/1000</f>
        <v>170.13833105204085</v>
      </c>
      <c r="F56" s="30">
        <f>(indonesia!F32*3.6/(VLOOKUP(F$51,tech_data!$B$2:$J$15,4,FALSE)/100))/1000</f>
        <v>559.45887725587659</v>
      </c>
      <c r="G56" s="30">
        <f>(indonesia!G32*3.6/(VLOOKUP(G$51,tech_data!$B$2:$J$15,4,FALSE)/100))/1000</f>
        <v>330.45682699746027</v>
      </c>
      <c r="H56" s="30">
        <f>(indonesia!H32*3.6/(VLOOKUP(H$51,tech_data!$B$2:$J$15,4,FALSE)/100))/1000</f>
        <v>343.73399039999998</v>
      </c>
      <c r="I56" s="30">
        <f>(indonesia!I32*3.6/(VLOOKUP(I$51,tech_data!$B$2:$J$15,4,FALSE)/100))/1000</f>
        <v>95.714564584576522</v>
      </c>
      <c r="J56" s="30">
        <f>(indonesia!J32*3.6/(VLOOKUP(J$51,tech_data!$B$2:$J$15,4,FALSE)/100))/1000</f>
        <v>4.5179628302769226</v>
      </c>
      <c r="K56" s="30">
        <f t="shared" ref="K56:L56" si="94">K32*3.6/1000</f>
        <v>16.235298947430074</v>
      </c>
      <c r="L56" s="30">
        <f t="shared" si="94"/>
        <v>117.60906209681536</v>
      </c>
      <c r="M56" s="30">
        <f>(indonesia!M32*3.6/(VLOOKUP(M$51,tech_data!$B$2:$J$15,4,FALSE)/100))/1000</f>
        <v>4.1432945618858561</v>
      </c>
      <c r="N56" s="30">
        <f t="shared" si="88"/>
        <v>0</v>
      </c>
      <c r="O56" s="30">
        <f>(indonesia!O32*3.6/(VLOOKUP(O$51,tech_data!$B$2:$J$15,4,FALSE)/100))/1000</f>
        <v>0</v>
      </c>
      <c r="P56" s="30">
        <v>0</v>
      </c>
      <c r="Q56" s="30">
        <f t="shared" si="81"/>
        <v>3248.7672469348345</v>
      </c>
      <c r="R56" s="30"/>
      <c r="T56" s="19"/>
      <c r="U56" s="20" t="str">
        <f t="shared" si="82"/>
        <v>INDONESIA</v>
      </c>
      <c r="V56" s="20">
        <f t="shared" si="83"/>
        <v>2023</v>
      </c>
      <c r="W56" s="30">
        <f>D56*VLOOKUP(W$51,tech_data!$B$2:$K$15,10,FALSE)*1000</f>
        <v>160226011.29014879</v>
      </c>
      <c r="X56" s="30">
        <f>E56*VLOOKUP(X$51,tech_data!$B$2:$K$15,10,FALSE)*1000</f>
        <v>10565590.358331738</v>
      </c>
      <c r="Y56" s="30">
        <f>F56*VLOOKUP(Y$51,tech_data!$B$2:$K$15,10,FALSE)*1000</f>
        <v>34742396.277589932</v>
      </c>
      <c r="Z56" s="30">
        <f>G56*VLOOKUP(Z$51,tech_data!$B$2:$K$15,10,FALSE)*1000</f>
        <v>24840439.685399089</v>
      </c>
      <c r="AA56" s="30">
        <f>H32*VLOOKUP(AA$51,tech_data!$B$2:$K$15,10,FALSE)/1000</f>
        <v>810.78254985599995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465540.57697349478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84"/>
        <v>230840788.97099289</v>
      </c>
      <c r="AK56" s="25">
        <f t="shared" si="90"/>
        <v>2.244995999356306E-2</v>
      </c>
      <c r="AL56" s="24">
        <f t="shared" ref="AL56:AL70" si="95">AL55</f>
        <v>5.2999999999999999E-2</v>
      </c>
      <c r="AM56" s="26"/>
      <c r="AN56" s="24"/>
      <c r="AO56" s="20" t="str">
        <f t="shared" si="85"/>
        <v>INDONESIA</v>
      </c>
      <c r="AP56" s="20">
        <f t="shared" si="8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1646.6201393125323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126.87719464123566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3242.1384000101966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341.60826809612576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97.863398329064097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215.16327165729538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8.5431961535622829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555.71529794277876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5076.8328866356505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6.1664380627951392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2.2285794671907708</v>
      </c>
      <c r="BD56" s="30">
        <f t="shared" si="91"/>
        <v>11319.757070308428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80"/>
        <v>INDONESIA</v>
      </c>
      <c r="C57" s="20">
        <f t="shared" si="80"/>
        <v>2024</v>
      </c>
      <c r="D57" s="30">
        <f>(indonesia!D33*3.6/(VLOOKUP(D$51,tech_data!$B$2:$J$15,4,FALSE)/100))/1000</f>
        <v>1606.7590382084718</v>
      </c>
      <c r="E57" s="30">
        <f>(indonesia!E33*3.6/(VLOOKUP(E$51,tech_data!$B$2:$J$15,4,FALSE)/100))/1000</f>
        <v>170.13833105204085</v>
      </c>
      <c r="F57" s="30">
        <f>(indonesia!F33*3.6/(VLOOKUP(F$51,tech_data!$B$2:$J$15,4,FALSE)/100))/1000</f>
        <v>644.98907900258382</v>
      </c>
      <c r="G57" s="30">
        <f>(indonesia!G33*3.6/(VLOOKUP(G$51,tech_data!$B$2:$J$15,4,FALSE)/100))/1000</f>
        <v>348.19722012716204</v>
      </c>
      <c r="H57" s="30">
        <f>(indonesia!H33*3.6/(VLOOKUP(H$51,tech_data!$B$2:$J$15,4,FALSE)/100))/1000</f>
        <v>343.73399039999998</v>
      </c>
      <c r="I57" s="30">
        <f>(indonesia!I33*3.6/(VLOOKUP(I$51,tech_data!$B$2:$J$15,4,FALSE)/100))/1000</f>
        <v>95.714564584576522</v>
      </c>
      <c r="J57" s="30">
        <f>(indonesia!J33*3.6/(VLOOKUP(J$51,tech_data!$B$2:$J$15,4,FALSE)/100))/1000</f>
        <v>4.5179628302769226</v>
      </c>
      <c r="K57" s="30">
        <f t="shared" ref="K57:L57" si="96">K33*3.6/1000</f>
        <v>20.131162324916406</v>
      </c>
      <c r="L57" s="30">
        <f t="shared" si="96"/>
        <v>163.65994772843305</v>
      </c>
      <c r="M57" s="30">
        <f>(indonesia!M33*3.6/(VLOOKUP(M$51,tech_data!$B$2:$J$15,4,FALSE)/100))/1000</f>
        <v>4.1432945618858561</v>
      </c>
      <c r="N57" s="30">
        <f t="shared" si="88"/>
        <v>0</v>
      </c>
      <c r="O57" s="30">
        <f>(indonesia!O33*3.6/(VLOOKUP(O$51,tech_data!$B$2:$J$15,4,FALSE)/100))/1000</f>
        <v>0</v>
      </c>
      <c r="P57" s="30">
        <v>0</v>
      </c>
      <c r="Q57" s="30">
        <f t="shared" si="81"/>
        <v>3401.984590820347</v>
      </c>
      <c r="R57" s="30"/>
      <c r="T57" s="19"/>
      <c r="U57" s="20" t="str">
        <f t="shared" si="82"/>
        <v>INDONESIA</v>
      </c>
      <c r="V57" s="20">
        <f t="shared" si="83"/>
        <v>2024</v>
      </c>
      <c r="W57" s="30">
        <f>D57*VLOOKUP(W$51,tech_data!$B$2:$K$15,10,FALSE)*1000</f>
        <v>160226011.29014879</v>
      </c>
      <c r="X57" s="30">
        <f>E57*VLOOKUP(X$51,tech_data!$B$2:$K$15,10,FALSE)*1000</f>
        <v>10565590.358331738</v>
      </c>
      <c r="Y57" s="30">
        <f>F57*VLOOKUP(Y$51,tech_data!$B$2:$K$15,10,FALSE)*1000</f>
        <v>40053821.806060456</v>
      </c>
      <c r="Z57" s="30">
        <f>G57*VLOOKUP(Z$51,tech_data!$B$2:$K$15,10,FALSE)*1000</f>
        <v>26173985.036958773</v>
      </c>
      <c r="AA57" s="30">
        <f>H33*VLOOKUP(AA$51,tech_data!$B$2:$K$15,10,FALSE)/1000</f>
        <v>810.78254985599995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465540.57697349478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84"/>
        <v>237485759.85102314</v>
      </c>
      <c r="AK57" s="25">
        <f t="shared" si="90"/>
        <v>2.8785947707297265E-2</v>
      </c>
      <c r="AL57" s="24">
        <f t="shared" si="95"/>
        <v>5.2999999999999999E-2</v>
      </c>
      <c r="AM57" s="26"/>
      <c r="AN57" s="24"/>
      <c r="AO57" s="20" t="str">
        <f t="shared" si="85"/>
        <v>INDONESIA</v>
      </c>
      <c r="AP57" s="20">
        <f t="shared" si="8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1646.6201393125323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126.87719464123566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4132.8129057910501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430.4316633316335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97.863398329064097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215.16327165729527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8.5431961535622829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691.10550489784987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6111.2692830786682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6.1664380627951392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2.7129892464066776</v>
      </c>
      <c r="BD57" s="30">
        <f t="shared" si="91"/>
        <v>13469.565984502093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80"/>
        <v>INDONESIA</v>
      </c>
      <c r="C58" s="20">
        <f t="shared" si="80"/>
        <v>2025</v>
      </c>
      <c r="D58" s="30">
        <f>(indonesia!D34*3.6/(VLOOKUP(D$51,tech_data!$B$2:$J$15,4,FALSE)/100))/1000</f>
        <v>1606.7590382084718</v>
      </c>
      <c r="E58" s="30">
        <f>(indonesia!E34*3.6/(VLOOKUP(E$51,tech_data!$B$2:$J$15,4,FALSE)/100))/1000</f>
        <v>170.13833105204085</v>
      </c>
      <c r="F58" s="30">
        <f>(indonesia!F34*3.6/(VLOOKUP(F$51,tech_data!$B$2:$J$15,4,FALSE)/100))/1000</f>
        <v>728.30961266447298</v>
      </c>
      <c r="G58" s="30">
        <f>(indonesia!G34*3.6/(VLOOKUP(G$51,tech_data!$B$2:$J$15,4,FALSE)/100))/1000</f>
        <v>365.89106495547253</v>
      </c>
      <c r="H58" s="30">
        <f>(indonesia!H34*3.6/(VLOOKUP(H$51,tech_data!$B$2:$J$15,4,FALSE)/100))/1000</f>
        <v>343.73399039999998</v>
      </c>
      <c r="I58" s="30">
        <f>(indonesia!I34*3.6/(VLOOKUP(I$51,tech_data!$B$2:$J$15,4,FALSE)/100))/1000</f>
        <v>95.714564584576522</v>
      </c>
      <c r="J58" s="30">
        <f>(indonesia!J34*3.6/(VLOOKUP(J$51,tech_data!$B$2:$J$15,4,FALSE)/100))/1000</f>
        <v>4.5179628302769226</v>
      </c>
      <c r="K58" s="30">
        <f t="shared" ref="K58:L58" si="97">K34*3.6/1000</f>
        <v>24.694410129398197</v>
      </c>
      <c r="L58" s="30">
        <f t="shared" si="97"/>
        <v>213.9538889076058</v>
      </c>
      <c r="M58" s="30">
        <f>(indonesia!M34*3.6/(VLOOKUP(M$51,tech_data!$B$2:$J$15,4,FALSE)/100))/1000</f>
        <v>4.1432945618858561</v>
      </c>
      <c r="N58" s="30">
        <f t="shared" si="88"/>
        <v>0</v>
      </c>
      <c r="O58" s="30">
        <f>(indonesia!O34*3.6/(VLOOKUP(O$51,tech_data!$B$2:$J$15,4,FALSE)/100))/1000</f>
        <v>0</v>
      </c>
      <c r="P58" s="30">
        <v>0</v>
      </c>
      <c r="Q58" s="30">
        <f t="shared" si="81"/>
        <v>3557.8561582942016</v>
      </c>
      <c r="R58" s="30"/>
      <c r="T58" s="19"/>
      <c r="U58" s="20" t="str">
        <f t="shared" si="82"/>
        <v>INDONESIA</v>
      </c>
      <c r="V58" s="20">
        <f t="shared" si="83"/>
        <v>2025</v>
      </c>
      <c r="W58" s="30">
        <f>D58*VLOOKUP(W$51,tech_data!$B$2:$K$15,10,FALSE)*1000</f>
        <v>160226011.29014879</v>
      </c>
      <c r="X58" s="30">
        <f>E58*VLOOKUP(X$51,tech_data!$B$2:$K$15,10,FALSE)*1000</f>
        <v>10565590.358331738</v>
      </c>
      <c r="Y58" s="30">
        <f>F58*VLOOKUP(Y$51,tech_data!$B$2:$K$15,10,FALSE)*1000</f>
        <v>45228026.946463779</v>
      </c>
      <c r="Z58" s="30">
        <f>G58*VLOOKUP(Z$51,tech_data!$B$2:$K$15,10,FALSE)*1000</f>
        <v>27504031.352702871</v>
      </c>
      <c r="AA58" s="30">
        <f>H34*VLOOKUP(AA$51,tech_data!$B$2:$K$15,10,FALSE)/1000</f>
        <v>810.78254985599995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465540.57697349478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84"/>
        <v>243990011.30717051</v>
      </c>
      <c r="AK58" s="25">
        <f t="shared" si="90"/>
        <v>2.7387964062466505E-2</v>
      </c>
      <c r="AL58" s="24">
        <f t="shared" si="95"/>
        <v>5.2999999999999999E-2</v>
      </c>
      <c r="AM58" s="26"/>
      <c r="AN58" s="24"/>
      <c r="AO58" s="20" t="str">
        <f t="shared" si="85"/>
        <v>INDONESIA</v>
      </c>
      <c r="AP58" s="20">
        <f t="shared" si="8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1646.6201393125323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126.87719464123566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4159.5171085799084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433.07312878689658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97.863398329064097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215.16327165729527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8.5431961535622829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811.31374009637022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6837.8293043002122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6.1664380627951392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2.8621335249628421</v>
      </c>
      <c r="BD58" s="30">
        <f t="shared" si="91"/>
        <v>14345.829053444835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0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0</v>
      </c>
      <c r="BU58" s="20" t="b">
        <f>$AK$65&lt;=$AL$65</f>
        <v>0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0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80"/>
        <v>INDONESIA</v>
      </c>
      <c r="C59" s="20">
        <f t="shared" si="80"/>
        <v>2026</v>
      </c>
      <c r="D59" s="30">
        <f>(indonesia!D35*3.6/(VLOOKUP(D$51,tech_data!$B$2:$J$15,4,FALSE)/100))/1000</f>
        <v>1606.7590382084718</v>
      </c>
      <c r="E59" s="30">
        <f>(indonesia!E35*3.6/(VLOOKUP(E$51,tech_data!$B$2:$J$15,4,FALSE)/100))/1000</f>
        <v>170.13833105204085</v>
      </c>
      <c r="F59" s="30">
        <f>(indonesia!F35*3.6/(VLOOKUP(F$51,tech_data!$B$2:$J$15,4,FALSE)/100))/1000</f>
        <v>885.58051372792124</v>
      </c>
      <c r="G59" s="30">
        <f>(indonesia!G35*3.6/(VLOOKUP(G$51,tech_data!$B$2:$J$15,4,FALSE)/100))/1000</f>
        <v>388.97394504821472</v>
      </c>
      <c r="H59" s="30">
        <f>(indonesia!H35*3.6/(VLOOKUP(H$51,tech_data!$B$2:$J$15,4,FALSE)/100))/1000</f>
        <v>343.73399039999998</v>
      </c>
      <c r="I59" s="30">
        <f>(indonesia!I35*3.6/(VLOOKUP(I$51,tech_data!$B$2:$J$15,4,FALSE)/100))/1000</f>
        <v>95.714564584576522</v>
      </c>
      <c r="J59" s="30">
        <f>(indonesia!J35*3.6/(VLOOKUP(J$51,tech_data!$B$2:$J$15,4,FALSE)/100))/1000</f>
        <v>4.5179628302769226</v>
      </c>
      <c r="K59" s="30">
        <f t="shared" ref="K59:L59" si="98">K35*3.6/1000</f>
        <v>28.518796404413983</v>
      </c>
      <c r="L59" s="30">
        <f t="shared" si="98"/>
        <v>248.16997216310608</v>
      </c>
      <c r="M59" s="30">
        <f>(indonesia!M35*3.6/(VLOOKUP(M$51,tech_data!$B$2:$J$15,4,FALSE)/100))/1000</f>
        <v>4.1432945618858561</v>
      </c>
      <c r="N59" s="30">
        <f t="shared" si="88"/>
        <v>0</v>
      </c>
      <c r="O59" s="30">
        <f>(indonesia!O35*3.6/(VLOOKUP(O$51,tech_data!$B$2:$J$15,4,FALSE)/100))/1000</f>
        <v>0</v>
      </c>
      <c r="P59" s="30">
        <v>0</v>
      </c>
      <c r="Q59" s="30">
        <f t="shared" si="81"/>
        <v>3776.2504089809081</v>
      </c>
      <c r="R59" s="30"/>
      <c r="T59" s="19"/>
      <c r="U59" s="20" t="str">
        <f t="shared" si="82"/>
        <v>INDONESIA</v>
      </c>
      <c r="V59" s="20">
        <f t="shared" si="83"/>
        <v>2026</v>
      </c>
      <c r="W59" s="30">
        <f>D59*VLOOKUP(W$51,tech_data!$B$2:$K$15,10,FALSE)*1000</f>
        <v>160226011.29014879</v>
      </c>
      <c r="X59" s="30">
        <f>E59*VLOOKUP(X$51,tech_data!$B$2:$K$15,10,FALSE)*1000</f>
        <v>10565590.358331738</v>
      </c>
      <c r="Y59" s="30">
        <f>F59*VLOOKUP(Y$51,tech_data!$B$2:$K$15,10,FALSE)*1000</f>
        <v>54994549.902503908</v>
      </c>
      <c r="Z59" s="30">
        <f>G59*VLOOKUP(Z$51,tech_data!$B$2:$K$15,10,FALSE)*1000</f>
        <v>29239171.449274302</v>
      </c>
      <c r="AA59" s="30">
        <f>H35*VLOOKUP(AA$51,tech_data!$B$2:$K$15,10,FALSE)/1000</f>
        <v>810.78254985599995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465540.57697349478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84"/>
        <v>255491674.3597821</v>
      </c>
      <c r="AK59" s="25">
        <f t="shared" si="90"/>
        <v>4.7139893108704374E-2</v>
      </c>
      <c r="AL59" s="24">
        <f t="shared" si="95"/>
        <v>5.2999999999999999E-2</v>
      </c>
      <c r="AM59" s="26"/>
      <c r="AN59" s="24"/>
      <c r="AO59" s="20" t="str">
        <f t="shared" si="85"/>
        <v>INDONESIA</v>
      </c>
      <c r="AP59" s="20">
        <f t="shared" si="8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1646.6201393125323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126.87719464123566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7198.2801573995375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547.06891886430765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97.863398329064097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215.16327165729527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8.5431961535622829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692.70663352394536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5128.2866012969971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6.1664380627951392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3.1394683914449999</v>
      </c>
      <c r="BD59" s="30">
        <f t="shared" si="91"/>
        <v>15670.715417632715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1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0</v>
      </c>
      <c r="BU59" s="20" t="b">
        <f>$AQ$41&gt;=$AW$41</f>
        <v>0</v>
      </c>
      <c r="BV59" s="20" t="b">
        <f>$AQ$42&gt;=$AW$42</f>
        <v>1</v>
      </c>
      <c r="BW59" s="20" t="b">
        <f>$AQ$43&gt;=$AW$43</f>
        <v>0</v>
      </c>
      <c r="BX59" s="20" t="b">
        <f>$AQ$44&gt;=$AW$44</f>
        <v>1</v>
      </c>
      <c r="BY59" s="20" t="b">
        <f>$AQ$45&gt;=$AW$45</f>
        <v>1</v>
      </c>
      <c r="BZ59" s="20" t="b">
        <f>$AQ$46&gt;=$AW$46</f>
        <v>1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80"/>
        <v>INDONESIA</v>
      </c>
      <c r="C60" s="20">
        <f t="shared" si="80"/>
        <v>2027</v>
      </c>
      <c r="D60" s="30">
        <f>(indonesia!D36*3.6/(VLOOKUP(D$51,tech_data!$B$2:$J$15,4,FALSE)/100))/1000</f>
        <v>1606.7590382084718</v>
      </c>
      <c r="E60" s="30">
        <f>(indonesia!E36*3.6/(VLOOKUP(E$51,tech_data!$B$2:$J$15,4,FALSE)/100))/1000</f>
        <v>170.13833105204085</v>
      </c>
      <c r="F60" s="30">
        <f>(indonesia!F36*3.6/(VLOOKUP(F$51,tech_data!$B$2:$J$15,4,FALSE)/100))/1000</f>
        <v>1062.7033398321153</v>
      </c>
      <c r="G60" s="30">
        <f>(indonesia!G36*3.6/(VLOOKUP(G$51,tech_data!$B$2:$J$15,4,FALSE)/100))/1000</f>
        <v>414.80657014426833</v>
      </c>
      <c r="H60" s="30">
        <f>(indonesia!H36*3.6/(VLOOKUP(H$51,tech_data!$B$2:$J$15,4,FALSE)/100))/1000</f>
        <v>343.73399039999998</v>
      </c>
      <c r="I60" s="30">
        <f>(indonesia!I36*3.6/(VLOOKUP(I$51,tech_data!$B$2:$J$15,4,FALSE)/100))/1000</f>
        <v>95.714564584576522</v>
      </c>
      <c r="J60" s="30">
        <f>(indonesia!J36*3.6/(VLOOKUP(J$51,tech_data!$B$2:$J$15,4,FALSE)/100))/1000</f>
        <v>4.5179628302769226</v>
      </c>
      <c r="K60" s="30">
        <f t="shared" ref="K60:L60" si="99">K36*3.6/1000</f>
        <v>33.032262165777958</v>
      </c>
      <c r="L60" s="30">
        <f t="shared" si="99"/>
        <v>286.85038724173057</v>
      </c>
      <c r="M60" s="30">
        <f>(indonesia!M36*3.6/(VLOOKUP(M$51,tech_data!$B$2:$J$15,4,FALSE)/100))/1000</f>
        <v>4.1432945618858561</v>
      </c>
      <c r="N60" s="30">
        <f t="shared" si="88"/>
        <v>0</v>
      </c>
      <c r="O60" s="30">
        <f>(indonesia!O36*3.6/(VLOOKUP(O$51,tech_data!$B$2:$J$15,4,FALSE)/100))/1000</f>
        <v>0</v>
      </c>
      <c r="P60" s="30">
        <v>0</v>
      </c>
      <c r="Q60" s="30">
        <f t="shared" si="81"/>
        <v>4022.3997410211437</v>
      </c>
      <c r="R60" s="30"/>
      <c r="T60" s="19"/>
      <c r="U60" s="20" t="str">
        <f t="shared" si="82"/>
        <v>INDONESIA</v>
      </c>
      <c r="V60" s="20">
        <f t="shared" si="83"/>
        <v>2027</v>
      </c>
      <c r="W60" s="30">
        <f>D60*VLOOKUP(W$51,tech_data!$B$2:$K$15,10,FALSE)*1000</f>
        <v>160226011.29014879</v>
      </c>
      <c r="X60" s="30">
        <f>E60*VLOOKUP(X$51,tech_data!$B$2:$K$15,10,FALSE)*1000</f>
        <v>10565590.358331738</v>
      </c>
      <c r="Y60" s="30">
        <f>F60*VLOOKUP(Y$51,tech_data!$B$2:$K$15,10,FALSE)*1000</f>
        <v>65993877.403574355</v>
      </c>
      <c r="Z60" s="30">
        <f>G60*VLOOKUP(Z$51,tech_data!$B$2:$K$15,10,FALSE)*1000</f>
        <v>31181009.877744652</v>
      </c>
      <c r="AA60" s="30">
        <f>H36*VLOOKUP(AA$51,tech_data!$B$2:$K$15,10,FALSE)/1000</f>
        <v>810.78254985599995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465540.57697349478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84"/>
        <v>268432840.28932288</v>
      </c>
      <c r="AK60" s="25">
        <f t="shared" si="90"/>
        <v>5.0652006418483518E-2</v>
      </c>
      <c r="AL60" s="24">
        <f t="shared" si="95"/>
        <v>5.2999999999999999E-2</v>
      </c>
      <c r="AM60" s="26"/>
      <c r="AN60" s="24"/>
      <c r="AO60" s="20" t="str">
        <f t="shared" si="85"/>
        <v>INDONESIA</v>
      </c>
      <c r="AP60" s="20">
        <f t="shared" si="8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1646.6201393125323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126.87719464123566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8194.1259851220293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608.08326620649018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97.863398329064097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215.16327165729527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8.5431961535622829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816.49945313544777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5826.6471004938066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6.1664380627951392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3.5355444321197615</v>
      </c>
      <c r="BD60" s="30">
        <f t="shared" si="91"/>
        <v>17550.124987546376</v>
      </c>
      <c r="BE60" s="20">
        <v>2027</v>
      </c>
      <c r="BF60" s="23"/>
      <c r="BG60" s="19"/>
      <c r="BI60" s="20" t="b">
        <f>$AR$29&gt;=$AX$29</f>
        <v>1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80"/>
        <v>INDONESIA</v>
      </c>
      <c r="C61" s="20">
        <f t="shared" si="80"/>
        <v>2028</v>
      </c>
      <c r="D61" s="30">
        <f>(indonesia!D37*3.6/(VLOOKUP(D$51,tech_data!$B$2:$J$15,4,FALSE)/100))/1000</f>
        <v>1606.7590382084718</v>
      </c>
      <c r="E61" s="30">
        <f>(indonesia!E37*3.6/(VLOOKUP(E$51,tech_data!$B$2:$J$15,4,FALSE)/100))/1000</f>
        <v>170.13833105204085</v>
      </c>
      <c r="F61" s="30">
        <f>(indonesia!F37*3.6/(VLOOKUP(F$51,tech_data!$B$2:$J$15,4,FALSE)/100))/1000</f>
        <v>1181.5927985744336</v>
      </c>
      <c r="G61" s="30">
        <f>(indonesia!G37*3.6/(VLOOKUP(G$51,tech_data!$B$2:$J$15,4,FALSE)/100))/1000</f>
        <v>428.96963258593581</v>
      </c>
      <c r="H61" s="30">
        <f>(indonesia!H37*3.6/(VLOOKUP(H$51,tech_data!$B$2:$J$15,4,FALSE)/100))/1000</f>
        <v>343.73399039999998</v>
      </c>
      <c r="I61" s="30">
        <f>(indonesia!I37*3.6/(VLOOKUP(I$51,tech_data!$B$2:$J$15,4,FALSE)/100))/1000</f>
        <v>95.714564584576522</v>
      </c>
      <c r="J61" s="30">
        <f>(indonesia!J37*3.6/(VLOOKUP(J$51,tech_data!$B$2:$J$15,4,FALSE)/100))/1000</f>
        <v>4.5179628302769226</v>
      </c>
      <c r="K61" s="30">
        <f t="shared" ref="K61:L61" si="100">K37*3.6/1000</f>
        <v>37.0955766063488</v>
      </c>
      <c r="L61" s="30">
        <f t="shared" si="100"/>
        <v>314.91966807367874</v>
      </c>
      <c r="M61" s="30">
        <f>(indonesia!M37*3.6/(VLOOKUP(M$51,tech_data!$B$2:$J$15,4,FALSE)/100))/1000</f>
        <v>4.1432945618858561</v>
      </c>
      <c r="N61" s="30">
        <f t="shared" si="88"/>
        <v>0</v>
      </c>
      <c r="O61" s="30">
        <f>(indonesia!O37*3.6/(VLOOKUP(O$51,tech_data!$B$2:$J$15,4,FALSE)/100))/1000</f>
        <v>0</v>
      </c>
      <c r="P61" s="30">
        <v>0</v>
      </c>
      <c r="Q61" s="30">
        <f t="shared" si="81"/>
        <v>4187.5848574776492</v>
      </c>
      <c r="R61" s="30"/>
      <c r="T61" s="19"/>
      <c r="U61" s="20" t="str">
        <f t="shared" si="82"/>
        <v>INDONESIA</v>
      </c>
      <c r="V61" s="20">
        <f t="shared" si="83"/>
        <v>2028</v>
      </c>
      <c r="W61" s="30">
        <f>D61*VLOOKUP(W$51,tech_data!$B$2:$K$15,10,FALSE)*1000</f>
        <v>160226011.29014879</v>
      </c>
      <c r="X61" s="30">
        <f>E61*VLOOKUP(X$51,tech_data!$B$2:$K$15,10,FALSE)*1000</f>
        <v>10565590.358331738</v>
      </c>
      <c r="Y61" s="30">
        <f>F61*VLOOKUP(Y$51,tech_data!$B$2:$K$15,10,FALSE)*1000</f>
        <v>73376912.791472316</v>
      </c>
      <c r="Z61" s="30">
        <f>G61*VLOOKUP(Z$51,tech_data!$B$2:$K$15,10,FALSE)*1000</f>
        <v>32245647.281484794</v>
      </c>
      <c r="AA61" s="30">
        <f>H37*VLOOKUP(AA$51,tech_data!$B$2:$K$15,10,FALSE)/1000</f>
        <v>810.78254985599995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465540.57697349478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84"/>
        <v>276880513.08096099</v>
      </c>
      <c r="AK61" s="25">
        <f t="shared" si="90"/>
        <v>3.1470340151126874E-2</v>
      </c>
      <c r="AL61" s="24">
        <f t="shared" si="95"/>
        <v>5.2999999999999999E-2</v>
      </c>
      <c r="AM61" s="26"/>
      <c r="AN61" s="24"/>
      <c r="AO61" s="20" t="str">
        <f t="shared" si="85"/>
        <v>INDONESIA</v>
      </c>
      <c r="AP61" s="20">
        <f t="shared" si="8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1646.6201393125323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126.87719464123566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6125.2481250915689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374.2333510670889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97.863398329064097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215.16327165729527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8.5431961535622829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747.06474329373066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4723.8490651354541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6.1664380627951392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2.5753586389243268</v>
      </c>
      <c r="BD61" s="30">
        <f t="shared" si="91"/>
        <v>14074.20428138325</v>
      </c>
      <c r="BE61" s="20">
        <v>2028</v>
      </c>
      <c r="BF61" s="23"/>
      <c r="BG61" s="19"/>
      <c r="BI61" s="20" t="b">
        <f>$AS$29&lt;=$AY$29</f>
        <v>0</v>
      </c>
      <c r="BJ61" s="20" t="b">
        <f>$AS$30&lt;=$AY$30</f>
        <v>1</v>
      </c>
      <c r="BK61" s="20" t="b">
        <f>$AS$31&lt;=$AY$31</f>
        <v>1</v>
      </c>
      <c r="BL61" s="20" t="b">
        <f>$AS$32&lt;=$AY$32</f>
        <v>0</v>
      </c>
      <c r="BM61" s="20" t="b">
        <f>$AS$33&lt;=$AY$33</f>
        <v>0</v>
      </c>
      <c r="BN61" s="20" t="b">
        <f>$AS$34&lt;=$AY$34</f>
        <v>0</v>
      </c>
      <c r="BO61" s="20" t="b">
        <f>$AS$35&lt;=$AY$35</f>
        <v>1</v>
      </c>
      <c r="BP61" s="20" t="b">
        <f>$AS$36&lt;=$AY$36</f>
        <v>0</v>
      </c>
      <c r="BQ61" s="20" t="b">
        <f>$AS$37&lt;=$AY$37</f>
        <v>0</v>
      </c>
      <c r="BR61" s="20" t="b">
        <f>$AS$38&lt;=$AY$38</f>
        <v>1</v>
      </c>
      <c r="BS61" s="20" t="b">
        <f>$AS$39&lt;=$AY$39</f>
        <v>0</v>
      </c>
      <c r="BT61" s="20" t="b">
        <f>$AS$40&lt;=$AY$40</f>
        <v>1</v>
      </c>
      <c r="BU61" s="20" t="b">
        <f>$AS$41&lt;=$AY$41</f>
        <v>1</v>
      </c>
      <c r="BV61" s="20" t="b">
        <f>$AS$42&lt;=$AY$42</f>
        <v>0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80"/>
        <v>INDONESIA</v>
      </c>
      <c r="C62" s="20">
        <f t="shared" si="80"/>
        <v>2029</v>
      </c>
      <c r="D62" s="30">
        <f>(indonesia!D38*3.6/(VLOOKUP(D$51,tech_data!$B$2:$J$15,4,FALSE)/100))/1000</f>
        <v>1647.4842988397818</v>
      </c>
      <c r="E62" s="30">
        <f>(indonesia!E38*3.6/(VLOOKUP(E$51,tech_data!$B$2:$J$15,4,FALSE)/100))/1000</f>
        <v>170.13833105204085</v>
      </c>
      <c r="F62" s="30">
        <f>(indonesia!F38*3.6/(VLOOKUP(F$51,tech_data!$B$2:$J$15,4,FALSE)/100))/1000</f>
        <v>1285.1665615510692</v>
      </c>
      <c r="G62" s="30">
        <f>(indonesia!G38*3.6/(VLOOKUP(G$51,tech_data!$B$2:$J$15,4,FALSE)/100))/1000</f>
        <v>444.60143043147434</v>
      </c>
      <c r="H62" s="30">
        <f>(indonesia!H38*3.6/(VLOOKUP(H$51,tech_data!$B$2:$J$15,4,FALSE)/100))/1000</f>
        <v>343.73399039999998</v>
      </c>
      <c r="I62" s="30">
        <f>(indonesia!I38*3.6/(VLOOKUP(I$51,tech_data!$B$2:$J$15,4,FALSE)/100))/1000</f>
        <v>95.714564584576522</v>
      </c>
      <c r="J62" s="30">
        <f>(indonesia!J38*3.6/(VLOOKUP(J$51,tech_data!$B$2:$J$15,4,FALSE)/100))/1000</f>
        <v>4.5179628302769226</v>
      </c>
      <c r="K62" s="30">
        <f t="shared" ref="K62:L62" si="101">K38*3.6/1000</f>
        <v>41.743750021429435</v>
      </c>
      <c r="L62" s="30">
        <f t="shared" si="101"/>
        <v>345.71751091174627</v>
      </c>
      <c r="M62" s="30">
        <f>(indonesia!M38*3.6/(VLOOKUP(M$51,tech_data!$B$2:$J$15,4,FALSE)/100))/1000</f>
        <v>4.1432945618858561</v>
      </c>
      <c r="N62" s="30">
        <f t="shared" si="88"/>
        <v>0</v>
      </c>
      <c r="O62" s="30">
        <f>(indonesia!O38*3.6/(VLOOKUP(O$51,tech_data!$B$2:$J$15,4,FALSE)/100))/1000</f>
        <v>0</v>
      </c>
      <c r="P62" s="30">
        <v>0</v>
      </c>
      <c r="Q62" s="30">
        <f t="shared" si="81"/>
        <v>4382.9616951842818</v>
      </c>
      <c r="R62" s="30"/>
      <c r="T62" s="19"/>
      <c r="U62" s="20" t="str">
        <f t="shared" si="82"/>
        <v>INDONESIA</v>
      </c>
      <c r="V62" s="20">
        <f t="shared" si="83"/>
        <v>2029</v>
      </c>
      <c r="W62" s="30">
        <f>D62*VLOOKUP(W$51,tech_data!$B$2:$K$15,10,FALSE)*1000</f>
        <v>164287134.28030303</v>
      </c>
      <c r="X62" s="30">
        <f>E62*VLOOKUP(X$51,tech_data!$B$2:$K$15,10,FALSE)*1000</f>
        <v>10565590.358331738</v>
      </c>
      <c r="Y62" s="30">
        <f>F62*VLOOKUP(Y$51,tech_data!$B$2:$K$15,10,FALSE)*1000</f>
        <v>79808843.472321406</v>
      </c>
      <c r="Z62" s="30">
        <f>G62*VLOOKUP(Z$51,tech_data!$B$2:$K$15,10,FALSE)*1000</f>
        <v>33420689.525533926</v>
      </c>
      <c r="AA62" s="30">
        <f>H38*VLOOKUP(AA$51,tech_data!$B$2:$K$15,10,FALSE)/1000</f>
        <v>810.78254985599995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465540.57697349478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84"/>
        <v>288548608.99601346</v>
      </c>
      <c r="AK62" s="25">
        <f t="shared" si="90"/>
        <v>4.2141268033697533E-2</v>
      </c>
      <c r="AL62" s="24">
        <f t="shared" si="95"/>
        <v>5.2999999999999999E-2</v>
      </c>
      <c r="AM62" s="26"/>
      <c r="AN62" s="24"/>
      <c r="AO62" s="20" t="str">
        <f t="shared" si="85"/>
        <v>INDONESIA</v>
      </c>
      <c r="AP62" s="20">
        <f t="shared" si="8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3022.394132232565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126.87719464123566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5677.64700395421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407.1948591246628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97.863398329064097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215.16327165729527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8.5431961535622829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853.46732256207281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5183.9048159831291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6.1664380627951392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2.8208502078010613</v>
      </c>
      <c r="BD62" s="30">
        <f t="shared" si="91"/>
        <v>15602.042482908393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0</v>
      </c>
      <c r="BM62" s="20" t="b">
        <f>$AT$33&gt;=$AZ$33</f>
        <v>0</v>
      </c>
      <c r="BN62" s="20" t="b">
        <f>$AT$34&gt;=$AZ$34</f>
        <v>1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1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80"/>
        <v>INDONESIA</v>
      </c>
      <c r="C63" s="20">
        <f t="shared" si="80"/>
        <v>2030</v>
      </c>
      <c r="D63" s="30">
        <f>(indonesia!D39*3.6/(VLOOKUP(D$51,tech_data!$B$2:$J$15,4,FALSE)/100))/1000</f>
        <v>1725.30006237724</v>
      </c>
      <c r="E63" s="30">
        <f>(indonesia!E39*3.6/(VLOOKUP(E$51,tech_data!$B$2:$J$15,4,FALSE)/100))/1000</f>
        <v>170.13833105204085</v>
      </c>
      <c r="F63" s="30">
        <f>(indonesia!F39*3.6/(VLOOKUP(F$51,tech_data!$B$2:$J$15,4,FALSE)/100))/1000</f>
        <v>1363.4771257004547</v>
      </c>
      <c r="G63" s="30">
        <f>(indonesia!G39*3.6/(VLOOKUP(G$51,tech_data!$B$2:$J$15,4,FALSE)/100))/1000</f>
        <v>459.43644849391063</v>
      </c>
      <c r="H63" s="30">
        <f>(indonesia!H39*3.6/(VLOOKUP(H$51,tech_data!$B$2:$J$15,4,FALSE)/100))/1000</f>
        <v>343.73399039999998</v>
      </c>
      <c r="I63" s="30">
        <f>(indonesia!I39*3.6/(VLOOKUP(I$51,tech_data!$B$2:$J$15,4,FALSE)/100))/1000</f>
        <v>95.714564584576522</v>
      </c>
      <c r="J63" s="30">
        <f>(indonesia!J39*3.6/(VLOOKUP(J$51,tech_data!$B$2:$J$15,4,FALSE)/100))/1000</f>
        <v>4.5179628302769226</v>
      </c>
      <c r="K63" s="30">
        <f t="shared" ref="K63:L63" si="102">K39*3.6/1000</f>
        <v>46.82692081610314</v>
      </c>
      <c r="L63" s="30">
        <f t="shared" si="102"/>
        <v>376.84025278203592</v>
      </c>
      <c r="M63" s="30">
        <f>(indonesia!M39*3.6/(VLOOKUP(M$51,tech_data!$B$2:$J$15,4,FALSE)/100))/1000</f>
        <v>4.1432945618858561</v>
      </c>
      <c r="N63" s="30">
        <f t="shared" si="88"/>
        <v>0</v>
      </c>
      <c r="O63" s="30">
        <f>(indonesia!O39*3.6/(VLOOKUP(O$51,tech_data!$B$2:$J$15,4,FALSE)/100))/1000</f>
        <v>0</v>
      </c>
      <c r="P63" s="30">
        <v>0</v>
      </c>
      <c r="Q63" s="30">
        <f t="shared" si="81"/>
        <v>4590.1289535985252</v>
      </c>
      <c r="R63" s="30"/>
      <c r="T63" s="19"/>
      <c r="U63" s="20" t="str">
        <f t="shared" si="82"/>
        <v>INDONESIA</v>
      </c>
      <c r="V63" s="20">
        <f t="shared" si="83"/>
        <v>2030</v>
      </c>
      <c r="W63" s="30">
        <f>D63*VLOOKUP(W$51,tech_data!$B$2:$K$15,10,FALSE)*1000</f>
        <v>172046922.22025836</v>
      </c>
      <c r="X63" s="30">
        <f>E63*VLOOKUP(X$51,tech_data!$B$2:$K$15,10,FALSE)*1000</f>
        <v>10565590.358331738</v>
      </c>
      <c r="Y63" s="30">
        <f>F63*VLOOKUP(Y$51,tech_data!$B$2:$K$15,10,FALSE)*1000</f>
        <v>84671929.505998239</v>
      </c>
      <c r="Z63" s="30">
        <f>G63*VLOOKUP(Z$51,tech_data!$B$2:$K$15,10,FALSE)*1000</f>
        <v>34535837.833287261</v>
      </c>
      <c r="AA63" s="30">
        <f>H39*VLOOKUP(AA$51,tech_data!$B$2:$K$15,10,FALSE)/1000</f>
        <v>810.78254985599995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465540.57697349478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84"/>
        <v>302286631.27739894</v>
      </c>
      <c r="AK63" s="25">
        <f t="shared" si="90"/>
        <v>4.7610772857946036E-2</v>
      </c>
      <c r="AL63" s="24">
        <f t="shared" si="95"/>
        <v>5.2999999999999999E-2</v>
      </c>
      <c r="AM63" s="26"/>
      <c r="AN63" s="24"/>
      <c r="AO63" s="20" t="str">
        <f t="shared" si="85"/>
        <v>INDONESIA</v>
      </c>
      <c r="AP63" s="20">
        <f t="shared" si="8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4317.1149318548196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126.87719464123566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4815.8000956112937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394.03833495251331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97.863398329064097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215.16327165729527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8.5431961535622829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935.25749318296721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5366.1426338068586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6.1664380627951392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2.8537495327566078</v>
      </c>
      <c r="BD63" s="30">
        <f t="shared" si="91"/>
        <v>16285.82073778516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80"/>
        <v>INDONESIA</v>
      </c>
      <c r="C64" s="20">
        <f t="shared" si="80"/>
        <v>2031</v>
      </c>
      <c r="D64" s="30">
        <f>(indonesia!D40*3.6/(VLOOKUP(D$51,tech_data!$B$2:$J$15,4,FALSE)/100))/1000</f>
        <v>1817.9743781884092</v>
      </c>
      <c r="E64" s="30">
        <f>(indonesia!E40*3.6/(VLOOKUP(E$51,tech_data!$B$2:$J$15,4,FALSE)/100))/1000</f>
        <v>170.13833105204085</v>
      </c>
      <c r="F64" s="30">
        <f>(indonesia!F40*3.6/(VLOOKUP(F$51,tech_data!$B$2:$J$15,4,FALSE)/100))/1000</f>
        <v>1465.4323406786523</v>
      </c>
      <c r="G64" s="30">
        <f>(indonesia!G40*3.6/(VLOOKUP(G$51,tech_data!$B$2:$J$15,4,FALSE)/100))/1000</f>
        <v>465.40012871959476</v>
      </c>
      <c r="H64" s="30">
        <f>(indonesia!H40*3.6/(VLOOKUP(H$51,tech_data!$B$2:$J$15,4,FALSE)/100))/1000</f>
        <v>343.73399039999998</v>
      </c>
      <c r="I64" s="30">
        <f>(indonesia!I40*3.6/(VLOOKUP(I$51,tech_data!$B$2:$J$15,4,FALSE)/100))/1000</f>
        <v>95.714564584576522</v>
      </c>
      <c r="J64" s="30">
        <f>(indonesia!J40*3.6/(VLOOKUP(J$51,tech_data!$B$2:$J$15,4,FALSE)/100))/1000</f>
        <v>4.5179628302769226</v>
      </c>
      <c r="K64" s="30">
        <f t="shared" ref="K64:L64" si="103">K40*3.6/1000</f>
        <v>52.847732000937725</v>
      </c>
      <c r="L64" s="30">
        <f t="shared" si="103"/>
        <v>413.16781695930558</v>
      </c>
      <c r="M64" s="30">
        <f>(indonesia!M40*3.6/(VLOOKUP(M$51,tech_data!$B$2:$J$15,4,FALSE)/100))/1000</f>
        <v>4.1432945618858561</v>
      </c>
      <c r="N64" s="30">
        <f t="shared" si="88"/>
        <v>2.3913393352125241E-14</v>
      </c>
      <c r="O64" s="30">
        <f>(indonesia!O40*3.6/(VLOOKUP(O$51,tech_data!$B$2:$J$15,4,FALSE)/100))/1000</f>
        <v>3.3471465980845703E-10</v>
      </c>
      <c r="P64" s="30">
        <v>0</v>
      </c>
      <c r="Q64" s="30">
        <f t="shared" si="81"/>
        <v>4833.0705399760145</v>
      </c>
      <c r="R64" s="30"/>
      <c r="T64" s="19"/>
      <c r="U64" s="20" t="str">
        <f t="shared" si="82"/>
        <v>INDONESIA</v>
      </c>
      <c r="V64" s="20">
        <f t="shared" si="83"/>
        <v>2031</v>
      </c>
      <c r="W64" s="30">
        <f>D64*VLOOKUP(W$51,tech_data!$B$2:$K$15,10,FALSE)*1000</f>
        <v>181288404.99294817</v>
      </c>
      <c r="X64" s="30">
        <f>E64*VLOOKUP(X$51,tech_data!$B$2:$K$15,10,FALSE)*1000</f>
        <v>10565590.358331738</v>
      </c>
      <c r="Y64" s="30">
        <f>F64*VLOOKUP(Y$51,tech_data!$B$2:$K$15,10,FALSE)*1000</f>
        <v>91003348.356144309</v>
      </c>
      <c r="Z64" s="30">
        <f>G64*VLOOKUP(Z$51,tech_data!$B$2:$K$15,10,FALSE)*1000</f>
        <v>34984127.675851941</v>
      </c>
      <c r="AA64" s="30">
        <f>H40*VLOOKUP(AA$51,tech_data!$B$2:$K$15,10,FALSE)/1000</f>
        <v>810.78254985599995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465540.57697349478</v>
      </c>
      <c r="AG64" s="30">
        <f>N64*VLOOKUP(AG$51,tech_data!$B$2:$K$15,10,FALSE)*1000</f>
        <v>0</v>
      </c>
      <c r="AH64" s="30">
        <f>O64*VLOOKUP(AH$51,tech_data!$B$2:$K$15,10,FALSE)*1000</f>
        <v>9.2950261028808516E-6</v>
      </c>
      <c r="AI64" s="30"/>
      <c r="AJ64" s="30">
        <f t="shared" si="84"/>
        <v>318307822.74280882</v>
      </c>
      <c r="AK64" s="25">
        <f t="shared" si="90"/>
        <v>5.3000000025498088E-2</v>
      </c>
      <c r="AL64" s="24">
        <f t="shared" si="95"/>
        <v>5.2999999999999999E-2</v>
      </c>
      <c r="AM64" s="26"/>
      <c r="AN64" s="24"/>
      <c r="AO64" s="20" t="str">
        <f t="shared" si="85"/>
        <v>INDONESIA</v>
      </c>
      <c r="AP64" s="20">
        <f t="shared" si="8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4898.8103249248225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126.87719464123566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5856.3820629372822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215.28950615573598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97.863398329064097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215.16327165729527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8.5431961535622829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1103.5072874296379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6139.6317776956248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6.1664380627951392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1.0948528409861034E-11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6.0055409135266005E-8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3.31968990412458</v>
      </c>
      <c r="BD64" s="30">
        <f t="shared" si="91"/>
        <v>18671.554147951247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80"/>
        <v>INDONESIA</v>
      </c>
      <c r="C65" s="20">
        <f t="shared" si="80"/>
        <v>2032</v>
      </c>
      <c r="D65" s="30">
        <f>(indonesia!D41*3.6/(VLOOKUP(D$51,tech_data!$B$2:$J$15,4,FALSE)/100))/1000</f>
        <v>1914.5219152475026</v>
      </c>
      <c r="E65" s="30">
        <f>(indonesia!E41*3.6/(VLOOKUP(E$51,tech_data!$B$2:$J$15,4,FALSE)/100))/1000</f>
        <v>170.13833105204085</v>
      </c>
      <c r="F65" s="30">
        <f>(indonesia!F41*3.6/(VLOOKUP(F$51,tech_data!$B$2:$J$15,4,FALSE)/100))/1000</f>
        <v>1568.1411062935022</v>
      </c>
      <c r="G65" s="30">
        <f>(indonesia!G41*3.6/(VLOOKUP(G$51,tech_data!$B$2:$J$15,4,FALSE)/100))/1000</f>
        <v>476.89912969711054</v>
      </c>
      <c r="H65" s="30">
        <f>(indonesia!H41*3.6/(VLOOKUP(H$51,tech_data!$B$2:$J$15,4,FALSE)/100))/1000</f>
        <v>343.73399039999998</v>
      </c>
      <c r="I65" s="30">
        <f>(indonesia!I41*3.6/(VLOOKUP(I$51,tech_data!$B$2:$J$15,4,FALSE)/100))/1000</f>
        <v>95.714564584576522</v>
      </c>
      <c r="J65" s="30">
        <f>(indonesia!J41*3.6/(VLOOKUP(J$51,tech_data!$B$2:$J$15,4,FALSE)/100))/1000</f>
        <v>4.5179628302769226</v>
      </c>
      <c r="K65" s="30">
        <f t="shared" ref="K65:L65" si="104">K41*3.6/1000</f>
        <v>59.601337148513572</v>
      </c>
      <c r="L65" s="30">
        <f t="shared" si="104"/>
        <v>451.47884185194107</v>
      </c>
      <c r="M65" s="30">
        <f>(indonesia!M41*3.6/(VLOOKUP(M$51,tech_data!$B$2:$J$15,4,FALSE)/100))/1000</f>
        <v>4.1432945618858561</v>
      </c>
      <c r="N65" s="30">
        <f t="shared" si="88"/>
        <v>2.3913393352125241E-14</v>
      </c>
      <c r="O65" s="30">
        <f>(indonesia!O41*3.6/(VLOOKUP(O$51,tech_data!$B$2:$J$15,4,FALSE)/100))/1000</f>
        <v>3.3471465980845703E-10</v>
      </c>
      <c r="P65" s="30">
        <v>0</v>
      </c>
      <c r="Q65" s="30">
        <f t="shared" si="81"/>
        <v>5088.890473667685</v>
      </c>
      <c r="R65" s="30"/>
      <c r="T65" s="19"/>
      <c r="U65" s="20" t="str">
        <f t="shared" si="82"/>
        <v>INDONESIA</v>
      </c>
      <c r="V65" s="20">
        <f t="shared" si="83"/>
        <v>2032</v>
      </c>
      <c r="W65" s="30">
        <f>D65*VLOOKUP(W$51,tech_data!$B$2:$K$15,10,FALSE)*1000</f>
        <v>190916125.38848096</v>
      </c>
      <c r="X65" s="30">
        <f>E65*VLOOKUP(X$51,tech_data!$B$2:$K$15,10,FALSE)*1000</f>
        <v>10565590.358331738</v>
      </c>
      <c r="Y65" s="30">
        <f>F65*VLOOKUP(Y$51,tech_data!$B$2:$K$15,10,FALSE)*1000</f>
        <v>97381562.700826481</v>
      </c>
      <c r="Z65" s="30">
        <f>G65*VLOOKUP(Z$51,tech_data!$B$2:$K$15,10,FALSE)*1000</f>
        <v>35848507.5793318</v>
      </c>
      <c r="AA65" s="30">
        <f>H41*VLOOKUP(AA$51,tech_data!$B$2:$K$15,10,FALSE)/1000</f>
        <v>810.78254985599995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465540.57697349478</v>
      </c>
      <c r="AG65" s="30">
        <f>N65*VLOOKUP(AG$51,tech_data!$B$2:$K$15,10,FALSE)*1000</f>
        <v>0</v>
      </c>
      <c r="AH65" s="30">
        <f>O65*VLOOKUP(AH$51,tech_data!$B$2:$K$15,10,FALSE)*1000</f>
        <v>9.2950261028808516E-6</v>
      </c>
      <c r="AI65" s="30"/>
      <c r="AJ65" s="30">
        <f t="shared" si="84"/>
        <v>335178137.38650364</v>
      </c>
      <c r="AK65" s="25">
        <f t="shared" si="90"/>
        <v>5.3000000120405302E-2</v>
      </c>
      <c r="AL65" s="24">
        <f t="shared" si="95"/>
        <v>5.2999999999999999E-2</v>
      </c>
      <c r="AM65" s="26"/>
      <c r="AN65" s="24"/>
      <c r="AO65" s="20" t="str">
        <f t="shared" si="85"/>
        <v>INDONESIA</v>
      </c>
      <c r="AP65" s="20">
        <f t="shared" si="8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5124.6282582050335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126.87719464123566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6022.3204656042062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329.90522799439816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97.863398329064097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215.16327165729527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8.5431961535622829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1238.3396452944664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6547.9789839803389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6.1664380627951392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2.9427785955430761E-13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2.0533429967641844E-9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3.5032901432998331</v>
      </c>
      <c r="BD65" s="30">
        <f t="shared" si="91"/>
        <v>19721.289370067749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80"/>
        <v>INDONESIA</v>
      </c>
      <c r="C66" s="20">
        <f t="shared" si="80"/>
        <v>2033</v>
      </c>
      <c r="D66" s="30">
        <f>(indonesia!D42*3.6/(VLOOKUP(D$51,tech_data!$B$2:$J$15,4,FALSE)/100))/1000</f>
        <v>2009.5446921034904</v>
      </c>
      <c r="E66" s="30">
        <f>(indonesia!E42*3.6/(VLOOKUP(E$51,tech_data!$B$2:$J$15,4,FALSE)/100))/1000</f>
        <v>170.13833105204085</v>
      </c>
      <c r="F66" s="30">
        <f>(indonesia!F42*3.6/(VLOOKUP(F$51,tech_data!$B$2:$J$15,4,FALSE)/100))/1000</f>
        <v>1649.8176394490185</v>
      </c>
      <c r="G66" s="30">
        <f>(indonesia!G42*3.6/(VLOOKUP(G$51,tech_data!$B$2:$J$15,4,FALSE)/100))/1000</f>
        <v>514.29948883805127</v>
      </c>
      <c r="H66" s="30">
        <f>(indonesia!H42*3.6/(VLOOKUP(H$51,tech_data!$B$2:$J$15,4,FALSE)/100))/1000</f>
        <v>343.73399039999998</v>
      </c>
      <c r="I66" s="30">
        <f>(indonesia!I42*3.6/(VLOOKUP(I$51,tech_data!$B$2:$J$15,4,FALSE)/100))/1000</f>
        <v>95.714564584576522</v>
      </c>
      <c r="J66" s="30">
        <f>(indonesia!J42*3.6/(VLOOKUP(J$51,tech_data!$B$2:$J$15,4,FALSE)/100))/1000</f>
        <v>4.5179628302769226</v>
      </c>
      <c r="K66" s="30">
        <f t="shared" ref="K66:L66" si="105">K42*3.6/1000</f>
        <v>66.988673424937787</v>
      </c>
      <c r="L66" s="30">
        <f t="shared" si="105"/>
        <v>490.10137706197128</v>
      </c>
      <c r="M66" s="30">
        <f>(indonesia!M42*3.6/(VLOOKUP(M$51,tech_data!$B$2:$J$15,4,FALSE)/100))/1000</f>
        <v>4.1432945618858561</v>
      </c>
      <c r="N66" s="30">
        <f t="shared" si="88"/>
        <v>2.3913393352125241E-14</v>
      </c>
      <c r="O66" s="30">
        <f>(indonesia!O42*3.6/(VLOOKUP(O$51,tech_data!$B$2:$J$15,4,FALSE)/100))/1000</f>
        <v>3.3471465980845703E-10</v>
      </c>
      <c r="P66" s="30">
        <v>0</v>
      </c>
      <c r="Q66" s="30">
        <f t="shared" si="81"/>
        <v>5349.0000143065845</v>
      </c>
      <c r="R66" s="30"/>
      <c r="T66" s="19"/>
      <c r="U66" s="20" t="str">
        <f t="shared" si="82"/>
        <v>INDONESIA</v>
      </c>
      <c r="V66" s="20">
        <f t="shared" si="83"/>
        <v>2033</v>
      </c>
      <c r="W66" s="30">
        <f>D66*VLOOKUP(W$51,tech_data!$B$2:$K$15,10,FALSE)*1000</f>
        <v>200391796.69656006</v>
      </c>
      <c r="X66" s="30">
        <f>E66*VLOOKUP(X$51,tech_data!$B$2:$K$15,10,FALSE)*1000</f>
        <v>10565590.358331738</v>
      </c>
      <c r="Y66" s="30">
        <f>F66*VLOOKUP(Y$51,tech_data!$B$2:$K$15,10,FALSE)*1000</f>
        <v>102453675.40978406</v>
      </c>
      <c r="Z66" s="30">
        <f>G66*VLOOKUP(Z$51,tech_data!$B$2:$K$15,10,FALSE)*1000</f>
        <v>38659892.575956315</v>
      </c>
      <c r="AA66" s="30">
        <f>H42*VLOOKUP(AA$51,tech_data!$B$2:$K$15,10,FALSE)/1000</f>
        <v>810.78254985599995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465540.57697349478</v>
      </c>
      <c r="AG66" s="30">
        <f>N66*VLOOKUP(AG$51,tech_data!$B$2:$K$15,10,FALSE)*1000</f>
        <v>0</v>
      </c>
      <c r="AH66" s="30">
        <f>O66*VLOOKUP(AH$51,tech_data!$B$2:$K$15,10,FALSE)*1000</f>
        <v>9.2950261028808516E-6</v>
      </c>
      <c r="AI66" s="30"/>
      <c r="AJ66" s="30">
        <f t="shared" si="84"/>
        <v>352537306.40016478</v>
      </c>
      <c r="AK66" s="25">
        <f t="shared" si="90"/>
        <v>5.1790874992672285E-2</v>
      </c>
      <c r="AL66" s="24">
        <f t="shared" si="95"/>
        <v>5.2999999999999999E-2</v>
      </c>
      <c r="AM66" s="26"/>
      <c r="AN66" s="24"/>
      <c r="AO66" s="20" t="str">
        <f t="shared" si="85"/>
        <v>INDONESIA</v>
      </c>
      <c r="AP66" s="20">
        <f t="shared" si="8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5172.0617879704068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126.87719464123566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5326.8134874270454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862.90028120404793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97.863398329064097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215.16327165729527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8.5431961535622829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1357.4670469286864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6763.4773690752309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6.1664380627951392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2.9427785955430761E-13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2.0533429967641844E-9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3.5443701567947525</v>
      </c>
      <c r="BD66" s="30">
        <f t="shared" si="91"/>
        <v>19940.877841608217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0</v>
      </c>
      <c r="BX66" s="20" t="b">
        <f>$BU$44&gt;=$BT$44</f>
        <v>1</v>
      </c>
      <c r="BY66" s="20" t="b">
        <f>$BU$45&gt;=$BT$45</f>
        <v>1</v>
      </c>
      <c r="BZ66" s="20" t="b">
        <f>$BU$46&gt;=$BT$46</f>
        <v>0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80"/>
        <v>INDONESIA</v>
      </c>
      <c r="C67" s="20">
        <f t="shared" si="80"/>
        <v>2034</v>
      </c>
      <c r="D67" s="30">
        <f>(indonesia!D43*3.6/(VLOOKUP(D$51,tech_data!$B$2:$J$15,4,FALSE)/100))/1000</f>
        <v>2118.7912013434307</v>
      </c>
      <c r="E67" s="30">
        <f>(indonesia!E43*3.6/(VLOOKUP(E$51,tech_data!$B$2:$J$15,4,FALSE)/100))/1000</f>
        <v>170.13833105204085</v>
      </c>
      <c r="F67" s="30">
        <f>(indonesia!F43*3.6/(VLOOKUP(F$51,tech_data!$B$2:$J$15,4,FALSE)/100))/1000</f>
        <v>1768.4293872213518</v>
      </c>
      <c r="G67" s="30">
        <f>(indonesia!G43*3.6/(VLOOKUP(G$51,tech_data!$B$2:$J$15,4,FALSE)/100))/1000</f>
        <v>519.94836139250037</v>
      </c>
      <c r="H67" s="30">
        <f>(indonesia!H43*3.6/(VLOOKUP(H$51,tech_data!$B$2:$J$15,4,FALSE)/100))/1000</f>
        <v>343.73399039999998</v>
      </c>
      <c r="I67" s="30">
        <f>(indonesia!I43*3.6/(VLOOKUP(I$51,tech_data!$B$2:$J$15,4,FALSE)/100))/1000</f>
        <v>95.714564584577133</v>
      </c>
      <c r="J67" s="30">
        <f>(indonesia!J43*3.6/(VLOOKUP(J$51,tech_data!$B$2:$J$15,4,FALSE)/100))/1000</f>
        <v>4.5179628302769226</v>
      </c>
      <c r="K67" s="30">
        <f t="shared" ref="K67:L67" si="106">K43*3.6/1000</f>
        <v>75.88706192325273</v>
      </c>
      <c r="L67" s="30">
        <f t="shared" si="106"/>
        <v>536.3725459373585</v>
      </c>
      <c r="M67" s="30">
        <f>(indonesia!M43*3.6/(VLOOKUP(M$51,tech_data!$B$2:$J$15,4,FALSE)/100))/1000</f>
        <v>4.1432945618858561</v>
      </c>
      <c r="N67" s="30">
        <f t="shared" si="88"/>
        <v>2.3913393352125241E-14</v>
      </c>
      <c r="O67" s="30">
        <f>(indonesia!O43*3.6/(VLOOKUP(O$51,tech_data!$B$2:$J$15,4,FALSE)/100))/1000</f>
        <v>6.0535628077315056E-10</v>
      </c>
      <c r="P67" s="30">
        <v>0</v>
      </c>
      <c r="Q67" s="30">
        <f t="shared" si="81"/>
        <v>5637.6767012472801</v>
      </c>
      <c r="R67" s="30"/>
      <c r="T67" s="19"/>
      <c r="U67" s="20" t="str">
        <f t="shared" si="82"/>
        <v>INDONESIA</v>
      </c>
      <c r="V67" s="20">
        <f t="shared" si="83"/>
        <v>2034</v>
      </c>
      <c r="W67" s="30">
        <f>D67*VLOOKUP(W$51,tech_data!$B$2:$K$15,10,FALSE)*1000</f>
        <v>211285858.59796691</v>
      </c>
      <c r="X67" s="30">
        <f>E67*VLOOKUP(X$51,tech_data!$B$2:$K$15,10,FALSE)*1000</f>
        <v>10565590.358331738</v>
      </c>
      <c r="Y67" s="30">
        <f>F67*VLOOKUP(Y$51,tech_data!$B$2:$K$15,10,FALSE)*1000</f>
        <v>109819464.94644596</v>
      </c>
      <c r="Z67" s="30">
        <f>G67*VLOOKUP(Z$51,tech_data!$B$2:$K$15,10,FALSE)*1000</f>
        <v>39084518.325874254</v>
      </c>
      <c r="AA67" s="30">
        <f>H43*VLOOKUP(AA$51,tech_data!$B$2:$K$15,10,FALSE)/1000</f>
        <v>810.78254985599995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465540.57697349478</v>
      </c>
      <c r="AG67" s="30">
        <f>N67*VLOOKUP(AG$51,tech_data!$B$2:$K$15,10,FALSE)*1000</f>
        <v>0</v>
      </c>
      <c r="AH67" s="30">
        <f>O67*VLOOKUP(AH$51,tech_data!$B$2:$K$15,10,FALSE)*1000</f>
        <v>1.6810743917070391E-5</v>
      </c>
      <c r="AI67" s="30"/>
      <c r="AJ67" s="30">
        <f t="shared" si="84"/>
        <v>371221783.58815902</v>
      </c>
      <c r="AK67" s="25">
        <f t="shared" si="90"/>
        <v>5.2999999854726039E-2</v>
      </c>
      <c r="AL67" s="24">
        <f t="shared" si="95"/>
        <v>5.2999999999999999E-2</v>
      </c>
      <c r="AM67" s="26"/>
      <c r="AN67" s="24"/>
      <c r="AO67" s="20" t="str">
        <f t="shared" si="85"/>
        <v>INDONESIA</v>
      </c>
      <c r="AP67" s="20">
        <f t="shared" si="8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5749.9456925009517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126.87719464123566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6898.0331730883227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219.95791112603618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97.863398329064097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215.16327165737351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8.5431961535622829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1627.2977516829637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7867.1197259018609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6.1664380627951392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2.9427785955430761E-13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5.0612594286706016E-8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4.056680637289336</v>
      </c>
      <c r="BD67" s="30">
        <f t="shared" si="91"/>
        <v>22821.024433832063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si="80"/>
        <v>INDONESIA</v>
      </c>
      <c r="C68" s="20">
        <f t="shared" si="80"/>
        <v>2035</v>
      </c>
      <c r="D68" s="30">
        <f>(indonesia!D44*3.6/(VLOOKUP(D$51,tech_data!$B$2:$J$15,4,FALSE)/100))/1000</f>
        <v>2228.8965926870992</v>
      </c>
      <c r="E68" s="30">
        <f>(indonesia!E44*3.6/(VLOOKUP(E$51,tech_data!$B$2:$J$15,4,FALSE)/100))/1000</f>
        <v>182.51219145902385</v>
      </c>
      <c r="F68" s="30">
        <f>(indonesia!F44*3.6/(VLOOKUP(F$51,tech_data!$B$2:$J$15,4,FALSE)/100))/1000</f>
        <v>1859.3046824468502</v>
      </c>
      <c r="G68" s="30">
        <f>(indonesia!G44*3.6/(VLOOKUP(G$51,tech_data!$B$2:$J$15,4,FALSE)/100))/1000</f>
        <v>550.32314288051123</v>
      </c>
      <c r="H68" s="30">
        <f>(indonesia!H44*3.6/(VLOOKUP(H$51,tech_data!$B$2:$J$15,4,FALSE)/100))/1000</f>
        <v>343.73399039999998</v>
      </c>
      <c r="I68" s="30">
        <f>(indonesia!I44*3.6/(VLOOKUP(I$51,tech_data!$B$2:$J$15,4,FALSE)/100))/1000</f>
        <v>102.61362598333452</v>
      </c>
      <c r="J68" s="30">
        <f>(indonesia!J44*3.6/(VLOOKUP(J$51,tech_data!$B$2:$J$15,4,FALSE)/100))/1000</f>
        <v>4.5179628302769226</v>
      </c>
      <c r="K68" s="30">
        <f t="shared" ref="K68:L68" si="107">K44*3.6/1000</f>
        <v>85.894464284801501</v>
      </c>
      <c r="L68" s="30">
        <f t="shared" si="107"/>
        <v>578.64069255443519</v>
      </c>
      <c r="M68" s="30">
        <f>(indonesia!M44*3.6/(VLOOKUP(M$51,tech_data!$B$2:$J$15,4,FALSE)/100))/1000</f>
        <v>4.1432945628573874</v>
      </c>
      <c r="N68" s="30">
        <f t="shared" si="88"/>
        <v>0</v>
      </c>
      <c r="O68" s="30">
        <f>(indonesia!O44*3.6/(VLOOKUP(O$51,tech_data!$B$2:$J$15,4,FALSE)/100))/1000</f>
        <v>0</v>
      </c>
      <c r="P68" s="30">
        <v>0</v>
      </c>
      <c r="Q68" s="30">
        <f t="shared" si="81"/>
        <v>5940.5806400891906</v>
      </c>
      <c r="R68" s="30"/>
      <c r="T68" s="19"/>
      <c r="U68" s="20" t="str">
        <f t="shared" si="82"/>
        <v>INDONESIA</v>
      </c>
      <c r="V68" s="20">
        <f t="shared" si="83"/>
        <v>2035</v>
      </c>
      <c r="W68" s="30">
        <f>D68*VLOOKUP(W$51,tech_data!$B$2:$K$15,10,FALSE)*1000</f>
        <v>222265568.22275752</v>
      </c>
      <c r="X68" s="30">
        <f>E68*VLOOKUP(X$51,tech_data!$B$2:$K$15,10,FALSE)*1000</f>
        <v>11334007.089605382</v>
      </c>
      <c r="Y68" s="30">
        <f>F68*VLOOKUP(Y$51,tech_data!$B$2:$K$15,10,FALSE)*1000</f>
        <v>115462820.7799494</v>
      </c>
      <c r="Z68" s="30">
        <f>G68*VLOOKUP(Z$51,tech_data!$B$2:$K$15,10,FALSE)*1000</f>
        <v>41367790.650328033</v>
      </c>
      <c r="AA68" s="30">
        <f>H44*VLOOKUP(AA$51,tech_data!$B$2:$K$15,10,FALSE)/1000</f>
        <v>810.78254985599995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465540.57708265603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84"/>
        <v>390896538.10227287</v>
      </c>
      <c r="AK68" s="25">
        <f t="shared" si="90"/>
        <v>5.2999999956741262E-2</v>
      </c>
      <c r="AL68" s="24">
        <f t="shared" si="95"/>
        <v>5.2999999999999999E-2</v>
      </c>
      <c r="AM68" s="26"/>
      <c r="AN68" s="24"/>
      <c r="AO68" s="20" t="str">
        <f t="shared" si="85"/>
        <v>INDONESIA</v>
      </c>
      <c r="AP68" s="20">
        <f t="shared" si="8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5890.9170441187616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434.10649755055096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5958.350811132058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727.68491818384973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97.863398329064097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1082.3268690948405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8.5431961535622829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1831.005450588432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7598.1565824617028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6.1664381247569242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-1.0654250550306712E-11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-1.0490103736374982E-7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4.1105317903905201</v>
      </c>
      <c r="BD68" s="30">
        <f t="shared" si="91"/>
        <v>23639.231737423055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80"/>
        <v>INDONESIA</v>
      </c>
      <c r="C69" s="20">
        <f t="shared" si="80"/>
        <v>2036</v>
      </c>
      <c r="D69" s="30">
        <f>(indonesia!D45*3.6/(VLOOKUP(D$51,tech_data!$B$2:$J$15,4,FALSE)/100))/1000</f>
        <v>2350.1544829339859</v>
      </c>
      <c r="E69" s="30">
        <f>(indonesia!E45*3.6/(VLOOKUP(E$51,tech_data!$B$2:$J$15,4,FALSE)/100))/1000</f>
        <v>208.38068690801063</v>
      </c>
      <c r="F69" s="30">
        <f>(indonesia!F45*3.6/(VLOOKUP(F$51,tech_data!$B$2:$J$15,4,FALSE)/100))/1000</f>
        <v>1972.3360218494154</v>
      </c>
      <c r="G69" s="30">
        <f>(indonesia!G45*3.6/(VLOOKUP(G$51,tech_data!$B$2:$J$15,4,FALSE)/100))/1000</f>
        <v>550.32314288051123</v>
      </c>
      <c r="H69" s="30">
        <f>(indonesia!H45*3.6/(VLOOKUP(H$51,tech_data!$B$2:$J$15,4,FALSE)/100))/1000</f>
        <v>343.73399039999998</v>
      </c>
      <c r="I69" s="30">
        <f>(indonesia!I45*3.6/(VLOOKUP(I$51,tech_data!$B$2:$J$15,4,FALSE)/100))/1000</f>
        <v>117.03506013463017</v>
      </c>
      <c r="J69" s="30">
        <f>(indonesia!J45*3.6/(VLOOKUP(J$51,tech_data!$B$2:$J$15,4,FALSE)/100))/1000</f>
        <v>4.5179628302769226</v>
      </c>
      <c r="K69" s="30">
        <f t="shared" ref="K69:L69" si="108">K45*3.6/1000</f>
        <v>97.81302864902031</v>
      </c>
      <c r="L69" s="30">
        <f t="shared" si="108"/>
        <v>621.77394717218522</v>
      </c>
      <c r="M69" s="30">
        <f>(indonesia!M45*3.6/(VLOOKUP(M$51,tech_data!$B$2:$J$15,4,FALSE)/100))/1000</f>
        <v>4.1432945628573874</v>
      </c>
      <c r="N69" s="30">
        <f t="shared" si="88"/>
        <v>0</v>
      </c>
      <c r="O69" s="30">
        <f>(indonesia!O45*3.6/(VLOOKUP(O$51,tech_data!$B$2:$J$15,4,FALSE)/100))/1000</f>
        <v>0</v>
      </c>
      <c r="P69" s="30">
        <v>0</v>
      </c>
      <c r="Q69" s="30">
        <f t="shared" si="81"/>
        <v>6270.2116183208936</v>
      </c>
      <c r="R69" s="30"/>
      <c r="T69" s="19"/>
      <c r="U69" s="20" t="str">
        <f t="shared" si="82"/>
        <v>INDONESIA</v>
      </c>
      <c r="V69" s="20">
        <f t="shared" si="83"/>
        <v>2036</v>
      </c>
      <c r="W69" s="30">
        <f>D69*VLOOKUP(W$51,tech_data!$B$2:$K$15,10,FALSE)*1000</f>
        <v>234357405.03817707</v>
      </c>
      <c r="X69" s="30">
        <f>E69*VLOOKUP(X$51,tech_data!$B$2:$K$15,10,FALSE)*1000</f>
        <v>12940440.65698746</v>
      </c>
      <c r="Y69" s="30">
        <f>F69*VLOOKUP(Y$51,tech_data!$B$2:$K$15,10,FALSE)*1000</f>
        <v>122482066.9568487</v>
      </c>
      <c r="Z69" s="30">
        <f>G69*VLOOKUP(Z$51,tech_data!$B$2:$K$15,10,FALSE)*1000</f>
        <v>41367790.650328033</v>
      </c>
      <c r="AA69" s="30">
        <f>H45*VLOOKUP(AA$51,tech_data!$B$2:$K$15,10,FALSE)/1000</f>
        <v>810.78254985599995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465540.57708265603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84"/>
        <v>411614054.66197377</v>
      </c>
      <c r="AK69" s="25">
        <f t="shared" si="90"/>
        <v>5.3000000103046306E-2</v>
      </c>
      <c r="AL69" s="24">
        <f t="shared" si="95"/>
        <v>5.2999999999999999E-2</v>
      </c>
      <c r="AM69" s="26"/>
      <c r="AN69" s="24"/>
      <c r="AO69" s="20" t="str">
        <f t="shared" si="85"/>
        <v>INDONESIA</v>
      </c>
      <c r="AP69" s="20">
        <f t="shared" si="8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6380.5058389633914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778.39095253626999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6956.7756261275172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111.52460699590534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97.863398329064097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2043.3451978271953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8.5431961535622829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2173.3671318901261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7898.9279673969249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6.1664380642410617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4.4812932857823444</v>
      </c>
      <c r="BD69" s="30">
        <f t="shared" si="91"/>
        <v>26459.891647569977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80"/>
        <v>INDONESIA</v>
      </c>
      <c r="C70" s="20">
        <f t="shared" si="80"/>
        <v>2037</v>
      </c>
      <c r="D70" s="30">
        <f>(indonesia!D46*3.6/(VLOOKUP(D$51,tech_data!$B$2:$J$15,4,FALSE)/100))/1000</f>
        <v>2474.5779333757532</v>
      </c>
      <c r="E70" s="30">
        <f>(indonesia!E46*3.6/(VLOOKUP(E$51,tech_data!$B$2:$J$15,4,FALSE)/100))/1000</f>
        <v>208.38068690801063</v>
      </c>
      <c r="F70" s="30">
        <f>(indonesia!F46*3.6/(VLOOKUP(F$51,tech_data!$B$2:$J$15,4,FALSE)/100))/1000</f>
        <v>2115.8920510554485</v>
      </c>
      <c r="G70" s="30">
        <f>(indonesia!G46*3.6/(VLOOKUP(G$51,tech_data!$B$2:$J$15,4,FALSE)/100))/1000</f>
        <v>556.88438940409867</v>
      </c>
      <c r="H70" s="30">
        <f>(indonesia!H46*3.6/(VLOOKUP(H$51,tech_data!$B$2:$J$15,4,FALSE)/100))/1000</f>
        <v>343.73399039999998</v>
      </c>
      <c r="I70" s="30">
        <f>(indonesia!I46*3.6/(VLOOKUP(I$51,tech_data!$B$2:$J$15,4,FALSE)/100))/1000</f>
        <v>144.43808470477549</v>
      </c>
      <c r="J70" s="30">
        <f>(indonesia!J46*3.6/(VLOOKUP(J$51,tech_data!$B$2:$J$15,4,FALSE)/100))/1000</f>
        <v>4.5179628302769226</v>
      </c>
      <c r="K70" s="30">
        <f t="shared" ref="K70:L70" si="109">K46*3.6/1000</f>
        <v>110.05431306189632</v>
      </c>
      <c r="L70" s="30">
        <f t="shared" si="109"/>
        <v>646.63019125710787</v>
      </c>
      <c r="M70" s="30">
        <f>(indonesia!M46*3.6/(VLOOKUP(M$51,tech_data!$B$2:$J$15,4,FALSE)/100))/1000</f>
        <v>4.1432945628573874</v>
      </c>
      <c r="N70" s="30">
        <f t="shared" si="88"/>
        <v>0</v>
      </c>
      <c r="O70" s="30">
        <f>(indonesia!O46*3.6/(VLOOKUP(O$51,tech_data!$B$2:$J$15,4,FALSE)/100))/1000</f>
        <v>0</v>
      </c>
      <c r="P70" s="30">
        <v>0</v>
      </c>
      <c r="Q70" s="30">
        <f t="shared" si="81"/>
        <v>6609.2528975602245</v>
      </c>
      <c r="R70" s="30"/>
      <c r="T70" s="19"/>
      <c r="U70" s="20" t="str">
        <f t="shared" si="82"/>
        <v>INDONESIA</v>
      </c>
      <c r="V70" s="20">
        <f t="shared" si="83"/>
        <v>2037</v>
      </c>
      <c r="W70" s="30">
        <f>D70*VLOOKUP(W$51,tech_data!$B$2:$K$15,10,FALSE)*1000</f>
        <v>246764911.51623011</v>
      </c>
      <c r="X70" s="30">
        <f>E70*VLOOKUP(X$51,tech_data!$B$2:$K$15,10,FALSE)*1000</f>
        <v>12940440.65698746</v>
      </c>
      <c r="Y70" s="30">
        <f>F70*VLOOKUP(Y$51,tech_data!$B$2:$K$15,10,FALSE)*1000</f>
        <v>131396896.37054335</v>
      </c>
      <c r="Z70" s="30">
        <f>G70*VLOOKUP(Z$51,tech_data!$B$2:$K$15,10,FALSE)*1000</f>
        <v>41860999.551506095</v>
      </c>
      <c r="AA70" s="30">
        <f>H46*VLOOKUP(AA$51,tech_data!$B$2:$K$15,10,FALSE)/1000</f>
        <v>810.78254985599995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465540.57708265603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84"/>
        <v>433429599.45489949</v>
      </c>
      <c r="AK70" s="25">
        <f t="shared" si="90"/>
        <v>5.2999999746950105E-2</v>
      </c>
      <c r="AL70" s="24">
        <f t="shared" si="95"/>
        <v>5.2999999999999999E-2</v>
      </c>
      <c r="AM70" s="26"/>
      <c r="AN70" s="24"/>
      <c r="AO70" s="20" t="str">
        <f t="shared" si="85"/>
        <v>INDONESIA</v>
      </c>
      <c r="AP70" s="20">
        <f t="shared" si="8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6611.7103708757495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155.39565251886205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8316.0743757648106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245.95084839039652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97.863398329064097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3707.458924938885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8.5431961535622829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2247.8594137428313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5890.3735201444561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6.1664380642410617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4.3952076940764826</v>
      </c>
      <c r="BD70" s="30">
        <f t="shared" si="91"/>
        <v>27291.791346616934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80"/>
        <v>INDONESIA</v>
      </c>
      <c r="C71" s="20">
        <f t="shared" si="80"/>
        <v>2038</v>
      </c>
      <c r="D71" s="30">
        <f>(indonesia!D47*3.6/(VLOOKUP(D$51,tech_data!$B$2:$J$15,4,FALSE)/100))/1000</f>
        <v>2617.3613410569392</v>
      </c>
      <c r="E71" s="30">
        <f>(indonesia!E47*3.6/(VLOOKUP(E$51,tech_data!$B$2:$J$15,4,FALSE)/100))/1000</f>
        <v>208.38068690801063</v>
      </c>
      <c r="F71" s="30">
        <f>(indonesia!F47*3.6/(VLOOKUP(F$51,tech_data!$B$2:$J$15,4,FALSE)/100))/1000</f>
        <v>2256.5266276005036</v>
      </c>
      <c r="G71" s="30">
        <f>(indonesia!G47*3.6/(VLOOKUP(G$51,tech_data!$B$2:$J$15,4,FALSE)/100))/1000</f>
        <v>556.88438940409867</v>
      </c>
      <c r="H71" s="30">
        <f>(indonesia!H47*3.6/(VLOOKUP(H$51,tech_data!$B$2:$J$15,4,FALSE)/100))/1000</f>
        <v>343.73399039999998</v>
      </c>
      <c r="I71" s="30">
        <f>(indonesia!I47*3.6/(VLOOKUP(I$51,tech_data!$B$2:$J$15,4,FALSE)/100))/1000</f>
        <v>176.87713742075155</v>
      </c>
      <c r="J71" s="30">
        <f>(indonesia!J47*3.6/(VLOOKUP(J$51,tech_data!$B$2:$J$15,4,FALSE)/100))/1000</f>
        <v>41.839437132631026</v>
      </c>
      <c r="K71" s="30">
        <f t="shared" ref="K71:L71" si="110">K47*3.6/1000</f>
        <v>126.5054058855697</v>
      </c>
      <c r="L71" s="30">
        <f t="shared" si="110"/>
        <v>659.05832434662932</v>
      </c>
      <c r="M71" s="30">
        <f>(indonesia!M47*3.6/(VLOOKUP(M$51,tech_data!$B$2:$J$15,4,FALSE)/100))/1000</f>
        <v>4.1432945628573874</v>
      </c>
      <c r="N71" s="30">
        <f t="shared" si="88"/>
        <v>0</v>
      </c>
      <c r="O71" s="30">
        <f>(indonesia!O47*3.6/(VLOOKUP(O$51,tech_data!$B$2:$J$15,4,FALSE)/100))/1000</f>
        <v>0</v>
      </c>
      <c r="P71" s="30">
        <v>0</v>
      </c>
      <c r="Q71" s="30">
        <f t="shared" si="81"/>
        <v>6991.310634717991</v>
      </c>
      <c r="R71" s="30"/>
      <c r="T71" s="19"/>
      <c r="U71" s="20" t="str">
        <f t="shared" si="82"/>
        <v>INDONESIA</v>
      </c>
      <c r="V71" s="20">
        <f t="shared" si="83"/>
        <v>2038</v>
      </c>
      <c r="W71" s="30">
        <f>D71*VLOOKUP(W$51,tech_data!$B$2:$K$15,10,FALSE)*1000</f>
        <v>261003272.93019798</v>
      </c>
      <c r="X71" s="30">
        <f>E71*VLOOKUP(X$51,tech_data!$B$2:$K$15,10,FALSE)*1000</f>
        <v>12940440.65698746</v>
      </c>
      <c r="Y71" s="30">
        <f>F71*VLOOKUP(Y$51,tech_data!$B$2:$K$15,10,FALSE)*1000</f>
        <v>140130303.5739913</v>
      </c>
      <c r="Z71" s="30">
        <f>G71*VLOOKUP(Z$51,tech_data!$B$2:$K$15,10,FALSE)*1000</f>
        <v>41860999.551506095</v>
      </c>
      <c r="AA71" s="30">
        <f>H47*VLOOKUP(AA$51,tech_data!$B$2:$K$15,10,FALSE)/1000</f>
        <v>810.78254985599995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465540.57708265603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84"/>
        <v>456401368.07231534</v>
      </c>
      <c r="AK71" s="25">
        <f t="shared" si="90"/>
        <v>5.2999999645400711E-2</v>
      </c>
      <c r="AL71" s="24">
        <f>AL70</f>
        <v>5.2999999999999999E-2</v>
      </c>
      <c r="AM71" s="26"/>
      <c r="AN71" s="24"/>
      <c r="AO71" s="20" t="str">
        <f t="shared" si="85"/>
        <v>INDONESIA</v>
      </c>
      <c r="AP71" s="20">
        <f t="shared" si="8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7359.4535936186085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155.39565251886205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8392.063233028528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112.85426294334788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97.863398329064097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4402.0534384292032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3670.8011971660903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2986.010131014998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4503.8159951191838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6.1664380642410617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4.7996794245163876</v>
      </c>
      <c r="BD71" s="30">
        <f t="shared" si="91"/>
        <v>31691.277019656642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 t="s">
        <v>145</v>
      </c>
      <c r="AS74" s="30">
        <f>(VLOOKUP(AQ$51,tech_data!$B$2:$O$15,11,FALSE))</f>
        <v>1478888.8888888888</v>
      </c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 t="s">
        <v>146</v>
      </c>
      <c r="AS75" s="30">
        <f>(VLOOKUP(AQ$51,tech_data!$B$2:$O$15,12,FALSE))</f>
        <v>46266.666666666664</v>
      </c>
    </row>
    <row r="76" spans="1:82" x14ac:dyDescent="0.25">
      <c r="A76" s="19"/>
      <c r="B76" s="20" t="str">
        <f t="shared" ref="B76:C76" si="111">B28</f>
        <v>INDONESIA</v>
      </c>
      <c r="C76" s="20">
        <f t="shared" si="111"/>
        <v>2019</v>
      </c>
      <c r="D76" s="30">
        <f>D28*3.6/1000</f>
        <v>601.52157285215992</v>
      </c>
      <c r="E76" s="30">
        <f t="shared" ref="E76:O76" si="112">E28*3.6/1000</f>
        <v>60.682671408561234</v>
      </c>
      <c r="F76" s="30">
        <f t="shared" si="112"/>
        <v>114.82758348014771</v>
      </c>
      <c r="G76" s="30">
        <f t="shared" si="112"/>
        <v>119.15546326449228</v>
      </c>
      <c r="H76" s="30">
        <f t="shared" si="112"/>
        <v>46.404088704000003</v>
      </c>
      <c r="I76" s="30">
        <f t="shared" si="112"/>
        <v>90.928836355347698</v>
      </c>
      <c r="J76" s="30">
        <f t="shared" si="112"/>
        <v>3.6143702642215385</v>
      </c>
      <c r="K76" s="30">
        <f t="shared" si="112"/>
        <v>0.1160272512</v>
      </c>
      <c r="L76" s="30">
        <f t="shared" si="112"/>
        <v>0</v>
      </c>
      <c r="M76" s="30">
        <f t="shared" si="112"/>
        <v>1.2844213141846152</v>
      </c>
      <c r="N76" s="30">
        <f t="shared" si="112"/>
        <v>0</v>
      </c>
      <c r="O76" s="30">
        <f t="shared" si="112"/>
        <v>0</v>
      </c>
      <c r="P76" s="30">
        <f>(indonesia!P52*3.6/(VLOOKUP(P$51,tech_data!$B$2:$J$15,4,FALSE)/100))/1000</f>
        <v>0</v>
      </c>
      <c r="Q76" s="30">
        <f t="shared" ref="Q76:Q95" si="113">SUM(D76:O76)</f>
        <v>1038.5350348943148</v>
      </c>
      <c r="R76" s="30"/>
      <c r="S76" s="23"/>
      <c r="T76" s="19"/>
      <c r="U76" s="20" t="str">
        <f t="shared" ref="U76:V76" si="114">U28</f>
        <v>INDONESIA</v>
      </c>
      <c r="V76" s="20">
        <f t="shared" si="114"/>
        <v>2019</v>
      </c>
      <c r="W76" s="30">
        <f>D52*(1-(VLOOKUP(W$75,tech_data!$B$2:$O$15,4,FALSE)/100))</f>
        <v>954.1376672827364</v>
      </c>
      <c r="X76" s="30">
        <f>E52*(1-(VLOOKUP(X$75,tech_data!$B$2:$O$15,4,FALSE)/100))</f>
        <v>109.45565964347961</v>
      </c>
      <c r="Y76" s="30">
        <f>F52*(1-(VLOOKUP(Y$75,tech_data!$B$2:$O$15,4,FALSE)/100))</f>
        <v>82.019702485819778</v>
      </c>
      <c r="Z76" s="30">
        <f>G52*(1-(VLOOKUP(Z$75,tech_data!$B$2:$O$15,4,FALSE)/100))</f>
        <v>139.87815252788224</v>
      </c>
      <c r="AA76" s="30">
        <f>H52*(1-(VLOOKUP(AA$75,tech_data!$B$2:$O$15,4,FALSE)/100))</f>
        <v>297.32990169599998</v>
      </c>
      <c r="AB76" s="30">
        <f>I52*(1-(VLOOKUP(AB$75,tech_data!$B$2:$O$15,4,FALSE)/100))</f>
        <v>4.7857282292288303</v>
      </c>
      <c r="AC76" s="30">
        <f>J52*(1-(VLOOKUP(AC$75,tech_data!$B$2:$O$15,4,FALSE)/100))</f>
        <v>0.90359256605538429</v>
      </c>
      <c r="AD76" s="30">
        <f>K52*(1-(VLOOKUP(AD$75,tech_data!$B$2:$O$15,4,FALSE)/100))</f>
        <v>9.7462891007999999E-2</v>
      </c>
      <c r="AE76" s="30">
        <f>L52*(1-(VLOOKUP(AE$75,tech_data!$B$2:$O$15,4,FALSE)/100))</f>
        <v>0</v>
      </c>
      <c r="AF76" s="30">
        <f>M52*(1-(VLOOKUP(AF$75,tech_data!$B$2:$O$15,4,FALSE)/100))</f>
        <v>2.8588732477012404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(indonesia!AI52*3.6/(VLOOKUP(AI$51,tech_data!$B$2:$J$15,4,FALSE)/100))/1000</f>
        <v>0</v>
      </c>
      <c r="AJ76" s="30">
        <f t="shared" ref="AJ76:AJ95" si="115">SUM(W76:AH76)</f>
        <v>1591.4667405699115</v>
      </c>
      <c r="AK76" s="30"/>
      <c r="AL76" s="23"/>
      <c r="AR76" s="30" t="s">
        <v>118</v>
      </c>
      <c r="AS76" s="30">
        <f>(VLOOKUP(AQ$51,tech_data!$B$2:$O$15,13,FALSE))</f>
        <v>0.11555555555555556</v>
      </c>
    </row>
    <row r="77" spans="1:82" x14ac:dyDescent="0.25">
      <c r="A77" s="19"/>
      <c r="B77" s="20" t="str">
        <f t="shared" ref="B77:C77" si="116">B29</f>
        <v>INDONESIA</v>
      </c>
      <c r="C77" s="20">
        <f t="shared" si="116"/>
        <v>2020</v>
      </c>
      <c r="D77" s="30">
        <f t="shared" ref="D77:O95" si="117">D29*3.6/1000</f>
        <v>604.04588618670175</v>
      </c>
      <c r="E77" s="30">
        <f t="shared" si="117"/>
        <v>60.682671408561234</v>
      </c>
      <c r="F77" s="30">
        <f t="shared" si="117"/>
        <v>188.1080425803838</v>
      </c>
      <c r="G77" s="30">
        <f t="shared" si="117"/>
        <v>127.50638863383959</v>
      </c>
      <c r="H77" s="30">
        <f t="shared" si="117"/>
        <v>46.404088704000003</v>
      </c>
      <c r="I77" s="30">
        <f t="shared" si="117"/>
        <v>90.928836355347698</v>
      </c>
      <c r="J77" s="30">
        <f t="shared" si="117"/>
        <v>3.6143702642215385</v>
      </c>
      <c r="K77" s="30">
        <f t="shared" si="117"/>
        <v>7.805775695311362</v>
      </c>
      <c r="L77" s="30">
        <f t="shared" si="117"/>
        <v>3.6195097252801158</v>
      </c>
      <c r="M77" s="30">
        <f t="shared" si="117"/>
        <v>1.2844213141846152</v>
      </c>
      <c r="N77" s="30">
        <f t="shared" si="117"/>
        <v>0</v>
      </c>
      <c r="O77" s="30">
        <f t="shared" si="117"/>
        <v>0</v>
      </c>
      <c r="P77" s="30">
        <f>(indonesia!P53*3.6/(VLOOKUP(P$51,tech_data!$B$2:$J$15,4,FALSE)/100))/1000</f>
        <v>0</v>
      </c>
      <c r="Q77" s="30">
        <f t="shared" si="113"/>
        <v>1133.9999908678317</v>
      </c>
      <c r="R77" s="30"/>
      <c r="S77" s="23"/>
      <c r="T77" s="19"/>
      <c r="U77" s="20" t="str">
        <f t="shared" ref="U77:V77" si="118">U29</f>
        <v>INDONESIA</v>
      </c>
      <c r="V77" s="20">
        <f t="shared" si="118"/>
        <v>2020</v>
      </c>
      <c r="W77" s="30">
        <f>D53*(1-(VLOOKUP(W$75,tech_data!$B$2:$O$15,4,FALSE)/100))</f>
        <v>958.14175050304402</v>
      </c>
      <c r="X77" s="30">
        <f>E53*(1-(VLOOKUP(X$75,tech_data!$B$2:$O$15,4,FALSE)/100))</f>
        <v>109.45565964347961</v>
      </c>
      <c r="Y77" s="30">
        <f>F53*(1-(VLOOKUP(Y$75,tech_data!$B$2:$O$15,4,FALSE)/100))</f>
        <v>134.362887557417</v>
      </c>
      <c r="Z77" s="30">
        <f>G53*(1-(VLOOKUP(Z$75,tech_data!$B$2:$O$15,4,FALSE)/100))</f>
        <v>149.68141274407259</v>
      </c>
      <c r="AA77" s="30">
        <f>H53*(1-(VLOOKUP(AA$75,tech_data!$B$2:$O$15,4,FALSE)/100))</f>
        <v>297.32990169599998</v>
      </c>
      <c r="AB77" s="30">
        <f>I53*(1-(VLOOKUP(AB$75,tech_data!$B$2:$O$15,4,FALSE)/100))</f>
        <v>4.7857282292288303</v>
      </c>
      <c r="AC77" s="30">
        <f>J53*(1-(VLOOKUP(AC$75,tech_data!$B$2:$O$15,4,FALSE)/100))</f>
        <v>0.90359256605538429</v>
      </c>
      <c r="AD77" s="30">
        <f>K53*(1-(VLOOKUP(AD$75,tech_data!$B$2:$O$15,4,FALSE)/100))</f>
        <v>6.556851584061544</v>
      </c>
      <c r="AE77" s="30">
        <f>L53*(1-(VLOOKUP(AE$75,tech_data!$B$2:$O$15,4,FALSE)/100))</f>
        <v>1.4731404581890073</v>
      </c>
      <c r="AF77" s="30">
        <f>M53*(1-(VLOOKUP(AF$75,tech_data!$B$2:$O$15,4,FALSE)/100))</f>
        <v>2.8588732477012404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(indonesia!AI53*3.6/(VLOOKUP(AI$51,tech_data!$B$2:$J$15,4,FALSE)/100))/1000</f>
        <v>0</v>
      </c>
      <c r="AJ77" s="30">
        <f t="shared" si="115"/>
        <v>1665.5497982292491</v>
      </c>
      <c r="AK77" s="30"/>
      <c r="AL77" s="23"/>
      <c r="AR77" s="30" t="s">
        <v>147</v>
      </c>
      <c r="AS77" s="30">
        <f>(VLOOKUP(AQ$51,tech_data!$B$2:$O$15,14,FALSE))</f>
        <v>1.47</v>
      </c>
    </row>
    <row r="78" spans="1:82" x14ac:dyDescent="0.25">
      <c r="A78" s="19"/>
      <c r="B78" s="20" t="str">
        <f t="shared" ref="B78:C78" si="119">B30</f>
        <v>INDONESIA</v>
      </c>
      <c r="C78" s="20">
        <f t="shared" si="119"/>
        <v>2021</v>
      </c>
      <c r="D78" s="30">
        <f t="shared" si="117"/>
        <v>621.28016144060916</v>
      </c>
      <c r="E78" s="30">
        <f t="shared" si="117"/>
        <v>60.682671408561234</v>
      </c>
      <c r="F78" s="30">
        <f t="shared" si="117"/>
        <v>249.74892234743638</v>
      </c>
      <c r="G78" s="30">
        <f t="shared" si="117"/>
        <v>127.50638863383959</v>
      </c>
      <c r="H78" s="30">
        <f t="shared" si="117"/>
        <v>46.404088704000003</v>
      </c>
      <c r="I78" s="30">
        <f t="shared" si="117"/>
        <v>90.928836355347698</v>
      </c>
      <c r="J78" s="30">
        <f t="shared" si="117"/>
        <v>3.6143702642215385</v>
      </c>
      <c r="K78" s="30">
        <f t="shared" si="117"/>
        <v>11.66982421667926</v>
      </c>
      <c r="L78" s="30">
        <f t="shared" si="117"/>
        <v>64.880315475410598</v>
      </c>
      <c r="M78" s="30">
        <f t="shared" si="117"/>
        <v>1.2844213141846152</v>
      </c>
      <c r="N78" s="30">
        <f t="shared" si="117"/>
        <v>0</v>
      </c>
      <c r="O78" s="30">
        <f t="shared" si="117"/>
        <v>0</v>
      </c>
      <c r="P78" s="30">
        <f>(indonesia!P54*3.6/(VLOOKUP(P$51,tech_data!$B$2:$J$15,4,FALSE)/100))/1000</f>
        <v>0</v>
      </c>
      <c r="Q78" s="30">
        <f t="shared" si="113"/>
        <v>1278.0000001602898</v>
      </c>
      <c r="R78" s="30"/>
      <c r="S78" s="23"/>
      <c r="T78" s="19"/>
      <c r="U78" s="20" t="str">
        <f t="shared" ref="U78:V78" si="120">U30</f>
        <v>INDONESIA</v>
      </c>
      <c r="V78" s="20">
        <f t="shared" si="120"/>
        <v>2021</v>
      </c>
      <c r="W78" s="30">
        <f>D54*(1-(VLOOKUP(W$75,tech_data!$B$2:$O$15,4,FALSE)/100))</f>
        <v>985.47887676786263</v>
      </c>
      <c r="X78" s="30">
        <f>E54*(1-(VLOOKUP(X$75,tech_data!$B$2:$O$15,4,FALSE)/100))</f>
        <v>109.45565964347961</v>
      </c>
      <c r="Y78" s="30">
        <f>F54*(1-(VLOOKUP(Y$75,tech_data!$B$2:$O$15,4,FALSE)/100))</f>
        <v>178.39208739102597</v>
      </c>
      <c r="Z78" s="30">
        <f>G54*(1-(VLOOKUP(Z$75,tech_data!$B$2:$O$15,4,FALSE)/100))</f>
        <v>149.68141274407259</v>
      </c>
      <c r="AA78" s="30">
        <f>H54*(1-(VLOOKUP(AA$75,tech_data!$B$2:$O$15,4,FALSE)/100))</f>
        <v>297.32990169599998</v>
      </c>
      <c r="AB78" s="30">
        <f>I54*(1-(VLOOKUP(AB$75,tech_data!$B$2:$O$15,4,FALSE)/100))</f>
        <v>4.7857282292288303</v>
      </c>
      <c r="AC78" s="30">
        <f>J54*(1-(VLOOKUP(AC$75,tech_data!$B$2:$O$15,4,FALSE)/100))</f>
        <v>0.90359256605538429</v>
      </c>
      <c r="AD78" s="30">
        <f>K54*(1-(VLOOKUP(AD$75,tech_data!$B$2:$O$15,4,FALSE)/100))</f>
        <v>9.8026523420105782</v>
      </c>
      <c r="AE78" s="30">
        <f>L54*(1-(VLOOKUP(AE$75,tech_data!$B$2:$O$15,4,FALSE)/100))</f>
        <v>26.406288398492116</v>
      </c>
      <c r="AF78" s="30">
        <f>M54*(1-(VLOOKUP(AF$75,tech_data!$B$2:$O$15,4,FALSE)/100))</f>
        <v>2.8588732477012404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(indonesia!AI54*3.6/(VLOOKUP(AI$51,tech_data!$B$2:$J$15,4,FALSE)/100))/1000</f>
        <v>0</v>
      </c>
      <c r="AJ78" s="30">
        <f t="shared" si="115"/>
        <v>1765.0950730259287</v>
      </c>
      <c r="AK78" s="30"/>
      <c r="AL78" s="23"/>
      <c r="AR78" s="30" t="s">
        <v>149</v>
      </c>
      <c r="AS78" s="30">
        <f>(VLOOKUP(AQ$51,tech_data!$B$2:$O$15,6,FALSE)/100)</f>
        <v>0.65</v>
      </c>
    </row>
    <row r="79" spans="1:82" x14ac:dyDescent="0.25">
      <c r="A79" s="19"/>
      <c r="B79" s="20" t="str">
        <f t="shared" ref="B79:C79" si="121">B31</f>
        <v>INDONESIA</v>
      </c>
      <c r="C79" s="20">
        <f t="shared" si="121"/>
        <v>2022</v>
      </c>
      <c r="D79" s="30">
        <f t="shared" si="117"/>
        <v>621.28016144060916</v>
      </c>
      <c r="E79" s="30">
        <f t="shared" si="117"/>
        <v>60.682671408561234</v>
      </c>
      <c r="F79" s="30">
        <f t="shared" si="117"/>
        <v>288.29947811627738</v>
      </c>
      <c r="G79" s="30">
        <f t="shared" si="117"/>
        <v>145.78224360078346</v>
      </c>
      <c r="H79" s="30">
        <f t="shared" si="117"/>
        <v>46.404088704000003</v>
      </c>
      <c r="I79" s="30">
        <f t="shared" si="117"/>
        <v>90.928836355347698</v>
      </c>
      <c r="J79" s="30">
        <f t="shared" si="117"/>
        <v>3.6143702642215385</v>
      </c>
      <c r="K79" s="30">
        <f t="shared" si="117"/>
        <v>13.103112464041617</v>
      </c>
      <c r="L79" s="30">
        <f t="shared" si="117"/>
        <v>78.620077678444062</v>
      </c>
      <c r="M79" s="30">
        <f t="shared" si="117"/>
        <v>1.2844213141846152</v>
      </c>
      <c r="N79" s="30">
        <f t="shared" si="117"/>
        <v>0</v>
      </c>
      <c r="O79" s="30">
        <f t="shared" si="117"/>
        <v>0</v>
      </c>
      <c r="P79" s="30">
        <f>(indonesia!P55*3.6/(VLOOKUP(P$51,tech_data!$B$2:$J$15,4,FALSE)/100))/1000</f>
        <v>0</v>
      </c>
      <c r="Q79" s="30">
        <f t="shared" si="113"/>
        <v>1349.9994613464708</v>
      </c>
      <c r="R79" s="30"/>
      <c r="S79" s="23"/>
      <c r="T79" s="19"/>
      <c r="U79" s="20" t="str">
        <f t="shared" ref="U79:V79" si="122">U31</f>
        <v>INDONESIA</v>
      </c>
      <c r="V79" s="20">
        <f t="shared" si="122"/>
        <v>2022</v>
      </c>
      <c r="W79" s="30">
        <f>D55*(1-(VLOOKUP(W$75,tech_data!$B$2:$O$15,4,FALSE)/100))</f>
        <v>985.47887676786263</v>
      </c>
      <c r="X79" s="30">
        <f>E55*(1-(VLOOKUP(X$75,tech_data!$B$2:$O$15,4,FALSE)/100))</f>
        <v>109.45565964347961</v>
      </c>
      <c r="Y79" s="30">
        <f>F55*(1-(VLOOKUP(Y$75,tech_data!$B$2:$O$15,4,FALSE)/100))</f>
        <v>205.92819865448382</v>
      </c>
      <c r="Z79" s="30">
        <f>G55*(1-(VLOOKUP(Z$75,tech_data!$B$2:$O$15,4,FALSE)/100))</f>
        <v>171.13567727048493</v>
      </c>
      <c r="AA79" s="30">
        <f>H55*(1-(VLOOKUP(AA$75,tech_data!$B$2:$O$15,4,FALSE)/100))</f>
        <v>297.32990169599998</v>
      </c>
      <c r="AB79" s="30">
        <f>I55*(1-(VLOOKUP(AB$75,tech_data!$B$2:$O$15,4,FALSE)/100))</f>
        <v>4.7857282292288303</v>
      </c>
      <c r="AC79" s="30">
        <f>J55*(1-(VLOOKUP(AC$75,tech_data!$B$2:$O$15,4,FALSE)/100))</f>
        <v>0.90359256605538429</v>
      </c>
      <c r="AD79" s="30">
        <f>K55*(1-(VLOOKUP(AD$75,tech_data!$B$2:$O$15,4,FALSE)/100))</f>
        <v>11.006614469794958</v>
      </c>
      <c r="AE79" s="30">
        <f>L55*(1-(VLOOKUP(AE$75,tech_data!$B$2:$O$15,4,FALSE)/100))</f>
        <v>31.998371615126736</v>
      </c>
      <c r="AF79" s="30">
        <f>M55*(1-(VLOOKUP(AF$75,tech_data!$B$2:$O$15,4,FALSE)/100))</f>
        <v>2.8588732477012404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(indonesia!AI55*3.6/(VLOOKUP(AI$51,tech_data!$B$2:$J$15,4,FALSE)/100))/1000</f>
        <v>0</v>
      </c>
      <c r="AJ79" s="30">
        <f t="shared" si="115"/>
        <v>1820.8814941602179</v>
      </c>
      <c r="AK79" s="30"/>
      <c r="AL79" s="23"/>
      <c r="AR79" s="30" t="s">
        <v>150</v>
      </c>
      <c r="AS79" s="30">
        <f>(VLOOKUP(AQ$51,tech_data!$B$2:$O$15,7,FALSE)/100)</f>
        <v>0.14837606837606837</v>
      </c>
    </row>
    <row r="80" spans="1:82" x14ac:dyDescent="0.25">
      <c r="A80" s="19"/>
      <c r="B80" s="20" t="str">
        <f t="shared" ref="B80:C80" si="123">B32</f>
        <v>INDONESIA</v>
      </c>
      <c r="C80" s="20">
        <f t="shared" si="123"/>
        <v>2023</v>
      </c>
      <c r="D80" s="30">
        <f t="shared" si="117"/>
        <v>621.28016144060916</v>
      </c>
      <c r="E80" s="30">
        <f t="shared" si="117"/>
        <v>60.682671408561234</v>
      </c>
      <c r="F80" s="30">
        <f t="shared" si="117"/>
        <v>326.35101173259471</v>
      </c>
      <c r="G80" s="30">
        <f t="shared" si="117"/>
        <v>152.01014041883172</v>
      </c>
      <c r="H80" s="30">
        <f t="shared" si="117"/>
        <v>46.404088704000003</v>
      </c>
      <c r="I80" s="30">
        <f t="shared" si="117"/>
        <v>90.928836355347698</v>
      </c>
      <c r="J80" s="30">
        <f t="shared" si="117"/>
        <v>3.6143702642215385</v>
      </c>
      <c r="K80" s="30">
        <f t="shared" si="117"/>
        <v>16.235298947430074</v>
      </c>
      <c r="L80" s="30">
        <f t="shared" si="117"/>
        <v>117.60906209681536</v>
      </c>
      <c r="M80" s="30">
        <f t="shared" si="117"/>
        <v>1.2844213141846152</v>
      </c>
      <c r="N80" s="30">
        <f t="shared" si="117"/>
        <v>0</v>
      </c>
      <c r="O80" s="30">
        <f t="shared" si="117"/>
        <v>0</v>
      </c>
      <c r="P80" s="30">
        <f>(indonesia!P56*3.6/(VLOOKUP(P$51,tech_data!$B$2:$J$15,4,FALSE)/100))/1000</f>
        <v>0</v>
      </c>
      <c r="Q80" s="30">
        <f t="shared" si="113"/>
        <v>1436.4000626825962</v>
      </c>
      <c r="R80" s="30"/>
      <c r="S80" s="23"/>
      <c r="T80" s="19"/>
      <c r="U80" s="20" t="str">
        <f t="shared" ref="U80:V80" si="124">U32</f>
        <v>INDONESIA</v>
      </c>
      <c r="V80" s="20">
        <f t="shared" si="124"/>
        <v>2023</v>
      </c>
      <c r="W80" s="30">
        <f>D56*(1-(VLOOKUP(W$75,tech_data!$B$2:$O$15,4,FALSE)/100))</f>
        <v>985.47887676786263</v>
      </c>
      <c r="X80" s="30">
        <f>E56*(1-(VLOOKUP(X$75,tech_data!$B$2:$O$15,4,FALSE)/100))</f>
        <v>109.45565964347961</v>
      </c>
      <c r="Y80" s="30">
        <f>F56*(1-(VLOOKUP(Y$75,tech_data!$B$2:$O$15,4,FALSE)/100))</f>
        <v>233.1078655232819</v>
      </c>
      <c r="Z80" s="30">
        <f>G56*(1-(VLOOKUP(Z$75,tech_data!$B$2:$O$15,4,FALSE)/100))</f>
        <v>178.44668657862854</v>
      </c>
      <c r="AA80" s="30">
        <f>H56*(1-(VLOOKUP(AA$75,tech_data!$B$2:$O$15,4,FALSE)/100))</f>
        <v>297.32990169599998</v>
      </c>
      <c r="AB80" s="30">
        <f>I56*(1-(VLOOKUP(AB$75,tech_data!$B$2:$O$15,4,FALSE)/100))</f>
        <v>4.7857282292288303</v>
      </c>
      <c r="AC80" s="30">
        <f>J56*(1-(VLOOKUP(AC$75,tech_data!$B$2:$O$15,4,FALSE)/100))</f>
        <v>0.90359256605538429</v>
      </c>
      <c r="AD80" s="30">
        <f>K56*(1-(VLOOKUP(AD$75,tech_data!$B$2:$O$15,4,FALSE)/100))</f>
        <v>13.637651115841262</v>
      </c>
      <c r="AE80" s="30">
        <f>L56*(1-(VLOOKUP(AE$75,tech_data!$B$2:$O$15,4,FALSE)/100))</f>
        <v>47.866888273403859</v>
      </c>
      <c r="AF80" s="30">
        <f>M56*(1-(VLOOKUP(AF$75,tech_data!$B$2:$O$15,4,FALSE)/100))</f>
        <v>2.8588732477012404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(indonesia!AI56*3.6/(VLOOKUP(AI$51,tech_data!$B$2:$J$15,4,FALSE)/100))/1000</f>
        <v>0</v>
      </c>
      <c r="AJ80" s="30">
        <f t="shared" si="115"/>
        <v>1873.871723641483</v>
      </c>
      <c r="AK80" s="30"/>
      <c r="AL80" s="23"/>
      <c r="AR80" s="30" t="s">
        <v>148</v>
      </c>
      <c r="AS80" s="30">
        <f>(VLOOKUP(AQ$51,tech_data!$B$2:$O$15,4,FALSE)/100)</f>
        <v>0.38666666666666666</v>
      </c>
    </row>
    <row r="81" spans="1:38" x14ac:dyDescent="0.25">
      <c r="A81" s="19"/>
      <c r="B81" s="20" t="str">
        <f t="shared" ref="B81:C81" si="125">B33</f>
        <v>INDONESIA</v>
      </c>
      <c r="C81" s="20">
        <f t="shared" si="125"/>
        <v>2024</v>
      </c>
      <c r="D81" s="30">
        <f t="shared" si="117"/>
        <v>621.28016144060916</v>
      </c>
      <c r="E81" s="30">
        <f t="shared" si="117"/>
        <v>60.682671408561234</v>
      </c>
      <c r="F81" s="30">
        <f t="shared" si="117"/>
        <v>376.2436294181739</v>
      </c>
      <c r="G81" s="30">
        <f t="shared" si="117"/>
        <v>160.17072125849455</v>
      </c>
      <c r="H81" s="30">
        <f t="shared" si="117"/>
        <v>46.404088704000003</v>
      </c>
      <c r="I81" s="30">
        <f t="shared" si="117"/>
        <v>90.928836355347698</v>
      </c>
      <c r="J81" s="30">
        <f t="shared" si="117"/>
        <v>3.6143702642215385</v>
      </c>
      <c r="K81" s="30">
        <f t="shared" si="117"/>
        <v>20.131162324916406</v>
      </c>
      <c r="L81" s="30">
        <f t="shared" si="117"/>
        <v>163.65994772843305</v>
      </c>
      <c r="M81" s="30">
        <f t="shared" si="117"/>
        <v>1.2844213141846152</v>
      </c>
      <c r="N81" s="30">
        <f t="shared" si="117"/>
        <v>0</v>
      </c>
      <c r="O81" s="30">
        <f t="shared" si="117"/>
        <v>0</v>
      </c>
      <c r="P81" s="30">
        <f>(indonesia!P57*3.6/(VLOOKUP(P$51,tech_data!$B$2:$J$15,4,FALSE)/100))/1000</f>
        <v>0</v>
      </c>
      <c r="Q81" s="30">
        <f t="shared" si="113"/>
        <v>1544.4000102169421</v>
      </c>
      <c r="R81" s="30"/>
      <c r="S81" s="23"/>
      <c r="T81" s="19"/>
      <c r="U81" s="20" t="str">
        <f t="shared" ref="U81:V81" si="126">U33</f>
        <v>INDONESIA</v>
      </c>
      <c r="V81" s="20">
        <f t="shared" si="126"/>
        <v>2024</v>
      </c>
      <c r="W81" s="30">
        <f>D57*(1-(VLOOKUP(W$75,tech_data!$B$2:$O$15,4,FALSE)/100))</f>
        <v>985.47887676786263</v>
      </c>
      <c r="X81" s="30">
        <f>E57*(1-(VLOOKUP(X$75,tech_data!$B$2:$O$15,4,FALSE)/100))</f>
        <v>109.45565964347961</v>
      </c>
      <c r="Y81" s="30">
        <f>F57*(1-(VLOOKUP(Y$75,tech_data!$B$2:$O$15,4,FALSE)/100))</f>
        <v>268.74544958440993</v>
      </c>
      <c r="Z81" s="30">
        <f>G57*(1-(VLOOKUP(Z$75,tech_data!$B$2:$O$15,4,FALSE)/100))</f>
        <v>188.02649886866752</v>
      </c>
      <c r="AA81" s="30">
        <f>H57*(1-(VLOOKUP(AA$75,tech_data!$B$2:$O$15,4,FALSE)/100))</f>
        <v>297.32990169599998</v>
      </c>
      <c r="AB81" s="30">
        <f>I57*(1-(VLOOKUP(AB$75,tech_data!$B$2:$O$15,4,FALSE)/100))</f>
        <v>4.7857282292288303</v>
      </c>
      <c r="AC81" s="30">
        <f>J57*(1-(VLOOKUP(AC$75,tech_data!$B$2:$O$15,4,FALSE)/100))</f>
        <v>0.90359256605538429</v>
      </c>
      <c r="AD81" s="30">
        <f>K57*(1-(VLOOKUP(AD$75,tech_data!$B$2:$O$15,4,FALSE)/100))</f>
        <v>16.910176352929781</v>
      </c>
      <c r="AE81" s="30">
        <f>L57*(1-(VLOOKUP(AE$75,tech_data!$B$2:$O$15,4,FALSE)/100))</f>
        <v>66.609598725472253</v>
      </c>
      <c r="AF81" s="30">
        <f>M57*(1-(VLOOKUP(AF$75,tech_data!$B$2:$O$15,4,FALSE)/100))</f>
        <v>2.8588732477012404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(indonesia!AI57*3.6/(VLOOKUP(AI$51,tech_data!$B$2:$J$15,4,FALSE)/100))/1000</f>
        <v>0</v>
      </c>
      <c r="AJ81" s="30">
        <f t="shared" si="115"/>
        <v>1941.104355681807</v>
      </c>
      <c r="AK81" s="30"/>
      <c r="AL81" s="23"/>
    </row>
    <row r="82" spans="1:38" x14ac:dyDescent="0.25">
      <c r="A82" s="19"/>
      <c r="B82" s="20" t="str">
        <f t="shared" ref="B82:C82" si="127">B34</f>
        <v>INDONESIA</v>
      </c>
      <c r="C82" s="20">
        <f t="shared" si="127"/>
        <v>2025</v>
      </c>
      <c r="D82" s="30">
        <f t="shared" si="117"/>
        <v>621.28016144060916</v>
      </c>
      <c r="E82" s="30">
        <f t="shared" si="117"/>
        <v>60.682671408561234</v>
      </c>
      <c r="F82" s="30">
        <f t="shared" si="117"/>
        <v>424.84727405427594</v>
      </c>
      <c r="G82" s="30">
        <f t="shared" si="117"/>
        <v>168.30988987951739</v>
      </c>
      <c r="H82" s="30">
        <f t="shared" si="117"/>
        <v>46.404088704000003</v>
      </c>
      <c r="I82" s="30">
        <f t="shared" si="117"/>
        <v>90.928836355347698</v>
      </c>
      <c r="J82" s="30">
        <f t="shared" si="117"/>
        <v>3.6143702642215385</v>
      </c>
      <c r="K82" s="30">
        <f t="shared" si="117"/>
        <v>24.694410129398197</v>
      </c>
      <c r="L82" s="30">
        <f t="shared" si="117"/>
        <v>213.9538889076058</v>
      </c>
      <c r="M82" s="30">
        <f t="shared" si="117"/>
        <v>1.2844213141846152</v>
      </c>
      <c r="N82" s="30">
        <f t="shared" si="117"/>
        <v>0</v>
      </c>
      <c r="O82" s="30">
        <f t="shared" si="117"/>
        <v>0</v>
      </c>
      <c r="P82" s="30">
        <f>(indonesia!P58*3.6/(VLOOKUP(P$51,tech_data!$B$2:$J$15,4,FALSE)/100))/1000</f>
        <v>0</v>
      </c>
      <c r="Q82" s="30">
        <f t="shared" si="113"/>
        <v>1656.0000124577216</v>
      </c>
      <c r="R82" s="30"/>
      <c r="S82" s="23"/>
      <c r="T82" s="19"/>
      <c r="U82" s="20" t="str">
        <f t="shared" ref="U82:V82" si="128">U34</f>
        <v>INDONESIA</v>
      </c>
      <c r="V82" s="20">
        <f t="shared" si="128"/>
        <v>2025</v>
      </c>
      <c r="W82" s="30">
        <f>D58*(1-(VLOOKUP(W$75,tech_data!$B$2:$O$15,4,FALSE)/100))</f>
        <v>985.47887676786263</v>
      </c>
      <c r="X82" s="30">
        <f>E58*(1-(VLOOKUP(X$75,tech_data!$B$2:$O$15,4,FALSE)/100))</f>
        <v>109.45565964347961</v>
      </c>
      <c r="Y82" s="30">
        <f>F58*(1-(VLOOKUP(Y$75,tech_data!$B$2:$O$15,4,FALSE)/100))</f>
        <v>303.46233861019704</v>
      </c>
      <c r="Z82" s="30">
        <f>G58*(1-(VLOOKUP(Z$75,tech_data!$B$2:$O$15,4,FALSE)/100))</f>
        <v>197.58117507595517</v>
      </c>
      <c r="AA82" s="30">
        <f>H58*(1-(VLOOKUP(AA$75,tech_data!$B$2:$O$15,4,FALSE)/100))</f>
        <v>297.32990169599998</v>
      </c>
      <c r="AB82" s="30">
        <f>I58*(1-(VLOOKUP(AB$75,tech_data!$B$2:$O$15,4,FALSE)/100))</f>
        <v>4.7857282292288303</v>
      </c>
      <c r="AC82" s="30">
        <f>J58*(1-(VLOOKUP(AC$75,tech_data!$B$2:$O$15,4,FALSE)/100))</f>
        <v>0.90359256605538429</v>
      </c>
      <c r="AD82" s="30">
        <f>K58*(1-(VLOOKUP(AD$75,tech_data!$B$2:$O$15,4,FALSE)/100))</f>
        <v>20.743304508694486</v>
      </c>
      <c r="AE82" s="30">
        <f>L58*(1-(VLOOKUP(AE$75,tech_data!$B$2:$O$15,4,FALSE)/100))</f>
        <v>87.079232785395561</v>
      </c>
      <c r="AF82" s="30">
        <f>M58*(1-(VLOOKUP(AF$75,tech_data!$B$2:$O$15,4,FALSE)/100))</f>
        <v>2.8588732477012404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(indonesia!AI58*3.6/(VLOOKUP(AI$51,tech_data!$B$2:$J$15,4,FALSE)/100))/1000</f>
        <v>0</v>
      </c>
      <c r="AJ82" s="30">
        <f t="shared" si="115"/>
        <v>2009.6786831305699</v>
      </c>
      <c r="AK82" s="30"/>
      <c r="AL82" s="23"/>
    </row>
    <row r="83" spans="1:38" x14ac:dyDescent="0.25">
      <c r="A83" s="19"/>
      <c r="B83" s="20" t="str">
        <f t="shared" ref="B83:C83" si="129">B35</f>
        <v>INDONESIA</v>
      </c>
      <c r="C83" s="20">
        <f t="shared" si="129"/>
        <v>2026</v>
      </c>
      <c r="D83" s="30">
        <f t="shared" si="117"/>
        <v>621.28016144060916</v>
      </c>
      <c r="E83" s="30">
        <f t="shared" si="117"/>
        <v>60.682671408561234</v>
      </c>
      <c r="F83" s="30">
        <f t="shared" si="117"/>
        <v>516.58863300795406</v>
      </c>
      <c r="G83" s="30">
        <f t="shared" si="117"/>
        <v>178.92801472217877</v>
      </c>
      <c r="H83" s="30">
        <f t="shared" si="117"/>
        <v>46.404088704000003</v>
      </c>
      <c r="I83" s="30">
        <f t="shared" si="117"/>
        <v>90.928836355347698</v>
      </c>
      <c r="J83" s="30">
        <f t="shared" si="117"/>
        <v>3.6143702642215385</v>
      </c>
      <c r="K83" s="30">
        <f t="shared" si="117"/>
        <v>28.518796404413983</v>
      </c>
      <c r="L83" s="30">
        <f t="shared" si="117"/>
        <v>248.16997216310608</v>
      </c>
      <c r="M83" s="30">
        <f t="shared" si="117"/>
        <v>1.2844213141846152</v>
      </c>
      <c r="N83" s="30">
        <f t="shared" si="117"/>
        <v>0</v>
      </c>
      <c r="O83" s="30">
        <f t="shared" si="117"/>
        <v>0</v>
      </c>
      <c r="P83" s="30">
        <f>(indonesia!P59*3.6/(VLOOKUP(P$51,tech_data!$B$2:$J$15,4,FALSE)/100))/1000</f>
        <v>0</v>
      </c>
      <c r="Q83" s="30">
        <f t="shared" si="113"/>
        <v>1796.3999657845773</v>
      </c>
      <c r="R83" s="30"/>
      <c r="S83" s="23"/>
      <c r="T83" s="19"/>
      <c r="U83" s="20" t="str">
        <f t="shared" ref="U83:V83" si="130">U35</f>
        <v>INDONESIA</v>
      </c>
      <c r="V83" s="20">
        <f t="shared" si="130"/>
        <v>2026</v>
      </c>
      <c r="W83" s="30">
        <f>D59*(1-(VLOOKUP(W$75,tech_data!$B$2:$O$15,4,FALSE)/100))</f>
        <v>985.47887676786263</v>
      </c>
      <c r="X83" s="30">
        <f>E59*(1-(VLOOKUP(X$75,tech_data!$B$2:$O$15,4,FALSE)/100))</f>
        <v>109.45565964347961</v>
      </c>
      <c r="Y83" s="30">
        <f>F59*(1-(VLOOKUP(Y$75,tech_data!$B$2:$O$15,4,FALSE)/100))</f>
        <v>368.99188071996713</v>
      </c>
      <c r="Z83" s="30">
        <f>G59*(1-(VLOOKUP(Z$75,tech_data!$B$2:$O$15,4,FALSE)/100))</f>
        <v>210.04593032603597</v>
      </c>
      <c r="AA83" s="30">
        <f>H59*(1-(VLOOKUP(AA$75,tech_data!$B$2:$O$15,4,FALSE)/100))</f>
        <v>297.32990169599998</v>
      </c>
      <c r="AB83" s="30">
        <f>I59*(1-(VLOOKUP(AB$75,tech_data!$B$2:$O$15,4,FALSE)/100))</f>
        <v>4.7857282292288303</v>
      </c>
      <c r="AC83" s="30">
        <f>J59*(1-(VLOOKUP(AC$75,tech_data!$B$2:$O$15,4,FALSE)/100))</f>
        <v>0.90359256605538429</v>
      </c>
      <c r="AD83" s="30">
        <f>K59*(1-(VLOOKUP(AD$75,tech_data!$B$2:$O$15,4,FALSE)/100))</f>
        <v>23.955788979707744</v>
      </c>
      <c r="AE83" s="30">
        <f>L59*(1-(VLOOKUP(AE$75,tech_data!$B$2:$O$15,4,FALSE)/100))</f>
        <v>101.00517867038418</v>
      </c>
      <c r="AF83" s="30">
        <f>M59*(1-(VLOOKUP(AF$75,tech_data!$B$2:$O$15,4,FALSE)/100))</f>
        <v>2.8588732477012404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(indonesia!AI59*3.6/(VLOOKUP(AI$51,tech_data!$B$2:$J$15,4,FALSE)/100))/1000</f>
        <v>0</v>
      </c>
      <c r="AJ83" s="30">
        <f t="shared" si="115"/>
        <v>2104.8114108464229</v>
      </c>
      <c r="AK83" s="30"/>
      <c r="AL83" s="23"/>
    </row>
    <row r="84" spans="1:38" x14ac:dyDescent="0.25">
      <c r="A84" s="19"/>
      <c r="B84" s="20" t="str">
        <f t="shared" ref="B84:C84" si="131">B36</f>
        <v>INDONESIA</v>
      </c>
      <c r="C84" s="20">
        <f t="shared" si="131"/>
        <v>2027</v>
      </c>
      <c r="D84" s="30">
        <f t="shared" si="117"/>
        <v>621.28016144060916</v>
      </c>
      <c r="E84" s="30">
        <f t="shared" si="117"/>
        <v>60.682671408561234</v>
      </c>
      <c r="F84" s="30">
        <f t="shared" si="117"/>
        <v>619.91028156873392</v>
      </c>
      <c r="G84" s="30">
        <f t="shared" si="117"/>
        <v>190.81102226636344</v>
      </c>
      <c r="H84" s="30">
        <f t="shared" si="117"/>
        <v>46.404088704000003</v>
      </c>
      <c r="I84" s="30">
        <f t="shared" si="117"/>
        <v>90.928836355347698</v>
      </c>
      <c r="J84" s="30">
        <f t="shared" si="117"/>
        <v>3.6143702642215385</v>
      </c>
      <c r="K84" s="30">
        <f t="shared" si="117"/>
        <v>33.032262165777958</v>
      </c>
      <c r="L84" s="30">
        <f t="shared" si="117"/>
        <v>286.85038724173057</v>
      </c>
      <c r="M84" s="30">
        <f t="shared" si="117"/>
        <v>1.2844213141846152</v>
      </c>
      <c r="N84" s="30">
        <f t="shared" si="117"/>
        <v>0</v>
      </c>
      <c r="O84" s="30">
        <f t="shared" si="117"/>
        <v>0</v>
      </c>
      <c r="P84" s="30">
        <f>(indonesia!P60*3.6/(VLOOKUP(P$51,tech_data!$B$2:$J$15,4,FALSE)/100))/1000</f>
        <v>0</v>
      </c>
      <c r="Q84" s="30">
        <f t="shared" si="113"/>
        <v>1954.7985027295297</v>
      </c>
      <c r="R84" s="30"/>
      <c r="S84" s="23"/>
      <c r="T84" s="19"/>
      <c r="U84" s="20" t="str">
        <f t="shared" ref="U84:V84" si="132">U36</f>
        <v>INDONESIA</v>
      </c>
      <c r="V84" s="20">
        <f t="shared" si="132"/>
        <v>2027</v>
      </c>
      <c r="W84" s="30">
        <f>D60*(1-(VLOOKUP(W$75,tech_data!$B$2:$O$15,4,FALSE)/100))</f>
        <v>985.47887676786263</v>
      </c>
      <c r="X84" s="30">
        <f>E60*(1-(VLOOKUP(X$75,tech_data!$B$2:$O$15,4,FALSE)/100))</f>
        <v>109.45565964347961</v>
      </c>
      <c r="Y84" s="30">
        <f>F60*(1-(VLOOKUP(Y$75,tech_data!$B$2:$O$15,4,FALSE)/100))</f>
        <v>442.79305826338134</v>
      </c>
      <c r="Z84" s="30">
        <f>G60*(1-(VLOOKUP(Z$75,tech_data!$B$2:$O$15,4,FALSE)/100))</f>
        <v>223.99554787790493</v>
      </c>
      <c r="AA84" s="30">
        <f>H60*(1-(VLOOKUP(AA$75,tech_data!$B$2:$O$15,4,FALSE)/100))</f>
        <v>297.32990169599998</v>
      </c>
      <c r="AB84" s="30">
        <f>I60*(1-(VLOOKUP(AB$75,tech_data!$B$2:$O$15,4,FALSE)/100))</f>
        <v>4.7857282292288303</v>
      </c>
      <c r="AC84" s="30">
        <f>J60*(1-(VLOOKUP(AC$75,tech_data!$B$2:$O$15,4,FALSE)/100))</f>
        <v>0.90359256605538429</v>
      </c>
      <c r="AD84" s="30">
        <f>K60*(1-(VLOOKUP(AD$75,tech_data!$B$2:$O$15,4,FALSE)/100))</f>
        <v>27.747100219253483</v>
      </c>
      <c r="AE84" s="30">
        <f>L60*(1-(VLOOKUP(AE$75,tech_data!$B$2:$O$15,4,FALSE)/100))</f>
        <v>116.74810760738436</v>
      </c>
      <c r="AF84" s="30">
        <f>M60*(1-(VLOOKUP(AF$75,tech_data!$B$2:$O$15,4,FALSE)/100))</f>
        <v>2.8588732477012404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(indonesia!AI60*3.6/(VLOOKUP(AI$51,tech_data!$B$2:$J$15,4,FALSE)/100))/1000</f>
        <v>0</v>
      </c>
      <c r="AJ84" s="30">
        <f t="shared" si="115"/>
        <v>2212.0964461182525</v>
      </c>
      <c r="AK84" s="30"/>
      <c r="AL84" s="23"/>
    </row>
    <row r="85" spans="1:38" x14ac:dyDescent="0.25">
      <c r="A85" s="19"/>
      <c r="B85" s="20" t="str">
        <f t="shared" ref="B85:C85" si="133">B37</f>
        <v>INDONESIA</v>
      </c>
      <c r="C85" s="20">
        <f t="shared" si="133"/>
        <v>2028</v>
      </c>
      <c r="D85" s="30">
        <f t="shared" si="117"/>
        <v>621.28016144060916</v>
      </c>
      <c r="E85" s="30">
        <f t="shared" si="117"/>
        <v>60.682671408561234</v>
      </c>
      <c r="F85" s="30">
        <f t="shared" si="117"/>
        <v>689.26246583508635</v>
      </c>
      <c r="G85" s="30">
        <f t="shared" si="117"/>
        <v>197.32603098953049</v>
      </c>
      <c r="H85" s="30">
        <f t="shared" si="117"/>
        <v>46.404088704000003</v>
      </c>
      <c r="I85" s="30">
        <f t="shared" si="117"/>
        <v>90.928836355347698</v>
      </c>
      <c r="J85" s="30">
        <f t="shared" si="117"/>
        <v>3.6143702642215385</v>
      </c>
      <c r="K85" s="30">
        <f t="shared" si="117"/>
        <v>37.0955766063488</v>
      </c>
      <c r="L85" s="30">
        <f t="shared" si="117"/>
        <v>314.91966807367874</v>
      </c>
      <c r="M85" s="30">
        <f t="shared" si="117"/>
        <v>1.2844213141846152</v>
      </c>
      <c r="N85" s="30">
        <f t="shared" si="117"/>
        <v>0</v>
      </c>
      <c r="O85" s="30">
        <f t="shared" si="117"/>
        <v>0</v>
      </c>
      <c r="P85" s="30">
        <f>(indonesia!P61*3.6/(VLOOKUP(P$51,tech_data!$B$2:$J$15,4,FALSE)/100))/1000</f>
        <v>0</v>
      </c>
      <c r="Q85" s="30">
        <f t="shared" si="113"/>
        <v>2062.798290991569</v>
      </c>
      <c r="R85" s="30"/>
      <c r="S85" s="23"/>
      <c r="T85" s="19"/>
      <c r="U85" s="20" t="str">
        <f t="shared" ref="U85:V85" si="134">U37</f>
        <v>INDONESIA</v>
      </c>
      <c r="V85" s="20">
        <f t="shared" si="134"/>
        <v>2028</v>
      </c>
      <c r="W85" s="30">
        <f>D61*(1-(VLOOKUP(W$75,tech_data!$B$2:$O$15,4,FALSE)/100))</f>
        <v>985.47887676786263</v>
      </c>
      <c r="X85" s="30">
        <f>E61*(1-(VLOOKUP(X$75,tech_data!$B$2:$O$15,4,FALSE)/100))</f>
        <v>109.45565964347961</v>
      </c>
      <c r="Y85" s="30">
        <f>F61*(1-(VLOOKUP(Y$75,tech_data!$B$2:$O$15,4,FALSE)/100))</f>
        <v>492.33033273934728</v>
      </c>
      <c r="Z85" s="30">
        <f>G61*(1-(VLOOKUP(Z$75,tech_data!$B$2:$O$15,4,FALSE)/100))</f>
        <v>231.64360159640535</v>
      </c>
      <c r="AA85" s="30">
        <f>H61*(1-(VLOOKUP(AA$75,tech_data!$B$2:$O$15,4,FALSE)/100))</f>
        <v>297.32990169599998</v>
      </c>
      <c r="AB85" s="30">
        <f>I61*(1-(VLOOKUP(AB$75,tech_data!$B$2:$O$15,4,FALSE)/100))</f>
        <v>4.7857282292288303</v>
      </c>
      <c r="AC85" s="30">
        <f>J61*(1-(VLOOKUP(AC$75,tech_data!$B$2:$O$15,4,FALSE)/100))</f>
        <v>0.90359256605538429</v>
      </c>
      <c r="AD85" s="30">
        <f>K61*(1-(VLOOKUP(AD$75,tech_data!$B$2:$O$15,4,FALSE)/100))</f>
        <v>31.16028434933299</v>
      </c>
      <c r="AE85" s="30">
        <f>L61*(1-(VLOOKUP(AE$75,tech_data!$B$2:$O$15,4,FALSE)/100))</f>
        <v>128.17230490598726</v>
      </c>
      <c r="AF85" s="30">
        <f>M61*(1-(VLOOKUP(AF$75,tech_data!$B$2:$O$15,4,FALSE)/100))</f>
        <v>2.8588732477012404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(indonesia!AI61*3.6/(VLOOKUP(AI$51,tech_data!$B$2:$J$15,4,FALSE)/100))/1000</f>
        <v>0</v>
      </c>
      <c r="AJ85" s="30">
        <f t="shared" si="115"/>
        <v>2284.1191557414008</v>
      </c>
      <c r="AK85" s="30"/>
      <c r="AL85" s="23"/>
    </row>
    <row r="86" spans="1:38" x14ac:dyDescent="0.25">
      <c r="A86" s="19"/>
      <c r="B86" s="20" t="str">
        <f t="shared" ref="B86:C86" si="135">B38</f>
        <v>INDONESIA</v>
      </c>
      <c r="C86" s="20">
        <f t="shared" si="135"/>
        <v>2029</v>
      </c>
      <c r="D86" s="30">
        <f t="shared" si="117"/>
        <v>637.02726221804903</v>
      </c>
      <c r="E86" s="30">
        <f t="shared" si="117"/>
        <v>60.682671408561234</v>
      </c>
      <c r="F86" s="30">
        <f t="shared" si="117"/>
        <v>749.68049423812374</v>
      </c>
      <c r="G86" s="30">
        <f t="shared" si="117"/>
        <v>204.51665799847822</v>
      </c>
      <c r="H86" s="30">
        <f t="shared" si="117"/>
        <v>46.404088704000003</v>
      </c>
      <c r="I86" s="30">
        <f t="shared" si="117"/>
        <v>90.928836355347698</v>
      </c>
      <c r="J86" s="30">
        <f t="shared" si="117"/>
        <v>3.6143702642215385</v>
      </c>
      <c r="K86" s="30">
        <f t="shared" si="117"/>
        <v>41.743750021429435</v>
      </c>
      <c r="L86" s="30">
        <f t="shared" si="117"/>
        <v>345.71751091174627</v>
      </c>
      <c r="M86" s="30">
        <f t="shared" si="117"/>
        <v>1.2844213141846152</v>
      </c>
      <c r="N86" s="30">
        <f t="shared" si="117"/>
        <v>0</v>
      </c>
      <c r="O86" s="30">
        <f t="shared" si="117"/>
        <v>0</v>
      </c>
      <c r="P86" s="30">
        <f>(indonesia!P62*3.6/(VLOOKUP(P$51,tech_data!$B$2:$J$15,4,FALSE)/100))/1000</f>
        <v>0</v>
      </c>
      <c r="Q86" s="30">
        <f t="shared" si="113"/>
        <v>2181.6000634341422</v>
      </c>
      <c r="R86" s="30"/>
      <c r="S86" s="23"/>
      <c r="T86" s="19"/>
      <c r="U86" s="20" t="str">
        <f t="shared" ref="U86:V86" si="136">U38</f>
        <v>INDONESIA</v>
      </c>
      <c r="V86" s="20">
        <f t="shared" si="136"/>
        <v>2029</v>
      </c>
      <c r="W86" s="30">
        <f>D62*(1-(VLOOKUP(W$75,tech_data!$B$2:$O$15,4,FALSE)/100))</f>
        <v>1010.4570366217328</v>
      </c>
      <c r="X86" s="30">
        <f>E62*(1-(VLOOKUP(X$75,tech_data!$B$2:$O$15,4,FALSE)/100))</f>
        <v>109.45565964347961</v>
      </c>
      <c r="Y86" s="30">
        <f>F62*(1-(VLOOKUP(Y$75,tech_data!$B$2:$O$15,4,FALSE)/100))</f>
        <v>535.48606731294547</v>
      </c>
      <c r="Z86" s="30">
        <f>G62*(1-(VLOOKUP(Z$75,tech_data!$B$2:$O$15,4,FALSE)/100))</f>
        <v>240.08477243299615</v>
      </c>
      <c r="AA86" s="30">
        <f>H62*(1-(VLOOKUP(AA$75,tech_data!$B$2:$O$15,4,FALSE)/100))</f>
        <v>297.32990169599998</v>
      </c>
      <c r="AB86" s="30">
        <f>I62*(1-(VLOOKUP(AB$75,tech_data!$B$2:$O$15,4,FALSE)/100))</f>
        <v>4.7857282292288303</v>
      </c>
      <c r="AC86" s="30">
        <f>J62*(1-(VLOOKUP(AC$75,tech_data!$B$2:$O$15,4,FALSE)/100))</f>
        <v>0.90359256605538429</v>
      </c>
      <c r="AD86" s="30">
        <f>K62*(1-(VLOOKUP(AD$75,tech_data!$B$2:$O$15,4,FALSE)/100))</f>
        <v>35.064750018000723</v>
      </c>
      <c r="AE86" s="30">
        <f>L62*(1-(VLOOKUP(AE$75,tech_data!$B$2:$O$15,4,FALSE)/100))</f>
        <v>140.70702694108076</v>
      </c>
      <c r="AF86" s="30">
        <f>M62*(1-(VLOOKUP(AF$75,tech_data!$B$2:$O$15,4,FALSE)/100))</f>
        <v>2.8588732477012404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(indonesia!AI62*3.6/(VLOOKUP(AI$51,tech_data!$B$2:$J$15,4,FALSE)/100))/1000</f>
        <v>0</v>
      </c>
      <c r="AJ86" s="30">
        <f t="shared" si="115"/>
        <v>2377.1334087092209</v>
      </c>
      <c r="AK86" s="30"/>
      <c r="AL86" s="23"/>
    </row>
    <row r="87" spans="1:38" x14ac:dyDescent="0.25">
      <c r="A87" s="19"/>
      <c r="B87" s="20" t="str">
        <f t="shared" ref="B87:C87" si="137">B39</f>
        <v>INDONESIA</v>
      </c>
      <c r="C87" s="20">
        <f t="shared" si="137"/>
        <v>2030</v>
      </c>
      <c r="D87" s="30">
        <f t="shared" si="117"/>
        <v>667.11602411919944</v>
      </c>
      <c r="E87" s="30">
        <f t="shared" si="117"/>
        <v>60.682671408561234</v>
      </c>
      <c r="F87" s="30">
        <f t="shared" si="117"/>
        <v>795.36165665859869</v>
      </c>
      <c r="G87" s="30">
        <f t="shared" si="117"/>
        <v>211.34076630719889</v>
      </c>
      <c r="H87" s="30">
        <f t="shared" si="117"/>
        <v>46.404088704000003</v>
      </c>
      <c r="I87" s="30">
        <f t="shared" si="117"/>
        <v>90.928836355347698</v>
      </c>
      <c r="J87" s="30">
        <f t="shared" si="117"/>
        <v>3.6143702642215385</v>
      </c>
      <c r="K87" s="30">
        <f t="shared" si="117"/>
        <v>46.82692081610314</v>
      </c>
      <c r="L87" s="30">
        <f t="shared" si="117"/>
        <v>376.84025278203592</v>
      </c>
      <c r="M87" s="30">
        <f t="shared" si="117"/>
        <v>1.2844213141846152</v>
      </c>
      <c r="N87" s="30">
        <f t="shared" si="117"/>
        <v>0</v>
      </c>
      <c r="O87" s="30">
        <f t="shared" si="117"/>
        <v>0</v>
      </c>
      <c r="P87" s="30">
        <f>(indonesia!P63*3.6/(VLOOKUP(P$51,tech_data!$B$2:$J$15,4,FALSE)/100))/1000</f>
        <v>0</v>
      </c>
      <c r="Q87" s="30">
        <f t="shared" si="113"/>
        <v>2300.4000087294517</v>
      </c>
      <c r="R87" s="30"/>
      <c r="S87" s="23"/>
      <c r="T87" s="19"/>
      <c r="U87" s="20" t="str">
        <f t="shared" ref="U87:V87" si="138">U39</f>
        <v>INDONESIA</v>
      </c>
      <c r="V87" s="20">
        <f t="shared" si="138"/>
        <v>2030</v>
      </c>
      <c r="W87" s="30">
        <f>D63*(1-(VLOOKUP(W$75,tech_data!$B$2:$O$15,4,FALSE)/100))</f>
        <v>1058.1840382580403</v>
      </c>
      <c r="X87" s="30">
        <f>E63*(1-(VLOOKUP(X$75,tech_data!$B$2:$O$15,4,FALSE)/100))</f>
        <v>109.45565964347961</v>
      </c>
      <c r="Y87" s="30">
        <f>F63*(1-(VLOOKUP(Y$75,tech_data!$B$2:$O$15,4,FALSE)/100))</f>
        <v>568.11546904185604</v>
      </c>
      <c r="Z87" s="30">
        <f>G63*(1-(VLOOKUP(Z$75,tech_data!$B$2:$O$15,4,FALSE)/100))</f>
        <v>248.09568218671177</v>
      </c>
      <c r="AA87" s="30">
        <f>H63*(1-(VLOOKUP(AA$75,tech_data!$B$2:$O$15,4,FALSE)/100))</f>
        <v>297.32990169599998</v>
      </c>
      <c r="AB87" s="30">
        <f>I63*(1-(VLOOKUP(AB$75,tech_data!$B$2:$O$15,4,FALSE)/100))</f>
        <v>4.7857282292288303</v>
      </c>
      <c r="AC87" s="30">
        <f>J63*(1-(VLOOKUP(AC$75,tech_data!$B$2:$O$15,4,FALSE)/100))</f>
        <v>0.90359256605538429</v>
      </c>
      <c r="AD87" s="30">
        <f>K63*(1-(VLOOKUP(AD$75,tech_data!$B$2:$O$15,4,FALSE)/100))</f>
        <v>39.334613485526638</v>
      </c>
      <c r="AE87" s="30">
        <f>L63*(1-(VLOOKUP(AE$75,tech_data!$B$2:$O$15,4,FALSE)/100))</f>
        <v>153.37398288228863</v>
      </c>
      <c r="AF87" s="30">
        <f>M63*(1-(VLOOKUP(AF$75,tech_data!$B$2:$O$15,4,FALSE)/100))</f>
        <v>2.8588732477012404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(indonesia!AI63*3.6/(VLOOKUP(AI$51,tech_data!$B$2:$J$15,4,FALSE)/100))/1000</f>
        <v>0</v>
      </c>
      <c r="AJ87" s="30">
        <f t="shared" si="115"/>
        <v>2482.4375412368886</v>
      </c>
      <c r="AK87" s="30"/>
      <c r="AL87" s="23"/>
    </row>
    <row r="88" spans="1:38" x14ac:dyDescent="0.25">
      <c r="A88" s="19"/>
      <c r="B88" s="20" t="str">
        <f t="shared" ref="B88:C88" si="139">B40</f>
        <v>INDONESIA</v>
      </c>
      <c r="C88" s="20">
        <f t="shared" si="139"/>
        <v>2031</v>
      </c>
      <c r="D88" s="30">
        <f t="shared" si="117"/>
        <v>702.95009289951815</v>
      </c>
      <c r="E88" s="30">
        <f t="shared" si="117"/>
        <v>60.682671408561234</v>
      </c>
      <c r="F88" s="30">
        <f t="shared" si="117"/>
        <v>854.83553206254726</v>
      </c>
      <c r="G88" s="30">
        <f t="shared" si="117"/>
        <v>214.08405921101357</v>
      </c>
      <c r="H88" s="30">
        <f t="shared" si="117"/>
        <v>46.404088704000003</v>
      </c>
      <c r="I88" s="30">
        <f t="shared" si="117"/>
        <v>90.928836355347698</v>
      </c>
      <c r="J88" s="30">
        <f t="shared" si="117"/>
        <v>3.6143702642215385</v>
      </c>
      <c r="K88" s="30">
        <f t="shared" si="117"/>
        <v>52.847732000937725</v>
      </c>
      <c r="L88" s="30">
        <f t="shared" si="117"/>
        <v>413.16781695930558</v>
      </c>
      <c r="M88" s="30">
        <f t="shared" si="117"/>
        <v>1.2844213141846152</v>
      </c>
      <c r="N88" s="30">
        <f t="shared" si="117"/>
        <v>2.3913393352125241E-14</v>
      </c>
      <c r="O88" s="30">
        <f t="shared" si="117"/>
        <v>9.5951535811757678E-11</v>
      </c>
      <c r="P88" s="30">
        <f>(indonesia!P64*3.6/(VLOOKUP(P$51,tech_data!$B$2:$J$15,4,FALSE)/100))/1000</f>
        <v>0</v>
      </c>
      <c r="Q88" s="30">
        <f t="shared" si="113"/>
        <v>2440.7996211797335</v>
      </c>
      <c r="R88" s="30"/>
      <c r="S88" s="23"/>
      <c r="T88" s="19"/>
      <c r="U88" s="20" t="str">
        <f t="shared" ref="U88:V88" si="140">U40</f>
        <v>INDONESIA</v>
      </c>
      <c r="V88" s="20">
        <f t="shared" si="140"/>
        <v>2031</v>
      </c>
      <c r="W88" s="30">
        <f>D64*(1-(VLOOKUP(W$75,tech_data!$B$2:$O$15,4,FALSE)/100))</f>
        <v>1115.024285288891</v>
      </c>
      <c r="X88" s="30">
        <f>E64*(1-(VLOOKUP(X$75,tech_data!$B$2:$O$15,4,FALSE)/100))</f>
        <v>109.45565964347961</v>
      </c>
      <c r="Y88" s="30">
        <f>F64*(1-(VLOOKUP(Y$75,tech_data!$B$2:$O$15,4,FALSE)/100))</f>
        <v>610.59680861610502</v>
      </c>
      <c r="Z88" s="30">
        <f>G64*(1-(VLOOKUP(Z$75,tech_data!$B$2:$O$15,4,FALSE)/100))</f>
        <v>251.31606950858119</v>
      </c>
      <c r="AA88" s="30">
        <f>H64*(1-(VLOOKUP(AA$75,tech_data!$B$2:$O$15,4,FALSE)/100))</f>
        <v>297.32990169599998</v>
      </c>
      <c r="AB88" s="30">
        <f>I64*(1-(VLOOKUP(AB$75,tech_data!$B$2:$O$15,4,FALSE)/100))</f>
        <v>4.7857282292288303</v>
      </c>
      <c r="AC88" s="30">
        <f>J64*(1-(VLOOKUP(AC$75,tech_data!$B$2:$O$15,4,FALSE)/100))</f>
        <v>0.90359256605538429</v>
      </c>
      <c r="AD88" s="30">
        <f>K64*(1-(VLOOKUP(AD$75,tech_data!$B$2:$O$15,4,FALSE)/100))</f>
        <v>44.392094880787688</v>
      </c>
      <c r="AE88" s="30">
        <f>L64*(1-(VLOOKUP(AE$75,tech_data!$B$2:$O$15,4,FALSE)/100))</f>
        <v>168.15930150243739</v>
      </c>
      <c r="AF88" s="30">
        <f>M64*(1-(VLOOKUP(AF$75,tech_data!$B$2:$O$15,4,FALSE)/100))</f>
        <v>2.8588732477012404</v>
      </c>
      <c r="AG88" s="30">
        <f>N64*(1-(VLOOKUP(AG$75,tech_data!$B$2:$O$15,4,FALSE)/100))</f>
        <v>2.1123497461043971E-15</v>
      </c>
      <c r="AH88" s="30">
        <f>O64*(1-(VLOOKUP(AH$75,tech_data!$B$2:$O$15,4,FALSE)/100))</f>
        <v>2.3876312399669937E-10</v>
      </c>
      <c r="AI88" s="30">
        <f>(indonesia!AI64*3.6/(VLOOKUP(AI$51,tech_data!$B$2:$J$15,4,FALSE)/100))/1000</f>
        <v>0</v>
      </c>
      <c r="AJ88" s="30">
        <f t="shared" si="115"/>
        <v>2604.8223151795064</v>
      </c>
      <c r="AK88" s="30"/>
      <c r="AL88" s="23"/>
    </row>
    <row r="89" spans="1:38" x14ac:dyDescent="0.25">
      <c r="A89" s="19"/>
      <c r="B89" s="20" t="str">
        <f t="shared" ref="B89:C89" si="141">B41</f>
        <v>INDONESIA</v>
      </c>
      <c r="C89" s="20">
        <f t="shared" si="141"/>
        <v>2032</v>
      </c>
      <c r="D89" s="30">
        <f t="shared" si="117"/>
        <v>740.28180722903437</v>
      </c>
      <c r="E89" s="30">
        <f t="shared" si="117"/>
        <v>60.682671408561234</v>
      </c>
      <c r="F89" s="30">
        <f t="shared" si="117"/>
        <v>914.74897867120967</v>
      </c>
      <c r="G89" s="30">
        <f t="shared" si="117"/>
        <v>219.37359966067089</v>
      </c>
      <c r="H89" s="30">
        <f t="shared" si="117"/>
        <v>46.404088704000003</v>
      </c>
      <c r="I89" s="30">
        <f t="shared" si="117"/>
        <v>90.928836355347698</v>
      </c>
      <c r="J89" s="30">
        <f t="shared" si="117"/>
        <v>3.6143702642215385</v>
      </c>
      <c r="K89" s="30">
        <f t="shared" si="117"/>
        <v>59.601337148513572</v>
      </c>
      <c r="L89" s="30">
        <f t="shared" si="117"/>
        <v>451.47884185194107</v>
      </c>
      <c r="M89" s="30">
        <f t="shared" si="117"/>
        <v>1.2844213141846152</v>
      </c>
      <c r="N89" s="30">
        <f t="shared" si="117"/>
        <v>2.3913393352125241E-14</v>
      </c>
      <c r="O89" s="30">
        <f t="shared" si="117"/>
        <v>9.5951535811757678E-11</v>
      </c>
      <c r="P89" s="30">
        <f>(indonesia!P65*3.6/(VLOOKUP(P$51,tech_data!$B$2:$J$15,4,FALSE)/100))/1000</f>
        <v>0</v>
      </c>
      <c r="Q89" s="30">
        <f t="shared" si="113"/>
        <v>2588.3989526077808</v>
      </c>
      <c r="R89" s="30"/>
      <c r="S89" s="23"/>
      <c r="T89" s="19"/>
      <c r="U89" s="20" t="str">
        <f t="shared" ref="U89:V89" si="142">U41</f>
        <v>INDONESIA</v>
      </c>
      <c r="V89" s="20">
        <f t="shared" si="142"/>
        <v>2032</v>
      </c>
      <c r="W89" s="30">
        <f>D65*(1-(VLOOKUP(W$75,tech_data!$B$2:$O$15,4,FALSE)/100))</f>
        <v>1174.2401080184682</v>
      </c>
      <c r="X89" s="30">
        <f>E65*(1-(VLOOKUP(X$75,tech_data!$B$2:$O$15,4,FALSE)/100))</f>
        <v>109.45565964347961</v>
      </c>
      <c r="Y89" s="30">
        <f>F65*(1-(VLOOKUP(Y$75,tech_data!$B$2:$O$15,4,FALSE)/100))</f>
        <v>653.39212762229249</v>
      </c>
      <c r="Z89" s="30">
        <f>G65*(1-(VLOOKUP(Z$75,tech_data!$B$2:$O$15,4,FALSE)/100))</f>
        <v>257.5255300364397</v>
      </c>
      <c r="AA89" s="30">
        <f>H65*(1-(VLOOKUP(AA$75,tech_data!$B$2:$O$15,4,FALSE)/100))</f>
        <v>297.32990169599998</v>
      </c>
      <c r="AB89" s="30">
        <f>I65*(1-(VLOOKUP(AB$75,tech_data!$B$2:$O$15,4,FALSE)/100))</f>
        <v>4.7857282292288303</v>
      </c>
      <c r="AC89" s="30">
        <f>J65*(1-(VLOOKUP(AC$75,tech_data!$B$2:$O$15,4,FALSE)/100))</f>
        <v>0.90359256605538429</v>
      </c>
      <c r="AD89" s="30">
        <f>K65*(1-(VLOOKUP(AD$75,tech_data!$B$2:$O$15,4,FALSE)/100))</f>
        <v>50.065123204751401</v>
      </c>
      <c r="AE89" s="30">
        <f>L65*(1-(VLOOKUP(AE$75,tech_data!$B$2:$O$15,4,FALSE)/100))</f>
        <v>183.75188863374004</v>
      </c>
      <c r="AF89" s="30">
        <f>M65*(1-(VLOOKUP(AF$75,tech_data!$B$2:$O$15,4,FALSE)/100))</f>
        <v>2.8588732477012404</v>
      </c>
      <c r="AG89" s="30">
        <f>N65*(1-(VLOOKUP(AG$75,tech_data!$B$2:$O$15,4,FALSE)/100))</f>
        <v>2.1123497461043971E-15</v>
      </c>
      <c r="AH89" s="30">
        <f>O65*(1-(VLOOKUP(AH$75,tech_data!$B$2:$O$15,4,FALSE)/100))</f>
        <v>2.3876312399669937E-10</v>
      </c>
      <c r="AI89" s="30">
        <f>(indonesia!AI65*3.6/(VLOOKUP(AI$51,tech_data!$B$2:$J$15,4,FALSE)/100))/1000</f>
        <v>0</v>
      </c>
      <c r="AJ89" s="30">
        <f t="shared" si="115"/>
        <v>2734.3085328983962</v>
      </c>
      <c r="AK89" s="30"/>
      <c r="AL89" s="23"/>
    </row>
    <row r="90" spans="1:38" x14ac:dyDescent="0.25">
      <c r="A90" s="19"/>
      <c r="B90" s="20" t="str">
        <f t="shared" ref="B90:C90" si="143">B42</f>
        <v>INDONESIA</v>
      </c>
      <c r="C90" s="20">
        <f t="shared" si="143"/>
        <v>2033</v>
      </c>
      <c r="D90" s="30">
        <f t="shared" si="117"/>
        <v>777.02394761334961</v>
      </c>
      <c r="E90" s="30">
        <f t="shared" si="117"/>
        <v>60.682671408561234</v>
      </c>
      <c r="F90" s="30">
        <f t="shared" si="117"/>
        <v>962.39362301192762</v>
      </c>
      <c r="G90" s="30">
        <f t="shared" si="117"/>
        <v>236.57776486550358</v>
      </c>
      <c r="H90" s="30">
        <f t="shared" si="117"/>
        <v>46.404088704000003</v>
      </c>
      <c r="I90" s="30">
        <f t="shared" si="117"/>
        <v>90.928836355347698</v>
      </c>
      <c r="J90" s="30">
        <f t="shared" si="117"/>
        <v>3.6143702642215385</v>
      </c>
      <c r="K90" s="30">
        <f t="shared" si="117"/>
        <v>66.988673424937787</v>
      </c>
      <c r="L90" s="30">
        <f t="shared" si="117"/>
        <v>490.10137706197128</v>
      </c>
      <c r="M90" s="30">
        <f t="shared" si="117"/>
        <v>1.2844213141846152</v>
      </c>
      <c r="N90" s="30">
        <f t="shared" si="117"/>
        <v>2.3913393352125241E-14</v>
      </c>
      <c r="O90" s="30">
        <f t="shared" si="117"/>
        <v>9.5951535811757678E-11</v>
      </c>
      <c r="P90" s="30">
        <f>(indonesia!P66*3.6/(VLOOKUP(P$51,tech_data!$B$2:$J$15,4,FALSE)/100))/1000</f>
        <v>0</v>
      </c>
      <c r="Q90" s="30">
        <f t="shared" si="113"/>
        <v>2735.999774024101</v>
      </c>
      <c r="R90" s="30"/>
      <c r="S90" s="23"/>
      <c r="T90" s="19"/>
      <c r="U90" s="20" t="str">
        <f t="shared" ref="U90:V90" si="144">U42</f>
        <v>INDONESIA</v>
      </c>
      <c r="V90" s="20">
        <f t="shared" si="144"/>
        <v>2033</v>
      </c>
      <c r="W90" s="30">
        <f>D66*(1-(VLOOKUP(W$75,tech_data!$B$2:$O$15,4,FALSE)/100))</f>
        <v>1232.5207444901407</v>
      </c>
      <c r="X90" s="30">
        <f>E66*(1-(VLOOKUP(X$75,tech_data!$B$2:$O$15,4,FALSE)/100))</f>
        <v>109.45565964347961</v>
      </c>
      <c r="Y90" s="30">
        <f>F66*(1-(VLOOKUP(Y$75,tech_data!$B$2:$O$15,4,FALSE)/100))</f>
        <v>687.42401643709104</v>
      </c>
      <c r="Z90" s="30">
        <f>G66*(1-(VLOOKUP(Z$75,tech_data!$B$2:$O$15,4,FALSE)/100))</f>
        <v>277.72172397254769</v>
      </c>
      <c r="AA90" s="30">
        <f>H66*(1-(VLOOKUP(AA$75,tech_data!$B$2:$O$15,4,FALSE)/100))</f>
        <v>297.32990169599998</v>
      </c>
      <c r="AB90" s="30">
        <f>I66*(1-(VLOOKUP(AB$75,tech_data!$B$2:$O$15,4,FALSE)/100))</f>
        <v>4.7857282292288303</v>
      </c>
      <c r="AC90" s="30">
        <f>J66*(1-(VLOOKUP(AC$75,tech_data!$B$2:$O$15,4,FALSE)/100))</f>
        <v>0.90359256605538429</v>
      </c>
      <c r="AD90" s="30">
        <f>K66*(1-(VLOOKUP(AD$75,tech_data!$B$2:$O$15,4,FALSE)/100))</f>
        <v>56.270485676947736</v>
      </c>
      <c r="AE90" s="30">
        <f>L66*(1-(VLOOKUP(AE$75,tech_data!$B$2:$O$15,4,FALSE)/100))</f>
        <v>199.47126046422233</v>
      </c>
      <c r="AF90" s="30">
        <f>M66*(1-(VLOOKUP(AF$75,tech_data!$B$2:$O$15,4,FALSE)/100))</f>
        <v>2.8588732477012404</v>
      </c>
      <c r="AG90" s="30">
        <f>N66*(1-(VLOOKUP(AG$75,tech_data!$B$2:$O$15,4,FALSE)/100))</f>
        <v>2.1123497461043971E-15</v>
      </c>
      <c r="AH90" s="30">
        <f>O66*(1-(VLOOKUP(AH$75,tech_data!$B$2:$O$15,4,FALSE)/100))</f>
        <v>2.3876312399669937E-10</v>
      </c>
      <c r="AI90" s="30">
        <f>(indonesia!AI66*3.6/(VLOOKUP(AI$51,tech_data!$B$2:$J$15,4,FALSE)/100))/1000</f>
        <v>0</v>
      </c>
      <c r="AJ90" s="30">
        <f t="shared" si="115"/>
        <v>2868.7419864236535</v>
      </c>
      <c r="AK90" s="30"/>
      <c r="AL90" s="23"/>
    </row>
    <row r="91" spans="1:38" x14ac:dyDescent="0.25">
      <c r="A91" s="19"/>
      <c r="B91" s="20" t="str">
        <f t="shared" ref="B91:C91" si="145">B43</f>
        <v>INDONESIA</v>
      </c>
      <c r="C91" s="20">
        <f t="shared" si="145"/>
        <v>2034</v>
      </c>
      <c r="D91" s="30">
        <f t="shared" si="117"/>
        <v>819.26593118612652</v>
      </c>
      <c r="E91" s="30">
        <f t="shared" si="117"/>
        <v>60.682671408561234</v>
      </c>
      <c r="F91" s="30">
        <f t="shared" si="117"/>
        <v>1031.5838092124552</v>
      </c>
      <c r="G91" s="30">
        <f t="shared" si="117"/>
        <v>239.1762462405502</v>
      </c>
      <c r="H91" s="30">
        <f t="shared" si="117"/>
        <v>46.404088704000003</v>
      </c>
      <c r="I91" s="30">
        <f t="shared" si="117"/>
        <v>90.928836355348281</v>
      </c>
      <c r="J91" s="30">
        <f t="shared" si="117"/>
        <v>3.6143702642215385</v>
      </c>
      <c r="K91" s="30">
        <f t="shared" si="117"/>
        <v>75.88706192325273</v>
      </c>
      <c r="L91" s="30">
        <f t="shared" si="117"/>
        <v>536.3725459373585</v>
      </c>
      <c r="M91" s="30">
        <f t="shared" si="117"/>
        <v>1.2844213141846152</v>
      </c>
      <c r="N91" s="30">
        <f t="shared" si="117"/>
        <v>2.3913393352125241E-14</v>
      </c>
      <c r="O91" s="30">
        <f t="shared" si="117"/>
        <v>1.7353546715496984E-10</v>
      </c>
      <c r="P91" s="30">
        <f>(indonesia!P67*3.6/(VLOOKUP(P$51,tech_data!$B$2:$J$15,4,FALSE)/100))/1000</f>
        <v>0</v>
      </c>
      <c r="Q91" s="30">
        <f t="shared" si="113"/>
        <v>2905.1999825462331</v>
      </c>
      <c r="R91" s="30"/>
      <c r="S91" s="23"/>
      <c r="T91" s="19"/>
      <c r="U91" s="20" t="str">
        <f t="shared" ref="U91:V91" si="146">U43</f>
        <v>INDONESIA</v>
      </c>
      <c r="V91" s="20">
        <f t="shared" si="146"/>
        <v>2034</v>
      </c>
      <c r="W91" s="30">
        <f>D67*(1-(VLOOKUP(W$75,tech_data!$B$2:$O$15,4,FALSE)/100))</f>
        <v>1299.525270157304</v>
      </c>
      <c r="X91" s="30">
        <f>E67*(1-(VLOOKUP(X$75,tech_data!$B$2:$O$15,4,FALSE)/100))</f>
        <v>109.45565964347961</v>
      </c>
      <c r="Y91" s="30">
        <f>F67*(1-(VLOOKUP(Y$75,tech_data!$B$2:$O$15,4,FALSE)/100))</f>
        <v>736.8455780088965</v>
      </c>
      <c r="Z91" s="30">
        <f>G67*(1-(VLOOKUP(Z$75,tech_data!$B$2:$O$15,4,FALSE)/100))</f>
        <v>280.77211515195023</v>
      </c>
      <c r="AA91" s="30">
        <f>H67*(1-(VLOOKUP(AA$75,tech_data!$B$2:$O$15,4,FALSE)/100))</f>
        <v>297.32990169599998</v>
      </c>
      <c r="AB91" s="30">
        <f>I67*(1-(VLOOKUP(AB$75,tech_data!$B$2:$O$15,4,FALSE)/100))</f>
        <v>4.7857282292288605</v>
      </c>
      <c r="AC91" s="30">
        <f>J67*(1-(VLOOKUP(AC$75,tech_data!$B$2:$O$15,4,FALSE)/100))</f>
        <v>0.90359256605538429</v>
      </c>
      <c r="AD91" s="30">
        <f>K67*(1-(VLOOKUP(AD$75,tech_data!$B$2:$O$15,4,FALSE)/100))</f>
        <v>63.745132015532292</v>
      </c>
      <c r="AE91" s="30">
        <f>L67*(1-(VLOOKUP(AE$75,tech_data!$B$2:$O$15,4,FALSE)/100))</f>
        <v>218.30362619650492</v>
      </c>
      <c r="AF91" s="30">
        <f>M67*(1-(VLOOKUP(AF$75,tech_data!$B$2:$O$15,4,FALSE)/100))</f>
        <v>2.8588732477012404</v>
      </c>
      <c r="AG91" s="30">
        <f>N67*(1-(VLOOKUP(AG$75,tech_data!$B$2:$O$15,4,FALSE)/100))</f>
        <v>2.1123497461043971E-15</v>
      </c>
      <c r="AH91" s="30">
        <f>O67*(1-(VLOOKUP(AH$75,tech_data!$B$2:$O$15,4,FALSE)/100))</f>
        <v>4.3182081361818075E-10</v>
      </c>
      <c r="AI91" s="30">
        <f>(indonesia!AI67*3.6/(VLOOKUP(AI$51,tech_data!$B$2:$J$15,4,FALSE)/100))/1000</f>
        <v>0</v>
      </c>
      <c r="AJ91" s="30">
        <f t="shared" si="115"/>
        <v>3014.5254769130856</v>
      </c>
      <c r="AK91" s="30"/>
      <c r="AL91" s="23"/>
    </row>
    <row r="92" spans="1:38" x14ac:dyDescent="0.25">
      <c r="A92" s="19"/>
      <c r="B92" s="20" t="str">
        <f t="shared" ref="B92:C92" si="147">B44</f>
        <v>INDONESIA</v>
      </c>
      <c r="C92" s="20">
        <f t="shared" si="147"/>
        <v>2035</v>
      </c>
      <c r="D92" s="30">
        <f t="shared" si="117"/>
        <v>861.84001583901158</v>
      </c>
      <c r="E92" s="30">
        <f t="shared" si="117"/>
        <v>65.096014953718495</v>
      </c>
      <c r="F92" s="30">
        <f t="shared" si="117"/>
        <v>1084.594398093996</v>
      </c>
      <c r="G92" s="30">
        <f t="shared" si="117"/>
        <v>253.14864572503518</v>
      </c>
      <c r="H92" s="30">
        <f t="shared" si="117"/>
        <v>46.404088704000003</v>
      </c>
      <c r="I92" s="30">
        <f t="shared" si="117"/>
        <v>97.482944684167791</v>
      </c>
      <c r="J92" s="30">
        <f t="shared" si="117"/>
        <v>3.6143702642215385</v>
      </c>
      <c r="K92" s="30">
        <f t="shared" si="117"/>
        <v>85.894464284801501</v>
      </c>
      <c r="L92" s="30">
        <f t="shared" si="117"/>
        <v>578.64069255443519</v>
      </c>
      <c r="M92" s="30">
        <f t="shared" si="117"/>
        <v>1.2844213144857899</v>
      </c>
      <c r="N92" s="30">
        <f t="shared" si="117"/>
        <v>0</v>
      </c>
      <c r="O92" s="30">
        <f t="shared" si="117"/>
        <v>0</v>
      </c>
      <c r="P92" s="30">
        <f>(indonesia!P68*3.6/(VLOOKUP(P$51,tech_data!$B$2:$J$15,4,FALSE)/100))/1000</f>
        <v>0</v>
      </c>
      <c r="Q92" s="30">
        <f t="shared" si="113"/>
        <v>3078.0000564178731</v>
      </c>
      <c r="R92" s="30"/>
      <c r="S92" s="23"/>
      <c r="T92" s="19"/>
      <c r="U92" s="20" t="str">
        <f t="shared" ref="U92:V92" si="148">U44</f>
        <v>INDONESIA</v>
      </c>
      <c r="V92" s="20">
        <f t="shared" si="148"/>
        <v>2035</v>
      </c>
      <c r="W92" s="30">
        <f>D68*(1-(VLOOKUP(W$75,tech_data!$B$2:$O$15,4,FALSE)/100))</f>
        <v>1367.0565768480874</v>
      </c>
      <c r="X92" s="30">
        <f>E68*(1-(VLOOKUP(X$75,tech_data!$B$2:$O$15,4,FALSE)/100))</f>
        <v>117.41617650530534</v>
      </c>
      <c r="Y92" s="30">
        <f>F68*(1-(VLOOKUP(Y$75,tech_data!$B$2:$O$15,4,FALSE)/100))</f>
        <v>774.71028435285416</v>
      </c>
      <c r="Z92" s="30">
        <f>G68*(1-(VLOOKUP(Z$75,tech_data!$B$2:$O$15,4,FALSE)/100))</f>
        <v>297.1744971554761</v>
      </c>
      <c r="AA92" s="30">
        <f>H68*(1-(VLOOKUP(AA$75,tech_data!$B$2:$O$15,4,FALSE)/100))</f>
        <v>297.32990169599998</v>
      </c>
      <c r="AB92" s="30">
        <f>I68*(1-(VLOOKUP(AB$75,tech_data!$B$2:$O$15,4,FALSE)/100))</f>
        <v>5.1306812991667305</v>
      </c>
      <c r="AC92" s="30">
        <f>J68*(1-(VLOOKUP(AC$75,tech_data!$B$2:$O$15,4,FALSE)/100))</f>
        <v>0.90359256605538429</v>
      </c>
      <c r="AD92" s="30">
        <f>K68*(1-(VLOOKUP(AD$75,tech_data!$B$2:$O$15,4,FALSE)/100))</f>
        <v>72.151349999233261</v>
      </c>
      <c r="AE92" s="30">
        <f>L68*(1-(VLOOKUP(AE$75,tech_data!$B$2:$O$15,4,FALSE)/100))</f>
        <v>235.50676186965515</v>
      </c>
      <c r="AF92" s="30">
        <f>M68*(1-(VLOOKUP(AF$75,tech_data!$B$2:$O$15,4,FALSE)/100))</f>
        <v>2.8588732483715971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(indonesia!AI68*3.6/(VLOOKUP(AI$51,tech_data!$B$2:$J$15,4,FALSE)/100))/1000</f>
        <v>0</v>
      </c>
      <c r="AJ92" s="30">
        <f t="shared" si="115"/>
        <v>3170.2386955402058</v>
      </c>
      <c r="AK92" s="30"/>
      <c r="AL92" s="23"/>
    </row>
    <row r="93" spans="1:38" x14ac:dyDescent="0.25">
      <c r="A93" s="19"/>
      <c r="B93" s="20" t="str">
        <f t="shared" ref="B93:C93" si="149">B45</f>
        <v>INDONESIA</v>
      </c>
      <c r="C93" s="20">
        <f t="shared" si="149"/>
        <v>2036</v>
      </c>
      <c r="D93" s="30">
        <f t="shared" si="117"/>
        <v>908.72640006780796</v>
      </c>
      <c r="E93" s="30">
        <f t="shared" si="117"/>
        <v>74.322444997190459</v>
      </c>
      <c r="F93" s="30">
        <f t="shared" si="117"/>
        <v>1150.5293460788257</v>
      </c>
      <c r="G93" s="30">
        <f t="shared" si="117"/>
        <v>253.14864572503518</v>
      </c>
      <c r="H93" s="30">
        <f t="shared" si="117"/>
        <v>46.404088704000003</v>
      </c>
      <c r="I93" s="30">
        <f t="shared" si="117"/>
        <v>111.18330712789866</v>
      </c>
      <c r="J93" s="30">
        <f t="shared" si="117"/>
        <v>3.6143702642215385</v>
      </c>
      <c r="K93" s="30">
        <f t="shared" si="117"/>
        <v>97.81302864902031</v>
      </c>
      <c r="L93" s="30">
        <f t="shared" si="117"/>
        <v>621.77394717218522</v>
      </c>
      <c r="M93" s="30">
        <f t="shared" si="117"/>
        <v>1.2844213144857899</v>
      </c>
      <c r="N93" s="30">
        <f t="shared" si="117"/>
        <v>0</v>
      </c>
      <c r="O93" s="30">
        <f t="shared" si="117"/>
        <v>0</v>
      </c>
      <c r="P93" s="30">
        <f>(indonesia!P69*3.6/(VLOOKUP(P$51,tech_data!$B$2:$J$15,4,FALSE)/100))/1000</f>
        <v>0</v>
      </c>
      <c r="Q93" s="30">
        <f t="shared" si="113"/>
        <v>3268.8000001006717</v>
      </c>
      <c r="R93" s="30"/>
      <c r="S93" s="23"/>
      <c r="T93" s="19"/>
      <c r="U93" s="20" t="str">
        <f t="shared" ref="U93:V93" si="150">U45</f>
        <v>INDONESIA</v>
      </c>
      <c r="V93" s="20">
        <f t="shared" si="150"/>
        <v>2036</v>
      </c>
      <c r="W93" s="30">
        <f>D69*(1-(VLOOKUP(W$75,tech_data!$B$2:$O$15,4,FALSE)/100))</f>
        <v>1441.4280828661779</v>
      </c>
      <c r="X93" s="30">
        <f>E69*(1-(VLOOKUP(X$75,tech_data!$B$2:$O$15,4,FALSE)/100))</f>
        <v>134.05824191082016</v>
      </c>
      <c r="Y93" s="30">
        <f>F69*(1-(VLOOKUP(Y$75,tech_data!$B$2:$O$15,4,FALSE)/100))</f>
        <v>821.80667577058966</v>
      </c>
      <c r="Z93" s="30">
        <f>G69*(1-(VLOOKUP(Z$75,tech_data!$B$2:$O$15,4,FALSE)/100))</f>
        <v>297.1744971554761</v>
      </c>
      <c r="AA93" s="30">
        <f>H69*(1-(VLOOKUP(AA$75,tech_data!$B$2:$O$15,4,FALSE)/100))</f>
        <v>297.32990169599998</v>
      </c>
      <c r="AB93" s="30">
        <f>I69*(1-(VLOOKUP(AB$75,tech_data!$B$2:$O$15,4,FALSE)/100))</f>
        <v>5.8517530067315136</v>
      </c>
      <c r="AC93" s="30">
        <f>J69*(1-(VLOOKUP(AC$75,tech_data!$B$2:$O$15,4,FALSE)/100))</f>
        <v>0.90359256605538429</v>
      </c>
      <c r="AD93" s="30">
        <f>K69*(1-(VLOOKUP(AD$75,tech_data!$B$2:$O$15,4,FALSE)/100))</f>
        <v>82.162944065177058</v>
      </c>
      <c r="AE93" s="30">
        <f>L69*(1-(VLOOKUP(AE$75,tech_data!$B$2:$O$15,4,FALSE)/100))</f>
        <v>253.06199649907941</v>
      </c>
      <c r="AF93" s="30">
        <f>M69*(1-(VLOOKUP(AF$75,tech_data!$B$2:$O$15,4,FALSE)/100))</f>
        <v>2.8588732483715971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(indonesia!AI69*3.6/(VLOOKUP(AI$51,tech_data!$B$2:$J$15,4,FALSE)/100))/1000</f>
        <v>0</v>
      </c>
      <c r="AJ93" s="30">
        <f t="shared" si="115"/>
        <v>3336.6365587844793</v>
      </c>
      <c r="AK93" s="30"/>
      <c r="AL93" s="23"/>
    </row>
    <row r="94" spans="1:38" x14ac:dyDescent="0.25">
      <c r="A94" s="19"/>
      <c r="B94" s="20" t="str">
        <f t="shared" ref="B94:C94" si="151">B46</f>
        <v>INDONESIA</v>
      </c>
      <c r="C94" s="20">
        <f t="shared" si="151"/>
        <v>2037</v>
      </c>
      <c r="D94" s="30">
        <f t="shared" si="117"/>
        <v>956.83680090529117</v>
      </c>
      <c r="E94" s="30">
        <f t="shared" si="117"/>
        <v>74.322444997190459</v>
      </c>
      <c r="F94" s="30">
        <f t="shared" si="117"/>
        <v>1234.2703631156785</v>
      </c>
      <c r="G94" s="30">
        <f t="shared" si="117"/>
        <v>256.16681912588535</v>
      </c>
      <c r="H94" s="30">
        <f t="shared" si="117"/>
        <v>46.404088704000003</v>
      </c>
      <c r="I94" s="30">
        <f t="shared" si="117"/>
        <v>137.21618046953668</v>
      </c>
      <c r="J94" s="30">
        <f t="shared" si="117"/>
        <v>3.6143702642215385</v>
      </c>
      <c r="K94" s="30">
        <f t="shared" si="117"/>
        <v>110.05431306189632</v>
      </c>
      <c r="L94" s="30">
        <f t="shared" si="117"/>
        <v>646.63019125710787</v>
      </c>
      <c r="M94" s="30">
        <f t="shared" si="117"/>
        <v>1.2844213144857899</v>
      </c>
      <c r="N94" s="30">
        <f t="shared" si="117"/>
        <v>0</v>
      </c>
      <c r="O94" s="30">
        <f t="shared" si="117"/>
        <v>0</v>
      </c>
      <c r="P94" s="30">
        <f>(indonesia!P70*3.6/(VLOOKUP(P$51,tech_data!$B$2:$J$15,4,FALSE)/100))/1000</f>
        <v>0</v>
      </c>
      <c r="Q94" s="30">
        <f t="shared" si="113"/>
        <v>3466.7999932152939</v>
      </c>
      <c r="R94" s="30"/>
      <c r="S94" s="23"/>
      <c r="T94" s="19"/>
      <c r="U94" s="20" t="str">
        <f t="shared" ref="U94:V94" si="152">U46</f>
        <v>INDONESIA</v>
      </c>
      <c r="V94" s="20">
        <f t="shared" si="152"/>
        <v>2037</v>
      </c>
      <c r="W94" s="30">
        <f>D70*(1-(VLOOKUP(W$75,tech_data!$B$2:$O$15,4,FALSE)/100))</f>
        <v>1517.7411324704619</v>
      </c>
      <c r="X94" s="30">
        <f>E70*(1-(VLOOKUP(X$75,tech_data!$B$2:$O$15,4,FALSE)/100))</f>
        <v>134.05824191082016</v>
      </c>
      <c r="Y94" s="30">
        <f>F70*(1-(VLOOKUP(Y$75,tech_data!$B$2:$O$15,4,FALSE)/100))</f>
        <v>881.62168793977014</v>
      </c>
      <c r="Z94" s="30">
        <f>G70*(1-(VLOOKUP(Z$75,tech_data!$B$2:$O$15,4,FALSE)/100))</f>
        <v>300.71757027821332</v>
      </c>
      <c r="AA94" s="30">
        <f>H70*(1-(VLOOKUP(AA$75,tech_data!$B$2:$O$15,4,FALSE)/100))</f>
        <v>297.32990169599998</v>
      </c>
      <c r="AB94" s="30">
        <f>I70*(1-(VLOOKUP(AB$75,tech_data!$B$2:$O$15,4,FALSE)/100))</f>
        <v>7.2219042352387808</v>
      </c>
      <c r="AC94" s="30">
        <f>J70*(1-(VLOOKUP(AC$75,tech_data!$B$2:$O$15,4,FALSE)/100))</f>
        <v>0.90359256605538429</v>
      </c>
      <c r="AD94" s="30">
        <f>K70*(1-(VLOOKUP(AD$75,tech_data!$B$2:$O$15,4,FALSE)/100))</f>
        <v>92.445622971992904</v>
      </c>
      <c r="AE94" s="30">
        <f>L70*(1-(VLOOKUP(AE$75,tech_data!$B$2:$O$15,4,FALSE)/100))</f>
        <v>263.17848784164295</v>
      </c>
      <c r="AF94" s="30">
        <f>M70*(1-(VLOOKUP(AF$75,tech_data!$B$2:$O$15,4,FALSE)/100))</f>
        <v>2.8588732483715971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(indonesia!AI70*3.6/(VLOOKUP(AI$51,tech_data!$B$2:$J$15,4,FALSE)/100))/1000</f>
        <v>0</v>
      </c>
      <c r="AJ94" s="30">
        <f t="shared" si="115"/>
        <v>3498.077015158568</v>
      </c>
      <c r="AK94" s="30"/>
      <c r="AL94" s="23"/>
    </row>
    <row r="95" spans="1:38" x14ac:dyDescent="0.25">
      <c r="A95" s="19"/>
      <c r="B95" s="20" t="str">
        <f t="shared" ref="B95:C95" si="153">B47</f>
        <v>INDONESIA</v>
      </c>
      <c r="C95" s="20">
        <f t="shared" si="153"/>
        <v>2038</v>
      </c>
      <c r="D95" s="30">
        <f t="shared" si="117"/>
        <v>1012.0463852086831</v>
      </c>
      <c r="E95" s="30">
        <f t="shared" si="117"/>
        <v>74.322444997190459</v>
      </c>
      <c r="F95" s="30">
        <f t="shared" si="117"/>
        <v>1316.3071994336274</v>
      </c>
      <c r="G95" s="30">
        <f t="shared" si="117"/>
        <v>256.16681912588535</v>
      </c>
      <c r="H95" s="30">
        <f t="shared" si="117"/>
        <v>46.404088704000003</v>
      </c>
      <c r="I95" s="30">
        <f t="shared" si="117"/>
        <v>168.03328054971396</v>
      </c>
      <c r="J95" s="30">
        <f t="shared" si="117"/>
        <v>33.471549706104824</v>
      </c>
      <c r="K95" s="30">
        <f t="shared" si="117"/>
        <v>126.5054058855697</v>
      </c>
      <c r="L95" s="30">
        <f t="shared" si="117"/>
        <v>659.05832434662932</v>
      </c>
      <c r="M95" s="30">
        <f t="shared" si="117"/>
        <v>1.2844213144857899</v>
      </c>
      <c r="N95" s="30">
        <f t="shared" si="117"/>
        <v>0</v>
      </c>
      <c r="O95" s="30">
        <f t="shared" si="117"/>
        <v>0</v>
      </c>
      <c r="P95" s="30">
        <f>(indonesia!P71*3.6/(VLOOKUP(P$51,tech_data!$B$2:$J$15,4,FALSE)/100))/1000</f>
        <v>0</v>
      </c>
      <c r="Q95" s="30">
        <f t="shared" si="113"/>
        <v>3693.5999192718905</v>
      </c>
      <c r="R95" s="30"/>
      <c r="S95" s="23"/>
      <c r="T95" s="19"/>
      <c r="U95" s="20" t="str">
        <f t="shared" ref="U95:V95" si="154">U47</f>
        <v>INDONESIA</v>
      </c>
      <c r="V95" s="20">
        <f t="shared" si="154"/>
        <v>2038</v>
      </c>
      <c r="W95" s="30">
        <f>D71*(1-(VLOOKUP(W$75,tech_data!$B$2:$O$15,4,FALSE)/100))</f>
        <v>1605.314955848256</v>
      </c>
      <c r="X95" s="30">
        <f>E71*(1-(VLOOKUP(X$75,tech_data!$B$2:$O$15,4,FALSE)/100))</f>
        <v>134.05824191082016</v>
      </c>
      <c r="Y95" s="30">
        <f>F71*(1-(VLOOKUP(Y$75,tech_data!$B$2:$O$15,4,FALSE)/100))</f>
        <v>940.21942816687647</v>
      </c>
      <c r="Z95" s="30">
        <f>G71*(1-(VLOOKUP(Z$75,tech_data!$B$2:$O$15,4,FALSE)/100))</f>
        <v>300.71757027821332</v>
      </c>
      <c r="AA95" s="30">
        <f>H71*(1-(VLOOKUP(AA$75,tech_data!$B$2:$O$15,4,FALSE)/100))</f>
        <v>297.32990169599998</v>
      </c>
      <c r="AB95" s="30">
        <f>I71*(1-(VLOOKUP(AB$75,tech_data!$B$2:$O$15,4,FALSE)/100))</f>
        <v>8.8438568710375858</v>
      </c>
      <c r="AC95" s="30">
        <f>J71*(1-(VLOOKUP(AC$75,tech_data!$B$2:$O$15,4,FALSE)/100))</f>
        <v>8.3678874265262042</v>
      </c>
      <c r="AD95" s="30">
        <f>K71*(1-(VLOOKUP(AD$75,tech_data!$B$2:$O$15,4,FALSE)/100))</f>
        <v>106.26454094387854</v>
      </c>
      <c r="AE95" s="30">
        <f>L71*(1-(VLOOKUP(AE$75,tech_data!$B$2:$O$15,4,FALSE)/100))</f>
        <v>268.23673800907812</v>
      </c>
      <c r="AF95" s="30">
        <f>M71*(1-(VLOOKUP(AF$75,tech_data!$B$2:$O$15,4,FALSE)/100))</f>
        <v>2.8588732483715971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(indonesia!AI71*3.6/(VLOOKUP(AI$51,tech_data!$B$2:$J$15,4,FALSE)/100))/1000</f>
        <v>0</v>
      </c>
      <c r="AJ95" s="30">
        <f t="shared" si="115"/>
        <v>3672.2119943990583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olve_All">
                <anchor moveWithCells="1" sizeWithCells="1">
                  <from>
                    <xdr:col>2</xdr:col>
                    <xdr:colOff>295275</xdr:colOff>
                    <xdr:row>0</xdr:row>
                    <xdr:rowOff>66675</xdr:rowOff>
                  </from>
                  <to>
                    <xdr:col>3</xdr:col>
                    <xdr:colOff>619125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6C5F9-B293-4E65-818A-ECBC2382B130}">
  <sheetPr codeName="Sheet8"/>
  <dimension ref="A1:CF96"/>
  <sheetViews>
    <sheetView topLeftCell="A19" zoomScale="85" zoomScaleNormal="85" workbookViewId="0">
      <selection activeCell="O40" sqref="O40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.5703125" style="20" bestFit="1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5" width="10.5703125" style="20" bestFit="1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proj_rukn!A22</f>
        <v>SUMATERA</v>
      </c>
      <c r="C4" s="20">
        <f>proj_rukn!B22</f>
        <v>2019</v>
      </c>
      <c r="D4" s="30">
        <f>existing_capacity!C3</f>
        <v>5328.13</v>
      </c>
      <c r="E4" s="30">
        <f>existing_capacity!D3</f>
        <v>1253.6999999999998</v>
      </c>
      <c r="F4" s="30">
        <f>existing_capacity!E3</f>
        <v>1289.43</v>
      </c>
      <c r="G4" s="30">
        <f>existing_capacity!F3</f>
        <v>2494.56</v>
      </c>
      <c r="H4" s="30">
        <f>existing_capacity!G3</f>
        <v>677</v>
      </c>
      <c r="I4" s="30">
        <f>existing_capacity!H3</f>
        <v>1959.96</v>
      </c>
      <c r="J4" s="30">
        <f>existing_capacity!I3</f>
        <v>70.260000000000005</v>
      </c>
      <c r="K4" s="30">
        <f>existing_capacity!J3</f>
        <v>1.1300000000000001</v>
      </c>
      <c r="L4" s="30">
        <f>existing_capacity!K3</f>
        <v>0</v>
      </c>
      <c r="M4" s="30">
        <f>existing_capacity!L3</f>
        <v>36.599999999999994</v>
      </c>
      <c r="N4" s="30">
        <f>existing_capacity!M3</f>
        <v>0</v>
      </c>
      <c r="O4" s="30">
        <f>existing_capacity!N3</f>
        <v>0</v>
      </c>
      <c r="P4" s="30">
        <v>0</v>
      </c>
      <c r="Q4" s="30">
        <f>SUM(D4:O4)</f>
        <v>13110.769999999999</v>
      </c>
      <c r="R4" s="30"/>
      <c r="S4" s="36"/>
      <c r="T4" s="19"/>
      <c r="U4" s="20" t="str">
        <f t="shared" ref="U4:V23" si="0">B4</f>
        <v>SUMATERA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SUMATERA</v>
      </c>
      <c r="AP4" s="20">
        <f t="shared" si="2"/>
        <v>2019</v>
      </c>
      <c r="AQ4" s="30">
        <v>99999</v>
      </c>
      <c r="AR4" s="30">
        <v>99999</v>
      </c>
      <c r="AS4" s="30">
        <v>99999</v>
      </c>
      <c r="AT4" s="30">
        <v>99999</v>
      </c>
      <c r="AU4" s="30">
        <f>potential!G3</f>
        <v>9679</v>
      </c>
      <c r="AV4" s="30">
        <f>potential!H3</f>
        <v>15579</v>
      </c>
      <c r="AW4" s="30">
        <f>potential!I3</f>
        <v>5734</v>
      </c>
      <c r="AX4" s="30">
        <f>potential!J3</f>
        <v>68749</v>
      </c>
      <c r="AY4" s="30">
        <f>potential!K3</f>
        <v>7397</v>
      </c>
      <c r="AZ4" s="30">
        <f>potential!L3</f>
        <v>15589</v>
      </c>
      <c r="BA4" s="30">
        <f>potential!M3</f>
        <v>6027</v>
      </c>
      <c r="BB4" s="30">
        <v>99999</v>
      </c>
      <c r="BC4" s="30">
        <v>99999</v>
      </c>
      <c r="BD4" s="30">
        <f t="shared" ref="BD4:BD23" si="3">SUM(AU4:BA4)</f>
        <v>128754</v>
      </c>
      <c r="BF4" s="23"/>
      <c r="BG4" s="19"/>
      <c r="BH4" s="20" t="str">
        <f>AO4</f>
        <v>SUMATERA</v>
      </c>
      <c r="BI4" s="20">
        <f>AP4</f>
        <v>2019</v>
      </c>
      <c r="BJ4" s="25">
        <f t="shared" ref="BJ4:BJ22" si="4">SUM(K28:L28,N28)/Q28</f>
        <v>3.510068412253982E-5</v>
      </c>
      <c r="BK4" s="43">
        <f t="shared" ref="BK4:BK23" si="5">$BO$5+((BJ4-$BN$5)*($BO$6-$BO$5)/($BN$6-$BN$5))</f>
        <v>2.7269740153028913E-4</v>
      </c>
      <c r="BL4" s="34">
        <f>BK4*Q28*1000</f>
        <v>16149.804261856876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SUMATERA</v>
      </c>
      <c r="C5" s="20">
        <f>C4+1</f>
        <v>2020</v>
      </c>
      <c r="D5" s="30">
        <f>D4+W5</f>
        <v>5522.498681506424</v>
      </c>
      <c r="E5" s="30">
        <f t="shared" ref="E5:O5" si="6">E4+X5</f>
        <v>1253.6999999999998</v>
      </c>
      <c r="F5" s="30">
        <f t="shared" si="6"/>
        <v>2685.2918280052363</v>
      </c>
      <c r="G5" s="30">
        <f t="shared" si="6"/>
        <v>2494.56</v>
      </c>
      <c r="H5" s="30">
        <f t="shared" si="6"/>
        <v>677</v>
      </c>
      <c r="I5" s="30">
        <f t="shared" si="6"/>
        <v>1959.96</v>
      </c>
      <c r="J5" s="30">
        <f t="shared" si="6"/>
        <v>70.260000000000005</v>
      </c>
      <c r="K5" s="30">
        <f t="shared" si="6"/>
        <v>395.69664586905907</v>
      </c>
      <c r="L5" s="30">
        <f t="shared" si="6"/>
        <v>0</v>
      </c>
      <c r="M5" s="30">
        <f t="shared" si="6"/>
        <v>36.599999999999994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4.5201281038378429</v>
      </c>
      <c r="Q5" s="30">
        <f t="shared" ref="Q5:Q23" si="7">SUM(D5:O5)</f>
        <v>15095.567155380719</v>
      </c>
      <c r="R5" s="30"/>
      <c r="S5" s="36"/>
      <c r="T5" s="19"/>
      <c r="U5" s="20" t="str">
        <f t="shared" si="0"/>
        <v>SUMATERA</v>
      </c>
      <c r="V5" s="20">
        <f t="shared" si="0"/>
        <v>2020</v>
      </c>
      <c r="W5" s="30">
        <v>194.36868150642371</v>
      </c>
      <c r="X5" s="30">
        <v>0</v>
      </c>
      <c r="Y5" s="30">
        <v>1395.8618280052365</v>
      </c>
      <c r="Z5" s="30">
        <v>0</v>
      </c>
      <c r="AA5" s="30">
        <v>0</v>
      </c>
      <c r="AB5" s="30">
        <v>0</v>
      </c>
      <c r="AC5" s="30">
        <v>0</v>
      </c>
      <c r="AD5" s="30">
        <v>394.56664586905907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4.5201281038378429</v>
      </c>
      <c r="AJ5" s="34">
        <f t="shared" si="1"/>
        <v>1989.317283484557</v>
      </c>
      <c r="AM5" s="23"/>
      <c r="AO5" s="20" t="str">
        <f t="shared" si="2"/>
        <v>SUMATERA</v>
      </c>
      <c r="AP5" s="20">
        <f t="shared" si="2"/>
        <v>2020</v>
      </c>
      <c r="AQ5" s="30">
        <v>99999</v>
      </c>
      <c r="AR5" s="30">
        <v>99999</v>
      </c>
      <c r="AS5" s="30">
        <v>99999</v>
      </c>
      <c r="AT5" s="30">
        <v>99999</v>
      </c>
      <c r="AU5" s="30">
        <f t="shared" ref="AU5:BA20" si="9">AU4-AA5</f>
        <v>9679</v>
      </c>
      <c r="AV5" s="30">
        <f t="shared" si="9"/>
        <v>15579</v>
      </c>
      <c r="AW5" s="30">
        <f t="shared" si="9"/>
        <v>5734</v>
      </c>
      <c r="AX5" s="30">
        <f t="shared" si="9"/>
        <v>68354.433354130946</v>
      </c>
      <c r="AY5" s="30">
        <f t="shared" si="9"/>
        <v>7397</v>
      </c>
      <c r="AZ5" s="30">
        <f t="shared" si="9"/>
        <v>15589</v>
      </c>
      <c r="BA5" s="30">
        <f t="shared" si="9"/>
        <v>6027</v>
      </c>
      <c r="BB5" s="30">
        <v>99999</v>
      </c>
      <c r="BC5" s="30">
        <v>99999</v>
      </c>
      <c r="BD5" s="30">
        <f t="shared" si="3"/>
        <v>128359.43335413095</v>
      </c>
      <c r="BF5" s="23"/>
      <c r="BG5" s="19"/>
      <c r="BH5" s="20" t="str">
        <f t="shared" ref="BH5:BI23" si="10">AO5</f>
        <v>SUMATERA</v>
      </c>
      <c r="BI5" s="20">
        <f t="shared" si="10"/>
        <v>2020</v>
      </c>
      <c r="BJ5" s="25">
        <f t="shared" si="4"/>
        <v>1.1241397472616883E-2</v>
      </c>
      <c r="BK5" s="43">
        <f t="shared" si="5"/>
        <v>2.7517051530430165E-4</v>
      </c>
      <c r="BL5" s="34">
        <f t="shared" ref="BL5:BL23" si="11">BK5*Q29*1000</f>
        <v>17818.344985328778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SUMATERA</v>
      </c>
      <c r="C6" s="20">
        <f t="shared" ref="C6:C23" si="13">C5+1</f>
        <v>2021</v>
      </c>
      <c r="D6" s="30">
        <f t="shared" ref="D6:O21" si="14">D5+W6</f>
        <v>5522.498681506424</v>
      </c>
      <c r="E6" s="30">
        <f t="shared" ref="E6:O20" si="15">E5+X6</f>
        <v>2042.5730615552216</v>
      </c>
      <c r="F6" s="30">
        <f t="shared" si="15"/>
        <v>2685.2918280052363</v>
      </c>
      <c r="G6" s="30">
        <f t="shared" si="15"/>
        <v>2494.56</v>
      </c>
      <c r="H6" s="30">
        <f t="shared" si="15"/>
        <v>677</v>
      </c>
      <c r="I6" s="30">
        <f t="shared" si="15"/>
        <v>1959.96</v>
      </c>
      <c r="J6" s="30">
        <f t="shared" si="15"/>
        <v>70.260000000000005</v>
      </c>
      <c r="K6" s="30">
        <f t="shared" si="15"/>
        <v>416.59601332620946</v>
      </c>
      <c r="L6" s="30">
        <f t="shared" si="15"/>
        <v>0</v>
      </c>
      <c r="M6" s="30">
        <f t="shared" si="15"/>
        <v>36.599999999999994</v>
      </c>
      <c r="N6" s="30">
        <f t="shared" si="15"/>
        <v>0</v>
      </c>
      <c r="O6" s="30">
        <f t="shared" si="15"/>
        <v>0</v>
      </c>
      <c r="P6" s="30">
        <f>BL6/((VLOOKUP(P$3,tech_data!$B$2:$G$15,6,FALSE)/100)*24*365)</f>
        <v>4.6880726780575355</v>
      </c>
      <c r="Q6" s="30">
        <f t="shared" si="7"/>
        <v>15905.339584393092</v>
      </c>
      <c r="R6" s="30"/>
      <c r="S6" s="36"/>
      <c r="T6" s="19"/>
      <c r="U6" s="20" t="str">
        <f t="shared" si="0"/>
        <v>SUMATERA</v>
      </c>
      <c r="V6" s="20">
        <f t="shared" si="0"/>
        <v>2021</v>
      </c>
      <c r="W6" s="30">
        <v>0</v>
      </c>
      <c r="X6" s="30">
        <v>788.87306155522174</v>
      </c>
      <c r="Y6" s="30">
        <v>0</v>
      </c>
      <c r="Z6" s="30">
        <v>0</v>
      </c>
      <c r="AA6" s="30">
        <v>0</v>
      </c>
      <c r="AB6" s="30">
        <v>0</v>
      </c>
      <c r="AC6" s="30">
        <v>0</v>
      </c>
      <c r="AD6" s="30">
        <v>20.899367457150412</v>
      </c>
      <c r="AE6" s="30">
        <v>0</v>
      </c>
      <c r="AF6" s="30">
        <v>0</v>
      </c>
      <c r="AG6" s="30">
        <v>0</v>
      </c>
      <c r="AH6" s="30">
        <v>0</v>
      </c>
      <c r="AI6" s="30">
        <f t="shared" si="8"/>
        <v>0.16794457421969256</v>
      </c>
      <c r="AJ6" s="34">
        <f t="shared" si="1"/>
        <v>809.94037358659193</v>
      </c>
      <c r="AM6" s="23"/>
      <c r="AO6" s="20" t="str">
        <f t="shared" si="2"/>
        <v>SUMATERA</v>
      </c>
      <c r="AP6" s="20">
        <f t="shared" si="2"/>
        <v>2021</v>
      </c>
      <c r="AQ6" s="30">
        <v>99999</v>
      </c>
      <c r="AR6" s="30">
        <v>99999</v>
      </c>
      <c r="AS6" s="30">
        <v>99999</v>
      </c>
      <c r="AT6" s="30">
        <v>99999</v>
      </c>
      <c r="AU6" s="30">
        <f t="shared" si="9"/>
        <v>9679</v>
      </c>
      <c r="AV6" s="30">
        <f t="shared" si="9"/>
        <v>15579</v>
      </c>
      <c r="AW6" s="30">
        <f t="shared" si="9"/>
        <v>5734</v>
      </c>
      <c r="AX6" s="30">
        <f t="shared" si="9"/>
        <v>68333.533986673792</v>
      </c>
      <c r="AY6" s="30">
        <f t="shared" si="9"/>
        <v>7397</v>
      </c>
      <c r="AZ6" s="30">
        <f t="shared" si="9"/>
        <v>15589</v>
      </c>
      <c r="BA6" s="30">
        <f t="shared" si="9"/>
        <v>6027</v>
      </c>
      <c r="BB6" s="30">
        <v>99999</v>
      </c>
      <c r="BC6" s="30">
        <v>99999</v>
      </c>
      <c r="BD6" s="30">
        <f t="shared" si="3"/>
        <v>128338.53398667379</v>
      </c>
      <c r="BF6" s="23"/>
      <c r="BG6" s="19"/>
      <c r="BH6" s="20" t="str">
        <f t="shared" si="10"/>
        <v>SUMATERA</v>
      </c>
      <c r="BI6" s="20">
        <f t="shared" si="10"/>
        <v>2021</v>
      </c>
      <c r="BJ6" s="25">
        <f t="shared" si="4"/>
        <v>1.1412718898927456E-2</v>
      </c>
      <c r="BK6" s="43">
        <f t="shared" si="5"/>
        <v>2.7520832417079783E-4</v>
      </c>
      <c r="BL6" s="34">
        <f t="shared" si="11"/>
        <v>18480.382496902806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SUMATERA</v>
      </c>
      <c r="C7" s="20">
        <f t="shared" si="13"/>
        <v>2022</v>
      </c>
      <c r="D7" s="30">
        <f t="shared" si="14"/>
        <v>5522.498681506424</v>
      </c>
      <c r="E7" s="30">
        <f t="shared" si="15"/>
        <v>2042.5730615552216</v>
      </c>
      <c r="F7" s="30">
        <f t="shared" si="15"/>
        <v>2871.674680636238</v>
      </c>
      <c r="G7" s="30">
        <f t="shared" si="15"/>
        <v>2584.0240967339696</v>
      </c>
      <c r="H7" s="30">
        <f t="shared" si="15"/>
        <v>677</v>
      </c>
      <c r="I7" s="30">
        <f t="shared" si="15"/>
        <v>1959.96</v>
      </c>
      <c r="J7" s="30">
        <f t="shared" si="15"/>
        <v>70.260000000000005</v>
      </c>
      <c r="K7" s="30">
        <f t="shared" si="15"/>
        <v>438.66188640436371</v>
      </c>
      <c r="L7" s="30">
        <f t="shared" si="15"/>
        <v>0</v>
      </c>
      <c r="M7" s="30">
        <f t="shared" si="15"/>
        <v>36.599999999999994</v>
      </c>
      <c r="N7" s="30">
        <f t="shared" si="15"/>
        <v>0</v>
      </c>
      <c r="O7" s="30">
        <f t="shared" si="15"/>
        <v>0</v>
      </c>
      <c r="P7" s="30">
        <f>BL7/((VLOOKUP(P$3,tech_data!$B$2:$G$15,6,FALSE)/100)*24*365)</f>
        <v>4.7597612721280731</v>
      </c>
      <c r="Q7" s="30">
        <f t="shared" si="7"/>
        <v>16203.252406836218</v>
      </c>
      <c r="R7" s="30"/>
      <c r="S7" s="36"/>
      <c r="T7" s="19"/>
      <c r="U7" s="20" t="str">
        <f t="shared" si="0"/>
        <v>SUMATERA</v>
      </c>
      <c r="V7" s="20">
        <f t="shared" si="0"/>
        <v>2022</v>
      </c>
      <c r="W7" s="30">
        <v>0</v>
      </c>
      <c r="X7" s="30">
        <v>0</v>
      </c>
      <c r="Y7" s="30">
        <v>186.38285263100192</v>
      </c>
      <c r="Z7" s="30">
        <v>89.464096733969626</v>
      </c>
      <c r="AA7" s="30">
        <v>0</v>
      </c>
      <c r="AB7" s="30">
        <v>0</v>
      </c>
      <c r="AC7" s="30">
        <v>0</v>
      </c>
      <c r="AD7" s="30">
        <v>22.065873078154237</v>
      </c>
      <c r="AE7" s="30">
        <v>0</v>
      </c>
      <c r="AF7" s="30">
        <v>0</v>
      </c>
      <c r="AG7" s="30">
        <v>0</v>
      </c>
      <c r="AH7" s="30">
        <v>0</v>
      </c>
      <c r="AI7" s="30">
        <f t="shared" si="8"/>
        <v>7.1688594070537626E-2</v>
      </c>
      <c r="AJ7" s="34">
        <f t="shared" si="1"/>
        <v>297.9845110371964</v>
      </c>
      <c r="AM7" s="23"/>
      <c r="AO7" s="20" t="str">
        <f t="shared" si="2"/>
        <v>SUMATERA</v>
      </c>
      <c r="AP7" s="20">
        <f t="shared" si="2"/>
        <v>2022</v>
      </c>
      <c r="AQ7" s="30">
        <v>99999</v>
      </c>
      <c r="AR7" s="30">
        <v>99999</v>
      </c>
      <c r="AS7" s="30">
        <v>99999</v>
      </c>
      <c r="AT7" s="30">
        <v>99999</v>
      </c>
      <c r="AU7" s="30">
        <f t="shared" si="9"/>
        <v>9679</v>
      </c>
      <c r="AV7" s="30">
        <f t="shared" si="9"/>
        <v>15579</v>
      </c>
      <c r="AW7" s="30">
        <f t="shared" si="9"/>
        <v>5734</v>
      </c>
      <c r="AX7" s="30">
        <f t="shared" si="9"/>
        <v>68311.468113595634</v>
      </c>
      <c r="AY7" s="30">
        <f t="shared" si="9"/>
        <v>7397</v>
      </c>
      <c r="AZ7" s="30">
        <f t="shared" si="9"/>
        <v>15589</v>
      </c>
      <c r="BA7" s="30">
        <f t="shared" si="9"/>
        <v>6027</v>
      </c>
      <c r="BB7" s="30">
        <v>99999</v>
      </c>
      <c r="BC7" s="30">
        <v>99999</v>
      </c>
      <c r="BD7" s="30">
        <f t="shared" si="3"/>
        <v>128316.46811359563</v>
      </c>
      <c r="BF7" s="23"/>
      <c r="BG7" s="19"/>
      <c r="BH7" s="20" t="str">
        <f t="shared" si="10"/>
        <v>SUMATERA</v>
      </c>
      <c r="BI7" s="20">
        <f t="shared" si="10"/>
        <v>2022</v>
      </c>
      <c r="BJ7" s="25">
        <f t="shared" si="4"/>
        <v>1.1840279509086294E-2</v>
      </c>
      <c r="BK7" s="43">
        <f t="shared" si="5"/>
        <v>2.7530268237441907E-4</v>
      </c>
      <c r="BL7" s="34">
        <f t="shared" si="11"/>
        <v>18762.978934728868</v>
      </c>
      <c r="BP7" s="23"/>
    </row>
    <row r="8" spans="1:68" x14ac:dyDescent="0.25">
      <c r="A8" s="19"/>
      <c r="B8" s="20" t="str">
        <f t="shared" si="12"/>
        <v>SUMATERA</v>
      </c>
      <c r="C8" s="20">
        <f t="shared" si="13"/>
        <v>2023</v>
      </c>
      <c r="D8" s="30">
        <f t="shared" si="14"/>
        <v>5522.498681506424</v>
      </c>
      <c r="E8" s="30">
        <f t="shared" si="15"/>
        <v>2042.5730615552216</v>
      </c>
      <c r="F8" s="30">
        <f t="shared" si="15"/>
        <v>4515.5910280031967</v>
      </c>
      <c r="G8" s="30">
        <f t="shared" si="15"/>
        <v>2884.7129330235844</v>
      </c>
      <c r="H8" s="30">
        <f t="shared" si="15"/>
        <v>677</v>
      </c>
      <c r="I8" s="30">
        <f t="shared" si="15"/>
        <v>1959.96</v>
      </c>
      <c r="J8" s="30">
        <f t="shared" si="15"/>
        <v>70.260000000000005</v>
      </c>
      <c r="K8" s="30">
        <f t="shared" si="15"/>
        <v>461.96543041010273</v>
      </c>
      <c r="L8" s="30">
        <f t="shared" si="15"/>
        <v>4.0781829605225485E-8</v>
      </c>
      <c r="M8" s="30">
        <f t="shared" si="15"/>
        <v>36.599999999999994</v>
      </c>
      <c r="N8" s="30">
        <f t="shared" si="15"/>
        <v>0</v>
      </c>
      <c r="O8" s="30">
        <f t="shared" si="15"/>
        <v>0</v>
      </c>
      <c r="P8" s="30">
        <f>BL8/((VLOOKUP(P$3,tech_data!$B$2:$G$15,6,FALSE)/100)*24*365)</f>
        <v>5.1837856947211529</v>
      </c>
      <c r="Q8" s="30">
        <f t="shared" si="7"/>
        <v>18171.161134539307</v>
      </c>
      <c r="R8" s="30"/>
      <c r="S8" s="36"/>
      <c r="T8" s="19"/>
      <c r="U8" s="20" t="str">
        <f t="shared" si="0"/>
        <v>SUMATERA</v>
      </c>
      <c r="V8" s="20">
        <f t="shared" si="0"/>
        <v>2023</v>
      </c>
      <c r="W8" s="30">
        <v>0</v>
      </c>
      <c r="X8" s="30">
        <v>0</v>
      </c>
      <c r="Y8" s="30">
        <v>1643.9163473669582</v>
      </c>
      <c r="Z8" s="30">
        <v>300.68883628961464</v>
      </c>
      <c r="AA8" s="30">
        <v>0</v>
      </c>
      <c r="AB8" s="30">
        <v>0</v>
      </c>
      <c r="AC8" s="30">
        <v>0</v>
      </c>
      <c r="AD8" s="30">
        <v>23.303544005739028</v>
      </c>
      <c r="AE8" s="30">
        <v>4.0781829605225485E-8</v>
      </c>
      <c r="AF8" s="30">
        <v>0</v>
      </c>
      <c r="AG8" s="30">
        <v>0</v>
      </c>
      <c r="AH8" s="30">
        <v>0</v>
      </c>
      <c r="AI8" s="30">
        <f t="shared" si="8"/>
        <v>0.42402442259307982</v>
      </c>
      <c r="AJ8" s="34">
        <f t="shared" si="1"/>
        <v>1968.3327521256867</v>
      </c>
      <c r="AM8" s="23"/>
      <c r="AO8" s="20" t="str">
        <f t="shared" si="2"/>
        <v>SUMATERA</v>
      </c>
      <c r="AP8" s="20">
        <f t="shared" si="2"/>
        <v>2023</v>
      </c>
      <c r="AQ8" s="30">
        <v>99999</v>
      </c>
      <c r="AR8" s="30">
        <v>99999</v>
      </c>
      <c r="AS8" s="30">
        <v>99999</v>
      </c>
      <c r="AT8" s="30">
        <v>99999</v>
      </c>
      <c r="AU8" s="30">
        <f t="shared" si="9"/>
        <v>9679</v>
      </c>
      <c r="AV8" s="30">
        <f t="shared" si="9"/>
        <v>15579</v>
      </c>
      <c r="AW8" s="30">
        <f t="shared" si="9"/>
        <v>5734</v>
      </c>
      <c r="AX8" s="30">
        <f t="shared" si="9"/>
        <v>68288.164569589891</v>
      </c>
      <c r="AY8" s="30">
        <f t="shared" si="9"/>
        <v>7396.9999999592183</v>
      </c>
      <c r="AZ8" s="30">
        <f t="shared" si="9"/>
        <v>15589</v>
      </c>
      <c r="BA8" s="30">
        <f t="shared" si="9"/>
        <v>6027</v>
      </c>
      <c r="BB8" s="30">
        <v>99999</v>
      </c>
      <c r="BC8" s="30">
        <v>99999</v>
      </c>
      <c r="BD8" s="30">
        <f t="shared" si="3"/>
        <v>128293.16456954912</v>
      </c>
      <c r="BF8" s="23"/>
      <c r="BG8" s="19"/>
      <c r="BH8" s="20" t="str">
        <f t="shared" si="10"/>
        <v>SUMATERA</v>
      </c>
      <c r="BI8" s="20">
        <f t="shared" si="10"/>
        <v>2023</v>
      </c>
      <c r="BJ8" s="25">
        <f t="shared" si="4"/>
        <v>1.1445697688671725E-2</v>
      </c>
      <c r="BK8" s="43">
        <f t="shared" si="5"/>
        <v>2.7521560224853445E-4</v>
      </c>
      <c r="BL8" s="34">
        <f t="shared" si="11"/>
        <v>20434.483208590787</v>
      </c>
      <c r="BP8" s="23"/>
    </row>
    <row r="9" spans="1:68" x14ac:dyDescent="0.25">
      <c r="A9" s="19"/>
      <c r="B9" s="20" t="str">
        <f t="shared" si="12"/>
        <v>SUMATERA</v>
      </c>
      <c r="C9" s="20">
        <f t="shared" si="13"/>
        <v>2024</v>
      </c>
      <c r="D9" s="30">
        <f t="shared" si="14"/>
        <v>5522.498681506424</v>
      </c>
      <c r="E9" s="30">
        <f t="shared" si="15"/>
        <v>2042.5730615552216</v>
      </c>
      <c r="F9" s="30">
        <f t="shared" si="15"/>
        <v>5969.8051566795966</v>
      </c>
      <c r="G9" s="30">
        <f t="shared" si="15"/>
        <v>3142.4306303839408</v>
      </c>
      <c r="H9" s="30">
        <f t="shared" si="15"/>
        <v>677</v>
      </c>
      <c r="I9" s="30">
        <f t="shared" si="15"/>
        <v>1959.96</v>
      </c>
      <c r="J9" s="30">
        <f t="shared" si="15"/>
        <v>70.260000000000005</v>
      </c>
      <c r="K9" s="30">
        <f t="shared" si="15"/>
        <v>584.80783346940825</v>
      </c>
      <c r="L9" s="30">
        <f t="shared" si="15"/>
        <v>892.72061974749079</v>
      </c>
      <c r="M9" s="30">
        <f t="shared" si="15"/>
        <v>36.599999999999994</v>
      </c>
      <c r="N9" s="30">
        <f t="shared" si="15"/>
        <v>0</v>
      </c>
      <c r="O9" s="30">
        <f t="shared" si="15"/>
        <v>0</v>
      </c>
      <c r="P9" s="30">
        <f>BL9/((VLOOKUP(P$3,tech_data!$B$2:$G$15,6,FALSE)/100)*24*365)</f>
        <v>5.9231980270154505</v>
      </c>
      <c r="Q9" s="30">
        <f t="shared" si="7"/>
        <v>20898.65598334208</v>
      </c>
      <c r="R9" s="30"/>
      <c r="S9" s="36"/>
      <c r="T9" s="19"/>
      <c r="U9" s="20" t="str">
        <f t="shared" si="0"/>
        <v>SUMATERA</v>
      </c>
      <c r="V9" s="20">
        <f t="shared" si="0"/>
        <v>2024</v>
      </c>
      <c r="W9" s="30">
        <v>0</v>
      </c>
      <c r="X9" s="30">
        <v>0</v>
      </c>
      <c r="Y9" s="30">
        <v>1454.2141286764002</v>
      </c>
      <c r="Z9" s="30">
        <v>257.71769736035634</v>
      </c>
      <c r="AA9" s="30">
        <v>0</v>
      </c>
      <c r="AB9" s="30">
        <v>0</v>
      </c>
      <c r="AC9" s="30">
        <v>0</v>
      </c>
      <c r="AD9" s="30">
        <v>122.84240305930554</v>
      </c>
      <c r="AE9" s="30">
        <v>892.72061970670893</v>
      </c>
      <c r="AF9" s="30">
        <v>0</v>
      </c>
      <c r="AG9" s="30">
        <v>0</v>
      </c>
      <c r="AH9" s="30">
        <v>0</v>
      </c>
      <c r="AI9" s="30">
        <f t="shared" si="8"/>
        <v>0.73941233229429759</v>
      </c>
      <c r="AJ9" s="34">
        <f t="shared" si="1"/>
        <v>2728.2342611350655</v>
      </c>
      <c r="AM9" s="23"/>
      <c r="AO9" s="20" t="str">
        <f t="shared" si="2"/>
        <v>SUMATERA</v>
      </c>
      <c r="AP9" s="20">
        <f t="shared" si="2"/>
        <v>2024</v>
      </c>
      <c r="AQ9" s="30">
        <v>99999</v>
      </c>
      <c r="AR9" s="30">
        <v>99999</v>
      </c>
      <c r="AS9" s="30">
        <v>99999</v>
      </c>
      <c r="AT9" s="30">
        <v>99999</v>
      </c>
      <c r="AU9" s="30">
        <f t="shared" si="9"/>
        <v>9679</v>
      </c>
      <c r="AV9" s="30">
        <f t="shared" si="9"/>
        <v>15579</v>
      </c>
      <c r="AW9" s="30">
        <f t="shared" si="9"/>
        <v>5734</v>
      </c>
      <c r="AX9" s="30">
        <f t="shared" si="9"/>
        <v>68165.32216653059</v>
      </c>
      <c r="AY9" s="30">
        <f t="shared" si="9"/>
        <v>6504.2793802525093</v>
      </c>
      <c r="AZ9" s="30">
        <f t="shared" si="9"/>
        <v>15589</v>
      </c>
      <c r="BA9" s="30">
        <f t="shared" si="9"/>
        <v>6027</v>
      </c>
      <c r="BB9" s="30">
        <v>99999</v>
      </c>
      <c r="BC9" s="30">
        <v>99999</v>
      </c>
      <c r="BD9" s="30">
        <f t="shared" si="3"/>
        <v>127277.6015467831</v>
      </c>
      <c r="BF9" s="23"/>
      <c r="BG9" s="19"/>
      <c r="BH9" s="20" t="str">
        <f t="shared" si="10"/>
        <v>SUMATERA</v>
      </c>
      <c r="BI9" s="20">
        <f t="shared" si="10"/>
        <v>2024</v>
      </c>
      <c r="BJ9" s="25">
        <f t="shared" si="4"/>
        <v>4.6301915900363783E-2</v>
      </c>
      <c r="BK9" s="43">
        <f t="shared" si="5"/>
        <v>2.8290800902628721E-4</v>
      </c>
      <c r="BL9" s="34">
        <f t="shared" si="11"/>
        <v>23349.246622494909</v>
      </c>
      <c r="BN9" s="38"/>
      <c r="BP9" s="23"/>
    </row>
    <row r="10" spans="1:68" x14ac:dyDescent="0.25">
      <c r="A10" s="19"/>
      <c r="B10" s="20" t="str">
        <f t="shared" si="12"/>
        <v>SUMATERA</v>
      </c>
      <c r="C10" s="20">
        <f t="shared" si="13"/>
        <v>2025</v>
      </c>
      <c r="D10" s="30">
        <f t="shared" si="14"/>
        <v>5628.2479894584203</v>
      </c>
      <c r="E10" s="30">
        <f t="shared" si="15"/>
        <v>2042.5730615552216</v>
      </c>
      <c r="F10" s="30">
        <f t="shared" si="15"/>
        <v>7114.1761295175647</v>
      </c>
      <c r="G10" s="30">
        <f t="shared" si="15"/>
        <v>3394.5439319332795</v>
      </c>
      <c r="H10" s="30">
        <f t="shared" si="15"/>
        <v>677</v>
      </c>
      <c r="I10" s="30">
        <f t="shared" si="15"/>
        <v>1959.96</v>
      </c>
      <c r="J10" s="30">
        <f t="shared" si="15"/>
        <v>70.260000000000005</v>
      </c>
      <c r="K10" s="30">
        <f t="shared" si="15"/>
        <v>737.44872189677585</v>
      </c>
      <c r="L10" s="30">
        <f t="shared" si="15"/>
        <v>1939.8458893686602</v>
      </c>
      <c r="M10" s="30">
        <f t="shared" si="15"/>
        <v>36.599999999999994</v>
      </c>
      <c r="N10" s="30">
        <f t="shared" si="15"/>
        <v>0</v>
      </c>
      <c r="O10" s="30">
        <f t="shared" si="15"/>
        <v>0</v>
      </c>
      <c r="P10" s="30">
        <f>BL10/((VLOOKUP(P$3,tech_data!$B$2:$G$15,6,FALSE)/100)*24*365)</f>
        <v>6.7031257029092588</v>
      </c>
      <c r="Q10" s="30">
        <f t="shared" si="7"/>
        <v>23600.65572372992</v>
      </c>
      <c r="R10" s="30"/>
      <c r="S10" s="36"/>
      <c r="T10" s="19"/>
      <c r="U10" s="20" t="str">
        <f t="shared" si="0"/>
        <v>SUMATERA</v>
      </c>
      <c r="V10" s="20">
        <f t="shared" si="0"/>
        <v>2025</v>
      </c>
      <c r="W10" s="30">
        <v>105.74930795199641</v>
      </c>
      <c r="X10" s="30">
        <v>0</v>
      </c>
      <c r="Y10" s="30">
        <v>1144.3709728379681</v>
      </c>
      <c r="Z10" s="30">
        <v>252.11330154933887</v>
      </c>
      <c r="AA10" s="30">
        <v>0</v>
      </c>
      <c r="AB10" s="30">
        <v>0</v>
      </c>
      <c r="AC10" s="30">
        <v>0</v>
      </c>
      <c r="AD10" s="30">
        <v>152.64088842736766</v>
      </c>
      <c r="AE10" s="30">
        <v>1047.1252696211693</v>
      </c>
      <c r="AF10" s="30">
        <v>0</v>
      </c>
      <c r="AG10" s="30">
        <v>0</v>
      </c>
      <c r="AH10" s="30">
        <v>0</v>
      </c>
      <c r="AI10" s="30">
        <f t="shared" si="8"/>
        <v>0.77992767589380829</v>
      </c>
      <c r="AJ10" s="34">
        <f t="shared" si="1"/>
        <v>2702.7796680637339</v>
      </c>
      <c r="AM10" s="23"/>
      <c r="AO10" s="20" t="str">
        <f t="shared" si="2"/>
        <v>SUMATERA</v>
      </c>
      <c r="AP10" s="20">
        <f t="shared" si="2"/>
        <v>2025</v>
      </c>
      <c r="AQ10" s="30">
        <v>99999</v>
      </c>
      <c r="AR10" s="30">
        <v>99999</v>
      </c>
      <c r="AS10" s="30">
        <v>99999</v>
      </c>
      <c r="AT10" s="30">
        <v>99999</v>
      </c>
      <c r="AU10" s="30">
        <f t="shared" si="9"/>
        <v>9679</v>
      </c>
      <c r="AV10" s="30">
        <f t="shared" si="9"/>
        <v>15579</v>
      </c>
      <c r="AW10" s="30">
        <f t="shared" si="9"/>
        <v>5734</v>
      </c>
      <c r="AX10" s="30">
        <f t="shared" si="9"/>
        <v>68012.68127810322</v>
      </c>
      <c r="AY10" s="30">
        <f t="shared" si="9"/>
        <v>5457.1541106313398</v>
      </c>
      <c r="AZ10" s="30">
        <f t="shared" si="9"/>
        <v>15589</v>
      </c>
      <c r="BA10" s="30">
        <f t="shared" si="9"/>
        <v>6027</v>
      </c>
      <c r="BB10" s="30">
        <v>99999</v>
      </c>
      <c r="BC10" s="30">
        <v>99999</v>
      </c>
      <c r="BD10" s="30">
        <f t="shared" si="3"/>
        <v>126077.83538873456</v>
      </c>
      <c r="BF10" s="23"/>
      <c r="BG10" s="19"/>
      <c r="BH10" s="20" t="str">
        <f t="shared" si="10"/>
        <v>SUMATERA</v>
      </c>
      <c r="BI10" s="20">
        <f t="shared" si="10"/>
        <v>2025</v>
      </c>
      <c r="BJ10" s="25">
        <f t="shared" si="4"/>
        <v>8.0492666385518094E-2</v>
      </c>
      <c r="BK10" s="43">
        <f t="shared" si="5"/>
        <v>2.9045355396094193E-4</v>
      </c>
      <c r="BL10" s="34">
        <f t="shared" si="11"/>
        <v>26423.721520868301</v>
      </c>
      <c r="BP10" s="23"/>
    </row>
    <row r="11" spans="1:68" x14ac:dyDescent="0.25">
      <c r="A11" s="19"/>
      <c r="B11" s="20" t="str">
        <f t="shared" si="12"/>
        <v>SUMATERA</v>
      </c>
      <c r="C11" s="20">
        <f t="shared" si="13"/>
        <v>2026</v>
      </c>
      <c r="D11" s="30">
        <f t="shared" si="14"/>
        <v>6214.7928309317349</v>
      </c>
      <c r="E11" s="30">
        <f t="shared" si="15"/>
        <v>2042.5730615552216</v>
      </c>
      <c r="F11" s="30">
        <f t="shared" si="15"/>
        <v>7581.4748096584635</v>
      </c>
      <c r="G11" s="30">
        <f t="shared" si="15"/>
        <v>3394.5439319332795</v>
      </c>
      <c r="H11" s="30">
        <f t="shared" si="15"/>
        <v>677</v>
      </c>
      <c r="I11" s="30">
        <f t="shared" si="15"/>
        <v>1959.96</v>
      </c>
      <c r="J11" s="30">
        <f t="shared" si="15"/>
        <v>70.260000000000005</v>
      </c>
      <c r="K11" s="30">
        <f t="shared" si="15"/>
        <v>997.00763642870334</v>
      </c>
      <c r="L11" s="30">
        <f t="shared" si="15"/>
        <v>3741.1489063010781</v>
      </c>
      <c r="M11" s="30">
        <f t="shared" si="15"/>
        <v>36.599999999999994</v>
      </c>
      <c r="N11" s="30">
        <f t="shared" si="15"/>
        <v>0</v>
      </c>
      <c r="O11" s="30">
        <f t="shared" si="15"/>
        <v>0</v>
      </c>
      <c r="P11" s="30">
        <f>BL11/((VLOOKUP(P$3,tech_data!$B$2:$G$15,6,FALSE)/100)*24*365)</f>
        <v>7.7424881953509184</v>
      </c>
      <c r="Q11" s="30">
        <f t="shared" si="7"/>
        <v>26715.361176808477</v>
      </c>
      <c r="R11" s="30"/>
      <c r="S11" s="36"/>
      <c r="T11" s="19"/>
      <c r="U11" s="20" t="str">
        <f t="shared" si="0"/>
        <v>SUMATERA</v>
      </c>
      <c r="V11" s="20">
        <f t="shared" si="0"/>
        <v>2026</v>
      </c>
      <c r="W11" s="30">
        <v>586.54484147331448</v>
      </c>
      <c r="X11" s="30">
        <v>0</v>
      </c>
      <c r="Y11" s="30">
        <v>467.29868014089868</v>
      </c>
      <c r="Z11" s="30">
        <v>0</v>
      </c>
      <c r="AA11" s="30">
        <v>0</v>
      </c>
      <c r="AB11" s="30">
        <v>0</v>
      </c>
      <c r="AC11" s="30">
        <v>0</v>
      </c>
      <c r="AD11" s="30">
        <v>259.55891453192748</v>
      </c>
      <c r="AE11" s="30">
        <v>1801.3030169324179</v>
      </c>
      <c r="AF11" s="30">
        <v>0</v>
      </c>
      <c r="AG11" s="30">
        <v>0</v>
      </c>
      <c r="AH11" s="30">
        <v>0</v>
      </c>
      <c r="AI11" s="30">
        <f t="shared" si="8"/>
        <v>1.0393624924416596</v>
      </c>
      <c r="AJ11" s="34">
        <f t="shared" si="1"/>
        <v>3115.7448155710003</v>
      </c>
      <c r="AM11" s="23"/>
      <c r="AO11" s="20" t="str">
        <f t="shared" si="2"/>
        <v>SUMATERA</v>
      </c>
      <c r="AP11" s="20">
        <f t="shared" si="2"/>
        <v>2026</v>
      </c>
      <c r="AQ11" s="30">
        <v>99999</v>
      </c>
      <c r="AR11" s="30">
        <v>99999</v>
      </c>
      <c r="AS11" s="30">
        <v>99999</v>
      </c>
      <c r="AT11" s="30">
        <v>99999</v>
      </c>
      <c r="AU11" s="30">
        <f t="shared" si="9"/>
        <v>9679</v>
      </c>
      <c r="AV11" s="30">
        <f t="shared" si="9"/>
        <v>15579</v>
      </c>
      <c r="AW11" s="30">
        <f t="shared" si="9"/>
        <v>5734</v>
      </c>
      <c r="AX11" s="30">
        <f t="shared" si="9"/>
        <v>67753.122363571296</v>
      </c>
      <c r="AY11" s="30">
        <f t="shared" si="9"/>
        <v>3655.8510936989219</v>
      </c>
      <c r="AZ11" s="30">
        <f t="shared" si="9"/>
        <v>15589</v>
      </c>
      <c r="BA11" s="30">
        <f t="shared" si="9"/>
        <v>6027</v>
      </c>
      <c r="BB11" s="30">
        <v>99999</v>
      </c>
      <c r="BC11" s="30">
        <v>99999</v>
      </c>
      <c r="BD11" s="30">
        <f t="shared" si="3"/>
        <v>124016.97345727021</v>
      </c>
      <c r="BF11" s="23"/>
      <c r="BG11" s="19"/>
      <c r="BH11" s="20" t="str">
        <f t="shared" si="10"/>
        <v>SUMATERA</v>
      </c>
      <c r="BI11" s="20">
        <f t="shared" si="10"/>
        <v>2026</v>
      </c>
      <c r="BJ11" s="25">
        <f t="shared" si="4"/>
        <v>0.13191325364751927</v>
      </c>
      <c r="BK11" s="43">
        <f t="shared" si="5"/>
        <v>3.0180154563255599E-4</v>
      </c>
      <c r="BL11" s="34">
        <f t="shared" si="11"/>
        <v>30520.888466073324</v>
      </c>
      <c r="BP11" s="23"/>
    </row>
    <row r="12" spans="1:68" x14ac:dyDescent="0.25">
      <c r="A12" s="19"/>
      <c r="B12" s="20" t="str">
        <f t="shared" si="12"/>
        <v>SUMATERA</v>
      </c>
      <c r="C12" s="20">
        <f t="shared" si="13"/>
        <v>2027</v>
      </c>
      <c r="D12" s="30">
        <f t="shared" si="14"/>
        <v>6904.667207289729</v>
      </c>
      <c r="E12" s="30">
        <f t="shared" si="15"/>
        <v>2042.5730615552216</v>
      </c>
      <c r="F12" s="30">
        <f t="shared" si="15"/>
        <v>7808.2877258160088</v>
      </c>
      <c r="G12" s="30">
        <f t="shared" si="15"/>
        <v>3394.5439319332795</v>
      </c>
      <c r="H12" s="30">
        <f t="shared" si="15"/>
        <v>677</v>
      </c>
      <c r="I12" s="30">
        <f t="shared" si="15"/>
        <v>1959.96</v>
      </c>
      <c r="J12" s="30">
        <f t="shared" si="15"/>
        <v>361.8058096568418</v>
      </c>
      <c r="K12" s="30">
        <f t="shared" si="15"/>
        <v>1358.1771222566597</v>
      </c>
      <c r="L12" s="30">
        <f t="shared" si="15"/>
        <v>5569.0744531505388</v>
      </c>
      <c r="M12" s="30">
        <f t="shared" si="15"/>
        <v>36.599999999999994</v>
      </c>
      <c r="N12" s="30">
        <f t="shared" si="15"/>
        <v>0</v>
      </c>
      <c r="O12" s="30">
        <f t="shared" si="15"/>
        <v>0</v>
      </c>
      <c r="P12" s="30">
        <f>BL12/((VLOOKUP(P$3,tech_data!$B$2:$G$15,6,FALSE)/100)*24*365)</f>
        <v>8.9234904323716275</v>
      </c>
      <c r="Q12" s="30">
        <f t="shared" si="7"/>
        <v>30112.68931165828</v>
      </c>
      <c r="R12" s="30"/>
      <c r="S12" s="36"/>
      <c r="T12" s="19"/>
      <c r="U12" s="20" t="str">
        <f t="shared" si="0"/>
        <v>SUMATERA</v>
      </c>
      <c r="V12" s="20">
        <f t="shared" si="0"/>
        <v>2027</v>
      </c>
      <c r="W12" s="30">
        <v>689.87437635799392</v>
      </c>
      <c r="X12" s="30">
        <v>0</v>
      </c>
      <c r="Y12" s="30">
        <v>226.8129161575452</v>
      </c>
      <c r="Z12" s="30">
        <v>0</v>
      </c>
      <c r="AA12" s="30">
        <v>0</v>
      </c>
      <c r="AB12" s="30">
        <v>0</v>
      </c>
      <c r="AC12" s="30">
        <v>291.54580965684181</v>
      </c>
      <c r="AD12" s="30">
        <v>361.16948582795635</v>
      </c>
      <c r="AE12" s="30">
        <v>1827.9255468494609</v>
      </c>
      <c r="AF12" s="30">
        <v>0</v>
      </c>
      <c r="AG12" s="30">
        <v>0</v>
      </c>
      <c r="AH12" s="30">
        <v>0</v>
      </c>
      <c r="AI12" s="30">
        <f t="shared" si="8"/>
        <v>1.1810022370207092</v>
      </c>
      <c r="AJ12" s="34">
        <f t="shared" si="1"/>
        <v>3398.509137086819</v>
      </c>
      <c r="AM12" s="23"/>
      <c r="AO12" s="20" t="str">
        <f t="shared" si="2"/>
        <v>SUMATERA</v>
      </c>
      <c r="AP12" s="20">
        <f t="shared" si="2"/>
        <v>2027</v>
      </c>
      <c r="AQ12" s="30">
        <v>99999</v>
      </c>
      <c r="AR12" s="30">
        <v>99999</v>
      </c>
      <c r="AS12" s="30">
        <v>99999</v>
      </c>
      <c r="AT12" s="30">
        <v>99999</v>
      </c>
      <c r="AU12" s="30">
        <f t="shared" si="9"/>
        <v>9679</v>
      </c>
      <c r="AV12" s="30">
        <f t="shared" si="9"/>
        <v>15579</v>
      </c>
      <c r="AW12" s="30">
        <f t="shared" si="9"/>
        <v>5442.4541903431582</v>
      </c>
      <c r="AX12" s="30">
        <f t="shared" si="9"/>
        <v>67391.952877743344</v>
      </c>
      <c r="AY12" s="30">
        <f t="shared" si="9"/>
        <v>1827.9255468494609</v>
      </c>
      <c r="AZ12" s="30">
        <f t="shared" si="9"/>
        <v>15589</v>
      </c>
      <c r="BA12" s="30">
        <f t="shared" si="9"/>
        <v>6027</v>
      </c>
      <c r="BB12" s="30">
        <v>99999</v>
      </c>
      <c r="BC12" s="30">
        <v>99999</v>
      </c>
      <c r="BD12" s="30">
        <f t="shared" si="3"/>
        <v>121536.33261493596</v>
      </c>
      <c r="BF12" s="23"/>
      <c r="BG12" s="19"/>
      <c r="BH12" s="20" t="str">
        <f t="shared" si="10"/>
        <v>SUMATERA</v>
      </c>
      <c r="BI12" s="20">
        <f t="shared" si="10"/>
        <v>2027</v>
      </c>
      <c r="BJ12" s="25">
        <f t="shared" si="4"/>
        <v>0.17351144218627301</v>
      </c>
      <c r="BK12" s="43">
        <f t="shared" si="5"/>
        <v>3.109818355169706E-4</v>
      </c>
      <c r="BL12" s="34">
        <f t="shared" si="11"/>
        <v>35176.399284408959</v>
      </c>
      <c r="BP12" s="23"/>
    </row>
    <row r="13" spans="1:68" x14ac:dyDescent="0.25">
      <c r="A13" s="19"/>
      <c r="B13" s="20" t="str">
        <f t="shared" si="12"/>
        <v>SUMATERA</v>
      </c>
      <c r="C13" s="20">
        <f t="shared" si="13"/>
        <v>2028</v>
      </c>
      <c r="D13" s="30">
        <f t="shared" si="14"/>
        <v>7296.544959902988</v>
      </c>
      <c r="E13" s="30">
        <f t="shared" si="15"/>
        <v>2042.5730615552216</v>
      </c>
      <c r="F13" s="30">
        <f t="shared" si="15"/>
        <v>9511.4155405753354</v>
      </c>
      <c r="G13" s="30">
        <f t="shared" si="15"/>
        <v>3394.5439319332795</v>
      </c>
      <c r="H13" s="30">
        <f t="shared" si="15"/>
        <v>677</v>
      </c>
      <c r="I13" s="30">
        <f t="shared" si="15"/>
        <v>1959.96</v>
      </c>
      <c r="J13" s="30">
        <f t="shared" si="15"/>
        <v>361.8058096568418</v>
      </c>
      <c r="K13" s="30">
        <f t="shared" si="15"/>
        <v>1451.3555805757726</v>
      </c>
      <c r="L13" s="30">
        <f t="shared" si="15"/>
        <v>5714.7206436660736</v>
      </c>
      <c r="M13" s="30">
        <f t="shared" si="15"/>
        <v>36.599999999999994</v>
      </c>
      <c r="N13" s="30">
        <f t="shared" si="15"/>
        <v>0</v>
      </c>
      <c r="O13" s="30">
        <f t="shared" si="15"/>
        <v>0</v>
      </c>
      <c r="P13" s="30">
        <f>BL13/((VLOOKUP(P$3,tech_data!$B$2:$G$15,6,FALSE)/100)*24*365)</f>
        <v>9.4585114378864077</v>
      </c>
      <c r="Q13" s="30">
        <f t="shared" si="7"/>
        <v>32446.519527865512</v>
      </c>
      <c r="R13" s="30"/>
      <c r="S13" s="36"/>
      <c r="T13" s="19"/>
      <c r="U13" s="20" t="str">
        <f t="shared" si="0"/>
        <v>SUMATERA</v>
      </c>
      <c r="V13" s="20">
        <f t="shared" si="0"/>
        <v>2028</v>
      </c>
      <c r="W13" s="30">
        <v>391.87775261325862</v>
      </c>
      <c r="X13" s="30">
        <v>0</v>
      </c>
      <c r="Y13" s="30">
        <v>1703.1278147593262</v>
      </c>
      <c r="Z13" s="30">
        <v>0</v>
      </c>
      <c r="AA13" s="30">
        <v>0</v>
      </c>
      <c r="AB13" s="30">
        <v>0</v>
      </c>
      <c r="AC13" s="30">
        <v>0</v>
      </c>
      <c r="AD13" s="30">
        <v>93.178458319112906</v>
      </c>
      <c r="AE13" s="30">
        <v>145.64619051553507</v>
      </c>
      <c r="AF13" s="30">
        <v>0</v>
      </c>
      <c r="AG13" s="30">
        <v>0</v>
      </c>
      <c r="AH13" s="30">
        <v>0</v>
      </c>
      <c r="AI13" s="30">
        <f t="shared" si="8"/>
        <v>0.53502100551478016</v>
      </c>
      <c r="AJ13" s="34">
        <f t="shared" si="1"/>
        <v>2334.3652372127476</v>
      </c>
      <c r="AM13" s="23"/>
      <c r="AO13" s="20" t="str">
        <f t="shared" si="2"/>
        <v>SUMATERA</v>
      </c>
      <c r="AP13" s="20">
        <f t="shared" si="2"/>
        <v>2028</v>
      </c>
      <c r="AQ13" s="30">
        <v>99999</v>
      </c>
      <c r="AR13" s="30">
        <v>99999</v>
      </c>
      <c r="AS13" s="30">
        <v>99999</v>
      </c>
      <c r="AT13" s="30">
        <v>99999</v>
      </c>
      <c r="AU13" s="30">
        <f t="shared" si="9"/>
        <v>9679</v>
      </c>
      <c r="AV13" s="30">
        <f t="shared" si="9"/>
        <v>15579</v>
      </c>
      <c r="AW13" s="30">
        <f t="shared" si="9"/>
        <v>5442.4541903431582</v>
      </c>
      <c r="AX13" s="30">
        <f t="shared" si="9"/>
        <v>67298.774419424226</v>
      </c>
      <c r="AY13" s="30">
        <f t="shared" si="9"/>
        <v>1682.279356333926</v>
      </c>
      <c r="AZ13" s="30">
        <f t="shared" si="9"/>
        <v>15589</v>
      </c>
      <c r="BA13" s="30">
        <f t="shared" si="9"/>
        <v>6027</v>
      </c>
      <c r="BB13" s="30">
        <v>99999</v>
      </c>
      <c r="BC13" s="30">
        <v>99999</v>
      </c>
      <c r="BD13" s="30">
        <f t="shared" si="3"/>
        <v>121297.50796610132</v>
      </c>
      <c r="BF13" s="23"/>
      <c r="BG13" s="19"/>
      <c r="BH13" s="20" t="str">
        <f t="shared" si="10"/>
        <v>SUMATERA</v>
      </c>
      <c r="BI13" s="20">
        <f t="shared" si="10"/>
        <v>2028</v>
      </c>
      <c r="BJ13" s="25">
        <f t="shared" si="4"/>
        <v>0.16822959704808566</v>
      </c>
      <c r="BK13" s="43">
        <f t="shared" si="5"/>
        <v>3.0981618693474994E-4</v>
      </c>
      <c r="BL13" s="34">
        <f t="shared" si="11"/>
        <v>37285.452088148224</v>
      </c>
      <c r="BP13" s="23"/>
    </row>
    <row r="14" spans="1:68" x14ac:dyDescent="0.25">
      <c r="A14" s="19"/>
      <c r="B14" s="20" t="str">
        <f t="shared" si="12"/>
        <v>SUMATERA</v>
      </c>
      <c r="C14" s="20">
        <f t="shared" si="13"/>
        <v>2029</v>
      </c>
      <c r="D14" s="30">
        <f t="shared" si="14"/>
        <v>7708.1091048394974</v>
      </c>
      <c r="E14" s="30">
        <f t="shared" si="15"/>
        <v>2042.5730615552216</v>
      </c>
      <c r="F14" s="30">
        <f t="shared" si="15"/>
        <v>11356.535027438842</v>
      </c>
      <c r="G14" s="30">
        <f t="shared" si="15"/>
        <v>3394.5439319332795</v>
      </c>
      <c r="H14" s="30">
        <f t="shared" si="15"/>
        <v>677</v>
      </c>
      <c r="I14" s="30">
        <f t="shared" si="15"/>
        <v>1959.96</v>
      </c>
      <c r="J14" s="30">
        <f t="shared" si="15"/>
        <v>361.8058480501399</v>
      </c>
      <c r="K14" s="30">
        <f t="shared" si="15"/>
        <v>1553.7553747835748</v>
      </c>
      <c r="L14" s="30">
        <f t="shared" si="15"/>
        <v>5834.3244699300139</v>
      </c>
      <c r="M14" s="30">
        <f t="shared" si="15"/>
        <v>36.599999999999994</v>
      </c>
      <c r="N14" s="30">
        <f t="shared" si="15"/>
        <v>0.22801793895929037</v>
      </c>
      <c r="O14" s="30">
        <f t="shared" si="15"/>
        <v>0</v>
      </c>
      <c r="P14" s="30">
        <f>BL14/((VLOOKUP(P$3,tech_data!$B$2:$G$15,6,FALSE)/100)*24*365)</f>
        <v>10.01950377023697</v>
      </c>
      <c r="Q14" s="30">
        <f t="shared" si="7"/>
        <v>34925.434836469518</v>
      </c>
      <c r="R14" s="30"/>
      <c r="S14" s="36"/>
      <c r="T14" s="19"/>
      <c r="U14" s="20" t="str">
        <f t="shared" si="0"/>
        <v>SUMATERA</v>
      </c>
      <c r="V14" s="20">
        <f t="shared" si="0"/>
        <v>2029</v>
      </c>
      <c r="W14" s="30">
        <v>411.56414493650942</v>
      </c>
      <c r="X14" s="30">
        <v>0</v>
      </c>
      <c r="Y14" s="30">
        <v>1845.1194868635073</v>
      </c>
      <c r="Z14" s="30">
        <v>0</v>
      </c>
      <c r="AA14" s="30">
        <v>0</v>
      </c>
      <c r="AB14" s="30">
        <v>0</v>
      </c>
      <c r="AC14" s="30">
        <v>3.8393298112137877E-5</v>
      </c>
      <c r="AD14" s="30">
        <v>102.39979420780216</v>
      </c>
      <c r="AE14" s="30">
        <v>119.60382626394039</v>
      </c>
      <c r="AF14" s="30">
        <v>0</v>
      </c>
      <c r="AG14" s="30">
        <v>0.22801793895929037</v>
      </c>
      <c r="AH14" s="30">
        <v>0</v>
      </c>
      <c r="AI14" s="30">
        <f t="shared" si="8"/>
        <v>0.5609923323505619</v>
      </c>
      <c r="AJ14" s="34">
        <f t="shared" si="1"/>
        <v>2479.4763009363674</v>
      </c>
      <c r="AM14" s="23"/>
      <c r="AO14" s="20" t="str">
        <f t="shared" si="2"/>
        <v>SUMATERA</v>
      </c>
      <c r="AP14" s="20">
        <f t="shared" si="2"/>
        <v>2029</v>
      </c>
      <c r="AQ14" s="30">
        <v>99999</v>
      </c>
      <c r="AR14" s="30">
        <v>99999</v>
      </c>
      <c r="AS14" s="30">
        <v>99999</v>
      </c>
      <c r="AT14" s="30">
        <v>99999</v>
      </c>
      <c r="AU14" s="30">
        <f t="shared" si="9"/>
        <v>9679</v>
      </c>
      <c r="AV14" s="30">
        <f t="shared" si="9"/>
        <v>15579</v>
      </c>
      <c r="AW14" s="30">
        <f t="shared" si="9"/>
        <v>5442.4541519498598</v>
      </c>
      <c r="AX14" s="30">
        <f t="shared" si="9"/>
        <v>67196.374625216427</v>
      </c>
      <c r="AY14" s="30">
        <f t="shared" si="9"/>
        <v>1562.6755300699856</v>
      </c>
      <c r="AZ14" s="30">
        <f t="shared" si="9"/>
        <v>15589</v>
      </c>
      <c r="BA14" s="30">
        <f t="shared" si="9"/>
        <v>6026.7719820610409</v>
      </c>
      <c r="BB14" s="30">
        <v>99999</v>
      </c>
      <c r="BC14" s="30">
        <v>99999</v>
      </c>
      <c r="BD14" s="30">
        <f t="shared" si="3"/>
        <v>121075.27628929731</v>
      </c>
      <c r="BF14" s="23"/>
      <c r="BG14" s="19"/>
      <c r="BH14" s="20" t="str">
        <f t="shared" si="10"/>
        <v>SUMATERA</v>
      </c>
      <c r="BI14" s="20">
        <f t="shared" si="10"/>
        <v>2029</v>
      </c>
      <c r="BJ14" s="25">
        <f t="shared" si="4"/>
        <v>0.16251457486360707</v>
      </c>
      <c r="BK14" s="43">
        <f t="shared" si="5"/>
        <v>3.0855494065955464E-4</v>
      </c>
      <c r="BL14" s="34">
        <f t="shared" si="11"/>
        <v>39496.883862274139</v>
      </c>
      <c r="BP14" s="23"/>
    </row>
    <row r="15" spans="1:68" x14ac:dyDescent="0.25">
      <c r="A15" s="19"/>
      <c r="B15" s="20" t="str">
        <f t="shared" si="12"/>
        <v>SUMATERA</v>
      </c>
      <c r="C15" s="20">
        <f t="shared" si="13"/>
        <v>2030</v>
      </c>
      <c r="D15" s="30">
        <f t="shared" si="14"/>
        <v>8125.7348965540659</v>
      </c>
      <c r="E15" s="30">
        <f t="shared" si="15"/>
        <v>2042.5730615552216</v>
      </c>
      <c r="F15" s="30">
        <f t="shared" si="15"/>
        <v>12368.488060213189</v>
      </c>
      <c r="G15" s="30">
        <f t="shared" si="15"/>
        <v>3394.5468057118965</v>
      </c>
      <c r="H15" s="30">
        <f t="shared" si="15"/>
        <v>677</v>
      </c>
      <c r="I15" s="30">
        <f t="shared" si="15"/>
        <v>1959.9600005932571</v>
      </c>
      <c r="J15" s="30">
        <f t="shared" si="15"/>
        <v>361.80584811310467</v>
      </c>
      <c r="K15" s="30">
        <f t="shared" si="15"/>
        <v>3206.4471310983554</v>
      </c>
      <c r="L15" s="30">
        <f t="shared" si="15"/>
        <v>5834.3243838527915</v>
      </c>
      <c r="M15" s="30">
        <f t="shared" si="15"/>
        <v>36.599999999999994</v>
      </c>
      <c r="N15" s="30">
        <f t="shared" si="15"/>
        <v>0.22801793895929037</v>
      </c>
      <c r="O15" s="30">
        <f t="shared" si="15"/>
        <v>0</v>
      </c>
      <c r="P15" s="30">
        <f>BL15/((VLOOKUP(P$3,tech_data!$B$2:$G$15,6,FALSE)/100)*24*365)</f>
        <v>10.733846201841695</v>
      </c>
      <c r="Q15" s="30">
        <f t="shared" si="7"/>
        <v>38007.708205630835</v>
      </c>
      <c r="R15" s="30"/>
      <c r="S15" s="36"/>
      <c r="T15" s="19"/>
      <c r="U15" s="20" t="str">
        <f t="shared" si="0"/>
        <v>SUMATERA</v>
      </c>
      <c r="V15" s="20">
        <f t="shared" si="0"/>
        <v>2030</v>
      </c>
      <c r="W15" s="30">
        <v>417.62579171456809</v>
      </c>
      <c r="X15" s="30">
        <v>0</v>
      </c>
      <c r="Y15" s="30">
        <v>1011.9530327743472</v>
      </c>
      <c r="Z15" s="30">
        <v>2.8737786169360678E-3</v>
      </c>
      <c r="AA15" s="30">
        <v>0</v>
      </c>
      <c r="AB15" s="30">
        <v>5.9325711640353685E-7</v>
      </c>
      <c r="AC15" s="30">
        <v>6.2964747690229232E-8</v>
      </c>
      <c r="AD15" s="30">
        <v>1652.6917563147806</v>
      </c>
      <c r="AE15" s="30">
        <v>-8.6077222520199637E-5</v>
      </c>
      <c r="AF15" s="30">
        <v>0</v>
      </c>
      <c r="AG15" s="30">
        <v>0</v>
      </c>
      <c r="AH15" s="30">
        <v>0</v>
      </c>
      <c r="AI15" s="30">
        <f t="shared" si="8"/>
        <v>0.71434243160472555</v>
      </c>
      <c r="AJ15" s="34">
        <f t="shared" si="1"/>
        <v>3082.9877115929166</v>
      </c>
      <c r="AM15" s="23"/>
      <c r="AO15" s="20" t="str">
        <f t="shared" si="2"/>
        <v>SUMATERA</v>
      </c>
      <c r="AP15" s="20">
        <f t="shared" si="2"/>
        <v>2030</v>
      </c>
      <c r="AQ15" s="30">
        <v>99999</v>
      </c>
      <c r="AR15" s="30">
        <v>99999</v>
      </c>
      <c r="AS15" s="30">
        <v>99999</v>
      </c>
      <c r="AT15" s="30">
        <v>99999</v>
      </c>
      <c r="AU15" s="30">
        <f t="shared" si="9"/>
        <v>9679</v>
      </c>
      <c r="AV15" s="30">
        <f t="shared" si="9"/>
        <v>15578.999999406742</v>
      </c>
      <c r="AW15" s="30">
        <f t="shared" si="9"/>
        <v>5442.4541518868955</v>
      </c>
      <c r="AX15" s="30">
        <f t="shared" si="9"/>
        <v>65543.68286890164</v>
      </c>
      <c r="AY15" s="30">
        <f t="shared" si="9"/>
        <v>1562.6756161472081</v>
      </c>
      <c r="AZ15" s="30">
        <f t="shared" si="9"/>
        <v>15589</v>
      </c>
      <c r="BA15" s="30">
        <f t="shared" si="9"/>
        <v>6026.7719820610409</v>
      </c>
      <c r="BB15" s="30">
        <v>99999</v>
      </c>
      <c r="BC15" s="30">
        <v>99999</v>
      </c>
      <c r="BD15" s="30">
        <f t="shared" si="3"/>
        <v>119422.58461840353</v>
      </c>
      <c r="BF15" s="23"/>
      <c r="BG15" s="19"/>
      <c r="BH15" s="20" t="str">
        <f t="shared" si="10"/>
        <v>SUMATERA</v>
      </c>
      <c r="BI15" s="20">
        <f t="shared" si="10"/>
        <v>2030</v>
      </c>
      <c r="BJ15" s="25">
        <f t="shared" si="4"/>
        <v>0.17548230727166583</v>
      </c>
      <c r="BK15" s="43">
        <f t="shared" si="5"/>
        <v>3.114167850530573E-4</v>
      </c>
      <c r="BL15" s="34">
        <f t="shared" si="11"/>
        <v>42312.821727659968</v>
      </c>
      <c r="BP15" s="23"/>
    </row>
    <row r="16" spans="1:68" x14ac:dyDescent="0.25">
      <c r="A16" s="19"/>
      <c r="B16" s="20" t="str">
        <f t="shared" si="12"/>
        <v>SUMATERA</v>
      </c>
      <c r="C16" s="20">
        <f t="shared" si="13"/>
        <v>2031</v>
      </c>
      <c r="D16" s="30">
        <f t="shared" si="14"/>
        <v>8612.9531318378777</v>
      </c>
      <c r="E16" s="30">
        <f t="shared" si="15"/>
        <v>2042.5730615552216</v>
      </c>
      <c r="F16" s="30">
        <f t="shared" si="15"/>
        <v>14319.719705982294</v>
      </c>
      <c r="G16" s="30">
        <f t="shared" si="15"/>
        <v>3394.5468057118965</v>
      </c>
      <c r="H16" s="30">
        <f t="shared" si="15"/>
        <v>677</v>
      </c>
      <c r="I16" s="30">
        <f t="shared" si="15"/>
        <v>1959.9600005932571</v>
      </c>
      <c r="J16" s="30">
        <f t="shared" si="15"/>
        <v>361.80584811310467</v>
      </c>
      <c r="K16" s="30">
        <f t="shared" si="15"/>
        <v>3206.4471310983554</v>
      </c>
      <c r="L16" s="30">
        <f t="shared" si="15"/>
        <v>6284.4596954164444</v>
      </c>
      <c r="M16" s="30">
        <f t="shared" si="15"/>
        <v>36.599999999999994</v>
      </c>
      <c r="N16" s="30">
        <f t="shared" si="15"/>
        <v>0.22801793895929037</v>
      </c>
      <c r="O16" s="30">
        <f t="shared" si="15"/>
        <v>0</v>
      </c>
      <c r="P16" s="30">
        <f>BL16/((VLOOKUP(P$3,tech_data!$B$2:$G$15,6,FALSE)/100)*24*365)</f>
        <v>11.444101326382317</v>
      </c>
      <c r="Q16" s="30">
        <f t="shared" si="7"/>
        <v>40896.293398247406</v>
      </c>
      <c r="R16" s="30"/>
      <c r="S16" s="36"/>
      <c r="T16" s="19"/>
      <c r="U16" s="20" t="str">
        <f t="shared" si="0"/>
        <v>SUMATERA</v>
      </c>
      <c r="V16" s="20">
        <f t="shared" si="0"/>
        <v>2031</v>
      </c>
      <c r="W16" s="30">
        <v>487.21823528381185</v>
      </c>
      <c r="X16" s="30">
        <v>0</v>
      </c>
      <c r="Y16" s="30">
        <v>1951.2316457691054</v>
      </c>
      <c r="Z16" s="30">
        <v>0</v>
      </c>
      <c r="AA16" s="30">
        <v>1.4210854715202004E-14</v>
      </c>
      <c r="AB16" s="30">
        <v>0</v>
      </c>
      <c r="AC16" s="30">
        <v>0</v>
      </c>
      <c r="AD16" s="30">
        <v>0</v>
      </c>
      <c r="AE16" s="30">
        <v>450.13531156365309</v>
      </c>
      <c r="AF16" s="30">
        <v>0</v>
      </c>
      <c r="AG16" s="30">
        <v>0</v>
      </c>
      <c r="AH16" s="30">
        <v>0</v>
      </c>
      <c r="AI16" s="30">
        <f t="shared" si="8"/>
        <v>0.71025512454062145</v>
      </c>
      <c r="AJ16" s="34">
        <f t="shared" si="1"/>
        <v>2889.2954477411108</v>
      </c>
      <c r="AM16" s="23"/>
      <c r="AO16" s="20" t="str">
        <f t="shared" si="2"/>
        <v>SUMATERA</v>
      </c>
      <c r="AP16" s="20">
        <f t="shared" si="2"/>
        <v>2031</v>
      </c>
      <c r="AQ16" s="30">
        <v>99999</v>
      </c>
      <c r="AR16" s="30">
        <v>99999</v>
      </c>
      <c r="AS16" s="30">
        <v>99999</v>
      </c>
      <c r="AT16" s="30">
        <v>99999</v>
      </c>
      <c r="AU16" s="30">
        <f t="shared" si="9"/>
        <v>9679</v>
      </c>
      <c r="AV16" s="30">
        <f t="shared" si="9"/>
        <v>15578.999999406742</v>
      </c>
      <c r="AW16" s="30">
        <f t="shared" si="9"/>
        <v>5442.4541518868955</v>
      </c>
      <c r="AX16" s="30">
        <f t="shared" si="9"/>
        <v>65543.68286890164</v>
      </c>
      <c r="AY16" s="30">
        <f t="shared" si="9"/>
        <v>1112.5403045835551</v>
      </c>
      <c r="AZ16" s="30">
        <f t="shared" si="9"/>
        <v>15589</v>
      </c>
      <c r="BA16" s="30">
        <f t="shared" si="9"/>
        <v>6026.7719820610409</v>
      </c>
      <c r="BB16" s="30">
        <v>99999</v>
      </c>
      <c r="BC16" s="30">
        <v>99999</v>
      </c>
      <c r="BD16" s="30">
        <f t="shared" si="3"/>
        <v>118972.44930683987</v>
      </c>
      <c r="BF16" s="23"/>
      <c r="BG16" s="19"/>
      <c r="BH16" s="20" t="str">
        <f t="shared" si="10"/>
        <v>SUMATERA</v>
      </c>
      <c r="BI16" s="20">
        <f t="shared" si="10"/>
        <v>2031</v>
      </c>
      <c r="BJ16" s="25">
        <f t="shared" si="4"/>
        <v>0.17396031133837944</v>
      </c>
      <c r="BK16" s="43">
        <f t="shared" si="5"/>
        <v>3.1108089629536652E-4</v>
      </c>
      <c r="BL16" s="34">
        <f t="shared" si="11"/>
        <v>45112.647428599099</v>
      </c>
      <c r="BP16" s="23"/>
    </row>
    <row r="17" spans="1:84" x14ac:dyDescent="0.25">
      <c r="A17" s="19"/>
      <c r="B17" s="20" t="str">
        <f t="shared" si="12"/>
        <v>SUMATERA</v>
      </c>
      <c r="C17" s="20">
        <f t="shared" si="13"/>
        <v>2032</v>
      </c>
      <c r="D17" s="30">
        <f t="shared" si="14"/>
        <v>9130.552543689224</v>
      </c>
      <c r="E17" s="30">
        <f t="shared" si="15"/>
        <v>2042.5730615552216</v>
      </c>
      <c r="F17" s="30">
        <f t="shared" si="15"/>
        <v>16411.287352550782</v>
      </c>
      <c r="G17" s="30">
        <f t="shared" si="15"/>
        <v>3394.5468057118965</v>
      </c>
      <c r="H17" s="30">
        <f t="shared" si="15"/>
        <v>677</v>
      </c>
      <c r="I17" s="30">
        <f t="shared" si="15"/>
        <v>1959.9600005932571</v>
      </c>
      <c r="J17" s="30">
        <f t="shared" si="15"/>
        <v>361.80584811310467</v>
      </c>
      <c r="K17" s="30">
        <f t="shared" si="15"/>
        <v>3206.4471310983554</v>
      </c>
      <c r="L17" s="30">
        <f t="shared" si="15"/>
        <v>6769.4651011463766</v>
      </c>
      <c r="M17" s="30">
        <f t="shared" si="15"/>
        <v>36.599999999999994</v>
      </c>
      <c r="N17" s="30">
        <f t="shared" si="15"/>
        <v>0.22801793895929037</v>
      </c>
      <c r="O17" s="30">
        <f t="shared" si="15"/>
        <v>0</v>
      </c>
      <c r="P17" s="30">
        <f>BL17/((VLOOKUP(P$3,tech_data!$B$2:$G$15,6,FALSE)/100)*24*365)</f>
        <v>12.204836585368602</v>
      </c>
      <c r="Q17" s="30">
        <f t="shared" si="7"/>
        <v>43990.46586239717</v>
      </c>
      <c r="R17" s="30"/>
      <c r="S17" s="36"/>
      <c r="T17" s="19"/>
      <c r="U17" s="20" t="str">
        <f t="shared" si="0"/>
        <v>SUMATERA</v>
      </c>
      <c r="V17" s="20">
        <f t="shared" si="0"/>
        <v>2032</v>
      </c>
      <c r="W17" s="30">
        <v>517.59941185134653</v>
      </c>
      <c r="X17" s="30">
        <v>0</v>
      </c>
      <c r="Y17" s="30">
        <v>2091.5676465684878</v>
      </c>
      <c r="Z17" s="30">
        <v>0</v>
      </c>
      <c r="AA17" s="30">
        <v>0</v>
      </c>
      <c r="AB17" s="30">
        <v>0</v>
      </c>
      <c r="AC17" s="30">
        <v>0</v>
      </c>
      <c r="AD17" s="30">
        <v>0</v>
      </c>
      <c r="AE17" s="30">
        <v>485.00540572993179</v>
      </c>
      <c r="AF17" s="30">
        <v>0</v>
      </c>
      <c r="AG17" s="30">
        <v>0</v>
      </c>
      <c r="AH17" s="30">
        <v>0</v>
      </c>
      <c r="AI17" s="30">
        <f t="shared" si="8"/>
        <v>0.76073525898628525</v>
      </c>
      <c r="AJ17" s="34">
        <f t="shared" si="1"/>
        <v>3094.9331994087524</v>
      </c>
      <c r="AM17" s="23"/>
      <c r="AO17" s="20" t="str">
        <f t="shared" si="2"/>
        <v>SUMATERA</v>
      </c>
      <c r="AP17" s="20">
        <f t="shared" si="2"/>
        <v>2032</v>
      </c>
      <c r="AQ17" s="30">
        <v>99999</v>
      </c>
      <c r="AR17" s="30">
        <v>99999</v>
      </c>
      <c r="AS17" s="30">
        <v>99999</v>
      </c>
      <c r="AT17" s="30">
        <v>99999</v>
      </c>
      <c r="AU17" s="30">
        <f t="shared" si="9"/>
        <v>9679</v>
      </c>
      <c r="AV17" s="30">
        <f t="shared" si="9"/>
        <v>15578.999999406742</v>
      </c>
      <c r="AW17" s="30">
        <f t="shared" si="9"/>
        <v>5442.4541518868955</v>
      </c>
      <c r="AX17" s="30">
        <f t="shared" si="9"/>
        <v>65543.68286890164</v>
      </c>
      <c r="AY17" s="30">
        <f t="shared" si="9"/>
        <v>627.5348988536233</v>
      </c>
      <c r="AZ17" s="30">
        <f t="shared" si="9"/>
        <v>15589</v>
      </c>
      <c r="BA17" s="30">
        <f t="shared" si="9"/>
        <v>6026.7719820610409</v>
      </c>
      <c r="BB17" s="30">
        <v>99999</v>
      </c>
      <c r="BC17" s="30">
        <v>99999</v>
      </c>
      <c r="BD17" s="30">
        <f t="shared" si="3"/>
        <v>118487.44390110995</v>
      </c>
      <c r="BF17" s="23"/>
      <c r="BG17" s="19"/>
      <c r="BH17" s="20" t="str">
        <f t="shared" si="10"/>
        <v>SUMATERA</v>
      </c>
      <c r="BI17" s="20">
        <f t="shared" si="10"/>
        <v>2032</v>
      </c>
      <c r="BJ17" s="25">
        <f t="shared" si="4"/>
        <v>0.1725947681115057</v>
      </c>
      <c r="BK17" s="43">
        <f t="shared" si="5"/>
        <v>3.1077953503150474E-4</v>
      </c>
      <c r="BL17" s="34">
        <f t="shared" si="11"/>
        <v>48111.465819523037</v>
      </c>
      <c r="BP17" s="23"/>
    </row>
    <row r="18" spans="1:84" x14ac:dyDescent="0.25">
      <c r="A18" s="19"/>
      <c r="B18" s="20" t="str">
        <f t="shared" si="12"/>
        <v>SUMATERA</v>
      </c>
      <c r="C18" s="20">
        <f t="shared" si="13"/>
        <v>2033</v>
      </c>
      <c r="D18" s="30">
        <f t="shared" si="14"/>
        <v>9623.613217803857</v>
      </c>
      <c r="E18" s="30">
        <f t="shared" si="15"/>
        <v>2042.5730615552216</v>
      </c>
      <c r="F18" s="30">
        <f t="shared" si="15"/>
        <v>18894.354313047334</v>
      </c>
      <c r="G18" s="30">
        <f t="shared" si="15"/>
        <v>3394.5468057118965</v>
      </c>
      <c r="H18" s="30">
        <f t="shared" si="15"/>
        <v>677</v>
      </c>
      <c r="I18" s="30">
        <f t="shared" si="15"/>
        <v>1959.9600005932571</v>
      </c>
      <c r="J18" s="30">
        <f t="shared" si="15"/>
        <v>361.80584811310467</v>
      </c>
      <c r="K18" s="30">
        <f t="shared" si="15"/>
        <v>3206.4471310983554</v>
      </c>
      <c r="L18" s="30">
        <f t="shared" si="15"/>
        <v>6849.5261609593481</v>
      </c>
      <c r="M18" s="30">
        <f t="shared" si="15"/>
        <v>36.599999999999994</v>
      </c>
      <c r="N18" s="30">
        <f t="shared" si="15"/>
        <v>0.22801793895929037</v>
      </c>
      <c r="O18" s="30">
        <f t="shared" si="15"/>
        <v>0</v>
      </c>
      <c r="P18" s="30">
        <f>BL18/((VLOOKUP(P$3,tech_data!$B$2:$G$15,6,FALSE)/100)*24*365)</f>
        <v>12.876411892705393</v>
      </c>
      <c r="Q18" s="30">
        <f t="shared" si="7"/>
        <v>47046.654556821333</v>
      </c>
      <c r="R18" s="30"/>
      <c r="S18" s="36"/>
      <c r="T18" s="19"/>
      <c r="U18" s="20" t="str">
        <f t="shared" si="0"/>
        <v>SUMATERA</v>
      </c>
      <c r="V18" s="20">
        <f t="shared" si="0"/>
        <v>2033</v>
      </c>
      <c r="W18" s="30">
        <v>493.06067411463215</v>
      </c>
      <c r="X18" s="30">
        <v>0</v>
      </c>
      <c r="Y18" s="30">
        <v>2483.0669604965497</v>
      </c>
      <c r="Z18" s="30">
        <v>0</v>
      </c>
      <c r="AA18" s="30">
        <v>0</v>
      </c>
      <c r="AB18" s="30">
        <v>0</v>
      </c>
      <c r="AC18" s="30">
        <v>0</v>
      </c>
      <c r="AD18" s="30">
        <v>0</v>
      </c>
      <c r="AE18" s="30">
        <v>80.061059812971735</v>
      </c>
      <c r="AF18" s="30">
        <v>0</v>
      </c>
      <c r="AG18" s="30">
        <v>0</v>
      </c>
      <c r="AH18" s="30">
        <v>0</v>
      </c>
      <c r="AI18" s="30">
        <f t="shared" si="8"/>
        <v>0.67157530733679138</v>
      </c>
      <c r="AJ18" s="34">
        <f t="shared" si="1"/>
        <v>3056.86026973149</v>
      </c>
      <c r="AM18" s="23"/>
      <c r="AO18" s="20" t="str">
        <f t="shared" si="2"/>
        <v>SUMATERA</v>
      </c>
      <c r="AP18" s="20">
        <f t="shared" si="2"/>
        <v>2033</v>
      </c>
      <c r="AQ18" s="30">
        <v>99999</v>
      </c>
      <c r="AR18" s="30">
        <v>99999</v>
      </c>
      <c r="AS18" s="30">
        <v>99999</v>
      </c>
      <c r="AT18" s="30">
        <v>99999</v>
      </c>
      <c r="AU18" s="30">
        <f t="shared" si="9"/>
        <v>9679</v>
      </c>
      <c r="AV18" s="30">
        <f t="shared" si="9"/>
        <v>15578.999999406742</v>
      </c>
      <c r="AW18" s="30">
        <f t="shared" si="9"/>
        <v>5442.4541518868955</v>
      </c>
      <c r="AX18" s="30">
        <f t="shared" si="9"/>
        <v>65543.68286890164</v>
      </c>
      <c r="AY18" s="30">
        <f t="shared" si="9"/>
        <v>547.47383904065157</v>
      </c>
      <c r="AZ18" s="30">
        <f t="shared" si="9"/>
        <v>15589</v>
      </c>
      <c r="BA18" s="30">
        <f t="shared" si="9"/>
        <v>6026.7719820610409</v>
      </c>
      <c r="BB18" s="30">
        <v>99999</v>
      </c>
      <c r="BC18" s="30">
        <v>99999</v>
      </c>
      <c r="BD18" s="30">
        <f t="shared" si="3"/>
        <v>118407.38284129697</v>
      </c>
      <c r="BF18" s="23"/>
      <c r="BG18" s="19"/>
      <c r="BH18" s="20" t="str">
        <f t="shared" si="10"/>
        <v>SUMATERA</v>
      </c>
      <c r="BI18" s="20">
        <f t="shared" si="10"/>
        <v>2033</v>
      </c>
      <c r="BJ18" s="25">
        <f t="shared" si="4"/>
        <v>0.16410530173907306</v>
      </c>
      <c r="BK18" s="43">
        <f t="shared" si="5"/>
        <v>3.0890599762517474E-4</v>
      </c>
      <c r="BL18" s="34">
        <f t="shared" si="11"/>
        <v>50758.815681044667</v>
      </c>
      <c r="BP18" s="23"/>
    </row>
    <row r="19" spans="1:84" x14ac:dyDescent="0.25">
      <c r="A19" s="19"/>
      <c r="B19" s="20" t="str">
        <f t="shared" si="12"/>
        <v>SUMATERA</v>
      </c>
      <c r="C19" s="20">
        <f t="shared" si="13"/>
        <v>2034</v>
      </c>
      <c r="D19" s="30">
        <f t="shared" si="14"/>
        <v>10773.87714872011</v>
      </c>
      <c r="E19" s="30">
        <f t="shared" si="15"/>
        <v>2042.5732746439073</v>
      </c>
      <c r="F19" s="30">
        <f t="shared" si="15"/>
        <v>18894.354920995782</v>
      </c>
      <c r="G19" s="30">
        <f t="shared" si="15"/>
        <v>3394.5478313464737</v>
      </c>
      <c r="H19" s="30">
        <f t="shared" si="15"/>
        <v>677</v>
      </c>
      <c r="I19" s="30">
        <f t="shared" si="15"/>
        <v>1959.9600005932571</v>
      </c>
      <c r="J19" s="30">
        <f t="shared" si="15"/>
        <v>1298.983104322014</v>
      </c>
      <c r="K19" s="30">
        <f t="shared" si="15"/>
        <v>3206.4471310983554</v>
      </c>
      <c r="L19" s="30">
        <f t="shared" si="15"/>
        <v>6849.5263374279048</v>
      </c>
      <c r="M19" s="30">
        <f t="shared" si="15"/>
        <v>36.599999999999994</v>
      </c>
      <c r="N19" s="30">
        <f t="shared" si="15"/>
        <v>0.22801793895929037</v>
      </c>
      <c r="O19" s="30">
        <f t="shared" si="15"/>
        <v>0</v>
      </c>
      <c r="P19" s="30">
        <f>BL19/((VLOOKUP(P$3,tech_data!$B$2:$G$15,6,FALSE)/100)*24*365)</f>
        <v>13.645990222808528</v>
      </c>
      <c r="Q19" s="30">
        <f t="shared" si="7"/>
        <v>49134.097767086758</v>
      </c>
      <c r="R19" s="30"/>
      <c r="S19" s="36"/>
      <c r="T19" s="19"/>
      <c r="U19" s="20" t="str">
        <f t="shared" si="0"/>
        <v>SUMATERA</v>
      </c>
      <c r="V19" s="20">
        <f t="shared" si="0"/>
        <v>2034</v>
      </c>
      <c r="W19" s="30">
        <v>1150.2639309162539</v>
      </c>
      <c r="X19" s="30">
        <v>2.1308868575940082E-4</v>
      </c>
      <c r="Y19" s="30">
        <v>6.0794844995122989E-4</v>
      </c>
      <c r="Z19" s="30">
        <v>1.0256345771992195E-3</v>
      </c>
      <c r="AA19" s="30">
        <v>0</v>
      </c>
      <c r="AB19" s="30">
        <v>0</v>
      </c>
      <c r="AC19" s="30">
        <v>937.17725620890928</v>
      </c>
      <c r="AD19" s="30">
        <v>0</v>
      </c>
      <c r="AE19" s="30">
        <v>1.7646855660944657E-4</v>
      </c>
      <c r="AF19" s="30">
        <v>0</v>
      </c>
      <c r="AG19" s="30">
        <v>0</v>
      </c>
      <c r="AH19" s="30">
        <v>0</v>
      </c>
      <c r="AI19" s="30">
        <f t="shared" si="8"/>
        <v>0.76957833010313514</v>
      </c>
      <c r="AJ19" s="34">
        <f t="shared" si="1"/>
        <v>2088.212788595536</v>
      </c>
      <c r="AM19" s="23"/>
      <c r="AO19" s="20" t="str">
        <f t="shared" si="2"/>
        <v>SUMATERA</v>
      </c>
      <c r="AP19" s="20">
        <f t="shared" si="2"/>
        <v>2034</v>
      </c>
      <c r="AQ19" s="30">
        <v>99999</v>
      </c>
      <c r="AR19" s="30">
        <v>99999</v>
      </c>
      <c r="AS19" s="30">
        <v>99999</v>
      </c>
      <c r="AT19" s="30">
        <v>99999</v>
      </c>
      <c r="AU19" s="30">
        <f t="shared" si="9"/>
        <v>9679</v>
      </c>
      <c r="AV19" s="30">
        <f t="shared" si="9"/>
        <v>15578.999999406742</v>
      </c>
      <c r="AW19" s="30">
        <f t="shared" si="9"/>
        <v>4505.2768956779864</v>
      </c>
      <c r="AX19" s="30">
        <f t="shared" si="9"/>
        <v>65543.68286890164</v>
      </c>
      <c r="AY19" s="30">
        <f t="shared" si="9"/>
        <v>547.47366257209501</v>
      </c>
      <c r="AZ19" s="30">
        <f t="shared" si="9"/>
        <v>15589</v>
      </c>
      <c r="BA19" s="30">
        <f t="shared" si="9"/>
        <v>6026.7719820610409</v>
      </c>
      <c r="BB19" s="30">
        <v>99999</v>
      </c>
      <c r="BC19" s="30">
        <v>99999</v>
      </c>
      <c r="BD19" s="30">
        <f t="shared" si="3"/>
        <v>117470.2054086195</v>
      </c>
      <c r="BF19" s="23"/>
      <c r="BG19" s="19"/>
      <c r="BH19" s="20" t="str">
        <f t="shared" si="10"/>
        <v>SUMATERA</v>
      </c>
      <c r="BI19" s="20">
        <f t="shared" si="10"/>
        <v>2034</v>
      </c>
      <c r="BJ19" s="25">
        <f t="shared" si="4"/>
        <v>0.15369922172500383</v>
      </c>
      <c r="BK19" s="43">
        <f t="shared" si="5"/>
        <v>3.0660948341517324E-4</v>
      </c>
      <c r="BL19" s="34">
        <f t="shared" si="11"/>
        <v>53792.493458311226</v>
      </c>
      <c r="BP19" s="23"/>
    </row>
    <row r="20" spans="1:84" x14ac:dyDescent="0.25">
      <c r="A20" s="19"/>
      <c r="B20" s="20" t="str">
        <f t="shared" si="12"/>
        <v>SUMATERA</v>
      </c>
      <c r="C20" s="20">
        <f t="shared" si="13"/>
        <v>2035</v>
      </c>
      <c r="D20" s="30">
        <f t="shared" si="14"/>
        <v>10773.87714872011</v>
      </c>
      <c r="E20" s="30">
        <f t="shared" si="15"/>
        <v>2042.5732746439073</v>
      </c>
      <c r="F20" s="30">
        <f t="shared" si="15"/>
        <v>19581.077606024952</v>
      </c>
      <c r="G20" s="30">
        <f t="shared" si="15"/>
        <v>5026.3504919343613</v>
      </c>
      <c r="H20" s="30">
        <f t="shared" si="15"/>
        <v>677</v>
      </c>
      <c r="I20" s="30">
        <f t="shared" si="15"/>
        <v>1959.9600005932571</v>
      </c>
      <c r="J20" s="30">
        <f t="shared" si="15"/>
        <v>1330.9264081905624</v>
      </c>
      <c r="K20" s="30">
        <f t="shared" si="15"/>
        <v>3206.4471310983554</v>
      </c>
      <c r="L20" s="30">
        <f t="shared" si="15"/>
        <v>7123.2631687139519</v>
      </c>
      <c r="M20" s="30">
        <f t="shared" si="15"/>
        <v>36.599999999999994</v>
      </c>
      <c r="N20" s="30">
        <f t="shared" si="15"/>
        <v>0.22801793895929037</v>
      </c>
      <c r="O20" s="30">
        <f t="shared" si="15"/>
        <v>0</v>
      </c>
      <c r="P20" s="30">
        <f>BL20/((VLOOKUP(P$3,tech_data!$B$2:$G$15,6,FALSE)/100)*24*365)</f>
        <v>14.460000915956551</v>
      </c>
      <c r="Q20" s="30">
        <f t="shared" si="7"/>
        <v>51758.303247858421</v>
      </c>
      <c r="R20" s="30"/>
      <c r="S20" s="36"/>
      <c r="T20" s="19"/>
      <c r="U20" s="20" t="str">
        <f t="shared" si="0"/>
        <v>SUMATERA</v>
      </c>
      <c r="V20" s="20">
        <f t="shared" si="0"/>
        <v>2035</v>
      </c>
      <c r="W20" s="30">
        <v>0</v>
      </c>
      <c r="X20" s="30">
        <v>0</v>
      </c>
      <c r="Y20" s="30">
        <v>686.72268502916927</v>
      </c>
      <c r="Z20" s="30">
        <v>1631.8026605878879</v>
      </c>
      <c r="AA20" s="30">
        <v>0</v>
      </c>
      <c r="AB20" s="30">
        <v>0</v>
      </c>
      <c r="AC20" s="30">
        <v>31.943303868548323</v>
      </c>
      <c r="AD20" s="30">
        <v>0</v>
      </c>
      <c r="AE20" s="30">
        <v>273.7368312860475</v>
      </c>
      <c r="AF20" s="30">
        <v>0</v>
      </c>
      <c r="AG20" s="30">
        <v>0</v>
      </c>
      <c r="AH20" s="30">
        <v>0</v>
      </c>
      <c r="AI20" s="30">
        <f t="shared" si="8"/>
        <v>0.81401069314802221</v>
      </c>
      <c r="AJ20" s="34">
        <f t="shared" si="1"/>
        <v>2625.0194914648014</v>
      </c>
      <c r="AM20" s="23"/>
      <c r="AO20" s="20" t="str">
        <f t="shared" si="2"/>
        <v>SUMATERA</v>
      </c>
      <c r="AP20" s="20">
        <f t="shared" si="2"/>
        <v>2035</v>
      </c>
      <c r="AQ20" s="30">
        <v>99999</v>
      </c>
      <c r="AR20" s="30">
        <v>99999</v>
      </c>
      <c r="AS20" s="30">
        <v>99999</v>
      </c>
      <c r="AT20" s="30">
        <v>99999</v>
      </c>
      <c r="AU20" s="30">
        <f t="shared" si="9"/>
        <v>9679</v>
      </c>
      <c r="AV20" s="30">
        <f t="shared" si="9"/>
        <v>15578.999999406742</v>
      </c>
      <c r="AW20" s="30">
        <f t="shared" si="9"/>
        <v>4473.3335918094381</v>
      </c>
      <c r="AX20" s="30">
        <f t="shared" si="9"/>
        <v>65543.68286890164</v>
      </c>
      <c r="AY20" s="30">
        <f t="shared" si="9"/>
        <v>273.7368312860475</v>
      </c>
      <c r="AZ20" s="30">
        <f t="shared" si="9"/>
        <v>15589</v>
      </c>
      <c r="BA20" s="30">
        <f t="shared" si="9"/>
        <v>6026.7719820610409</v>
      </c>
      <c r="BB20" s="30">
        <v>99999</v>
      </c>
      <c r="BC20" s="30">
        <v>99999</v>
      </c>
      <c r="BD20" s="30">
        <f t="shared" si="3"/>
        <v>117164.52527346491</v>
      </c>
      <c r="BF20" s="23"/>
      <c r="BG20" s="19"/>
      <c r="BH20" s="20" t="str">
        <f t="shared" si="10"/>
        <v>SUMATERA</v>
      </c>
      <c r="BI20" s="20">
        <f t="shared" si="10"/>
        <v>2035</v>
      </c>
      <c r="BJ20" s="25">
        <f t="shared" si="4"/>
        <v>0.14907790151334713</v>
      </c>
      <c r="BK20" s="43">
        <f t="shared" si="5"/>
        <v>3.0558960585122145E-4</v>
      </c>
      <c r="BL20" s="34">
        <f t="shared" si="11"/>
        <v>57001.323610700732</v>
      </c>
      <c r="BP20" s="23"/>
    </row>
    <row r="21" spans="1:84" x14ac:dyDescent="0.25">
      <c r="A21" s="19"/>
      <c r="B21" s="20" t="str">
        <f t="shared" si="12"/>
        <v>SUMATERA</v>
      </c>
      <c r="C21" s="20">
        <f t="shared" si="13"/>
        <v>2036</v>
      </c>
      <c r="D21" s="30">
        <f t="shared" si="14"/>
        <v>11409.293180916242</v>
      </c>
      <c r="E21" s="30">
        <f t="shared" si="14"/>
        <v>2042.5732746439073</v>
      </c>
      <c r="F21" s="30">
        <f t="shared" si="14"/>
        <v>19928.614671624211</v>
      </c>
      <c r="G21" s="30">
        <f t="shared" si="14"/>
        <v>5933.3678070458855</v>
      </c>
      <c r="H21" s="30">
        <f t="shared" si="14"/>
        <v>677</v>
      </c>
      <c r="I21" s="30">
        <f t="shared" si="14"/>
        <v>1959.9600005932571</v>
      </c>
      <c r="J21" s="30">
        <f t="shared" si="14"/>
        <v>1919.9445056837408</v>
      </c>
      <c r="K21" s="30">
        <f t="shared" si="14"/>
        <v>3206.4471310983554</v>
      </c>
      <c r="L21" s="30">
        <f t="shared" si="14"/>
        <v>7260.1315843569755</v>
      </c>
      <c r="M21" s="30">
        <f t="shared" si="14"/>
        <v>36.599999999999994</v>
      </c>
      <c r="N21" s="30">
        <f t="shared" si="14"/>
        <v>0.22801793895929037</v>
      </c>
      <c r="O21" s="30">
        <f t="shared" si="14"/>
        <v>0</v>
      </c>
      <c r="P21" s="30">
        <f>BL21/((VLOOKUP(P$3,tech_data!$B$2:$G$15,6,FALSE)/100)*24*365)</f>
        <v>15.347084594536417</v>
      </c>
      <c r="Q21" s="30">
        <f t="shared" si="7"/>
        <v>54374.160173901539</v>
      </c>
      <c r="R21" s="30"/>
      <c r="S21" s="36"/>
      <c r="T21" s="19"/>
      <c r="U21" s="20" t="str">
        <f t="shared" si="0"/>
        <v>SUMATERA</v>
      </c>
      <c r="V21" s="20">
        <f t="shared" si="0"/>
        <v>2036</v>
      </c>
      <c r="W21" s="30">
        <v>635.41603219613239</v>
      </c>
      <c r="X21" s="30">
        <v>0</v>
      </c>
      <c r="Y21" s="30">
        <v>347.5370655992599</v>
      </c>
      <c r="Z21" s="30">
        <v>907.017315111524</v>
      </c>
      <c r="AA21" s="30">
        <v>0</v>
      </c>
      <c r="AB21" s="30">
        <v>0</v>
      </c>
      <c r="AC21" s="30">
        <v>589.01809749317852</v>
      </c>
      <c r="AD21" s="30">
        <v>0</v>
      </c>
      <c r="AE21" s="30">
        <v>136.86841564302375</v>
      </c>
      <c r="AF21" s="30">
        <v>0</v>
      </c>
      <c r="AG21" s="30">
        <v>0</v>
      </c>
      <c r="AH21" s="30">
        <v>0</v>
      </c>
      <c r="AI21" s="30">
        <f t="shared" si="8"/>
        <v>0.88708367857986659</v>
      </c>
      <c r="AJ21" s="34">
        <f t="shared" si="1"/>
        <v>2616.7440097216986</v>
      </c>
      <c r="AM21" s="23"/>
      <c r="AO21" s="20" t="str">
        <f t="shared" si="2"/>
        <v>SUMATERA</v>
      </c>
      <c r="AP21" s="20">
        <f t="shared" si="2"/>
        <v>2036</v>
      </c>
      <c r="AQ21" s="30">
        <v>99999</v>
      </c>
      <c r="AR21" s="30">
        <v>99999</v>
      </c>
      <c r="AS21" s="30">
        <v>99999</v>
      </c>
      <c r="AT21" s="30">
        <v>99999</v>
      </c>
      <c r="AU21" s="30">
        <f t="shared" ref="AU21:BA23" si="16">AU20-AA21</f>
        <v>9679</v>
      </c>
      <c r="AV21" s="30">
        <f t="shared" si="16"/>
        <v>15578.999999406742</v>
      </c>
      <c r="AW21" s="30">
        <f t="shared" si="16"/>
        <v>3884.3154943162594</v>
      </c>
      <c r="AX21" s="30">
        <f t="shared" si="16"/>
        <v>65543.68286890164</v>
      </c>
      <c r="AY21" s="30">
        <f t="shared" si="16"/>
        <v>136.86841564302375</v>
      </c>
      <c r="AZ21" s="30">
        <f t="shared" si="16"/>
        <v>15589</v>
      </c>
      <c r="BA21" s="30">
        <f t="shared" si="16"/>
        <v>6026.7719820610409</v>
      </c>
      <c r="BB21" s="30">
        <v>99999</v>
      </c>
      <c r="BC21" s="30">
        <v>99999</v>
      </c>
      <c r="BD21" s="30">
        <f t="shared" si="3"/>
        <v>116438.6387603287</v>
      </c>
      <c r="BF21" s="23"/>
      <c r="BG21" s="19"/>
      <c r="BH21" s="20" t="str">
        <f t="shared" si="10"/>
        <v>SUMATERA</v>
      </c>
      <c r="BI21" s="20">
        <f t="shared" si="10"/>
        <v>2036</v>
      </c>
      <c r="BJ21" s="25">
        <f t="shared" si="4"/>
        <v>0.14184220099825143</v>
      </c>
      <c r="BK21" s="43">
        <f t="shared" si="5"/>
        <v>3.039927615996141E-4</v>
      </c>
      <c r="BL21" s="34">
        <f t="shared" si="11"/>
        <v>60498.207471662565</v>
      </c>
      <c r="BP21" s="23"/>
    </row>
    <row r="22" spans="1:84" x14ac:dyDescent="0.25">
      <c r="A22" s="19"/>
      <c r="B22" s="20" t="str">
        <f t="shared" si="12"/>
        <v>SUMATERA</v>
      </c>
      <c r="C22" s="20">
        <f t="shared" si="13"/>
        <v>2037</v>
      </c>
      <c r="D22" s="30">
        <f t="shared" ref="D22:O23" si="17">D21+W22</f>
        <v>12058.826013609541</v>
      </c>
      <c r="E22" s="30">
        <f t="shared" si="17"/>
        <v>2042.5732746439073</v>
      </c>
      <c r="F22" s="30">
        <f t="shared" si="17"/>
        <v>21470.606984298374</v>
      </c>
      <c r="G22" s="30">
        <f t="shared" si="17"/>
        <v>6203.5219225193187</v>
      </c>
      <c r="H22" s="30">
        <f t="shared" si="17"/>
        <v>677</v>
      </c>
      <c r="I22" s="30">
        <f t="shared" si="17"/>
        <v>1959.9600005932571</v>
      </c>
      <c r="J22" s="30">
        <f t="shared" si="17"/>
        <v>2452.7867580373454</v>
      </c>
      <c r="K22" s="30">
        <f t="shared" si="17"/>
        <v>3599.1684564278694</v>
      </c>
      <c r="L22" s="30">
        <f t="shared" si="17"/>
        <v>7328.5657921784878</v>
      </c>
      <c r="M22" s="30">
        <f t="shared" si="17"/>
        <v>36.599999999999994</v>
      </c>
      <c r="N22" s="30">
        <f t="shared" si="17"/>
        <v>0.22801793895929037</v>
      </c>
      <c r="O22" s="30">
        <f t="shared" si="17"/>
        <v>0</v>
      </c>
      <c r="P22" s="30">
        <f>BL22/((VLOOKUP(P$3,tech_data!$B$2:$G$15,6,FALSE)/100)*24*365)</f>
        <v>16.288494941263586</v>
      </c>
      <c r="Q22" s="30">
        <f t="shared" si="7"/>
        <v>57829.837220247056</v>
      </c>
      <c r="R22" s="30"/>
      <c r="S22" s="36"/>
      <c r="T22" s="19"/>
      <c r="U22" s="20" t="str">
        <f t="shared" si="0"/>
        <v>SUMATERA</v>
      </c>
      <c r="V22" s="20">
        <f t="shared" si="0"/>
        <v>2037</v>
      </c>
      <c r="W22" s="30">
        <v>649.53283269329881</v>
      </c>
      <c r="X22" s="30">
        <v>0</v>
      </c>
      <c r="Y22" s="30">
        <v>1541.9923126741619</v>
      </c>
      <c r="Z22" s="30">
        <v>270.15411547343302</v>
      </c>
      <c r="AA22" s="30">
        <v>0</v>
      </c>
      <c r="AB22" s="30">
        <v>0</v>
      </c>
      <c r="AC22" s="30">
        <v>532.84225235360475</v>
      </c>
      <c r="AD22" s="30">
        <v>392.72132532951423</v>
      </c>
      <c r="AE22" s="30">
        <v>68.43420782151189</v>
      </c>
      <c r="AF22" s="30">
        <v>0</v>
      </c>
      <c r="AG22" s="30">
        <v>0</v>
      </c>
      <c r="AH22" s="30">
        <v>0</v>
      </c>
      <c r="AI22" s="30">
        <f t="shared" si="8"/>
        <v>0.94141034672716906</v>
      </c>
      <c r="AJ22" s="34">
        <f t="shared" si="1"/>
        <v>3456.6184566922516</v>
      </c>
      <c r="AM22" s="23"/>
      <c r="AO22" s="20" t="str">
        <f t="shared" si="2"/>
        <v>SUMATERA</v>
      </c>
      <c r="AP22" s="20">
        <f t="shared" si="2"/>
        <v>2037</v>
      </c>
      <c r="AQ22" s="30">
        <v>99999</v>
      </c>
      <c r="AR22" s="30">
        <v>99999</v>
      </c>
      <c r="AS22" s="30">
        <v>99999</v>
      </c>
      <c r="AT22" s="30">
        <v>99999</v>
      </c>
      <c r="AU22" s="30">
        <f t="shared" si="16"/>
        <v>9679</v>
      </c>
      <c r="AV22" s="30">
        <f t="shared" si="16"/>
        <v>15578.999999406742</v>
      </c>
      <c r="AW22" s="30">
        <f t="shared" si="16"/>
        <v>3351.4732419626548</v>
      </c>
      <c r="AX22" s="30">
        <f t="shared" si="16"/>
        <v>65150.961543572128</v>
      </c>
      <c r="AY22" s="30">
        <f t="shared" si="16"/>
        <v>68.434207821511862</v>
      </c>
      <c r="AZ22" s="30">
        <f t="shared" si="16"/>
        <v>15589</v>
      </c>
      <c r="BA22" s="30">
        <f t="shared" si="16"/>
        <v>6026.7719820610409</v>
      </c>
      <c r="BB22" s="30">
        <v>99999</v>
      </c>
      <c r="BC22" s="30">
        <v>99999</v>
      </c>
      <c r="BD22" s="30">
        <f t="shared" si="3"/>
        <v>115444.64097482407</v>
      </c>
      <c r="BF22" s="23"/>
      <c r="BG22" s="19"/>
      <c r="BH22" s="20" t="str">
        <f t="shared" si="10"/>
        <v>SUMATERA</v>
      </c>
      <c r="BI22" s="20">
        <f t="shared" si="10"/>
        <v>2037</v>
      </c>
      <c r="BJ22" s="25">
        <f t="shared" si="4"/>
        <v>0.13763994384621955</v>
      </c>
      <c r="BK22" s="43">
        <f t="shared" si="5"/>
        <v>3.030653669177864E-4</v>
      </c>
      <c r="BL22" s="34">
        <f t="shared" si="11"/>
        <v>64209.247058461071</v>
      </c>
      <c r="BP22" s="23"/>
    </row>
    <row r="23" spans="1:84" x14ac:dyDescent="0.25">
      <c r="A23" s="19"/>
      <c r="B23" s="20" t="str">
        <f t="shared" si="12"/>
        <v>SUMATERA</v>
      </c>
      <c r="C23" s="20">
        <f t="shared" si="13"/>
        <v>2038</v>
      </c>
      <c r="D23" s="30">
        <f t="shared" si="17"/>
        <v>12812.517101106094</v>
      </c>
      <c r="E23" s="30">
        <f t="shared" si="17"/>
        <v>2042.5732746439073</v>
      </c>
      <c r="F23" s="30">
        <f t="shared" si="17"/>
        <v>23203.371969356849</v>
      </c>
      <c r="G23" s="30">
        <f t="shared" si="17"/>
        <v>6506.5735603659641</v>
      </c>
      <c r="H23" s="30">
        <f t="shared" si="17"/>
        <v>677.00000000023249</v>
      </c>
      <c r="I23" s="30">
        <f t="shared" si="17"/>
        <v>1959.9600005938621</v>
      </c>
      <c r="J23" s="30">
        <f t="shared" si="17"/>
        <v>2452.7867580381608</v>
      </c>
      <c r="K23" s="30">
        <f t="shared" si="17"/>
        <v>6273.8898911028336</v>
      </c>
      <c r="L23" s="30">
        <f t="shared" si="17"/>
        <v>7328.5657921784878</v>
      </c>
      <c r="M23" s="30">
        <f t="shared" si="17"/>
        <v>36.599999999999994</v>
      </c>
      <c r="N23" s="30">
        <f t="shared" si="17"/>
        <v>0.22801793895929037</v>
      </c>
      <c r="O23" s="30">
        <f t="shared" si="17"/>
        <v>9.444722444628652E-7</v>
      </c>
      <c r="P23" s="30">
        <f>BL23/((VLOOKUP(P$3,tech_data!$B$2:$G$15,6,FALSE)/100)*24*365)</f>
        <v>17.593637333535174</v>
      </c>
      <c r="Q23" s="30">
        <f t="shared" si="7"/>
        <v>63294.066366269813</v>
      </c>
      <c r="R23" s="30"/>
      <c r="S23" s="36"/>
      <c r="T23" s="19"/>
      <c r="U23" s="20" t="str">
        <f t="shared" si="0"/>
        <v>SUMATERA</v>
      </c>
      <c r="V23" s="20">
        <f t="shared" si="0"/>
        <v>2038</v>
      </c>
      <c r="W23" s="30">
        <v>753.69108749655231</v>
      </c>
      <c r="X23" s="30">
        <v>0</v>
      </c>
      <c r="Y23" s="30">
        <v>1732.7649850584755</v>
      </c>
      <c r="Z23" s="30">
        <v>303.05163784664546</v>
      </c>
      <c r="AA23" s="30">
        <v>2.3251617644275866E-10</v>
      </c>
      <c r="AB23" s="30">
        <v>6.0507153088632925E-10</v>
      </c>
      <c r="AC23" s="30">
        <v>8.1541837521147117E-10</v>
      </c>
      <c r="AD23" s="30">
        <v>2674.7214346749643</v>
      </c>
      <c r="AE23" s="30">
        <v>0</v>
      </c>
      <c r="AF23" s="30">
        <v>0</v>
      </c>
      <c r="AG23" s="30">
        <v>0</v>
      </c>
      <c r="AH23" s="30">
        <v>9.444722444628652E-7</v>
      </c>
      <c r="AI23" s="30">
        <f t="shared" si="8"/>
        <v>1.3051423922715877</v>
      </c>
      <c r="AJ23" s="34">
        <f t="shared" si="1"/>
        <v>5465.5342884150341</v>
      </c>
      <c r="AM23" s="23"/>
      <c r="AO23" s="20" t="str">
        <f t="shared" si="2"/>
        <v>SUMATERA</v>
      </c>
      <c r="AP23" s="20">
        <f t="shared" si="2"/>
        <v>2038</v>
      </c>
      <c r="AQ23" s="30">
        <v>99999</v>
      </c>
      <c r="AR23" s="30">
        <v>99999</v>
      </c>
      <c r="AS23" s="30">
        <v>99999</v>
      </c>
      <c r="AT23" s="30">
        <v>99999</v>
      </c>
      <c r="AU23" s="30">
        <f t="shared" si="16"/>
        <v>9678.9999999997672</v>
      </c>
      <c r="AV23" s="30">
        <f t="shared" si="16"/>
        <v>15578.999999406136</v>
      </c>
      <c r="AW23" s="30">
        <f t="shared" si="16"/>
        <v>3351.4732419618394</v>
      </c>
      <c r="AX23" s="30">
        <f t="shared" si="16"/>
        <v>62476.240108897167</v>
      </c>
      <c r="AY23" s="30">
        <f t="shared" si="16"/>
        <v>68.434207821511862</v>
      </c>
      <c r="AZ23" s="30">
        <f t="shared" si="16"/>
        <v>15589</v>
      </c>
      <c r="BA23" s="30">
        <f t="shared" si="16"/>
        <v>6026.7719820610409</v>
      </c>
      <c r="BB23" s="30">
        <v>99999</v>
      </c>
      <c r="BC23" s="30">
        <v>99999</v>
      </c>
      <c r="BD23" s="30">
        <f t="shared" si="3"/>
        <v>112769.91954014746</v>
      </c>
      <c r="BF23" s="23"/>
      <c r="BG23" s="19"/>
      <c r="BH23" s="20" t="str">
        <f t="shared" si="10"/>
        <v>SUMATERA</v>
      </c>
      <c r="BI23" s="20">
        <f t="shared" si="10"/>
        <v>2038</v>
      </c>
      <c r="BJ23" s="25">
        <f>SUM(K47:L47,N47)/Q47</f>
        <v>0.15030426148058804</v>
      </c>
      <c r="BK23" s="43">
        <f t="shared" si="5"/>
        <v>3.058602508095091E-4</v>
      </c>
      <c r="BL23" s="34">
        <f t="shared" si="11"/>
        <v>69354.118368795665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SUMATERA</v>
      </c>
      <c r="C28" s="20">
        <f>C4</f>
        <v>2019</v>
      </c>
      <c r="D28" s="30">
        <f>(D4*(VLOOKUP(D$27,tech_data!$B$2:$O$15,6, FALSE)/100)*(1-(VLOOKUP(D$27,tech_data!$B$2:$O$15,7, FALSE)/100))*8760)/1000</f>
        <v>25836.883829066668</v>
      </c>
      <c r="E28" s="30">
        <f>(E4*(VLOOKUP(E$27,tech_data!$B$2:$O$15,6, FALSE)/100)*(1-(VLOOKUP(E$27,tech_data!$B$2:$O$15,7, FALSE)/100))*8760)/1000</f>
        <v>3747.7903350461529</v>
      </c>
      <c r="F28" s="30">
        <f>(F4*(VLOOKUP(F$27,tech_data!$B$2:$O$15,6, FALSE)/100)*(1-(VLOOKUP(F$27,tech_data!$B$2:$O$15,7, FALSE)/100))*8760)/1000</f>
        <v>3568.4796713538462</v>
      </c>
      <c r="G28" s="30">
        <f>(G4*(VLOOKUP(G$27,tech_data!$B$2:$O$15,6, FALSE)/100)*(1-(VLOOKUP(G$27,tech_data!$B$2:$O$15,7, FALSE)/100))*8760)/1000</f>
        <v>12465.922689969231</v>
      </c>
      <c r="H28" s="30">
        <f>(H4*(VLOOKUP(H$27,tech_data!$B$2:$O$15,6, FALSE)/100)*(1-(VLOOKUP(H$27,tech_data!$B$2:$O$15,7, FALSE)/100))*8760)/1000</f>
        <v>4393.1467384615389</v>
      </c>
      <c r="I28" s="30">
        <f>(I4*(VLOOKUP(I$27,tech_data!$B$2:$O$15,6, FALSE)/100)*(1-(VLOOKUP(I$27,tech_data!$B$2:$O$15,7, FALSE)/100))*8760)/1000</f>
        <v>8700.8474126769233</v>
      </c>
      <c r="J28" s="30">
        <f>(J4*(VLOOKUP(J$27,tech_data!$B$2:$O$15,6, FALSE)/100)*(1-(VLOOKUP(J$27,tech_data!$B$2:$O$15,7, FALSE)/100))*8760)/1000</f>
        <v>415.87347987692317</v>
      </c>
      <c r="K28" s="30">
        <f>(K4*(VLOOKUP(K$27,tech_data!$B$2:$O$15,6, FALSE)/100)*(1-(VLOOKUP(K$27,tech_data!$B$2:$O$15,7, FALSE)/100))*8760)/1000</f>
        <v>2.078748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91.412554153846145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8">SUM(D28:O28)</f>
        <v>59222.435458605127</v>
      </c>
      <c r="R28" s="34">
        <f>proj_rukn!D22</f>
        <v>51583</v>
      </c>
      <c r="S28" s="35"/>
      <c r="T28" s="19"/>
      <c r="U28" s="20" t="str">
        <f t="shared" ref="U28:V47" si="19">B28</f>
        <v>SUMATERA</v>
      </c>
      <c r="V28" s="20">
        <f t="shared" si="19"/>
        <v>2019</v>
      </c>
      <c r="W28" s="29">
        <f t="shared" ref="W28:AI47" si="20">D28/$Q28</f>
        <v>0.43626851258297117</v>
      </c>
      <c r="X28" s="29">
        <f t="shared" si="20"/>
        <v>6.3283286241508196E-2</v>
      </c>
      <c r="Y28" s="29">
        <f t="shared" si="20"/>
        <v>6.0255537343581834E-2</v>
      </c>
      <c r="Z28" s="29">
        <f t="shared" si="20"/>
        <v>0.21049324624081989</v>
      </c>
      <c r="AA28" s="29">
        <f t="shared" si="20"/>
        <v>7.4180447062705296E-2</v>
      </c>
      <c r="AB28" s="29">
        <f t="shared" si="20"/>
        <v>0.14691809523366495</v>
      </c>
      <c r="AC28" s="29">
        <f t="shared" si="20"/>
        <v>7.0222285972620533E-3</v>
      </c>
      <c r="AD28" s="29">
        <f t="shared" si="20"/>
        <v>3.510068412253982E-5</v>
      </c>
      <c r="AE28" s="29">
        <f t="shared" si="20"/>
        <v>0</v>
      </c>
      <c r="AF28" s="29">
        <f t="shared" si="20"/>
        <v>1.5435460133641588E-3</v>
      </c>
      <c r="AG28" s="29">
        <f t="shared" si="20"/>
        <v>0</v>
      </c>
      <c r="AH28" s="29">
        <f t="shared" si="20"/>
        <v>0</v>
      </c>
      <c r="AI28" s="29">
        <f t="shared" si="20"/>
        <v>0</v>
      </c>
      <c r="AJ28" s="29">
        <f t="shared" ref="AJ28:AJ47" si="21">SUM(W28:AH28)</f>
        <v>1.0000000000000002</v>
      </c>
      <c r="AM28" s="23"/>
      <c r="AO28" s="20" t="str">
        <f>B28</f>
        <v>SUMATERA</v>
      </c>
      <c r="AP28" s="20">
        <f>C28</f>
        <v>2019</v>
      </c>
      <c r="AQ28" s="25">
        <f t="shared" ref="AQ28:AQ47" si="22">D28/Q28</f>
        <v>0.43626851258297117</v>
      </c>
      <c r="AR28" s="25">
        <f t="shared" ref="AR28:AR47" si="23">SUM(E28:F28)/Q28</f>
        <v>0.12353882358509002</v>
      </c>
      <c r="AS28" s="25">
        <f t="shared" ref="AS28:AS47" si="24">G28/Q28</f>
        <v>0.21049324624081989</v>
      </c>
      <c r="AT28" s="37">
        <f t="shared" ref="AT28:AT47" si="25">SUM(H28:N28)/Q28</f>
        <v>0.229699417591119</v>
      </c>
      <c r="AU28" s="24">
        <f>SUM(AQ28:AT28)</f>
        <v>1</v>
      </c>
      <c r="AW28" s="24">
        <f>$BD$29+((AP28-$BC$29)*($BD$30-$BD$29)/($BC$30-$BC$29))</f>
        <v>0.43626851258297117</v>
      </c>
      <c r="AX28" s="24">
        <f t="shared" ref="AX28:AX47" si="26">$BE$29+((AP28-$BC$29)*($BE$30-$BE$29)/($BC$30-$BC$29))</f>
        <v>0.19239999999999999</v>
      </c>
      <c r="AY28" s="24">
        <f>BF29</f>
        <v>0.21049324624081989</v>
      </c>
      <c r="AZ28" s="25">
        <f>$BG$29+((AP28-$BC$29)*($BG$30-$BG$29)/($BC$30-$BC$29))</f>
        <v>0.1166</v>
      </c>
      <c r="BA28" s="24">
        <f>SUM(AW28:AZ28)</f>
        <v>0.95576175882379111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SUMATERA</v>
      </c>
      <c r="BL28" s="20">
        <f>C4</f>
        <v>2019</v>
      </c>
      <c r="BM28" s="34">
        <f>VLOOKUP(BL28,proj_rukn!$B$22:$E$41,4,FALSE)</f>
        <v>7006</v>
      </c>
      <c r="BN28" s="30">
        <f t="shared" ref="BN28:BN47" si="27">(1+$CD$28)*BM28*$CD$29</f>
        <v>8056.9</v>
      </c>
      <c r="BO28" s="30">
        <f>SUM(D4:I4,M4,O4:P4)</f>
        <v>13039.38</v>
      </c>
      <c r="BQ28" s="30">
        <f t="shared" ref="BQ28:BQ47" si="28">BN28*$CD$30</f>
        <v>3222.76</v>
      </c>
      <c r="BR28" s="30">
        <f>SUM(D4,F4,H4,M4)</f>
        <v>7331.1600000000008</v>
      </c>
      <c r="BS28" s="30"/>
      <c r="BT28" s="30">
        <f t="shared" ref="BT28:BT47" si="29">BN28*$CD$31</f>
        <v>1611.38</v>
      </c>
      <c r="BU28" s="30">
        <f>SUM(E4,G4,P4,I4)</f>
        <v>5708.2199999999993</v>
      </c>
      <c r="BW28" s="30">
        <f t="shared" ref="BW28:BW47" si="30">$CD$32*SUM(H4:O4)</f>
        <v>1.3724750000000001</v>
      </c>
      <c r="BX28" s="30">
        <f>N4</f>
        <v>0</v>
      </c>
      <c r="BY28" s="30"/>
      <c r="BZ28" s="24">
        <v>8.0000000000000004E-4</v>
      </c>
      <c r="CA28" s="24">
        <f t="shared" ref="CA28:CA47" si="31">K28/SUM(H28:O28)</f>
        <v>1.5281137623527407E-4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29" si="32">B5</f>
        <v>SUMATERA</v>
      </c>
      <c r="C29" s="20">
        <f t="shared" si="32"/>
        <v>2020</v>
      </c>
      <c r="D29" s="30">
        <f>(D5*(VLOOKUP(D$27,tech_data!$B$2:$O$15,6, FALSE)/100)*(1-(VLOOKUP(D$27,tech_data!$B$2:$O$15,7, FALSE)/100))*8760)/1000</f>
        <v>26779.406073097936</v>
      </c>
      <c r="E29" s="30">
        <f>(E5*(VLOOKUP(E$27,tech_data!$B$2:$O$15,6, FALSE)/100)*(1-(VLOOKUP(E$27,tech_data!$B$2:$O$15,7, FALSE)/100))*8760)/1000</f>
        <v>3747.7903350461529</v>
      </c>
      <c r="F29" s="30">
        <f>(F5*(VLOOKUP(F$27,tech_data!$B$2:$O$15,6, FALSE)/100)*(1-(VLOOKUP(F$27,tech_data!$B$2:$O$15,7, FALSE)/100))*8760)/1000</f>
        <v>7431.5079530407193</v>
      </c>
      <c r="G29" s="30">
        <f>(G5*(VLOOKUP(G$27,tech_data!$B$2:$O$15,6, FALSE)/100)*(1-(VLOOKUP(G$27,tech_data!$B$2:$O$15,7, FALSE)/100))*8760)/1000</f>
        <v>12465.922689969231</v>
      </c>
      <c r="H29" s="30">
        <f>(H5*(VLOOKUP(H$27,tech_data!$B$2:$O$15,6, FALSE)/100)*(1-(VLOOKUP(H$27,tech_data!$B$2:$O$15,7, FALSE)/100))*8760)/1000</f>
        <v>4393.1467384615389</v>
      </c>
      <c r="I29" s="30">
        <f>(I5*(VLOOKUP(I$27,tech_data!$B$2:$O$15,6, FALSE)/100)*(1-(VLOOKUP(I$27,tech_data!$B$2:$O$15,7, FALSE)/100))*8760)/1000</f>
        <v>8700.8474126769233</v>
      </c>
      <c r="J29" s="30">
        <f>(J5*(VLOOKUP(J$27,tech_data!$B$2:$O$15,6, FALSE)/100)*(1-(VLOOKUP(J$27,tech_data!$B$2:$O$15,7, FALSE)/100))*8760)/1000</f>
        <v>415.87347987692317</v>
      </c>
      <c r="K29" s="30">
        <f>(K5*(VLOOKUP(K$27,tech_data!$B$2:$O$15,6, FALSE)/100)*(1-(VLOOKUP(K$27,tech_data!$B$2:$O$15,7, FALSE)/100))*8760)/1000</f>
        <v>727.923549740721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91.412554153846145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16.077629744454352</v>
      </c>
      <c r="Q29" s="34">
        <f t="shared" si="18"/>
        <v>64753.830786063983</v>
      </c>
      <c r="R29" s="34">
        <f>proj_rukn!D23</f>
        <v>57071</v>
      </c>
      <c r="S29" s="35"/>
      <c r="T29" s="19"/>
      <c r="U29" s="20" t="str">
        <f t="shared" si="19"/>
        <v>SUMATERA</v>
      </c>
      <c r="V29" s="20">
        <f t="shared" si="19"/>
        <v>2020</v>
      </c>
      <c r="W29" s="29">
        <f t="shared" si="20"/>
        <v>0.41355709381229805</v>
      </c>
      <c r="X29" s="29">
        <f t="shared" si="20"/>
        <v>5.7877507624656779E-2</v>
      </c>
      <c r="Y29" s="29">
        <f t="shared" si="20"/>
        <v>0.11476553375804438</v>
      </c>
      <c r="Z29" s="29">
        <f t="shared" si="20"/>
        <v>0.19251251298405173</v>
      </c>
      <c r="AA29" s="29">
        <f t="shared" si="20"/>
        <v>6.7843812252216765E-2</v>
      </c>
      <c r="AB29" s="29">
        <f t="shared" si="20"/>
        <v>0.13436807223688577</v>
      </c>
      <c r="AC29" s="29">
        <f t="shared" si="20"/>
        <v>6.4223764807197405E-3</v>
      </c>
      <c r="AD29" s="29">
        <f t="shared" si="20"/>
        <v>1.1241397472616883E-2</v>
      </c>
      <c r="AE29" s="29">
        <f t="shared" si="20"/>
        <v>0</v>
      </c>
      <c r="AF29" s="29">
        <f t="shared" si="20"/>
        <v>1.4116933785100407E-3</v>
      </c>
      <c r="AG29" s="29">
        <f t="shared" si="20"/>
        <v>0</v>
      </c>
      <c r="AH29" s="29">
        <f t="shared" si="20"/>
        <v>0</v>
      </c>
      <c r="AI29" s="29">
        <f t="shared" si="20"/>
        <v>2.4828847265534297E-4</v>
      </c>
      <c r="AJ29" s="29">
        <f t="shared" si="21"/>
        <v>1.0000000000000002</v>
      </c>
      <c r="AM29" s="23"/>
      <c r="AO29" s="20" t="str">
        <f>AO28</f>
        <v>SUMATERA</v>
      </c>
      <c r="AP29" s="20">
        <f>AP28+1</f>
        <v>2020</v>
      </c>
      <c r="AQ29" s="25">
        <f t="shared" si="22"/>
        <v>0.41355709381229805</v>
      </c>
      <c r="AR29" s="25">
        <f t="shared" si="23"/>
        <v>0.17264304138270117</v>
      </c>
      <c r="AS29" s="25">
        <f t="shared" si="24"/>
        <v>0.19251251298405173</v>
      </c>
      <c r="AT29" s="37">
        <f t="shared" si="25"/>
        <v>0.22128735182094922</v>
      </c>
      <c r="AU29" s="24">
        <f t="shared" ref="AU29:AU47" si="33">SUM(AQ29:AT29)</f>
        <v>1.0000000000000002</v>
      </c>
      <c r="AW29" s="24">
        <f>$BD$29+((AP29-$BC$29)*($BD$30-$BD$29)/($BC$30-$BC$29))</f>
        <v>0.41355709381914263</v>
      </c>
      <c r="AX29" s="24">
        <f t="shared" si="26"/>
        <v>0.19699999999999998</v>
      </c>
      <c r="AY29" s="24">
        <f>AY28*0.98</f>
        <v>0.20628338131600349</v>
      </c>
      <c r="AZ29" s="25">
        <f t="shared" ref="AZ29:AZ34" si="34">$BG$29+((AP29-$BC$29)*($BG$30-$BG$29)/($BC$30-$BC$29))</f>
        <v>0.13550000000000001</v>
      </c>
      <c r="BA29" s="24">
        <f t="shared" ref="BA29:BA47" si="35">SUM(AW29:AZ29)</f>
        <v>0.95234047513514608</v>
      </c>
      <c r="BC29" s="20">
        <v>2019</v>
      </c>
      <c r="BD29" s="25">
        <f>AQ28</f>
        <v>0.43626851258297117</v>
      </c>
      <c r="BE29" s="25">
        <v>0.19239999999999999</v>
      </c>
      <c r="BF29" s="25">
        <f>AS28</f>
        <v>0.21049324624081989</v>
      </c>
      <c r="BG29" s="25">
        <v>0.1166</v>
      </c>
      <c r="BH29" s="24">
        <f>SUM(BD29:BG29)</f>
        <v>0.95576175882379111</v>
      </c>
      <c r="BJ29" s="19"/>
      <c r="BK29" s="20" t="str">
        <f>BK28</f>
        <v>SUMATERA</v>
      </c>
      <c r="BL29" s="20">
        <f>BL28+1</f>
        <v>2020</v>
      </c>
      <c r="BM29" s="34">
        <f>VLOOKUP(BL29,proj_rukn!$B$22:$E$41,4,FALSE)</f>
        <v>7563</v>
      </c>
      <c r="BN29" s="30">
        <f t="shared" si="27"/>
        <v>8697.4499999999989</v>
      </c>
      <c r="BO29" s="30">
        <f t="shared" ref="BO29:BO47" si="36">SUM(D5:I5,M5,O5:P5)</f>
        <v>14634.130637615497</v>
      </c>
      <c r="BQ29" s="30">
        <f t="shared" si="28"/>
        <v>3478.9799999999996</v>
      </c>
      <c r="BR29" s="30">
        <f t="shared" ref="BR29:BR47" si="37">SUM(D5,F5,H5,M5)</f>
        <v>8921.3905095116606</v>
      </c>
      <c r="BS29" s="30"/>
      <c r="BT29" s="30">
        <f t="shared" si="29"/>
        <v>1739.4899999999998</v>
      </c>
      <c r="BU29" s="30">
        <f t="shared" ref="BU29:BU47" si="38">SUM(E5,G5,P5,I5)</f>
        <v>5712.7401281038383</v>
      </c>
      <c r="BW29" s="30">
        <f t="shared" si="30"/>
        <v>1.5697583229345295</v>
      </c>
      <c r="BX29" s="30">
        <f t="shared" ref="BX29:BX47" si="39">N5</f>
        <v>0</v>
      </c>
      <c r="BZ29" s="24">
        <f>BZ28+$CD$34</f>
        <v>5.0800000000000005E-2</v>
      </c>
      <c r="CA29" s="24">
        <f t="shared" si="31"/>
        <v>5.0800000000509125E-2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ref="B30:C30" si="40">B6</f>
        <v>SUMATERA</v>
      </c>
      <c r="C30" s="20">
        <f t="shared" si="40"/>
        <v>2021</v>
      </c>
      <c r="D30" s="30">
        <f>(D6*(VLOOKUP(D$27,tech_data!$B$2:$O$15,6, FALSE)/100)*(1-(VLOOKUP(D$27,tech_data!$B$2:$O$15,7, FALSE)/100))*8760)/1000</f>
        <v>26779.406073097936</v>
      </c>
      <c r="E30" s="30">
        <f>(E6*(VLOOKUP(E$27,tech_data!$B$2:$O$15,6, FALSE)/100)*(1-(VLOOKUP(E$27,tech_data!$B$2:$O$15,7, FALSE)/100))*8760)/1000</f>
        <v>6106.034600560175</v>
      </c>
      <c r="F30" s="30">
        <f>(F6*(VLOOKUP(F$27,tech_data!$B$2:$O$15,6, FALSE)/100)*(1-(VLOOKUP(F$27,tech_data!$B$2:$O$15,7, FALSE)/100))*8760)/1000</f>
        <v>7431.5079530407193</v>
      </c>
      <c r="G30" s="30">
        <f>(G6*(VLOOKUP(G$27,tech_data!$B$2:$O$15,6, FALSE)/100)*(1-(VLOOKUP(G$27,tech_data!$B$2:$O$15,7, FALSE)/100))*8760)/1000</f>
        <v>12465.922689969231</v>
      </c>
      <c r="H30" s="30">
        <f>(H6*(VLOOKUP(H$27,tech_data!$B$2:$O$15,6, FALSE)/100)*(1-(VLOOKUP(H$27,tech_data!$B$2:$O$15,7, FALSE)/100))*8760)/1000</f>
        <v>4393.1467384615389</v>
      </c>
      <c r="I30" s="30">
        <f>(I6*(VLOOKUP(I$27,tech_data!$B$2:$O$15,6, FALSE)/100)*(1-(VLOOKUP(I$27,tech_data!$B$2:$O$15,7, FALSE)/100))*8760)/1000</f>
        <v>8700.8474126769233</v>
      </c>
      <c r="J30" s="30">
        <f>(J6*(VLOOKUP(J$27,tech_data!$B$2:$O$15,6, FALSE)/100)*(1-(VLOOKUP(J$27,tech_data!$B$2:$O$15,7, FALSE)/100))*8760)/1000</f>
        <v>415.87347987692317</v>
      </c>
      <c r="K30" s="30">
        <f>(K6*(VLOOKUP(K$27,tech_data!$B$2:$O$15,6, FALSE)/100)*(1-(VLOOKUP(K$27,tech_data!$B$2:$O$15,7, FALSE)/100))*8760)/1000</f>
        <v>766.37002611489493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91.412554153846145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16.674991283743836</v>
      </c>
      <c r="Q30" s="34">
        <f t="shared" si="18"/>
        <v>67150.521527952194</v>
      </c>
      <c r="R30" s="34">
        <f>proj_rukn!D24</f>
        <v>62727</v>
      </c>
      <c r="S30" s="35"/>
      <c r="T30" s="19"/>
      <c r="U30" s="20" t="str">
        <f t="shared" si="19"/>
        <v>SUMATERA</v>
      </c>
      <c r="V30" s="20">
        <f t="shared" si="19"/>
        <v>2021</v>
      </c>
      <c r="W30" s="29">
        <f t="shared" si="20"/>
        <v>0.39879669530117789</v>
      </c>
      <c r="X30" s="29">
        <f t="shared" si="20"/>
        <v>9.0930561098002294E-2</v>
      </c>
      <c r="Y30" s="29">
        <f t="shared" si="20"/>
        <v>0.11066940038503299</v>
      </c>
      <c r="Z30" s="29">
        <f t="shared" si="20"/>
        <v>0.18564148730818336</v>
      </c>
      <c r="AA30" s="29">
        <f t="shared" si="20"/>
        <v>6.5422377049340411E-2</v>
      </c>
      <c r="AB30" s="29">
        <f t="shared" si="20"/>
        <v>0.12957229839317172</v>
      </c>
      <c r="AC30" s="29">
        <f t="shared" si="20"/>
        <v>6.1931533875550157E-3</v>
      </c>
      <c r="AD30" s="29">
        <f t="shared" si="20"/>
        <v>1.1412718898927456E-2</v>
      </c>
      <c r="AE30" s="29">
        <f t="shared" si="20"/>
        <v>0</v>
      </c>
      <c r="AF30" s="29">
        <f t="shared" si="20"/>
        <v>1.361308178608778E-3</v>
      </c>
      <c r="AG30" s="29">
        <f t="shared" si="20"/>
        <v>0</v>
      </c>
      <c r="AH30" s="29">
        <f t="shared" si="20"/>
        <v>0</v>
      </c>
      <c r="AI30" s="29">
        <f t="shared" si="20"/>
        <v>2.4832258788641981E-4</v>
      </c>
      <c r="AJ30" s="29">
        <f t="shared" si="21"/>
        <v>0.99999999999999989</v>
      </c>
      <c r="AM30" s="23"/>
      <c r="AO30" s="20" t="str">
        <f t="shared" ref="AO30:AO47" si="41">AO29</f>
        <v>SUMATERA</v>
      </c>
      <c r="AP30" s="20">
        <f t="shared" ref="AP30:AP47" si="42">AP29+1</f>
        <v>2021</v>
      </c>
      <c r="AQ30" s="25">
        <f t="shared" si="22"/>
        <v>0.39879669530117789</v>
      </c>
      <c r="AR30" s="25">
        <f t="shared" si="23"/>
        <v>0.2015999614830353</v>
      </c>
      <c r="AS30" s="25">
        <f t="shared" si="24"/>
        <v>0.18564148730818336</v>
      </c>
      <c r="AT30" s="37">
        <f t="shared" si="25"/>
        <v>0.21396185590760342</v>
      </c>
      <c r="AU30" s="24">
        <f t="shared" si="33"/>
        <v>0.99999999999999989</v>
      </c>
      <c r="AW30" s="24">
        <f t="shared" ref="AW30:AW34" si="43">$BD$29+((AP30-$BC$29)*($BD$30-$BD$29)/($BC$30-$BC$29))</f>
        <v>0.39084567505531409</v>
      </c>
      <c r="AX30" s="24">
        <f t="shared" si="26"/>
        <v>0.2016</v>
      </c>
      <c r="AY30" s="24">
        <f t="shared" ref="AY30:AY47" si="44">AY29*0.98</f>
        <v>0.20215771368968341</v>
      </c>
      <c r="AZ30" s="25">
        <f t="shared" si="34"/>
        <v>0.15440000000000001</v>
      </c>
      <c r="BA30" s="24">
        <f t="shared" si="35"/>
        <v>0.94900338874499746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5">SUM(BD30:BG30)</f>
        <v>1</v>
      </c>
      <c r="BJ30" s="19"/>
      <c r="BK30" s="20" t="str">
        <f t="shared" ref="BK30:BK47" si="46">BK29</f>
        <v>SUMATERA</v>
      </c>
      <c r="BL30" s="20">
        <f t="shared" ref="BL30:BL47" si="47">BL29+1</f>
        <v>2021</v>
      </c>
      <c r="BM30" s="34">
        <f>VLOOKUP(BL30,proj_rukn!$B$22:$E$41,4,FALSE)</f>
        <v>8196</v>
      </c>
      <c r="BN30" s="30">
        <f t="shared" si="27"/>
        <v>9425.4</v>
      </c>
      <c r="BO30" s="30">
        <f t="shared" si="36"/>
        <v>15423.171643744941</v>
      </c>
      <c r="BQ30" s="30">
        <f t="shared" si="28"/>
        <v>3770.16</v>
      </c>
      <c r="BR30" s="30">
        <f t="shared" si="37"/>
        <v>8921.3905095116606</v>
      </c>
      <c r="BS30" s="30"/>
      <c r="BT30" s="30">
        <f t="shared" si="29"/>
        <v>1885.08</v>
      </c>
      <c r="BU30" s="30">
        <f t="shared" si="38"/>
        <v>6501.7811342332789</v>
      </c>
      <c r="BW30" s="30">
        <f t="shared" si="30"/>
        <v>1.580208006663105</v>
      </c>
      <c r="BX30" s="30">
        <f t="shared" si="39"/>
        <v>0</v>
      </c>
      <c r="BZ30" s="24">
        <f t="shared" ref="BZ30:BZ47" si="48">BZ29*1.05</f>
        <v>5.3340000000000005E-2</v>
      </c>
      <c r="CA30" s="24">
        <f t="shared" si="31"/>
        <v>5.3339969643261487E-2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ref="B31:C31" si="49">B7</f>
        <v>SUMATERA</v>
      </c>
      <c r="C31" s="20">
        <f t="shared" si="49"/>
        <v>2022</v>
      </c>
      <c r="D31" s="30">
        <f>(D7*(VLOOKUP(D$27,tech_data!$B$2:$O$15,6, FALSE)/100)*(1-(VLOOKUP(D$27,tech_data!$B$2:$O$15,7, FALSE)/100))*8760)/1000</f>
        <v>26779.406073097936</v>
      </c>
      <c r="E31" s="30">
        <f>(E7*(VLOOKUP(E$27,tech_data!$B$2:$O$15,6, FALSE)/100)*(1-(VLOOKUP(E$27,tech_data!$B$2:$O$15,7, FALSE)/100))*8760)/1000</f>
        <v>6106.034600560175</v>
      </c>
      <c r="F31" s="30">
        <f>(F7*(VLOOKUP(F$27,tech_data!$B$2:$O$15,6, FALSE)/100)*(1-(VLOOKUP(F$27,tech_data!$B$2:$O$15,7, FALSE)/100))*8760)/1000</f>
        <v>7947.3199170113639</v>
      </c>
      <c r="G31" s="30">
        <f>(G7*(VLOOKUP(G$27,tech_data!$B$2:$O$15,6, FALSE)/100)*(1-(VLOOKUP(G$27,tech_data!$B$2:$O$15,7, FALSE)/100))*8760)/1000</f>
        <v>12912.996528006237</v>
      </c>
      <c r="H31" s="30">
        <f>(H7*(VLOOKUP(H$27,tech_data!$B$2:$O$15,6, FALSE)/100)*(1-(VLOOKUP(H$27,tech_data!$B$2:$O$15,7, FALSE)/100))*8760)/1000</f>
        <v>4393.1467384615389</v>
      </c>
      <c r="I31" s="30">
        <f>(I7*(VLOOKUP(I$27,tech_data!$B$2:$O$15,6, FALSE)/100)*(1-(VLOOKUP(I$27,tech_data!$B$2:$O$15,7, FALSE)/100))*8760)/1000</f>
        <v>8700.8474126769233</v>
      </c>
      <c r="J31" s="30">
        <f>(J7*(VLOOKUP(J$27,tech_data!$B$2:$O$15,6, FALSE)/100)*(1-(VLOOKUP(J$27,tech_data!$B$2:$O$15,7, FALSE)/100))*8760)/1000</f>
        <v>415.87347987692317</v>
      </c>
      <c r="K31" s="30">
        <f>(K7*(VLOOKUP(K$27,tech_data!$B$2:$O$15,6, FALSE)/100)*(1-(VLOOKUP(K$27,tech_data!$B$2:$O$15,7, FALSE)/100))*8760)/1000</f>
        <v>806.96240622946743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91.412554153846145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16.929980223413043</v>
      </c>
      <c r="Q31" s="34">
        <f t="shared" si="18"/>
        <v>68153.999710074422</v>
      </c>
      <c r="R31" s="34">
        <f>proj_rukn!D25</f>
        <v>68154</v>
      </c>
      <c r="S31" s="35"/>
      <c r="T31" s="19"/>
      <c r="U31" s="20" t="str">
        <f t="shared" si="19"/>
        <v>SUMATERA</v>
      </c>
      <c r="V31" s="20">
        <f t="shared" si="19"/>
        <v>2022</v>
      </c>
      <c r="W31" s="29">
        <f t="shared" si="20"/>
        <v>0.39292493745072815</v>
      </c>
      <c r="X31" s="29">
        <f t="shared" si="20"/>
        <v>8.9591727947517519E-2</v>
      </c>
      <c r="Y31" s="29">
        <f t="shared" si="20"/>
        <v>0.11660826878567779</v>
      </c>
      <c r="Z31" s="29">
        <f t="shared" si="20"/>
        <v>0.18946791946089492</v>
      </c>
      <c r="AA31" s="29">
        <f t="shared" si="20"/>
        <v>6.4459118425182468E-2</v>
      </c>
      <c r="AB31" s="29">
        <f t="shared" si="20"/>
        <v>0.12766451638480694</v>
      </c>
      <c r="AC31" s="29">
        <f t="shared" si="20"/>
        <v>6.1019673334806405E-3</v>
      </c>
      <c r="AD31" s="29">
        <f t="shared" si="20"/>
        <v>1.1840279509086294E-2</v>
      </c>
      <c r="AE31" s="29">
        <f t="shared" si="20"/>
        <v>0</v>
      </c>
      <c r="AF31" s="29">
        <f t="shared" si="20"/>
        <v>1.3412647026251297E-3</v>
      </c>
      <c r="AG31" s="29">
        <f t="shared" si="20"/>
        <v>0</v>
      </c>
      <c r="AH31" s="29">
        <f t="shared" si="20"/>
        <v>0</v>
      </c>
      <c r="AI31" s="29">
        <f t="shared" si="20"/>
        <v>2.4840772801937961E-4</v>
      </c>
      <c r="AJ31" s="29">
        <f t="shared" si="21"/>
        <v>0.99999999999999978</v>
      </c>
      <c r="AM31" s="23"/>
      <c r="AO31" s="20" t="str">
        <f t="shared" si="41"/>
        <v>SUMATERA</v>
      </c>
      <c r="AP31" s="20">
        <f t="shared" si="42"/>
        <v>2022</v>
      </c>
      <c r="AQ31" s="25">
        <f t="shared" si="22"/>
        <v>0.39292493745072815</v>
      </c>
      <c r="AR31" s="25">
        <f t="shared" si="23"/>
        <v>0.20619999673319531</v>
      </c>
      <c r="AS31" s="25">
        <f t="shared" si="24"/>
        <v>0.18946791946089492</v>
      </c>
      <c r="AT31" s="37">
        <f t="shared" si="25"/>
        <v>0.21140714635518149</v>
      </c>
      <c r="AU31" s="24">
        <f t="shared" si="33"/>
        <v>0.99999999999999978</v>
      </c>
      <c r="AW31" s="24">
        <f t="shared" si="43"/>
        <v>0.36813425629148555</v>
      </c>
      <c r="AX31" s="24">
        <f t="shared" si="26"/>
        <v>0.20619999999999999</v>
      </c>
      <c r="AY31" s="24">
        <f t="shared" si="44"/>
        <v>0.19811455941588973</v>
      </c>
      <c r="AZ31" s="25">
        <f t="shared" si="34"/>
        <v>0.17330000000000001</v>
      </c>
      <c r="BA31" s="24">
        <f t="shared" si="35"/>
        <v>0.94574881570737523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5"/>
        <v>1</v>
      </c>
      <c r="BJ31" s="19"/>
      <c r="BK31" s="20" t="str">
        <f t="shared" si="46"/>
        <v>SUMATERA</v>
      </c>
      <c r="BL31" s="20">
        <f t="shared" si="47"/>
        <v>2022</v>
      </c>
      <c r="BM31" s="34">
        <f>VLOOKUP(BL31,proj_rukn!$B$22:$E$41,4,FALSE)</f>
        <v>9078</v>
      </c>
      <c r="BN31" s="30">
        <f t="shared" si="27"/>
        <v>10439.699999999999</v>
      </c>
      <c r="BO31" s="30">
        <f t="shared" si="36"/>
        <v>15699.090281703982</v>
      </c>
      <c r="BQ31" s="30">
        <f t="shared" si="28"/>
        <v>4175.88</v>
      </c>
      <c r="BR31" s="30">
        <f t="shared" si="37"/>
        <v>9107.7733621426614</v>
      </c>
      <c r="BS31" s="30"/>
      <c r="BT31" s="30">
        <f t="shared" si="29"/>
        <v>2087.94</v>
      </c>
      <c r="BU31" s="30">
        <f t="shared" si="38"/>
        <v>6591.3169195613191</v>
      </c>
      <c r="BW31" s="30">
        <f t="shared" si="30"/>
        <v>1.5912409432021821</v>
      </c>
      <c r="BX31" s="30">
        <f t="shared" si="39"/>
        <v>0</v>
      </c>
      <c r="BZ31" s="24">
        <f t="shared" si="48"/>
        <v>5.6007000000000008E-2</v>
      </c>
      <c r="CA31" s="24">
        <f t="shared" si="31"/>
        <v>5.6006997460689642E-2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ref="B32:C32" si="50">B8</f>
        <v>SUMATERA</v>
      </c>
      <c r="C32" s="20">
        <f t="shared" si="50"/>
        <v>2023</v>
      </c>
      <c r="D32" s="30">
        <f>(D8*(VLOOKUP(D$27,tech_data!$B$2:$O$15,6, FALSE)/100)*(1-(VLOOKUP(D$27,tech_data!$B$2:$O$15,7, FALSE)/100))*8760)/1000</f>
        <v>26779.406073097936</v>
      </c>
      <c r="E32" s="30">
        <f>(E8*(VLOOKUP(E$27,tech_data!$B$2:$O$15,6, FALSE)/100)*(1-(VLOOKUP(E$27,tech_data!$B$2:$O$15,7, FALSE)/100))*8760)/1000</f>
        <v>6106.034600560175</v>
      </c>
      <c r="F32" s="30">
        <f>(F8*(VLOOKUP(F$27,tech_data!$B$2:$O$15,6, FALSE)/100)*(1-(VLOOKUP(F$27,tech_data!$B$2:$O$15,7, FALSE)/100))*8760)/1000</f>
        <v>12496.835646430765</v>
      </c>
      <c r="G32" s="30">
        <f>(G8*(VLOOKUP(G$27,tech_data!$B$2:$O$15,6, FALSE)/100)*(1-(VLOOKUP(G$27,tech_data!$B$2:$O$15,7, FALSE)/100))*8760)/1000</f>
        <v>14415.611733462571</v>
      </c>
      <c r="H32" s="30">
        <f>(H8*(VLOOKUP(H$27,tech_data!$B$2:$O$15,6, FALSE)/100)*(1-(VLOOKUP(H$27,tech_data!$B$2:$O$15,7, FALSE)/100))*8760)/1000</f>
        <v>4393.1467384615389</v>
      </c>
      <c r="I32" s="30">
        <f>(I8*(VLOOKUP(I$27,tech_data!$B$2:$O$15,6, FALSE)/100)*(1-(VLOOKUP(I$27,tech_data!$B$2:$O$15,7, FALSE)/100))*8760)/1000</f>
        <v>8700.8474126769233</v>
      </c>
      <c r="J32" s="30">
        <f>(J8*(VLOOKUP(J$27,tech_data!$B$2:$O$15,6, FALSE)/100)*(1-(VLOOKUP(J$27,tech_data!$B$2:$O$15,7, FALSE)/100))*8760)/1000</f>
        <v>415.87347987692317</v>
      </c>
      <c r="K32" s="30">
        <f>(K8*(VLOOKUP(K$27,tech_data!$B$2:$O$15,6, FALSE)/100)*(1-(VLOOKUP(K$27,tech_data!$B$2:$O$15,7, FALSE)/100))*8760)/1000</f>
        <v>849.83160578242496</v>
      </c>
      <c r="L32" s="30">
        <f>(L8*(VLOOKUP(L$27,tech_data!$B$2:$O$15,6, FALSE)/100)*(1-(VLOOKUP(L$27,tech_data!$B$2:$O$15,7, FALSE)/100))*8760)/1000</f>
        <v>1.2542731521179467E-7</v>
      </c>
      <c r="M32" s="30">
        <f>(M8*(VLOOKUP(M$27,tech_data!$B$2:$O$15,6, FALSE)/100)*(1-(VLOOKUP(M$27,tech_data!$B$2:$O$15,7, FALSE)/100))*8760)/1000</f>
        <v>91.412554153846145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18.43819138744384</v>
      </c>
      <c r="Q32" s="34">
        <f t="shared" si="18"/>
        <v>74248.999844628546</v>
      </c>
      <c r="R32" s="34">
        <f>proj_rukn!D26</f>
        <v>74249</v>
      </c>
      <c r="S32" s="35"/>
      <c r="T32" s="19"/>
      <c r="U32" s="20" t="str">
        <f t="shared" si="19"/>
        <v>SUMATERA</v>
      </c>
      <c r="V32" s="20">
        <f t="shared" si="19"/>
        <v>2023</v>
      </c>
      <c r="W32" s="29">
        <f t="shared" si="20"/>
        <v>0.36067025992452151</v>
      </c>
      <c r="X32" s="29">
        <f t="shared" si="20"/>
        <v>8.223726398116471E-2</v>
      </c>
      <c r="Y32" s="29">
        <f t="shared" si="20"/>
        <v>0.16830981794477107</v>
      </c>
      <c r="Z32" s="29">
        <f t="shared" si="20"/>
        <v>0.19415226822756254</v>
      </c>
      <c r="AA32" s="29">
        <f t="shared" si="20"/>
        <v>5.916775643651119E-2</v>
      </c>
      <c r="AB32" s="29">
        <f t="shared" si="20"/>
        <v>0.11718470862751124</v>
      </c>
      <c r="AC32" s="29">
        <f t="shared" si="20"/>
        <v>5.6010650749123729E-3</v>
      </c>
      <c r="AD32" s="29">
        <f t="shared" si="20"/>
        <v>1.1445697686982446E-2</v>
      </c>
      <c r="AE32" s="29">
        <f t="shared" si="20"/>
        <v>1.6892795253035123E-12</v>
      </c>
      <c r="AF32" s="29">
        <f t="shared" si="20"/>
        <v>1.2311620943734405E-3</v>
      </c>
      <c r="AG32" s="29">
        <f t="shared" si="20"/>
        <v>0</v>
      </c>
      <c r="AH32" s="29">
        <f t="shared" si="20"/>
        <v>0</v>
      </c>
      <c r="AI32" s="29">
        <f t="shared" si="20"/>
        <v>2.4832915495194688E-4</v>
      </c>
      <c r="AJ32" s="29">
        <f t="shared" si="21"/>
        <v>1</v>
      </c>
      <c r="AM32" s="23"/>
      <c r="AO32" s="20" t="str">
        <f t="shared" si="41"/>
        <v>SUMATERA</v>
      </c>
      <c r="AP32" s="20">
        <f t="shared" si="42"/>
        <v>2023</v>
      </c>
      <c r="AQ32" s="25">
        <f t="shared" si="22"/>
        <v>0.36067025992452151</v>
      </c>
      <c r="AR32" s="25">
        <f t="shared" si="23"/>
        <v>0.25054708192593578</v>
      </c>
      <c r="AS32" s="25">
        <f t="shared" si="24"/>
        <v>0.19415226822756254</v>
      </c>
      <c r="AT32" s="37">
        <f t="shared" si="25"/>
        <v>0.19463038992197998</v>
      </c>
      <c r="AU32" s="24">
        <f t="shared" si="33"/>
        <v>0.99999999999999989</v>
      </c>
      <c r="AW32" s="24">
        <f t="shared" si="43"/>
        <v>0.34542283752765707</v>
      </c>
      <c r="AX32" s="24">
        <f t="shared" si="26"/>
        <v>0.21079999999999999</v>
      </c>
      <c r="AY32" s="24">
        <f t="shared" si="44"/>
        <v>0.19415226822757195</v>
      </c>
      <c r="AZ32" s="25">
        <f t="shared" si="34"/>
        <v>0.19220000000000001</v>
      </c>
      <c r="BA32" s="24">
        <f t="shared" si="35"/>
        <v>0.94257510575522896</v>
      </c>
      <c r="BJ32" s="19"/>
      <c r="BK32" s="20" t="str">
        <f t="shared" si="46"/>
        <v>SUMATERA</v>
      </c>
      <c r="BL32" s="20">
        <f t="shared" si="47"/>
        <v>2023</v>
      </c>
      <c r="BM32" s="34">
        <f>VLOOKUP(BL32,proj_rukn!$B$22:$E$41,4,FALSE)</f>
        <v>9947</v>
      </c>
      <c r="BN32" s="30">
        <f t="shared" si="27"/>
        <v>11439.05</v>
      </c>
      <c r="BO32" s="30">
        <f t="shared" si="36"/>
        <v>17644.119489783145</v>
      </c>
      <c r="BQ32" s="30">
        <f t="shared" si="28"/>
        <v>4575.62</v>
      </c>
      <c r="BR32" s="30">
        <f t="shared" si="37"/>
        <v>10751.689709509621</v>
      </c>
      <c r="BS32" s="30"/>
      <c r="BT32" s="30">
        <f t="shared" si="29"/>
        <v>2287.81</v>
      </c>
      <c r="BU32" s="30">
        <f t="shared" si="38"/>
        <v>6892.4297802735273</v>
      </c>
      <c r="BW32" s="30">
        <f t="shared" si="30"/>
        <v>1.6028927152254424</v>
      </c>
      <c r="BX32" s="30">
        <f t="shared" si="39"/>
        <v>0</v>
      </c>
      <c r="BZ32" s="24">
        <f t="shared" si="48"/>
        <v>5.8807350000000008E-2</v>
      </c>
      <c r="CA32" s="24">
        <f t="shared" si="31"/>
        <v>5.8807351162223929E-2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ref="B33:C33" si="51">B9</f>
        <v>SUMATERA</v>
      </c>
      <c r="C33" s="20">
        <f t="shared" si="51"/>
        <v>2024</v>
      </c>
      <c r="D33" s="30">
        <f>(D9*(VLOOKUP(D$27,tech_data!$B$2:$O$15,6, FALSE)/100)*(1-(VLOOKUP(D$27,tech_data!$B$2:$O$15,7, FALSE)/100))*8760)/1000</f>
        <v>26779.406073097936</v>
      </c>
      <c r="E33" s="30">
        <f>(E9*(VLOOKUP(E$27,tech_data!$B$2:$O$15,6, FALSE)/100)*(1-(VLOOKUP(E$27,tech_data!$B$2:$O$15,7, FALSE)/100))*8760)/1000</f>
        <v>6106.034600560175</v>
      </c>
      <c r="F33" s="30">
        <f>(F9*(VLOOKUP(F$27,tech_data!$B$2:$O$15,6, FALSE)/100)*(1-(VLOOKUP(F$27,tech_data!$B$2:$O$15,7, FALSE)/100))*8760)/1000</f>
        <v>16521.353112270153</v>
      </c>
      <c r="G33" s="30">
        <f>(G9*(VLOOKUP(G$27,tech_data!$B$2:$O$15,6, FALSE)/100)*(1-(VLOOKUP(G$27,tech_data!$B$2:$O$15,7, FALSE)/100))*8760)/1000</f>
        <v>15703.489712397168</v>
      </c>
      <c r="H33" s="30">
        <f>(H9*(VLOOKUP(H$27,tech_data!$B$2:$O$15,6, FALSE)/100)*(1-(VLOOKUP(H$27,tech_data!$B$2:$O$15,7, FALSE)/100))*8760)/1000</f>
        <v>4393.1467384615389</v>
      </c>
      <c r="I33" s="30">
        <f>(I9*(VLOOKUP(I$27,tech_data!$B$2:$O$15,6, FALSE)/100)*(1-(VLOOKUP(I$27,tech_data!$B$2:$O$15,7, FALSE)/100))*8760)/1000</f>
        <v>8700.8474126769233</v>
      </c>
      <c r="J33" s="30">
        <f>(J9*(VLOOKUP(J$27,tech_data!$B$2:$O$15,6, FALSE)/100)*(1-(VLOOKUP(J$27,tech_data!$B$2:$O$15,7, FALSE)/100))*8760)/1000</f>
        <v>415.87347987692317</v>
      </c>
      <c r="K33" s="30">
        <f>(K9*(VLOOKUP(K$27,tech_data!$B$2:$O$15,6, FALSE)/100)*(1-(VLOOKUP(K$27,tech_data!$B$2:$O$15,7, FALSE)/100))*8760)/1000</f>
        <v>1075.8124904503234</v>
      </c>
      <c r="L33" s="30">
        <f>(L9*(VLOOKUP(L$27,tech_data!$B$2:$O$15,6, FALSE)/100)*(1-(VLOOKUP(L$27,tech_data!$B$2:$O$15,7, FALSE)/100))*8760)/1000</f>
        <v>2745.6235204020859</v>
      </c>
      <c r="M33" s="30">
        <f>(M9*(VLOOKUP(M$27,tech_data!$B$2:$O$15,6, FALSE)/100)*(1-(VLOOKUP(M$27,tech_data!$B$2:$O$15,7, FALSE)/100))*8760)/1000</f>
        <v>91.412554153846145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21.068204837066556</v>
      </c>
      <c r="Q33" s="34">
        <f t="shared" si="18"/>
        <v>82532.999694347105</v>
      </c>
      <c r="R33" s="34">
        <f>proj_rukn!D27</f>
        <v>82533</v>
      </c>
      <c r="S33" s="35"/>
      <c r="T33" s="19"/>
      <c r="U33" s="20" t="str">
        <f t="shared" si="19"/>
        <v>SUMATERA</v>
      </c>
      <c r="V33" s="20">
        <f t="shared" si="19"/>
        <v>2024</v>
      </c>
      <c r="W33" s="29">
        <f t="shared" si="20"/>
        <v>0.32446907506419065</v>
      </c>
      <c r="X33" s="29">
        <f t="shared" si="20"/>
        <v>7.3982947707865662E-2</v>
      </c>
      <c r="Y33" s="29">
        <f t="shared" si="20"/>
        <v>0.20017875484297637</v>
      </c>
      <c r="Z33" s="29">
        <f t="shared" si="20"/>
        <v>0.19026922286301851</v>
      </c>
      <c r="AA33" s="29">
        <f t="shared" si="20"/>
        <v>5.3228972104868696E-2</v>
      </c>
      <c r="AB33" s="29">
        <f t="shared" si="20"/>
        <v>0.10542264845455346</v>
      </c>
      <c r="AC33" s="29">
        <f t="shared" si="20"/>
        <v>5.0388751337897561E-3</v>
      </c>
      <c r="AD33" s="29">
        <f t="shared" si="20"/>
        <v>1.3034937472701704E-2</v>
      </c>
      <c r="AE33" s="29">
        <f t="shared" si="20"/>
        <v>3.3266978427662075E-2</v>
      </c>
      <c r="AF33" s="29">
        <f t="shared" si="20"/>
        <v>1.1075879283726946E-3</v>
      </c>
      <c r="AG33" s="29">
        <f t="shared" si="20"/>
        <v>0</v>
      </c>
      <c r="AH33" s="29">
        <f t="shared" si="20"/>
        <v>0</v>
      </c>
      <c r="AI33" s="29">
        <f t="shared" si="20"/>
        <v>2.5527007275987293E-4</v>
      </c>
      <c r="AJ33" s="29">
        <f t="shared" si="21"/>
        <v>0.99999999999999944</v>
      </c>
      <c r="AM33" s="23"/>
      <c r="AO33" s="20" t="str">
        <f t="shared" si="41"/>
        <v>SUMATERA</v>
      </c>
      <c r="AP33" s="20">
        <f t="shared" si="42"/>
        <v>2024</v>
      </c>
      <c r="AQ33" s="25">
        <f t="shared" si="22"/>
        <v>0.32446907506419065</v>
      </c>
      <c r="AR33" s="25">
        <f t="shared" si="23"/>
        <v>0.27416170255084205</v>
      </c>
      <c r="AS33" s="25">
        <f t="shared" si="24"/>
        <v>0.19026922286301851</v>
      </c>
      <c r="AT33" s="37">
        <f t="shared" si="25"/>
        <v>0.21109999952194838</v>
      </c>
      <c r="AU33" s="24">
        <f t="shared" si="33"/>
        <v>0.99999999999999956</v>
      </c>
      <c r="AW33" s="24">
        <f t="shared" si="43"/>
        <v>0.32271141876382853</v>
      </c>
      <c r="AX33" s="24">
        <f t="shared" si="26"/>
        <v>0.21540000000000001</v>
      </c>
      <c r="AY33" s="24">
        <f t="shared" si="44"/>
        <v>0.1902692228630205</v>
      </c>
      <c r="AZ33" s="25">
        <f t="shared" si="34"/>
        <v>0.21110000000000001</v>
      </c>
      <c r="BA33" s="24">
        <f t="shared" si="35"/>
        <v>0.93948064162684908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6"/>
        <v>SUMATERA</v>
      </c>
      <c r="BL33" s="20">
        <f t="shared" si="47"/>
        <v>2024</v>
      </c>
      <c r="BM33" s="34">
        <f>VLOOKUP(BL33,proj_rukn!$B$22:$E$41,4,FALSE)</f>
        <v>10587</v>
      </c>
      <c r="BN33" s="30">
        <f t="shared" si="27"/>
        <v>12175.05</v>
      </c>
      <c r="BO33" s="30">
        <f t="shared" si="36"/>
        <v>19356.790728152198</v>
      </c>
      <c r="BQ33" s="30">
        <f t="shared" si="28"/>
        <v>4870.0199999999995</v>
      </c>
      <c r="BR33" s="30">
        <f t="shared" si="37"/>
        <v>12205.903838186021</v>
      </c>
      <c r="BS33" s="30"/>
      <c r="BT33" s="30">
        <f t="shared" si="29"/>
        <v>2435.0099999999998</v>
      </c>
      <c r="BU33" s="30">
        <f t="shared" si="38"/>
        <v>7150.8868899661775</v>
      </c>
      <c r="BW33" s="30">
        <f t="shared" si="30"/>
        <v>2.1106742266084497</v>
      </c>
      <c r="BX33" s="30">
        <f t="shared" si="39"/>
        <v>0</v>
      </c>
      <c r="BZ33" s="24">
        <f t="shared" si="48"/>
        <v>6.1747717500000014E-2</v>
      </c>
      <c r="CA33" s="24">
        <f t="shared" si="31"/>
        <v>6.1747690678447598E-2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ref="B34:C34" si="52">B10</f>
        <v>SUMATERA</v>
      </c>
      <c r="C34" s="20">
        <f t="shared" si="52"/>
        <v>2025</v>
      </c>
      <c r="D34" s="30">
        <f>(D10*(VLOOKUP(D$27,tech_data!$B$2:$O$15,6, FALSE)/100)*(1-(VLOOKUP(D$27,tech_data!$B$2:$O$15,7, FALSE)/100))*8760)/1000</f>
        <v>27292.199977255666</v>
      </c>
      <c r="E34" s="30">
        <f>(E10*(VLOOKUP(E$27,tech_data!$B$2:$O$15,6, FALSE)/100)*(1-(VLOOKUP(E$27,tech_data!$B$2:$O$15,7, FALSE)/100))*8760)/1000</f>
        <v>6106.034600560175</v>
      </c>
      <c r="F34" s="30">
        <f>(F10*(VLOOKUP(F$27,tech_data!$B$2:$O$15,6, FALSE)/100)*(1-(VLOOKUP(F$27,tech_data!$B$2:$O$15,7, FALSE)/100))*8760)/1000</f>
        <v>19688.383934462679</v>
      </c>
      <c r="G34" s="30">
        <f>(G10*(VLOOKUP(G$27,tech_data!$B$2:$O$15,6, FALSE)/100)*(1-(VLOOKUP(G$27,tech_data!$B$2:$O$15,7, FALSE)/100))*8760)/1000</f>
        <v>16963.36116316482</v>
      </c>
      <c r="H34" s="30">
        <f>(H10*(VLOOKUP(H$27,tech_data!$B$2:$O$15,6, FALSE)/100)*(1-(VLOOKUP(H$27,tech_data!$B$2:$O$15,7, FALSE)/100))*8760)/1000</f>
        <v>4393.1467384615389</v>
      </c>
      <c r="I34" s="30">
        <f>(I10*(VLOOKUP(I$27,tech_data!$B$2:$O$15,6, FALSE)/100)*(1-(VLOOKUP(I$27,tech_data!$B$2:$O$15,7, FALSE)/100))*8760)/1000</f>
        <v>8700.8474126769233</v>
      </c>
      <c r="J34" s="30">
        <f>(J10*(VLOOKUP(J$27,tech_data!$B$2:$O$15,6, FALSE)/100)*(1-(VLOOKUP(J$27,tech_data!$B$2:$O$15,7, FALSE)/100))*8760)/1000</f>
        <v>415.87347987692317</v>
      </c>
      <c r="K34" s="30">
        <f>(K10*(VLOOKUP(K$27,tech_data!$B$2:$O$15,6, FALSE)/100)*(1-(VLOOKUP(K$27,tech_data!$B$2:$O$15,7, FALSE)/100))*8760)/1000</f>
        <v>1356.6106688013087</v>
      </c>
      <c r="L34" s="30">
        <f>(L10*(VLOOKUP(L$27,tech_data!$B$2:$O$15,6, FALSE)/100)*(1-(VLOOKUP(L$27,tech_data!$B$2:$O$15,7, FALSE)/100))*8760)/1000</f>
        <v>5966.1291360251089</v>
      </c>
      <c r="M34" s="30">
        <f>(M10*(VLOOKUP(M$27,tech_data!$B$2:$O$15,6, FALSE)/100)*(1-(VLOOKUP(M$27,tech_data!$B$2:$O$15,7, FALSE)/100))*8760)/1000</f>
        <v>91.412554153846145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23.842327187675782</v>
      </c>
      <c r="Q34" s="34">
        <f t="shared" si="18"/>
        <v>90973.999665439012</v>
      </c>
      <c r="R34" s="34">
        <f>proj_rukn!D28</f>
        <v>90974</v>
      </c>
      <c r="S34" s="35"/>
      <c r="T34" s="19"/>
      <c r="U34" s="20" t="str">
        <f t="shared" si="19"/>
        <v>SUMATERA</v>
      </c>
      <c r="V34" s="20">
        <f t="shared" si="19"/>
        <v>2025</v>
      </c>
      <c r="W34" s="29">
        <f t="shared" si="20"/>
        <v>0.30000000085325434</v>
      </c>
      <c r="X34" s="29">
        <f t="shared" si="20"/>
        <v>6.7118458273961706E-2</v>
      </c>
      <c r="Y34" s="29">
        <f t="shared" si="20"/>
        <v>0.21641770183643239</v>
      </c>
      <c r="Z34" s="29">
        <f t="shared" si="20"/>
        <v>0.18646383830048527</v>
      </c>
      <c r="AA34" s="29">
        <f t="shared" si="20"/>
        <v>4.8290135144299848E-2</v>
      </c>
      <c r="AB34" s="29">
        <f t="shared" si="20"/>
        <v>9.5641034193007693E-2</v>
      </c>
      <c r="AC34" s="29">
        <f t="shared" si="20"/>
        <v>4.5713443555995851E-3</v>
      </c>
      <c r="AD34" s="29">
        <f t="shared" si="20"/>
        <v>1.491207019357515E-2</v>
      </c>
      <c r="AE34" s="29">
        <f t="shared" si="20"/>
        <v>6.5580596191942953E-2</v>
      </c>
      <c r="AF34" s="29">
        <f t="shared" si="20"/>
        <v>1.0048206574408065E-3</v>
      </c>
      <c r="AG34" s="29">
        <f t="shared" si="20"/>
        <v>0</v>
      </c>
      <c r="AH34" s="29">
        <f t="shared" si="20"/>
        <v>0</v>
      </c>
      <c r="AI34" s="29">
        <f t="shared" si="20"/>
        <v>2.6207847599706528E-4</v>
      </c>
      <c r="AJ34" s="29">
        <f t="shared" si="21"/>
        <v>0.99999999999999967</v>
      </c>
      <c r="AM34" s="23"/>
      <c r="AO34" s="20" t="str">
        <f t="shared" si="41"/>
        <v>SUMATERA</v>
      </c>
      <c r="AP34" s="20">
        <f t="shared" si="42"/>
        <v>2025</v>
      </c>
      <c r="AQ34" s="25">
        <f t="shared" si="22"/>
        <v>0.30000000085325434</v>
      </c>
      <c r="AR34" s="25">
        <f t="shared" si="23"/>
        <v>0.28353616011039412</v>
      </c>
      <c r="AS34" s="25">
        <f t="shared" si="24"/>
        <v>0.18646383830048527</v>
      </c>
      <c r="AT34" s="37">
        <f t="shared" si="25"/>
        <v>0.23000000073586604</v>
      </c>
      <c r="AU34" s="24">
        <f t="shared" si="33"/>
        <v>0.99999999999999978</v>
      </c>
      <c r="AW34" s="24">
        <f t="shared" si="43"/>
        <v>0.3</v>
      </c>
      <c r="AX34" s="24">
        <f t="shared" si="26"/>
        <v>0.22</v>
      </c>
      <c r="AY34" s="24">
        <f t="shared" si="44"/>
        <v>0.18646383840576009</v>
      </c>
      <c r="AZ34" s="25">
        <f t="shared" si="34"/>
        <v>0.23</v>
      </c>
      <c r="BA34" s="24">
        <f t="shared" si="35"/>
        <v>0.93646383840576009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6"/>
        <v>SUMATERA</v>
      </c>
      <c r="BL34" s="20">
        <f t="shared" si="47"/>
        <v>2025</v>
      </c>
      <c r="BM34" s="34">
        <f>VLOOKUP(BL34,proj_rukn!$B$22:$E$41,4,FALSE)</f>
        <v>11278</v>
      </c>
      <c r="BN34" s="30">
        <f t="shared" si="27"/>
        <v>12969.699999999999</v>
      </c>
      <c r="BO34" s="30">
        <f t="shared" si="36"/>
        <v>20859.804238167391</v>
      </c>
      <c r="BQ34" s="30">
        <f t="shared" si="28"/>
        <v>5187.88</v>
      </c>
      <c r="BR34" s="30">
        <f t="shared" si="37"/>
        <v>13456.024118975985</v>
      </c>
      <c r="BS34" s="30"/>
      <c r="BT34" s="30">
        <f t="shared" si="29"/>
        <v>2593.94</v>
      </c>
      <c r="BU34" s="30">
        <f t="shared" si="38"/>
        <v>7403.7801191914104</v>
      </c>
      <c r="BW34" s="30">
        <f t="shared" si="30"/>
        <v>2.7105573056327184</v>
      </c>
      <c r="BX34" s="30">
        <f t="shared" si="39"/>
        <v>0</v>
      </c>
      <c r="BZ34" s="24">
        <f t="shared" si="48"/>
        <v>6.4835103375000022E-2</v>
      </c>
      <c r="CA34" s="24">
        <f t="shared" si="31"/>
        <v>6.4835087590718307E-2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ref="B35:C35" si="53">B11</f>
        <v>SUMATERA</v>
      </c>
      <c r="C35" s="20">
        <f t="shared" si="53"/>
        <v>2026</v>
      </c>
      <c r="D35" s="30">
        <f>(D11*(VLOOKUP(D$27,tech_data!$B$2:$O$15,6, FALSE)/100)*(1-(VLOOKUP(D$27,tech_data!$B$2:$O$15,7, FALSE)/100))*8760)/1000</f>
        <v>30136.441940136516</v>
      </c>
      <c r="E35" s="30">
        <f>(E11*(VLOOKUP(E$27,tech_data!$B$2:$O$15,6, FALSE)/100)*(1-(VLOOKUP(E$27,tech_data!$B$2:$O$15,7, FALSE)/100))*8760)/1000</f>
        <v>6106.034600560175</v>
      </c>
      <c r="F35" s="30">
        <f>(F11*(VLOOKUP(F$27,tech_data!$B$2:$O$15,6, FALSE)/100)*(1-(VLOOKUP(F$27,tech_data!$B$2:$O$15,7, FALSE)/100))*8760)/1000</f>
        <v>20981.626561463203</v>
      </c>
      <c r="G35" s="30">
        <f>(G11*(VLOOKUP(G$27,tech_data!$B$2:$O$15,6, FALSE)/100)*(1-(VLOOKUP(G$27,tech_data!$B$2:$O$15,7, FALSE)/100))*8760)/1000</f>
        <v>16963.36116316482</v>
      </c>
      <c r="H35" s="30">
        <f>(H11*(VLOOKUP(H$27,tech_data!$B$2:$O$15,6, FALSE)/100)*(1-(VLOOKUP(H$27,tech_data!$B$2:$O$15,7, FALSE)/100))*8760)/1000</f>
        <v>4393.1467384615389</v>
      </c>
      <c r="I35" s="30">
        <f>(I11*(VLOOKUP(I$27,tech_data!$B$2:$O$15,6, FALSE)/100)*(1-(VLOOKUP(I$27,tech_data!$B$2:$O$15,7, FALSE)/100))*8760)/1000</f>
        <v>8700.8474126769233</v>
      </c>
      <c r="J35" s="30">
        <f>(J11*(VLOOKUP(J$27,tech_data!$B$2:$O$15,6, FALSE)/100)*(1-(VLOOKUP(J$27,tech_data!$B$2:$O$15,7, FALSE)/100))*8760)/1000</f>
        <v>415.87347987692317</v>
      </c>
      <c r="K35" s="30">
        <f>(K11*(VLOOKUP(K$27,tech_data!$B$2:$O$15,6, FALSE)/100)*(1-(VLOOKUP(K$27,tech_data!$B$2:$O$15,7, FALSE)/100))*8760)/1000</f>
        <v>1834.0952479742425</v>
      </c>
      <c r="L35" s="30">
        <f>(L11*(VLOOKUP(L$27,tech_data!$B$2:$O$15,6, FALSE)/100)*(1-(VLOOKUP(L$27,tech_data!$B$2:$O$15,7, FALSE)/100))*8760)/1000</f>
        <v>11506.160161700076</v>
      </c>
      <c r="M35" s="30">
        <f>(M11*(VLOOKUP(M$27,tech_data!$B$2:$O$15,6, FALSE)/100)*(1-(VLOOKUP(M$27,tech_data!$B$2:$O$15,7, FALSE)/100))*8760)/1000</f>
        <v>91.412554153846145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27.539232439003079</v>
      </c>
      <c r="Q35" s="34">
        <f t="shared" si="18"/>
        <v>101128.99986016827</v>
      </c>
      <c r="R35" s="34">
        <f>proj_rukn!D29</f>
        <v>101129</v>
      </c>
      <c r="S35" s="35"/>
      <c r="T35" s="19"/>
      <c r="U35" s="20" t="str">
        <f t="shared" si="19"/>
        <v>SUMATERA</v>
      </c>
      <c r="V35" s="20">
        <f t="shared" si="19"/>
        <v>2026</v>
      </c>
      <c r="W35" s="29">
        <f t="shared" si="20"/>
        <v>0.29799999982009484</v>
      </c>
      <c r="X35" s="29">
        <f t="shared" si="20"/>
        <v>6.0378670895618755E-2</v>
      </c>
      <c r="Y35" s="29">
        <f t="shared" si="20"/>
        <v>0.20747388573480044</v>
      </c>
      <c r="Z35" s="29">
        <f t="shared" si="20"/>
        <v>0.16773982919459474</v>
      </c>
      <c r="AA35" s="29">
        <f t="shared" si="20"/>
        <v>4.3441018348208439E-2</v>
      </c>
      <c r="AB35" s="29">
        <f t="shared" si="20"/>
        <v>8.6037115216284557E-2</v>
      </c>
      <c r="AC35" s="29">
        <f t="shared" si="20"/>
        <v>4.1123068600693582E-3</v>
      </c>
      <c r="AD35" s="29">
        <f t="shared" si="20"/>
        <v>1.8136194865075873E-2</v>
      </c>
      <c r="AE35" s="29">
        <f t="shared" si="20"/>
        <v>0.1137770587824434</v>
      </c>
      <c r="AF35" s="29">
        <f t="shared" si="20"/>
        <v>9.0392028280950943E-4</v>
      </c>
      <c r="AG35" s="29">
        <f t="shared" si="20"/>
        <v>0</v>
      </c>
      <c r="AH35" s="29">
        <f t="shared" si="20"/>
        <v>0</v>
      </c>
      <c r="AI35" s="29">
        <f t="shared" si="20"/>
        <v>2.7231785617460626E-4</v>
      </c>
      <c r="AJ35" s="29">
        <f t="shared" si="21"/>
        <v>0.99999999999999989</v>
      </c>
      <c r="AM35" s="23"/>
      <c r="AO35" s="20" t="str">
        <f t="shared" si="41"/>
        <v>SUMATERA</v>
      </c>
      <c r="AP35" s="20">
        <f t="shared" si="42"/>
        <v>2026</v>
      </c>
      <c r="AQ35" s="25">
        <f t="shared" si="22"/>
        <v>0.29799999982009484</v>
      </c>
      <c r="AR35" s="25">
        <f t="shared" si="23"/>
        <v>0.26785255663041918</v>
      </c>
      <c r="AS35" s="25">
        <f t="shared" si="24"/>
        <v>0.16773982919459474</v>
      </c>
      <c r="AT35" s="37">
        <f t="shared" si="25"/>
        <v>0.26640761435489113</v>
      </c>
      <c r="AU35" s="24">
        <f t="shared" si="33"/>
        <v>0.99999999999999989</v>
      </c>
      <c r="AW35" s="24">
        <f>$BD$30+((AP35-$BC$30)*($BD$31-$BD$30)/($BC$31-$BC$30))</f>
        <v>0.29799999999999999</v>
      </c>
      <c r="AX35" s="24">
        <f t="shared" si="26"/>
        <v>0.22459999999999999</v>
      </c>
      <c r="AY35" s="24">
        <f t="shared" si="44"/>
        <v>0.18273456163764487</v>
      </c>
      <c r="AZ35" s="25">
        <f t="shared" ref="AZ35:AZ47" si="54">$BG$30+((AP35-$BC$30)*($BG$31-$BG$30)/($BC$31-$BC$30))</f>
        <v>0.23320000000000002</v>
      </c>
      <c r="BA35" s="24">
        <f t="shared" si="35"/>
        <v>0.93853456163764482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55">SUM(BD35:BG35)</f>
        <v>1</v>
      </c>
      <c r="BJ35" s="19"/>
      <c r="BK35" s="20" t="str">
        <f t="shared" si="46"/>
        <v>SUMATERA</v>
      </c>
      <c r="BL35" s="20">
        <f t="shared" si="47"/>
        <v>2026</v>
      </c>
      <c r="BM35" s="34">
        <f>VLOOKUP(BL35,proj_rukn!$B$22:$E$41,4,FALSE)</f>
        <v>11988</v>
      </c>
      <c r="BN35" s="30">
        <f t="shared" si="27"/>
        <v>13786.199999999999</v>
      </c>
      <c r="BO35" s="30">
        <f t="shared" si="36"/>
        <v>21914.687122274048</v>
      </c>
      <c r="BQ35" s="30">
        <f t="shared" si="28"/>
        <v>5514.48</v>
      </c>
      <c r="BR35" s="30">
        <f t="shared" si="37"/>
        <v>14509.867640590199</v>
      </c>
      <c r="BS35" s="30"/>
      <c r="BT35" s="30">
        <f t="shared" si="29"/>
        <v>2757.24</v>
      </c>
      <c r="BU35" s="30">
        <f t="shared" si="38"/>
        <v>7404.8194816838522</v>
      </c>
      <c r="BW35" s="30">
        <f t="shared" si="30"/>
        <v>3.7409882713648912</v>
      </c>
      <c r="BX35" s="30">
        <f t="shared" si="39"/>
        <v>0</v>
      </c>
      <c r="BZ35" s="24">
        <f t="shared" si="48"/>
        <v>6.8076858543750021E-2</v>
      </c>
      <c r="CA35" s="24">
        <f t="shared" si="31"/>
        <v>6.807686375253523E-2</v>
      </c>
      <c r="CF35" s="23"/>
    </row>
    <row r="36" spans="1:84" x14ac:dyDescent="0.25">
      <c r="A36" s="19"/>
      <c r="B36" s="20" t="str">
        <f t="shared" ref="B36:C36" si="56">B12</f>
        <v>SUMATERA</v>
      </c>
      <c r="C36" s="20">
        <f t="shared" si="56"/>
        <v>2027</v>
      </c>
      <c r="D36" s="30">
        <f>(D12*(VLOOKUP(D$27,tech_data!$B$2:$O$15,6, FALSE)/100)*(1-(VLOOKUP(D$27,tech_data!$B$2:$O$15,7, FALSE)/100))*8760)/1000</f>
        <v>33481.743972671633</v>
      </c>
      <c r="E36" s="30">
        <f>(E12*(VLOOKUP(E$27,tech_data!$B$2:$O$15,6, FALSE)/100)*(1-(VLOOKUP(E$27,tech_data!$B$2:$O$15,7, FALSE)/100))*8760)/1000</f>
        <v>6106.034600560175</v>
      </c>
      <c r="F36" s="30">
        <f>(F12*(VLOOKUP(F$27,tech_data!$B$2:$O$15,6, FALSE)/100)*(1-(VLOOKUP(F$27,tech_data!$B$2:$O$15,7, FALSE)/100))*8760)/1000</f>
        <v>21609.328166442676</v>
      </c>
      <c r="G36" s="30">
        <f>(G12*(VLOOKUP(G$27,tech_data!$B$2:$O$15,6, FALSE)/100)*(1-(VLOOKUP(G$27,tech_data!$B$2:$O$15,7, FALSE)/100))*8760)/1000</f>
        <v>16963.36116316482</v>
      </c>
      <c r="H36" s="30">
        <f>(H12*(VLOOKUP(H$27,tech_data!$B$2:$O$15,6, FALSE)/100)*(1-(VLOOKUP(H$27,tech_data!$B$2:$O$15,7, FALSE)/100))*8760)/1000</f>
        <v>4393.1467384615389</v>
      </c>
      <c r="I36" s="30">
        <f>(I12*(VLOOKUP(I$27,tech_data!$B$2:$O$15,6, FALSE)/100)*(1-(VLOOKUP(I$27,tech_data!$B$2:$O$15,7, FALSE)/100))*8760)/1000</f>
        <v>8700.8474126769233</v>
      </c>
      <c r="J36" s="30">
        <f>(J12*(VLOOKUP(J$27,tech_data!$B$2:$O$15,6, FALSE)/100)*(1-(VLOOKUP(J$27,tech_data!$B$2:$O$15,7, FALSE)/100))*8760)/1000</f>
        <v>2141.5519655803937</v>
      </c>
      <c r="K36" s="30">
        <f>(K12*(VLOOKUP(K$27,tech_data!$B$2:$O$15,6, FALSE)/100)*(1-(VLOOKUP(K$27,tech_data!$B$2:$O$15,7, FALSE)/100))*8760)/1000</f>
        <v>2498.5026341033508</v>
      </c>
      <c r="L36" s="30">
        <f>(L12*(VLOOKUP(L$27,tech_data!$B$2:$O$15,6, FALSE)/100)*(1-(VLOOKUP(L$27,tech_data!$B$2:$O$15,7, FALSE)/100))*8760)/1000</f>
        <v>17128.07060485004</v>
      </c>
      <c r="M36" s="30">
        <f>(M12*(VLOOKUP(M$27,tech_data!$B$2:$O$15,6, FALSE)/100)*(1-(VLOOKUP(M$27,tech_data!$B$2:$O$15,7, FALSE)/100))*8760)/1000</f>
        <v>91.412554153846145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31.739935662009003</v>
      </c>
      <c r="Q36" s="34">
        <f t="shared" si="18"/>
        <v>113113.99981266541</v>
      </c>
      <c r="R36" s="34">
        <f>proj_rukn!D30</f>
        <v>113114</v>
      </c>
      <c r="S36" s="35"/>
      <c r="T36" s="19"/>
      <c r="U36" s="20" t="str">
        <f t="shared" si="19"/>
        <v>SUMATERA</v>
      </c>
      <c r="V36" s="20">
        <f t="shared" si="19"/>
        <v>2027</v>
      </c>
      <c r="W36" s="29">
        <f t="shared" si="20"/>
        <v>0.29600000024862239</v>
      </c>
      <c r="X36" s="29">
        <f t="shared" si="20"/>
        <v>5.3981245563526438E-2</v>
      </c>
      <c r="Y36" s="29">
        <f t="shared" si="20"/>
        <v>0.1910402620562541</v>
      </c>
      <c r="Z36" s="29">
        <f t="shared" si="20"/>
        <v>0.14996694654294621</v>
      </c>
      <c r="AA36" s="29">
        <f t="shared" si="20"/>
        <v>3.8838222905540266E-2</v>
      </c>
      <c r="AB36" s="29">
        <f t="shared" si="20"/>
        <v>7.6921048031957998E-2</v>
      </c>
      <c r="AC36" s="29">
        <f t="shared" si="20"/>
        <v>1.8932687104400346E-2</v>
      </c>
      <c r="AD36" s="29">
        <f t="shared" si="20"/>
        <v>2.2088358985105864E-2</v>
      </c>
      <c r="AE36" s="29">
        <f t="shared" si="20"/>
        <v>0.15142308320116715</v>
      </c>
      <c r="AF36" s="29">
        <f t="shared" si="20"/>
        <v>8.0814536047916022E-4</v>
      </c>
      <c r="AG36" s="29">
        <f t="shared" si="20"/>
        <v>0</v>
      </c>
      <c r="AH36" s="29">
        <f t="shared" si="20"/>
        <v>0</v>
      </c>
      <c r="AI36" s="29">
        <f t="shared" si="20"/>
        <v>2.8060130235492805E-4</v>
      </c>
      <c r="AJ36" s="29">
        <f t="shared" si="21"/>
        <v>0.99999999999999989</v>
      </c>
      <c r="AM36" s="23"/>
      <c r="AO36" s="20" t="str">
        <f t="shared" si="41"/>
        <v>SUMATERA</v>
      </c>
      <c r="AP36" s="20">
        <f t="shared" si="42"/>
        <v>2027</v>
      </c>
      <c r="AQ36" s="25">
        <f t="shared" si="22"/>
        <v>0.29600000024862239</v>
      </c>
      <c r="AR36" s="25">
        <f t="shared" si="23"/>
        <v>0.24502150761978053</v>
      </c>
      <c r="AS36" s="25">
        <f t="shared" si="24"/>
        <v>0.14996694654294621</v>
      </c>
      <c r="AT36" s="37">
        <f t="shared" si="25"/>
        <v>0.30901154558865074</v>
      </c>
      <c r="AU36" s="24">
        <f t="shared" si="33"/>
        <v>0.99999999999999978</v>
      </c>
      <c r="AW36" s="24">
        <f t="shared" ref="AW36:AW47" si="57">$BD$30+((AP36-$BC$30)*($BD$31-$BD$30)/($BC$31-$BC$30))</f>
        <v>0.29599999999999999</v>
      </c>
      <c r="AX36" s="24">
        <f t="shared" si="26"/>
        <v>0.22920000000000001</v>
      </c>
      <c r="AY36" s="24">
        <f t="shared" si="44"/>
        <v>0.17907987040489198</v>
      </c>
      <c r="AZ36" s="25">
        <f t="shared" si="54"/>
        <v>0.2364</v>
      </c>
      <c r="BA36" s="24">
        <f t="shared" si="35"/>
        <v>0.94067987040489198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55"/>
        <v>1</v>
      </c>
      <c r="BJ36" s="19"/>
      <c r="BK36" s="20" t="str">
        <f t="shared" si="46"/>
        <v>SUMATERA</v>
      </c>
      <c r="BL36" s="20">
        <f t="shared" si="47"/>
        <v>2027</v>
      </c>
      <c r="BM36" s="34">
        <f>VLOOKUP(BL36,proj_rukn!$B$22:$E$41,4,FALSE)</f>
        <v>13836</v>
      </c>
      <c r="BN36" s="30">
        <f t="shared" si="27"/>
        <v>15911.4</v>
      </c>
      <c r="BO36" s="30">
        <f t="shared" si="36"/>
        <v>22832.555417026608</v>
      </c>
      <c r="BQ36" s="30">
        <f t="shared" si="28"/>
        <v>6364.56</v>
      </c>
      <c r="BR36" s="30">
        <f t="shared" si="37"/>
        <v>15426.554933105739</v>
      </c>
      <c r="BS36" s="30"/>
      <c r="BT36" s="30">
        <f t="shared" si="29"/>
        <v>3182.28</v>
      </c>
      <c r="BU36" s="30">
        <f t="shared" si="38"/>
        <v>7406.0004839208723</v>
      </c>
      <c r="BW36" s="30">
        <f t="shared" si="30"/>
        <v>4.9813086925320205</v>
      </c>
      <c r="BX36" s="30">
        <f t="shared" si="39"/>
        <v>0</v>
      </c>
      <c r="BZ36" s="24">
        <f t="shared" si="48"/>
        <v>7.1480701470937519E-2</v>
      </c>
      <c r="CA36" s="24">
        <f t="shared" si="31"/>
        <v>7.1480691580726216E-2</v>
      </c>
      <c r="CF36" s="23"/>
    </row>
    <row r="37" spans="1:84" x14ac:dyDescent="0.25">
      <c r="A37" s="19"/>
      <c r="B37" s="20" t="str">
        <f t="shared" ref="B37:C37" si="58">B13</f>
        <v>SUMATERA</v>
      </c>
      <c r="C37" s="20">
        <f t="shared" si="58"/>
        <v>2028</v>
      </c>
      <c r="D37" s="30">
        <f>(D13*(VLOOKUP(D$27,tech_data!$B$2:$O$15,6, FALSE)/100)*(1-(VLOOKUP(D$27,tech_data!$B$2:$O$15,7, FALSE)/100))*8760)/1000</f>
        <v>35382.01667049704</v>
      </c>
      <c r="E37" s="30">
        <f>(E13*(VLOOKUP(E$27,tech_data!$B$2:$O$15,6, FALSE)/100)*(1-(VLOOKUP(E$27,tech_data!$B$2:$O$15,7, FALSE)/100))*8760)/1000</f>
        <v>6106.034600560175</v>
      </c>
      <c r="F37" s="30">
        <f>(F13*(VLOOKUP(F$27,tech_data!$B$2:$O$15,6, FALSE)/100)*(1-(VLOOKUP(F$27,tech_data!$B$2:$O$15,7, FALSE)/100))*8760)/1000</f>
        <v>26322.71081201937</v>
      </c>
      <c r="G37" s="30">
        <f>(G13*(VLOOKUP(G$27,tech_data!$B$2:$O$15,6, FALSE)/100)*(1-(VLOOKUP(G$27,tech_data!$B$2:$O$15,7, FALSE)/100))*8760)/1000</f>
        <v>16963.36116316482</v>
      </c>
      <c r="H37" s="30">
        <f>(H13*(VLOOKUP(H$27,tech_data!$B$2:$O$15,6, FALSE)/100)*(1-(VLOOKUP(H$27,tech_data!$B$2:$O$15,7, FALSE)/100))*8760)/1000</f>
        <v>4393.1467384615389</v>
      </c>
      <c r="I37" s="30">
        <f>(I13*(VLOOKUP(I$27,tech_data!$B$2:$O$15,6, FALSE)/100)*(1-(VLOOKUP(I$27,tech_data!$B$2:$O$15,7, FALSE)/100))*8760)/1000</f>
        <v>8700.8474126769233</v>
      </c>
      <c r="J37" s="30">
        <f>(J13*(VLOOKUP(J$27,tech_data!$B$2:$O$15,6, FALSE)/100)*(1-(VLOOKUP(J$27,tech_data!$B$2:$O$15,7, FALSE)/100))*8760)/1000</f>
        <v>2141.5519655803937</v>
      </c>
      <c r="K37" s="30">
        <f>(K13*(VLOOKUP(K$27,tech_data!$B$2:$O$15,6, FALSE)/100)*(1-(VLOOKUP(K$27,tech_data!$B$2:$O$15,7, FALSE)/100))*8760)/1000</f>
        <v>2669.9137260271909</v>
      </c>
      <c r="L37" s="30">
        <f>(L13*(VLOOKUP(L$27,tech_data!$B$2:$O$15,6, FALSE)/100)*(1-(VLOOKUP(L$27,tech_data!$B$2:$O$15,7, FALSE)/100))*8760)/1000</f>
        <v>17576.015457349942</v>
      </c>
      <c r="M37" s="30">
        <f>(M13*(VLOOKUP(M$27,tech_data!$B$2:$O$15,6, FALSE)/100)*(1-(VLOOKUP(M$27,tech_data!$B$2:$O$15,7, FALSE)/100))*8760)/1000</f>
        <v>91.412554153846145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33.642950230306042</v>
      </c>
      <c r="Q37" s="34">
        <f t="shared" si="18"/>
        <v>120347.01110049126</v>
      </c>
      <c r="R37" s="34">
        <f>proj_rukn!D31</f>
        <v>120347</v>
      </c>
      <c r="S37" s="35"/>
      <c r="T37" s="19"/>
      <c r="U37" s="20" t="str">
        <f t="shared" si="19"/>
        <v>SUMATERA</v>
      </c>
      <c r="V37" s="20">
        <f t="shared" si="19"/>
        <v>2028</v>
      </c>
      <c r="W37" s="29">
        <f t="shared" si="20"/>
        <v>0.29399996183496913</v>
      </c>
      <c r="X37" s="29">
        <f t="shared" si="20"/>
        <v>5.0736902767461005E-2</v>
      </c>
      <c r="Y37" s="29">
        <f t="shared" si="20"/>
        <v>0.21872342795484614</v>
      </c>
      <c r="Z37" s="29">
        <f t="shared" si="20"/>
        <v>0.14095373875966227</v>
      </c>
      <c r="AA37" s="29">
        <f t="shared" si="20"/>
        <v>3.6503995390406552E-2</v>
      </c>
      <c r="AB37" s="29">
        <f t="shared" si="20"/>
        <v>7.2297993386903528E-2</v>
      </c>
      <c r="AC37" s="29">
        <f t="shared" si="20"/>
        <v>1.7794808080378258E-2</v>
      </c>
      <c r="AD37" s="29">
        <f t="shared" si="20"/>
        <v>2.2185127005753216E-2</v>
      </c>
      <c r="AE37" s="29">
        <f t="shared" si="20"/>
        <v>0.1460444700423324</v>
      </c>
      <c r="AF37" s="29">
        <f t="shared" si="20"/>
        <v>7.595747772872857E-4</v>
      </c>
      <c r="AG37" s="29">
        <f t="shared" si="20"/>
        <v>0</v>
      </c>
      <c r="AH37" s="29">
        <f t="shared" si="20"/>
        <v>0</v>
      </c>
      <c r="AI37" s="29">
        <f t="shared" si="20"/>
        <v>2.7954952867266275E-4</v>
      </c>
      <c r="AJ37" s="29">
        <f t="shared" si="21"/>
        <v>0.99999999999999978</v>
      </c>
      <c r="AM37" s="23"/>
      <c r="AO37" s="20" t="str">
        <f t="shared" si="41"/>
        <v>SUMATERA</v>
      </c>
      <c r="AP37" s="20">
        <f t="shared" si="42"/>
        <v>2028</v>
      </c>
      <c r="AQ37" s="25">
        <f t="shared" si="22"/>
        <v>0.29399996183496913</v>
      </c>
      <c r="AR37" s="25">
        <f t="shared" si="23"/>
        <v>0.26946033072230713</v>
      </c>
      <c r="AS37" s="25">
        <f t="shared" si="24"/>
        <v>0.14095373875966227</v>
      </c>
      <c r="AT37" s="37">
        <f t="shared" si="25"/>
        <v>0.29558596868306125</v>
      </c>
      <c r="AU37" s="24">
        <f t="shared" si="33"/>
        <v>0.99999999999999978</v>
      </c>
      <c r="AW37" s="24">
        <f t="shared" si="57"/>
        <v>0.29399999999999998</v>
      </c>
      <c r="AX37" s="24">
        <f t="shared" si="26"/>
        <v>0.23380000000000001</v>
      </c>
      <c r="AY37" s="24">
        <f t="shared" si="44"/>
        <v>0.17549827299679413</v>
      </c>
      <c r="AZ37" s="25">
        <f t="shared" si="54"/>
        <v>0.23960000000000001</v>
      </c>
      <c r="BA37" s="24">
        <f t="shared" si="35"/>
        <v>0.94289827299679418</v>
      </c>
      <c r="BJ37" s="19"/>
      <c r="BK37" s="20" t="str">
        <f t="shared" si="46"/>
        <v>SUMATERA</v>
      </c>
      <c r="BL37" s="20">
        <f t="shared" si="47"/>
        <v>2028</v>
      </c>
      <c r="BM37" s="34">
        <f>VLOOKUP(BL37,proj_rukn!$B$22:$E$41,4,FALSE)</f>
        <v>14711</v>
      </c>
      <c r="BN37" s="30">
        <f t="shared" si="27"/>
        <v>16917.649999999998</v>
      </c>
      <c r="BO37" s="30">
        <f t="shared" si="36"/>
        <v>24928.09600540471</v>
      </c>
      <c r="BQ37" s="30">
        <f t="shared" si="28"/>
        <v>6767.0599999999995</v>
      </c>
      <c r="BR37" s="30">
        <f t="shared" si="37"/>
        <v>17521.560500478321</v>
      </c>
      <c r="BS37" s="30"/>
      <c r="BT37" s="30">
        <f t="shared" si="29"/>
        <v>3383.5299999999997</v>
      </c>
      <c r="BU37" s="30">
        <f t="shared" si="38"/>
        <v>7406.5355049263871</v>
      </c>
      <c r="BW37" s="30">
        <f t="shared" si="30"/>
        <v>5.1007210169493442</v>
      </c>
      <c r="BX37" s="30">
        <f t="shared" si="39"/>
        <v>0</v>
      </c>
      <c r="BZ37" s="24">
        <f t="shared" si="48"/>
        <v>7.5054736544484399E-2</v>
      </c>
      <c r="CA37" s="24">
        <f t="shared" si="31"/>
        <v>7.5054736544483858E-2</v>
      </c>
      <c r="CF37" s="23"/>
    </row>
    <row r="38" spans="1:84" x14ac:dyDescent="0.25">
      <c r="A38" s="19"/>
      <c r="B38" s="20" t="str">
        <f t="shared" ref="B38:C38" si="59">B14</f>
        <v>SUMATERA</v>
      </c>
      <c r="C38" s="20">
        <f t="shared" si="59"/>
        <v>2029</v>
      </c>
      <c r="D38" s="30">
        <f>(D14*(VLOOKUP(D$27,tech_data!$B$2:$O$15,6, FALSE)/100)*(1-(VLOOKUP(D$27,tech_data!$B$2:$O$15,7, FALSE)/100))*8760)/1000</f>
        <v>37377.751572035435</v>
      </c>
      <c r="E38" s="30">
        <f>(E14*(VLOOKUP(E$27,tech_data!$B$2:$O$15,6, FALSE)/100)*(1-(VLOOKUP(E$27,tech_data!$B$2:$O$15,7, FALSE)/100))*8760)/1000</f>
        <v>6106.034600560175</v>
      </c>
      <c r="F38" s="30">
        <f>(F14*(VLOOKUP(F$27,tech_data!$B$2:$O$15,6, FALSE)/100)*(1-(VLOOKUP(F$27,tech_data!$B$2:$O$15,7, FALSE)/100))*8760)/1000</f>
        <v>31429.053444105841</v>
      </c>
      <c r="G38" s="30">
        <f>(G14*(VLOOKUP(G$27,tech_data!$B$2:$O$15,6, FALSE)/100)*(1-(VLOOKUP(G$27,tech_data!$B$2:$O$15,7, FALSE)/100))*8760)/1000</f>
        <v>16963.36116316482</v>
      </c>
      <c r="H38" s="30">
        <f>(H14*(VLOOKUP(H$27,tech_data!$B$2:$O$15,6, FALSE)/100)*(1-(VLOOKUP(H$27,tech_data!$B$2:$O$15,7, FALSE)/100))*8760)/1000</f>
        <v>4393.1467384615389</v>
      </c>
      <c r="I38" s="30">
        <f>(I14*(VLOOKUP(I$27,tech_data!$B$2:$O$15,6, FALSE)/100)*(1-(VLOOKUP(I$27,tech_data!$B$2:$O$15,7, FALSE)/100))*8760)/1000</f>
        <v>8700.8474126769233</v>
      </c>
      <c r="J38" s="30">
        <f>(J14*(VLOOKUP(J$27,tech_data!$B$2:$O$15,6, FALSE)/100)*(1-(VLOOKUP(J$27,tech_data!$B$2:$O$15,7, FALSE)/100))*8760)/1000</f>
        <v>2141.5521928328062</v>
      </c>
      <c r="K38" s="30">
        <f>(K14*(VLOOKUP(K$27,tech_data!$B$2:$O$15,6, FALSE)/100)*(1-(VLOOKUP(K$27,tech_data!$B$2:$O$15,7, FALSE)/100))*8760)/1000</f>
        <v>2858.2883874518643</v>
      </c>
      <c r="L38" s="30">
        <f>(L14*(VLOOKUP(L$27,tech_data!$B$2:$O$15,6, FALSE)/100)*(1-(VLOOKUP(L$27,tech_data!$B$2:$O$15,7, FALSE)/100))*8760)/1000</f>
        <v>17943.865231687229</v>
      </c>
      <c r="M38" s="30">
        <f>(M14*(VLOOKUP(M$27,tech_data!$B$2:$O$15,6, FALSE)/100)*(1-(VLOOKUP(M$27,tech_data!$B$2:$O$15,7, FALSE)/100))*8760)/1000</f>
        <v>91.412554153846145</v>
      </c>
      <c r="N38" s="30">
        <f>(N14*(VLOOKUP(N$27,tech_data!$B$2:$O$15,6, FALSE)/100)*(1-(VLOOKUP(N$27,tech_data!$B$2:$O$15,7, FALSE)/100))*8760)/1000</f>
        <v>0.68711837797748387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35.638342131113511</v>
      </c>
      <c r="Q38" s="34">
        <f t="shared" si="18"/>
        <v>128006.00041550846</v>
      </c>
      <c r="R38" s="34">
        <f>proj_rukn!D32</f>
        <v>128006</v>
      </c>
      <c r="S38" s="35"/>
      <c r="T38" s="19"/>
      <c r="U38" s="20" t="str">
        <f t="shared" si="19"/>
        <v>SUMATERA</v>
      </c>
      <c r="V38" s="20">
        <f t="shared" si="19"/>
        <v>2029</v>
      </c>
      <c r="W38" s="29">
        <f t="shared" si="20"/>
        <v>0.29199999570884932</v>
      </c>
      <c r="X38" s="29">
        <f t="shared" si="20"/>
        <v>4.7701159170194678E-2</v>
      </c>
      <c r="Y38" s="29">
        <f t="shared" si="20"/>
        <v>0.24552797011145486</v>
      </c>
      <c r="Z38" s="29">
        <f t="shared" si="20"/>
        <v>0.1325200467798511</v>
      </c>
      <c r="AA38" s="29">
        <f t="shared" si="20"/>
        <v>3.4319850039852433E-2</v>
      </c>
      <c r="AB38" s="29">
        <f t="shared" si="20"/>
        <v>6.7972183994765137E-2</v>
      </c>
      <c r="AC38" s="29">
        <f t="shared" si="20"/>
        <v>1.6730092229124506E-2</v>
      </c>
      <c r="AD38" s="29">
        <f t="shared" si="20"/>
        <v>2.2329331267079967E-2</v>
      </c>
      <c r="AE38" s="29">
        <f t="shared" si="20"/>
        <v>0.14017987573583507</v>
      </c>
      <c r="AF38" s="29">
        <f t="shared" si="20"/>
        <v>7.1412710230083192E-4</v>
      </c>
      <c r="AG38" s="29">
        <f t="shared" si="20"/>
        <v>5.3678606920542186E-6</v>
      </c>
      <c r="AH38" s="29">
        <f t="shared" si="20"/>
        <v>0</v>
      </c>
      <c r="AI38" s="29">
        <f t="shared" si="20"/>
        <v>2.7841149645665969E-4</v>
      </c>
      <c r="AJ38" s="29">
        <f t="shared" si="21"/>
        <v>0.99999999999999967</v>
      </c>
      <c r="AM38" s="23"/>
      <c r="AO38" s="20" t="str">
        <f t="shared" si="41"/>
        <v>SUMATERA</v>
      </c>
      <c r="AP38" s="20">
        <f t="shared" si="42"/>
        <v>2029</v>
      </c>
      <c r="AQ38" s="25">
        <f t="shared" si="22"/>
        <v>0.29199999570884932</v>
      </c>
      <c r="AR38" s="25">
        <f t="shared" si="23"/>
        <v>0.29322912928164957</v>
      </c>
      <c r="AS38" s="25">
        <f t="shared" si="24"/>
        <v>0.1325200467798511</v>
      </c>
      <c r="AT38" s="37">
        <f t="shared" si="25"/>
        <v>0.28225082822965003</v>
      </c>
      <c r="AU38" s="24">
        <f t="shared" si="33"/>
        <v>1</v>
      </c>
      <c r="AW38" s="24">
        <f t="shared" si="57"/>
        <v>0.29199999999999998</v>
      </c>
      <c r="AX38" s="24">
        <f t="shared" si="26"/>
        <v>0.2384</v>
      </c>
      <c r="AY38" s="24">
        <f t="shared" si="44"/>
        <v>0.17198830753685823</v>
      </c>
      <c r="AZ38" s="25">
        <f t="shared" si="54"/>
        <v>0.24280000000000002</v>
      </c>
      <c r="BA38" s="24">
        <f t="shared" si="35"/>
        <v>0.94518830753685823</v>
      </c>
      <c r="BJ38" s="19"/>
      <c r="BK38" s="20" t="str">
        <f t="shared" si="46"/>
        <v>SUMATERA</v>
      </c>
      <c r="BL38" s="20">
        <f t="shared" si="47"/>
        <v>2029</v>
      </c>
      <c r="BM38" s="34">
        <f>VLOOKUP(BL38,proj_rukn!$B$22:$E$41,4,FALSE)</f>
        <v>15980.230365705858</v>
      </c>
      <c r="BN38" s="30">
        <f t="shared" si="27"/>
        <v>18377.264920561734</v>
      </c>
      <c r="BO38" s="30">
        <f t="shared" si="36"/>
        <v>27185.340629537073</v>
      </c>
      <c r="BQ38" s="30">
        <f t="shared" si="28"/>
        <v>7350.9059682246943</v>
      </c>
      <c r="BR38" s="30">
        <f t="shared" si="37"/>
        <v>19778.244132278338</v>
      </c>
      <c r="BS38" s="30"/>
      <c r="BT38" s="30">
        <f t="shared" si="29"/>
        <v>3675.4529841123472</v>
      </c>
      <c r="BU38" s="30">
        <f t="shared" si="38"/>
        <v>7407.0964972587381</v>
      </c>
      <c r="BW38" s="30">
        <f t="shared" si="30"/>
        <v>5.2118368553513443</v>
      </c>
      <c r="BX38" s="30">
        <f t="shared" si="39"/>
        <v>0.22801793895929037</v>
      </c>
      <c r="BZ38" s="24">
        <f t="shared" si="48"/>
        <v>7.8807473371708625E-2</v>
      </c>
      <c r="CA38" s="24">
        <f t="shared" si="31"/>
        <v>7.9111658970623014E-2</v>
      </c>
      <c r="CF38" s="23"/>
    </row>
    <row r="39" spans="1:84" x14ac:dyDescent="0.25">
      <c r="A39" s="19"/>
      <c r="B39" s="20" t="str">
        <f t="shared" ref="B39:C39" si="60">B15</f>
        <v>SUMATERA</v>
      </c>
      <c r="C39" s="20">
        <f t="shared" si="60"/>
        <v>2030</v>
      </c>
      <c r="D39" s="30">
        <f>(D15*(VLOOKUP(D$27,tech_data!$B$2:$O$15,6, FALSE)/100)*(1-(VLOOKUP(D$27,tech_data!$B$2:$O$15,7, FALSE)/100))*8760)/1000</f>
        <v>39402.880287842156</v>
      </c>
      <c r="E39" s="30">
        <f>(E15*(VLOOKUP(E$27,tech_data!$B$2:$O$15,6, FALSE)/100)*(1-(VLOOKUP(E$27,tech_data!$B$2:$O$15,7, FALSE)/100))*8760)/1000</f>
        <v>6106.034600560175</v>
      </c>
      <c r="F39" s="30">
        <f>(F15*(VLOOKUP(F$27,tech_data!$B$2:$O$15,6, FALSE)/100)*(1-(VLOOKUP(F$27,tech_data!$B$2:$O$15,7, FALSE)/100))*8760)/1000</f>
        <v>34229.619450651473</v>
      </c>
      <c r="G39" s="30">
        <f>(G15*(VLOOKUP(G$27,tech_data!$B$2:$O$15,6, FALSE)/100)*(1-(VLOOKUP(G$27,tech_data!$B$2:$O$15,7, FALSE)/100))*8760)/1000</f>
        <v>16963.375524135121</v>
      </c>
      <c r="H39" s="30">
        <f>(H15*(VLOOKUP(H$27,tech_data!$B$2:$O$15,6, FALSE)/100)*(1-(VLOOKUP(H$27,tech_data!$B$2:$O$15,7, FALSE)/100))*8760)/1000</f>
        <v>4393.1467384615389</v>
      </c>
      <c r="I39" s="30">
        <f>(I15*(VLOOKUP(I$27,tech_data!$B$2:$O$15,6, FALSE)/100)*(1-(VLOOKUP(I$27,tech_data!$B$2:$O$15,7, FALSE)/100))*8760)/1000</f>
        <v>8700.847415310569</v>
      </c>
      <c r="J39" s="30">
        <f>(J15*(VLOOKUP(J$27,tech_data!$B$2:$O$15,6, FALSE)/100)*(1-(VLOOKUP(J$27,tech_data!$B$2:$O$15,7, FALSE)/100))*8760)/1000</f>
        <v>2141.5521932054985</v>
      </c>
      <c r="K39" s="30">
        <f>(K15*(VLOOKUP(K$27,tech_data!$B$2:$O$15,6, FALSE)/100)*(1-(VLOOKUP(K$27,tech_data!$B$2:$O$15,7, FALSE)/100))*8760)/1000</f>
        <v>5898.5801423685343</v>
      </c>
      <c r="L39" s="30">
        <f>(L15*(VLOOKUP(L$27,tech_data!$B$2:$O$15,6, FALSE)/100)*(1-(VLOOKUP(L$27,tech_data!$B$2:$O$15,7, FALSE)/100))*8760)/1000</f>
        <v>17943.864966950827</v>
      </c>
      <c r="M39" s="30">
        <f>(M15*(VLOOKUP(M$27,tech_data!$B$2:$O$15,6, FALSE)/100)*(1-(VLOOKUP(M$27,tech_data!$B$2:$O$15,7, FALSE)/100))*8760)/1000</f>
        <v>91.412554153846145</v>
      </c>
      <c r="N39" s="30">
        <f>(N15*(VLOOKUP(N$27,tech_data!$B$2:$O$15,6, FALSE)/100)*(1-(VLOOKUP(N$27,tech_data!$B$2:$O$15,7, FALSE)/100))*8760)/1000</f>
        <v>0.68711837797748387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38.179184528111641</v>
      </c>
      <c r="Q39" s="34">
        <f t="shared" si="18"/>
        <v>135872.00099201771</v>
      </c>
      <c r="R39" s="34">
        <f>proj_rukn!D33</f>
        <v>135872</v>
      </c>
      <c r="S39" s="35"/>
      <c r="T39" s="19"/>
      <c r="U39" s="20" t="str">
        <f t="shared" si="19"/>
        <v>SUMATERA</v>
      </c>
      <c r="V39" s="20">
        <f t="shared" si="19"/>
        <v>2030</v>
      </c>
      <c r="W39" s="29">
        <f t="shared" si="20"/>
        <v>0.29000000000115567</v>
      </c>
      <c r="X39" s="29">
        <f t="shared" si="20"/>
        <v>4.4939609014214017E-2</v>
      </c>
      <c r="Y39" s="29">
        <f t="shared" si="20"/>
        <v>0.25192548281277183</v>
      </c>
      <c r="Z39" s="29">
        <f t="shared" si="20"/>
        <v>0.12484820566624094</v>
      </c>
      <c r="AA39" s="29">
        <f t="shared" si="20"/>
        <v>3.2332980351997838E-2</v>
      </c>
      <c r="AB39" s="29">
        <f t="shared" si="20"/>
        <v>6.4037088964500721E-2</v>
      </c>
      <c r="AC39" s="29">
        <f t="shared" si="20"/>
        <v>1.5761541580088394E-2</v>
      </c>
      <c r="AD39" s="29">
        <f t="shared" si="20"/>
        <v>4.3412771573998296E-2</v>
      </c>
      <c r="AE39" s="29">
        <f t="shared" si="20"/>
        <v>0.1320644785970658</v>
      </c>
      <c r="AF39" s="29">
        <f t="shared" si="20"/>
        <v>6.7278433736481518E-4</v>
      </c>
      <c r="AG39" s="29">
        <f t="shared" si="20"/>
        <v>5.0571006017483403E-6</v>
      </c>
      <c r="AH39" s="29">
        <f t="shared" si="20"/>
        <v>0</v>
      </c>
      <c r="AI39" s="29">
        <f t="shared" si="20"/>
        <v>2.8099376066710471E-4</v>
      </c>
      <c r="AJ39" s="29">
        <f t="shared" si="21"/>
        <v>1.0000000000000002</v>
      </c>
      <c r="AM39" s="23"/>
      <c r="AO39" s="20" t="str">
        <f t="shared" si="41"/>
        <v>SUMATERA</v>
      </c>
      <c r="AP39" s="20">
        <f t="shared" si="42"/>
        <v>2030</v>
      </c>
      <c r="AQ39" s="25">
        <f t="shared" si="22"/>
        <v>0.29000000000115567</v>
      </c>
      <c r="AR39" s="25">
        <f t="shared" si="23"/>
        <v>0.29686509182698584</v>
      </c>
      <c r="AS39" s="25">
        <f t="shared" si="24"/>
        <v>0.12484820566624094</v>
      </c>
      <c r="AT39" s="37">
        <f t="shared" si="25"/>
        <v>0.28828670250561761</v>
      </c>
      <c r="AU39" s="24">
        <f t="shared" si="33"/>
        <v>1</v>
      </c>
      <c r="AW39" s="24">
        <f t="shared" si="57"/>
        <v>0.28999999999999998</v>
      </c>
      <c r="AX39" s="24">
        <f t="shared" si="26"/>
        <v>0.24300000000000002</v>
      </c>
      <c r="AY39" s="24">
        <f t="shared" si="44"/>
        <v>0.16854854138612108</v>
      </c>
      <c r="AZ39" s="25">
        <f t="shared" si="54"/>
        <v>0.246</v>
      </c>
      <c r="BA39" s="24">
        <f t="shared" si="35"/>
        <v>0.9475485413861211</v>
      </c>
      <c r="BJ39" s="19"/>
      <c r="BK39" s="20" t="str">
        <f t="shared" si="46"/>
        <v>SUMATERA</v>
      </c>
      <c r="BL39" s="20">
        <f t="shared" si="47"/>
        <v>2030</v>
      </c>
      <c r="BM39" s="34">
        <f>VLOOKUP(BL39,proj_rukn!$B$22:$E$41,4,FALSE)</f>
        <v>17358.966932297437</v>
      </c>
      <c r="BN39" s="30">
        <f t="shared" si="27"/>
        <v>19962.811972142052</v>
      </c>
      <c r="BO39" s="30">
        <f t="shared" si="36"/>
        <v>28615.63667082947</v>
      </c>
      <c r="BQ39" s="30">
        <f t="shared" si="28"/>
        <v>7985.1247888568214</v>
      </c>
      <c r="BR39" s="30">
        <f t="shared" si="37"/>
        <v>21207.822956767253</v>
      </c>
      <c r="BS39" s="30"/>
      <c r="BT39" s="30">
        <f t="shared" si="29"/>
        <v>3992.5623944284107</v>
      </c>
      <c r="BU39" s="30">
        <f t="shared" si="38"/>
        <v>7407.8137140622166</v>
      </c>
      <c r="BW39" s="30">
        <f t="shared" si="30"/>
        <v>6.0381826907982354</v>
      </c>
      <c r="BX39" s="30">
        <f t="shared" si="39"/>
        <v>0.22801793895929037</v>
      </c>
      <c r="BZ39" s="24">
        <f t="shared" si="48"/>
        <v>8.2747847040294059E-2</v>
      </c>
      <c r="CA39" s="24">
        <f t="shared" si="31"/>
        <v>0.15058887973909357</v>
      </c>
      <c r="CF39" s="23"/>
    </row>
    <row r="40" spans="1:84" x14ac:dyDescent="0.25">
      <c r="A40" s="19"/>
      <c r="B40" s="20" t="str">
        <f t="shared" ref="B40:C40" si="61">B16</f>
        <v>SUMATERA</v>
      </c>
      <c r="C40" s="20">
        <f t="shared" si="61"/>
        <v>2031</v>
      </c>
      <c r="D40" s="30">
        <f>(D16*(VLOOKUP(D$27,tech_data!$B$2:$O$15,6, FALSE)/100)*(1-(VLOOKUP(D$27,tech_data!$B$2:$O$15,7, FALSE)/100))*8760)/1000</f>
        <v>41765.472969407871</v>
      </c>
      <c r="E40" s="30">
        <f>(E16*(VLOOKUP(E$27,tech_data!$B$2:$O$15,6, FALSE)/100)*(1-(VLOOKUP(E$27,tech_data!$B$2:$O$15,7, FALSE)/100))*8760)/1000</f>
        <v>6106.034600560175</v>
      </c>
      <c r="F40" s="30">
        <f>(F16*(VLOOKUP(F$27,tech_data!$B$2:$O$15,6, FALSE)/100)*(1-(VLOOKUP(F$27,tech_data!$B$2:$O$15,7, FALSE)/100))*8760)/1000</f>
        <v>39629.626013263922</v>
      </c>
      <c r="G40" s="30">
        <f>(G16*(VLOOKUP(G$27,tech_data!$B$2:$O$15,6, FALSE)/100)*(1-(VLOOKUP(G$27,tech_data!$B$2:$O$15,7, FALSE)/100))*8760)/1000</f>
        <v>16963.375524135121</v>
      </c>
      <c r="H40" s="30">
        <f>(H16*(VLOOKUP(H$27,tech_data!$B$2:$O$15,6, FALSE)/100)*(1-(VLOOKUP(H$27,tech_data!$B$2:$O$15,7, FALSE)/100))*8760)/1000</f>
        <v>4393.1467384615389</v>
      </c>
      <c r="I40" s="30">
        <f>(I16*(VLOOKUP(I$27,tech_data!$B$2:$O$15,6, FALSE)/100)*(1-(VLOOKUP(I$27,tech_data!$B$2:$O$15,7, FALSE)/100))*8760)/1000</f>
        <v>8700.847415310569</v>
      </c>
      <c r="J40" s="30">
        <f>(J16*(VLOOKUP(J$27,tech_data!$B$2:$O$15,6, FALSE)/100)*(1-(VLOOKUP(J$27,tech_data!$B$2:$O$15,7, FALSE)/100))*8760)/1000</f>
        <v>2141.5521932054985</v>
      </c>
      <c r="K40" s="30">
        <f>(K16*(VLOOKUP(K$27,tech_data!$B$2:$O$15,6, FALSE)/100)*(1-(VLOOKUP(K$27,tech_data!$B$2:$O$15,7, FALSE)/100))*8760)/1000</f>
        <v>5898.5801423685343</v>
      </c>
      <c r="L40" s="30">
        <f>(L16*(VLOOKUP(L$27,tech_data!$B$2:$O$15,6, FALSE)/100)*(1-(VLOOKUP(L$27,tech_data!$B$2:$O$15,7, FALSE)/100))*8760)/1000</f>
        <v>19328.287003872381</v>
      </c>
      <c r="M40" s="30">
        <f>(M16*(VLOOKUP(M$27,tech_data!$B$2:$O$15,6, FALSE)/100)*(1-(VLOOKUP(M$27,tech_data!$B$2:$O$15,7, FALSE)/100))*8760)/1000</f>
        <v>91.412554153846145</v>
      </c>
      <c r="N40" s="30">
        <f>(N16*(VLOOKUP(N$27,tech_data!$B$2:$O$15,6, FALSE)/100)*(1-(VLOOKUP(N$27,tech_data!$B$2:$O$15,7, FALSE)/100))*8760)/1000</f>
        <v>0.68711837797748387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40.705488795189801</v>
      </c>
      <c r="Q40" s="34">
        <f t="shared" si="18"/>
        <v>145019.02227311744</v>
      </c>
      <c r="R40" s="34">
        <f>proj_rukn!D34</f>
        <v>145019</v>
      </c>
      <c r="S40" s="35"/>
      <c r="T40" s="19"/>
      <c r="U40" s="20" t="str">
        <f t="shared" si="19"/>
        <v>SUMATERA</v>
      </c>
      <c r="V40" s="20">
        <f t="shared" si="19"/>
        <v>2031</v>
      </c>
      <c r="W40" s="29">
        <f t="shared" si="20"/>
        <v>0.28799996245147796</v>
      </c>
      <c r="X40" s="29">
        <f t="shared" si="20"/>
        <v>4.2105059769749022E-2</v>
      </c>
      <c r="Y40" s="29">
        <f t="shared" si="20"/>
        <v>0.27327191558793296</v>
      </c>
      <c r="Z40" s="29">
        <f t="shared" si="20"/>
        <v>0.11697345119447593</v>
      </c>
      <c r="AA40" s="29">
        <f t="shared" si="20"/>
        <v>3.0293589555360753E-2</v>
      </c>
      <c r="AB40" s="29">
        <f t="shared" si="20"/>
        <v>5.9997973223982135E-2</v>
      </c>
      <c r="AC40" s="29">
        <f t="shared" si="20"/>
        <v>1.4767388164928234E-2</v>
      </c>
      <c r="AD40" s="29">
        <f t="shared" si="20"/>
        <v>4.0674527037284886E-2</v>
      </c>
      <c r="AE40" s="29">
        <f t="shared" si="20"/>
        <v>0.13328104617524592</v>
      </c>
      <c r="AF40" s="29">
        <f t="shared" si="20"/>
        <v>6.3034871371348044E-4</v>
      </c>
      <c r="AG40" s="29">
        <f t="shared" si="20"/>
        <v>4.7381258486450081E-6</v>
      </c>
      <c r="AH40" s="29">
        <f t="shared" si="20"/>
        <v>0</v>
      </c>
      <c r="AI40" s="29">
        <f t="shared" si="20"/>
        <v>2.8069068565728073E-4</v>
      </c>
      <c r="AJ40" s="29">
        <f t="shared" si="21"/>
        <v>1</v>
      </c>
      <c r="AM40" s="23"/>
      <c r="AO40" s="20" t="str">
        <f t="shared" si="41"/>
        <v>SUMATERA</v>
      </c>
      <c r="AP40" s="20">
        <f t="shared" si="42"/>
        <v>2031</v>
      </c>
      <c r="AQ40" s="25">
        <f t="shared" si="22"/>
        <v>0.28799996245147796</v>
      </c>
      <c r="AR40" s="25">
        <f t="shared" si="23"/>
        <v>0.315376975357682</v>
      </c>
      <c r="AS40" s="25">
        <f t="shared" si="24"/>
        <v>0.11697345119447593</v>
      </c>
      <c r="AT40" s="37">
        <f t="shared" si="25"/>
        <v>0.2796496109963641</v>
      </c>
      <c r="AU40" s="24">
        <f t="shared" si="33"/>
        <v>1</v>
      </c>
      <c r="AW40" s="24">
        <f t="shared" si="57"/>
        <v>0.28799999999999998</v>
      </c>
      <c r="AX40" s="24">
        <f t="shared" si="26"/>
        <v>0.24760000000000001</v>
      </c>
      <c r="AY40" s="24">
        <f t="shared" si="44"/>
        <v>0.16517757055839866</v>
      </c>
      <c r="AZ40" s="25">
        <f t="shared" si="54"/>
        <v>0.2492</v>
      </c>
      <c r="BA40" s="24">
        <f t="shared" si="35"/>
        <v>0.9499775705583986</v>
      </c>
      <c r="BJ40" s="19"/>
      <c r="BK40" s="20" t="str">
        <f t="shared" si="46"/>
        <v>SUMATERA</v>
      </c>
      <c r="BL40" s="20">
        <f t="shared" si="47"/>
        <v>2031</v>
      </c>
      <c r="BM40" s="34">
        <f>VLOOKUP(BL40,proj_rukn!$B$22:$E$41,4,FALSE)</f>
        <v>18856.657636379809</v>
      </c>
      <c r="BN40" s="30">
        <f t="shared" si="27"/>
        <v>21685.156281836778</v>
      </c>
      <c r="BO40" s="30">
        <f t="shared" si="36"/>
        <v>31054.796807006929</v>
      </c>
      <c r="BQ40" s="30">
        <f t="shared" si="28"/>
        <v>8674.0625127347121</v>
      </c>
      <c r="BR40" s="30">
        <f t="shared" si="37"/>
        <v>23646.272837820172</v>
      </c>
      <c r="BS40" s="30"/>
      <c r="BT40" s="30">
        <f t="shared" si="29"/>
        <v>4337.031256367356</v>
      </c>
      <c r="BU40" s="30">
        <f t="shared" si="38"/>
        <v>7408.5239691867573</v>
      </c>
      <c r="BW40" s="30">
        <f t="shared" si="30"/>
        <v>6.2632503465800609</v>
      </c>
      <c r="BX40" s="30">
        <f t="shared" si="39"/>
        <v>0.22801793895929037</v>
      </c>
      <c r="BZ40" s="24">
        <f t="shared" si="48"/>
        <v>8.6885239392308772E-2</v>
      </c>
      <c r="CA40" s="24">
        <f t="shared" si="31"/>
        <v>0.1454481802866292</v>
      </c>
      <c r="CF40" s="23"/>
    </row>
    <row r="41" spans="1:84" x14ac:dyDescent="0.25">
      <c r="A41" s="19"/>
      <c r="B41" s="20" t="str">
        <f t="shared" ref="B41:C41" si="62">B17</f>
        <v>SUMATERA</v>
      </c>
      <c r="C41" s="20">
        <f t="shared" si="62"/>
        <v>2032</v>
      </c>
      <c r="D41" s="30">
        <f>(D17*(VLOOKUP(D$27,tech_data!$B$2:$O$15,6, FALSE)/100)*(1-(VLOOKUP(D$27,tech_data!$B$2:$O$15,7, FALSE)/100))*8760)/1000</f>
        <v>44275.388432055457</v>
      </c>
      <c r="E41" s="30">
        <f>(E17*(VLOOKUP(E$27,tech_data!$B$2:$O$15,6, FALSE)/100)*(1-(VLOOKUP(E$27,tech_data!$B$2:$O$15,7, FALSE)/100))*8760)/1000</f>
        <v>6106.034600560175</v>
      </c>
      <c r="F41" s="30">
        <f>(F17*(VLOOKUP(F$27,tech_data!$B$2:$O$15,6, FALSE)/100)*(1-(VLOOKUP(F$27,tech_data!$B$2:$O$15,7, FALSE)/100))*8760)/1000</f>
        <v>45418.010514974791</v>
      </c>
      <c r="G41" s="30">
        <f>(G17*(VLOOKUP(G$27,tech_data!$B$2:$O$15,6, FALSE)/100)*(1-(VLOOKUP(G$27,tech_data!$B$2:$O$15,7, FALSE)/100))*8760)/1000</f>
        <v>16963.375524135121</v>
      </c>
      <c r="H41" s="30">
        <f>(H17*(VLOOKUP(H$27,tech_data!$B$2:$O$15,6, FALSE)/100)*(1-(VLOOKUP(H$27,tech_data!$B$2:$O$15,7, FALSE)/100))*8760)/1000</f>
        <v>4393.1467384615389</v>
      </c>
      <c r="I41" s="30">
        <f>(I17*(VLOOKUP(I$27,tech_data!$B$2:$O$15,6, FALSE)/100)*(1-(VLOOKUP(I$27,tech_data!$B$2:$O$15,7, FALSE)/100))*8760)/1000</f>
        <v>8700.847415310569</v>
      </c>
      <c r="J41" s="30">
        <f>(J17*(VLOOKUP(J$27,tech_data!$B$2:$O$15,6, FALSE)/100)*(1-(VLOOKUP(J$27,tech_data!$B$2:$O$15,7, FALSE)/100))*8760)/1000</f>
        <v>2141.5521932054985</v>
      </c>
      <c r="K41" s="30">
        <f>(K17*(VLOOKUP(K$27,tech_data!$B$2:$O$15,6, FALSE)/100)*(1-(VLOOKUP(K$27,tech_data!$B$2:$O$15,7, FALSE)/100))*8760)/1000</f>
        <v>5898.5801423685343</v>
      </c>
      <c r="L41" s="30">
        <f>(L17*(VLOOKUP(L$27,tech_data!$B$2:$O$15,6, FALSE)/100)*(1-(VLOOKUP(L$27,tech_data!$B$2:$O$15,7, FALSE)/100))*8760)/1000</f>
        <v>20819.954408027235</v>
      </c>
      <c r="M41" s="30">
        <f>(M17*(VLOOKUP(M$27,tech_data!$B$2:$O$15,6, FALSE)/100)*(1-(VLOOKUP(M$27,tech_data!$B$2:$O$15,7, FALSE)/100))*8760)/1000</f>
        <v>91.412554153846145</v>
      </c>
      <c r="N41" s="30">
        <f>(N17*(VLOOKUP(N$27,tech_data!$B$2:$O$15,6, FALSE)/100)*(1-(VLOOKUP(N$27,tech_data!$B$2:$O$15,7, FALSE)/100))*8760)/1000</f>
        <v>0.68711837797748387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43.411345697154239</v>
      </c>
      <c r="Q41" s="34">
        <f t="shared" si="18"/>
        <v>154808.98964163073</v>
      </c>
      <c r="R41" s="34">
        <f>proj_rukn!D35</f>
        <v>154809</v>
      </c>
      <c r="S41" s="35"/>
      <c r="T41" s="19"/>
      <c r="U41" s="20" t="str">
        <f t="shared" si="19"/>
        <v>SUMATERA</v>
      </c>
      <c r="V41" s="20">
        <f t="shared" si="19"/>
        <v>2032</v>
      </c>
      <c r="W41" s="29">
        <f t="shared" si="20"/>
        <v>0.28600011236136291</v>
      </c>
      <c r="X41" s="29">
        <f t="shared" si="20"/>
        <v>3.9442377440064111E-2</v>
      </c>
      <c r="Y41" s="29">
        <f t="shared" si="20"/>
        <v>0.2933809633414281</v>
      </c>
      <c r="Z41" s="29">
        <f t="shared" si="20"/>
        <v>0.10957616585059983</v>
      </c>
      <c r="AA41" s="29">
        <f t="shared" si="20"/>
        <v>2.837785291817542E-2</v>
      </c>
      <c r="AB41" s="29">
        <f t="shared" si="20"/>
        <v>5.6203760747048796E-2</v>
      </c>
      <c r="AC41" s="29">
        <f t="shared" si="20"/>
        <v>1.3833513145218534E-2</v>
      </c>
      <c r="AD41" s="29">
        <f t="shared" si="20"/>
        <v>3.8102310182523844E-2</v>
      </c>
      <c r="AE41" s="29">
        <f t="shared" si="20"/>
        <v>0.13448801943752497</v>
      </c>
      <c r="AF41" s="29">
        <f t="shared" si="20"/>
        <v>5.9048608459662591E-4</v>
      </c>
      <c r="AG41" s="29">
        <f t="shared" si="20"/>
        <v>4.4384914569115323E-6</v>
      </c>
      <c r="AH41" s="29">
        <f t="shared" si="20"/>
        <v>0</v>
      </c>
      <c r="AI41" s="29">
        <f t="shared" si="20"/>
        <v>2.8041876507073463E-4</v>
      </c>
      <c r="AJ41" s="29">
        <f t="shared" si="21"/>
        <v>1</v>
      </c>
      <c r="AM41" s="23"/>
      <c r="AO41" s="20" t="str">
        <f t="shared" si="41"/>
        <v>SUMATERA</v>
      </c>
      <c r="AP41" s="20">
        <f t="shared" si="42"/>
        <v>2032</v>
      </c>
      <c r="AQ41" s="25">
        <f t="shared" si="22"/>
        <v>0.28600011236136291</v>
      </c>
      <c r="AR41" s="25">
        <f t="shared" si="23"/>
        <v>0.33282334078149223</v>
      </c>
      <c r="AS41" s="25">
        <f t="shared" si="24"/>
        <v>0.10957616585059983</v>
      </c>
      <c r="AT41" s="37">
        <f t="shared" si="25"/>
        <v>0.27160038100654516</v>
      </c>
      <c r="AU41" s="24">
        <f t="shared" si="33"/>
        <v>1</v>
      </c>
      <c r="AW41" s="24">
        <f t="shared" si="57"/>
        <v>0.28599999999999998</v>
      </c>
      <c r="AX41" s="24">
        <f t="shared" si="26"/>
        <v>0.25220000000000004</v>
      </c>
      <c r="AY41" s="24">
        <f t="shared" si="44"/>
        <v>0.16187401914723068</v>
      </c>
      <c r="AZ41" s="25">
        <f t="shared" si="54"/>
        <v>0.25240000000000001</v>
      </c>
      <c r="BA41" s="24">
        <f t="shared" si="35"/>
        <v>0.95247401914723073</v>
      </c>
      <c r="BJ41" s="19"/>
      <c r="BK41" s="20" t="str">
        <f t="shared" si="46"/>
        <v>SUMATERA</v>
      </c>
      <c r="BL41" s="20">
        <f t="shared" si="47"/>
        <v>2032</v>
      </c>
      <c r="BM41" s="34">
        <f>VLOOKUP(BL41,proj_rukn!$B$22:$E$41,4,FALSE)</f>
        <v>20483.565560233557</v>
      </c>
      <c r="BN41" s="30">
        <f t="shared" si="27"/>
        <v>23556.100394268589</v>
      </c>
      <c r="BO41" s="30">
        <f t="shared" si="36"/>
        <v>33664.724600685746</v>
      </c>
      <c r="BQ41" s="30">
        <f t="shared" si="28"/>
        <v>9422.4401577074368</v>
      </c>
      <c r="BR41" s="30">
        <f t="shared" si="37"/>
        <v>26255.439896240005</v>
      </c>
      <c r="BS41" s="30"/>
      <c r="BT41" s="30">
        <f t="shared" si="29"/>
        <v>4711.2200788537184</v>
      </c>
      <c r="BU41" s="30">
        <f t="shared" si="38"/>
        <v>7409.284704445744</v>
      </c>
      <c r="BW41" s="30">
        <f t="shared" si="30"/>
        <v>6.5057530494450271</v>
      </c>
      <c r="BX41" s="30">
        <f t="shared" si="39"/>
        <v>0.22801793895929037</v>
      </c>
      <c r="BZ41" s="24">
        <f t="shared" si="48"/>
        <v>9.1229501361924217E-2</v>
      </c>
      <c r="CA41" s="24">
        <f t="shared" si="31"/>
        <v>0.14028813229686021</v>
      </c>
      <c r="CF41" s="23"/>
    </row>
    <row r="42" spans="1:84" x14ac:dyDescent="0.25">
      <c r="A42" s="19"/>
      <c r="B42" s="20" t="str">
        <f t="shared" ref="B42:C42" si="63">B18</f>
        <v>SUMATERA</v>
      </c>
      <c r="C42" s="20">
        <f t="shared" si="63"/>
        <v>2033</v>
      </c>
      <c r="D42" s="30">
        <f>(D18*(VLOOKUP(D$27,tech_data!$B$2:$O$15,6, FALSE)/100)*(1-(VLOOKUP(D$27,tech_data!$B$2:$O$15,7, FALSE)/100))*8760)/1000</f>
        <v>46666.311956402846</v>
      </c>
      <c r="E42" s="30">
        <f>(E18*(VLOOKUP(E$27,tech_data!$B$2:$O$15,6, FALSE)/100)*(1-(VLOOKUP(E$27,tech_data!$B$2:$O$15,7, FALSE)/100))*8760)/1000</f>
        <v>6106.034600560175</v>
      </c>
      <c r="F42" s="30">
        <f>(F18*(VLOOKUP(F$27,tech_data!$B$2:$O$15,6, FALSE)/100)*(1-(VLOOKUP(F$27,tech_data!$B$2:$O$15,7, FALSE)/100))*8760)/1000</f>
        <v>52289.863947221849</v>
      </c>
      <c r="G42" s="30">
        <f>(G18*(VLOOKUP(G$27,tech_data!$B$2:$O$15,6, FALSE)/100)*(1-(VLOOKUP(G$27,tech_data!$B$2:$O$15,7, FALSE)/100))*8760)/1000</f>
        <v>16963.375524135121</v>
      </c>
      <c r="H42" s="30">
        <f>(H18*(VLOOKUP(H$27,tech_data!$B$2:$O$15,6, FALSE)/100)*(1-(VLOOKUP(H$27,tech_data!$B$2:$O$15,7, FALSE)/100))*8760)/1000</f>
        <v>4393.1467384615389</v>
      </c>
      <c r="I42" s="30">
        <f>(I18*(VLOOKUP(I$27,tech_data!$B$2:$O$15,6, FALSE)/100)*(1-(VLOOKUP(I$27,tech_data!$B$2:$O$15,7, FALSE)/100))*8760)/1000</f>
        <v>8700.847415310569</v>
      </c>
      <c r="J42" s="30">
        <f>(J18*(VLOOKUP(J$27,tech_data!$B$2:$O$15,6, FALSE)/100)*(1-(VLOOKUP(J$27,tech_data!$B$2:$O$15,7, FALSE)/100))*8760)/1000</f>
        <v>2141.5521932054985</v>
      </c>
      <c r="K42" s="30">
        <f>(K18*(VLOOKUP(K$27,tech_data!$B$2:$O$15,6, FALSE)/100)*(1-(VLOOKUP(K$27,tech_data!$B$2:$O$15,7, FALSE)/100))*8760)/1000</f>
        <v>5898.5801423685343</v>
      </c>
      <c r="L42" s="30">
        <f>(L18*(VLOOKUP(L$27,tech_data!$B$2:$O$15,6, FALSE)/100)*(1-(VLOOKUP(L$27,tech_data!$B$2:$O$15,7, FALSE)/100))*8760)/1000</f>
        <v>21066.187690902443</v>
      </c>
      <c r="M42" s="30">
        <f>(M18*(VLOOKUP(M$27,tech_data!$B$2:$O$15,6, FALSE)/100)*(1-(VLOOKUP(M$27,tech_data!$B$2:$O$15,7, FALSE)/100))*8760)/1000</f>
        <v>91.412554153846145</v>
      </c>
      <c r="N42" s="30">
        <f>(N18*(VLOOKUP(N$27,tech_data!$B$2:$O$15,6, FALSE)/100)*(1-(VLOOKUP(N$27,tech_data!$B$2:$O$15,7, FALSE)/100))*8760)/1000</f>
        <v>0.68711837797748387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45.800069841434912</v>
      </c>
      <c r="Q42" s="34">
        <f t="shared" si="18"/>
        <v>164317.9998811004</v>
      </c>
      <c r="R42" s="34">
        <f>proj_rukn!D36</f>
        <v>164318</v>
      </c>
      <c r="S42" s="35"/>
      <c r="T42" s="19"/>
      <c r="U42" s="20" t="str">
        <f t="shared" si="19"/>
        <v>SUMATERA</v>
      </c>
      <c r="V42" s="20">
        <f t="shared" si="19"/>
        <v>2033</v>
      </c>
      <c r="W42" s="29">
        <f t="shared" si="20"/>
        <v>0.28399999994017899</v>
      </c>
      <c r="X42" s="29">
        <f t="shared" si="20"/>
        <v>3.7159864439552985E-2</v>
      </c>
      <c r="Y42" s="29">
        <f t="shared" si="20"/>
        <v>0.3182235907512172</v>
      </c>
      <c r="Z42" s="29">
        <f t="shared" si="20"/>
        <v>0.10323504142217971</v>
      </c>
      <c r="AA42" s="29">
        <f t="shared" si="20"/>
        <v>2.6735639075697096E-2</v>
      </c>
      <c r="AB42" s="29">
        <f t="shared" si="20"/>
        <v>5.2951273881172205E-2</v>
      </c>
      <c r="AC42" s="29">
        <f t="shared" si="20"/>
        <v>1.3032973835825131E-2</v>
      </c>
      <c r="AD42" s="29">
        <f t="shared" si="20"/>
        <v>3.5897346283649476E-2</v>
      </c>
      <c r="AE42" s="29">
        <f t="shared" si="20"/>
        <v>0.1282037738175113</v>
      </c>
      <c r="AF42" s="29">
        <f t="shared" si="20"/>
        <v>5.5631491510359037E-4</v>
      </c>
      <c r="AG42" s="29">
        <f t="shared" si="20"/>
        <v>4.1816379123083227E-6</v>
      </c>
      <c r="AH42" s="29">
        <f t="shared" si="20"/>
        <v>0</v>
      </c>
      <c r="AI42" s="29">
        <f t="shared" si="20"/>
        <v>2.7872825785717686E-4</v>
      </c>
      <c r="AJ42" s="29">
        <f t="shared" si="21"/>
        <v>0.99999999999999989</v>
      </c>
      <c r="AM42" s="23"/>
      <c r="AO42" s="20" t="str">
        <f t="shared" si="41"/>
        <v>SUMATERA</v>
      </c>
      <c r="AP42" s="20">
        <f t="shared" si="42"/>
        <v>2033</v>
      </c>
      <c r="AQ42" s="25">
        <f t="shared" si="22"/>
        <v>0.28399999994017899</v>
      </c>
      <c r="AR42" s="25">
        <f t="shared" si="23"/>
        <v>0.35538345519077019</v>
      </c>
      <c r="AS42" s="25">
        <f t="shared" si="24"/>
        <v>0.10323504142217971</v>
      </c>
      <c r="AT42" s="37">
        <f t="shared" si="25"/>
        <v>0.25738150344687111</v>
      </c>
      <c r="AU42" s="24">
        <f t="shared" si="33"/>
        <v>1</v>
      </c>
      <c r="AW42" s="24">
        <f t="shared" si="57"/>
        <v>0.28399999999999997</v>
      </c>
      <c r="AX42" s="24">
        <f t="shared" si="26"/>
        <v>0.25680000000000003</v>
      </c>
      <c r="AY42" s="24">
        <f t="shared" si="44"/>
        <v>0.15863653876428607</v>
      </c>
      <c r="AZ42" s="25">
        <f t="shared" si="54"/>
        <v>0.25559999999999999</v>
      </c>
      <c r="BA42" s="24">
        <f t="shared" si="35"/>
        <v>0.95503653876428607</v>
      </c>
      <c r="BJ42" s="19"/>
      <c r="BK42" s="20" t="str">
        <f t="shared" si="46"/>
        <v>SUMATERA</v>
      </c>
      <c r="BL42" s="20">
        <f t="shared" si="47"/>
        <v>2033</v>
      </c>
      <c r="BM42" s="34">
        <f>VLOOKUP(BL42,proj_rukn!$B$22:$E$41,4,FALSE)</f>
        <v>22250.839260660119</v>
      </c>
      <c r="BN42" s="30">
        <f t="shared" si="27"/>
        <v>25588.465149759137</v>
      </c>
      <c r="BO42" s="30">
        <f t="shared" si="36"/>
        <v>36641.523810604274</v>
      </c>
      <c r="BQ42" s="30">
        <f t="shared" si="28"/>
        <v>10235.386059903656</v>
      </c>
      <c r="BR42" s="30">
        <f t="shared" si="37"/>
        <v>29231.567530851189</v>
      </c>
      <c r="BS42" s="30"/>
      <c r="BT42" s="30">
        <f t="shared" si="29"/>
        <v>5117.6930299518281</v>
      </c>
      <c r="BU42" s="30">
        <f t="shared" si="38"/>
        <v>7409.9562797530807</v>
      </c>
      <c r="BW42" s="30">
        <f t="shared" si="30"/>
        <v>6.5457835793515127</v>
      </c>
      <c r="BX42" s="30">
        <f t="shared" si="39"/>
        <v>0.22801793895929037</v>
      </c>
      <c r="BZ42" s="24">
        <f t="shared" si="48"/>
        <v>9.5790976430020436E-2</v>
      </c>
      <c r="CA42" s="24">
        <f t="shared" si="31"/>
        <v>0.13947135207040795</v>
      </c>
      <c r="CF42" s="23"/>
    </row>
    <row r="43" spans="1:84" x14ac:dyDescent="0.25">
      <c r="A43" s="19"/>
      <c r="B43" s="20" t="str">
        <f t="shared" ref="B43:C43" si="64">B19</f>
        <v>SUMATERA</v>
      </c>
      <c r="C43" s="20">
        <f t="shared" si="64"/>
        <v>2034</v>
      </c>
      <c r="D43" s="30">
        <f>(D19*(VLOOKUP(D$27,tech_data!$B$2:$O$15,6, FALSE)/100)*(1-(VLOOKUP(D$27,tech_data!$B$2:$O$15,7, FALSE)/100))*8760)/1000</f>
        <v>52244.11046279229</v>
      </c>
      <c r="E43" s="30">
        <f>(E19*(VLOOKUP(E$27,tech_data!$B$2:$O$15,6, FALSE)/100)*(1-(VLOOKUP(E$27,tech_data!$B$2:$O$15,7, FALSE)/100))*8760)/1000</f>
        <v>6106.0352375640177</v>
      </c>
      <c r="F43" s="30">
        <f>(F19*(VLOOKUP(F$27,tech_data!$B$2:$O$15,6, FALSE)/100)*(1-(VLOOKUP(F$27,tech_data!$B$2:$O$15,7, FALSE)/100))*8760)/1000</f>
        <v>52289.865629710774</v>
      </c>
      <c r="G43" s="30">
        <f>(G19*(VLOOKUP(G$27,tech_data!$B$2:$O$15,6, FALSE)/100)*(1-(VLOOKUP(G$27,tech_data!$B$2:$O$15,7, FALSE)/100))*8760)/1000</f>
        <v>16963.380649480408</v>
      </c>
      <c r="H43" s="30">
        <f>(H19*(VLOOKUP(H$27,tech_data!$B$2:$O$15,6, FALSE)/100)*(1-(VLOOKUP(H$27,tech_data!$B$2:$O$15,7, FALSE)/100))*8760)/1000</f>
        <v>4393.1467384615389</v>
      </c>
      <c r="I43" s="30">
        <f>(I19*(VLOOKUP(I$27,tech_data!$B$2:$O$15,6, FALSE)/100)*(1-(VLOOKUP(I$27,tech_data!$B$2:$O$15,7, FALSE)/100))*8760)/1000</f>
        <v>8700.847415310569</v>
      </c>
      <c r="J43" s="30">
        <f>(J19*(VLOOKUP(J$27,tech_data!$B$2:$O$15,6, FALSE)/100)*(1-(VLOOKUP(J$27,tech_data!$B$2:$O$15,7, FALSE)/100))*8760)/1000</f>
        <v>7688.7649287748973</v>
      </c>
      <c r="K43" s="30">
        <f>(K19*(VLOOKUP(K$27,tech_data!$B$2:$O$15,6, FALSE)/100)*(1-(VLOOKUP(K$27,tech_data!$B$2:$O$15,7, FALSE)/100))*8760)/1000</f>
        <v>5898.5801423685343</v>
      </c>
      <c r="L43" s="30">
        <f>(L19*(VLOOKUP(L$27,tech_data!$B$2:$O$15,6, FALSE)/100)*(1-(VLOOKUP(L$27,tech_data!$B$2:$O$15,7, FALSE)/100))*8760)/1000</f>
        <v>21066.188233643599</v>
      </c>
      <c r="M43" s="30">
        <f>(M19*(VLOOKUP(M$27,tech_data!$B$2:$O$15,6, FALSE)/100)*(1-(VLOOKUP(M$27,tech_data!$B$2:$O$15,7, FALSE)/100))*8760)/1000</f>
        <v>91.412554153846145</v>
      </c>
      <c r="N43" s="30">
        <f>(N19*(VLOOKUP(N$27,tech_data!$B$2:$O$15,6, FALSE)/100)*(1-(VLOOKUP(N$27,tech_data!$B$2:$O$15,7, FALSE)/100))*8760)/1000</f>
        <v>0.68711837797748387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48.53738063584543</v>
      </c>
      <c r="Q43" s="34">
        <f t="shared" si="18"/>
        <v>175443.01911063847</v>
      </c>
      <c r="R43" s="34">
        <f>proj_rukn!D37</f>
        <v>175443</v>
      </c>
      <c r="S43" s="35"/>
      <c r="T43" s="19"/>
      <c r="U43" s="20" t="str">
        <f t="shared" si="19"/>
        <v>SUMATERA</v>
      </c>
      <c r="V43" s="20">
        <f t="shared" si="19"/>
        <v>2034</v>
      </c>
      <c r="W43" s="29">
        <f t="shared" si="20"/>
        <v>0.29778392282366012</v>
      </c>
      <c r="X43" s="29">
        <f t="shared" si="20"/>
        <v>3.4803523494505127E-2</v>
      </c>
      <c r="Y43" s="29">
        <f t="shared" si="20"/>
        <v>0.29804472070065985</v>
      </c>
      <c r="Z43" s="29">
        <f t="shared" si="20"/>
        <v>9.6688832279971784E-2</v>
      </c>
      <c r="AA43" s="29">
        <f t="shared" si="20"/>
        <v>2.5040305169914557E-2</v>
      </c>
      <c r="AB43" s="29">
        <f t="shared" si="20"/>
        <v>4.9593580066150202E-2</v>
      </c>
      <c r="AC43" s="29">
        <f t="shared" si="20"/>
        <v>4.3824855316278971E-2</v>
      </c>
      <c r="AD43" s="29">
        <f t="shared" si="20"/>
        <v>3.3621059260549729E-2</v>
      </c>
      <c r="AE43" s="29">
        <f t="shared" si="20"/>
        <v>0.12007424598842982</v>
      </c>
      <c r="AF43" s="29">
        <f t="shared" si="20"/>
        <v>5.2103842385543559E-4</v>
      </c>
      <c r="AG43" s="29">
        <f t="shared" si="20"/>
        <v>3.916476024299211E-6</v>
      </c>
      <c r="AH43" s="29">
        <f t="shared" si="20"/>
        <v>0</v>
      </c>
      <c r="AI43" s="29">
        <f t="shared" si="20"/>
        <v>2.7665609541999858E-4</v>
      </c>
      <c r="AJ43" s="29">
        <f t="shared" si="21"/>
        <v>0.99999999999999989</v>
      </c>
      <c r="AM43" s="23"/>
      <c r="AO43" s="20" t="str">
        <f t="shared" si="41"/>
        <v>SUMATERA</v>
      </c>
      <c r="AP43" s="20">
        <f t="shared" si="42"/>
        <v>2034</v>
      </c>
      <c r="AQ43" s="25">
        <f t="shared" si="22"/>
        <v>0.29778392282366012</v>
      </c>
      <c r="AR43" s="25">
        <f t="shared" si="23"/>
        <v>0.33284824419516496</v>
      </c>
      <c r="AS43" s="25">
        <f t="shared" si="24"/>
        <v>9.6688832279971784E-2</v>
      </c>
      <c r="AT43" s="37">
        <f t="shared" si="25"/>
        <v>0.27267900070120304</v>
      </c>
      <c r="AU43" s="24">
        <f t="shared" si="33"/>
        <v>1</v>
      </c>
      <c r="AW43" s="24">
        <f t="shared" si="57"/>
        <v>0.28199999999999997</v>
      </c>
      <c r="AX43" s="24">
        <f t="shared" si="26"/>
        <v>0.26140000000000002</v>
      </c>
      <c r="AY43" s="24">
        <f t="shared" si="44"/>
        <v>0.15546380798900034</v>
      </c>
      <c r="AZ43" s="25">
        <f t="shared" si="54"/>
        <v>0.25880000000000003</v>
      </c>
      <c r="BA43" s="24">
        <f t="shared" si="35"/>
        <v>0.95766380798900042</v>
      </c>
      <c r="BJ43" s="19"/>
      <c r="BK43" s="20" t="str">
        <f t="shared" si="46"/>
        <v>SUMATERA</v>
      </c>
      <c r="BL43" s="20">
        <f t="shared" si="47"/>
        <v>2034</v>
      </c>
      <c r="BM43" s="34">
        <f>VLOOKUP(BL43,proj_rukn!$B$22:$E$41,4,FALSE)</f>
        <v>24170.589165633941</v>
      </c>
      <c r="BN43" s="30">
        <f t="shared" si="27"/>
        <v>27796.177540479031</v>
      </c>
      <c r="BO43" s="30">
        <f t="shared" si="36"/>
        <v>37792.55916652234</v>
      </c>
      <c r="BQ43" s="30">
        <f t="shared" si="28"/>
        <v>11118.471016191614</v>
      </c>
      <c r="BR43" s="30">
        <f t="shared" si="37"/>
        <v>30381.832069715892</v>
      </c>
      <c r="BS43" s="30"/>
      <c r="BT43" s="30">
        <f t="shared" si="29"/>
        <v>5559.2355080958068</v>
      </c>
      <c r="BU43" s="30">
        <f t="shared" si="38"/>
        <v>7410.7270968064468</v>
      </c>
      <c r="BW43" s="30">
        <f t="shared" si="30"/>
        <v>7.0143722956902455</v>
      </c>
      <c r="BX43" s="30">
        <f t="shared" si="39"/>
        <v>0.22801793895929037</v>
      </c>
      <c r="BZ43" s="24">
        <f t="shared" si="48"/>
        <v>0.10058052525152146</v>
      </c>
      <c r="CA43" s="24">
        <f t="shared" si="31"/>
        <v>0.12329904090191054</v>
      </c>
      <c r="CF43" s="23"/>
    </row>
    <row r="44" spans="1:84" x14ac:dyDescent="0.25">
      <c r="A44" s="19"/>
      <c r="B44" s="20" t="str">
        <f t="shared" ref="B44:C44" si="65">B20</f>
        <v>SUMATERA</v>
      </c>
      <c r="C44" s="20">
        <f t="shared" si="65"/>
        <v>2035</v>
      </c>
      <c r="D44" s="30">
        <f>(D20*(VLOOKUP(D$27,tech_data!$B$2:$O$15,6, FALSE)/100)*(1-(VLOOKUP(D$27,tech_data!$B$2:$O$15,7, FALSE)/100))*8760)/1000</f>
        <v>52244.11046279229</v>
      </c>
      <c r="E44" s="30">
        <f>(E20*(VLOOKUP(E$27,tech_data!$B$2:$O$15,6, FALSE)/100)*(1-(VLOOKUP(E$27,tech_data!$B$2:$O$15,7, FALSE)/100))*8760)/1000</f>
        <v>6106.0352375640177</v>
      </c>
      <c r="F44" s="30">
        <f>(F20*(VLOOKUP(F$27,tech_data!$B$2:$O$15,6, FALSE)/100)*(1-(VLOOKUP(F$27,tech_data!$B$2:$O$15,7, FALSE)/100))*8760)/1000</f>
        <v>54190.361152061043</v>
      </c>
      <c r="G44" s="30">
        <f>(G20*(VLOOKUP(G$27,tech_data!$B$2:$O$15,6, FALSE)/100)*(1-(VLOOKUP(G$27,tech_data!$B$2:$O$15,7, FALSE)/100))*8760)/1000</f>
        <v>25117.895198007885</v>
      </c>
      <c r="H44" s="30">
        <f>(H20*(VLOOKUP(H$27,tech_data!$B$2:$O$15,6, FALSE)/100)*(1-(VLOOKUP(H$27,tech_data!$B$2:$O$15,7, FALSE)/100))*8760)/1000</f>
        <v>4393.1467384615389</v>
      </c>
      <c r="I44" s="30">
        <f>(I20*(VLOOKUP(I$27,tech_data!$B$2:$O$15,6, FALSE)/100)*(1-(VLOOKUP(I$27,tech_data!$B$2:$O$15,7, FALSE)/100))*8760)/1000</f>
        <v>8700.847415310569</v>
      </c>
      <c r="J44" s="30">
        <f>(J20*(VLOOKUP(J$27,tech_data!$B$2:$O$15,6, FALSE)/100)*(1-(VLOOKUP(J$27,tech_data!$B$2:$O$15,7, FALSE)/100))*8760)/1000</f>
        <v>7877.8394084016991</v>
      </c>
      <c r="K44" s="30">
        <f>(K20*(VLOOKUP(K$27,tech_data!$B$2:$O$15,6, FALSE)/100)*(1-(VLOOKUP(K$27,tech_data!$B$2:$O$15,7, FALSE)/100))*8760)/1000</f>
        <v>5898.5801423685343</v>
      </c>
      <c r="L44" s="30">
        <f>(L20*(VLOOKUP(L$27,tech_data!$B$2:$O$15,6, FALSE)/100)*(1-(VLOOKUP(L$27,tech_data!$B$2:$O$15,7, FALSE)/100))*8760)/1000</f>
        <v>21908.084640821795</v>
      </c>
      <c r="M44" s="30">
        <f>(M20*(VLOOKUP(M$27,tech_data!$B$2:$O$15,6, FALSE)/100)*(1-(VLOOKUP(M$27,tech_data!$B$2:$O$15,7, FALSE)/100))*8760)/1000</f>
        <v>91.412554153846145</v>
      </c>
      <c r="N44" s="30">
        <f>(N20*(VLOOKUP(N$27,tech_data!$B$2:$O$15,6, FALSE)/100)*(1-(VLOOKUP(N$27,tech_data!$B$2:$O$15,7, FALSE)/100))*8760)/1000</f>
        <v>0.68711837797748387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51.432732765655338</v>
      </c>
      <c r="Q44" s="34">
        <f t="shared" si="18"/>
        <v>186529.00006832118</v>
      </c>
      <c r="R44" s="34">
        <f>proj_rukn!D38</f>
        <v>186529</v>
      </c>
      <c r="S44" s="35"/>
      <c r="T44" s="19"/>
      <c r="U44" s="20" t="str">
        <f t="shared" si="19"/>
        <v>SUMATERA</v>
      </c>
      <c r="V44" s="20">
        <f t="shared" si="19"/>
        <v>2035</v>
      </c>
      <c r="W44" s="29">
        <f t="shared" si="20"/>
        <v>0.28008572631417367</v>
      </c>
      <c r="X44" s="29">
        <f t="shared" si="20"/>
        <v>3.2735045142189799E-2</v>
      </c>
      <c r="Y44" s="29">
        <f t="shared" si="20"/>
        <v>0.29051976439166238</v>
      </c>
      <c r="Z44" s="29">
        <f t="shared" si="20"/>
        <v>0.1346594641519967</v>
      </c>
      <c r="AA44" s="29">
        <f t="shared" si="20"/>
        <v>2.3552084323898336E-2</v>
      </c>
      <c r="AB44" s="29">
        <f t="shared" si="20"/>
        <v>4.6646084051936446E-2</v>
      </c>
      <c r="AC44" s="29">
        <f t="shared" si="20"/>
        <v>4.2233858571676428E-2</v>
      </c>
      <c r="AD44" s="29">
        <f t="shared" si="20"/>
        <v>3.162285832341364E-2</v>
      </c>
      <c r="AE44" s="29">
        <f t="shared" si="20"/>
        <v>0.11745135948188956</v>
      </c>
      <c r="AF44" s="29">
        <f t="shared" si="20"/>
        <v>4.9007153911919256E-4</v>
      </c>
      <c r="AG44" s="29">
        <f t="shared" si="20"/>
        <v>3.6837080439277997E-6</v>
      </c>
      <c r="AH44" s="29">
        <f t="shared" si="20"/>
        <v>0</v>
      </c>
      <c r="AI44" s="29">
        <f t="shared" si="20"/>
        <v>2.7573585204883284E-4</v>
      </c>
      <c r="AJ44" s="29">
        <f t="shared" si="21"/>
        <v>1</v>
      </c>
      <c r="AM44" s="23"/>
      <c r="AO44" s="20" t="str">
        <f t="shared" si="41"/>
        <v>SUMATERA</v>
      </c>
      <c r="AP44" s="20">
        <f t="shared" si="42"/>
        <v>2035</v>
      </c>
      <c r="AQ44" s="25">
        <f t="shared" si="22"/>
        <v>0.28008572631417367</v>
      </c>
      <c r="AR44" s="25">
        <f t="shared" si="23"/>
        <v>0.32325480953385216</v>
      </c>
      <c r="AS44" s="25">
        <f t="shared" si="24"/>
        <v>0.1346594641519967</v>
      </c>
      <c r="AT44" s="37">
        <f t="shared" si="25"/>
        <v>0.26199999999997753</v>
      </c>
      <c r="AU44" s="24">
        <f t="shared" si="33"/>
        <v>1</v>
      </c>
      <c r="AW44" s="24">
        <f t="shared" si="57"/>
        <v>0.27999999999999997</v>
      </c>
      <c r="AX44" s="24">
        <f t="shared" si="26"/>
        <v>0.26600000000000001</v>
      </c>
      <c r="AY44" s="24">
        <f t="shared" si="44"/>
        <v>0.15235453182922032</v>
      </c>
      <c r="AZ44" s="25">
        <f t="shared" si="54"/>
        <v>0.26200000000000001</v>
      </c>
      <c r="BA44" s="24">
        <f t="shared" si="35"/>
        <v>0.96035453182922037</v>
      </c>
      <c r="BJ44" s="19"/>
      <c r="BK44" s="20" t="str">
        <f t="shared" si="46"/>
        <v>SUMATERA</v>
      </c>
      <c r="BL44" s="20">
        <f t="shared" si="47"/>
        <v>2035</v>
      </c>
      <c r="BM44" s="34">
        <f>VLOOKUP(BL44,proj_rukn!$B$22:$E$41,4,FALSE)</f>
        <v>26255.970562277515</v>
      </c>
      <c r="BN44" s="30">
        <f t="shared" si="27"/>
        <v>30194.366146619141</v>
      </c>
      <c r="BO44" s="30">
        <f t="shared" si="36"/>
        <v>40111.898522832547</v>
      </c>
      <c r="BQ44" s="30">
        <f t="shared" si="28"/>
        <v>12077.746458647656</v>
      </c>
      <c r="BR44" s="30">
        <f t="shared" si="37"/>
        <v>31068.554754745062</v>
      </c>
      <c r="BS44" s="30"/>
      <c r="BT44" s="30">
        <f t="shared" si="29"/>
        <v>6038.8732293238281</v>
      </c>
      <c r="BU44" s="30">
        <f t="shared" si="38"/>
        <v>9043.3437680874813</v>
      </c>
      <c r="BW44" s="30">
        <f t="shared" si="30"/>
        <v>7.1672123632675442</v>
      </c>
      <c r="BX44" s="30">
        <f t="shared" si="39"/>
        <v>0.22801793895929037</v>
      </c>
      <c r="BZ44" s="24">
        <f t="shared" si="48"/>
        <v>0.10560955151409754</v>
      </c>
      <c r="CA44" s="24">
        <f t="shared" si="31"/>
        <v>0.12069793253212349</v>
      </c>
      <c r="CF44" s="23"/>
    </row>
    <row r="45" spans="1:84" x14ac:dyDescent="0.25">
      <c r="A45" s="19"/>
      <c r="B45" s="20" t="str">
        <f t="shared" ref="B45:C45" si="66">B21</f>
        <v>SUMATERA</v>
      </c>
      <c r="C45" s="20">
        <f t="shared" si="66"/>
        <v>2036</v>
      </c>
      <c r="D45" s="30">
        <f>(D21*(VLOOKUP(D$27,tech_data!$B$2:$O$15,6, FALSE)/100)*(1-(VLOOKUP(D$27,tech_data!$B$2:$O$15,7, FALSE)/100))*8760)/1000</f>
        <v>55325.335997262715</v>
      </c>
      <c r="E45" s="30">
        <f>(E21*(VLOOKUP(E$27,tech_data!$B$2:$O$15,6, FALSE)/100)*(1-(VLOOKUP(E$27,tech_data!$B$2:$O$15,7, FALSE)/100))*8760)/1000</f>
        <v>6106.0352375640177</v>
      </c>
      <c r="F45" s="30">
        <f>(F21*(VLOOKUP(F$27,tech_data!$B$2:$O$15,6, FALSE)/100)*(1-(VLOOKUP(F$27,tech_data!$B$2:$O$15,7, FALSE)/100))*8760)/1000</f>
        <v>55152.165169055312</v>
      </c>
      <c r="G45" s="30">
        <f>(G21*(VLOOKUP(G$27,tech_data!$B$2:$O$15,6, FALSE)/100)*(1-(VLOOKUP(G$27,tech_data!$B$2:$O$15,7, FALSE)/100))*8760)/1000</f>
        <v>29650.48119659831</v>
      </c>
      <c r="H45" s="30">
        <f>(H21*(VLOOKUP(H$27,tech_data!$B$2:$O$15,6, FALSE)/100)*(1-(VLOOKUP(H$27,tech_data!$B$2:$O$15,7, FALSE)/100))*8760)/1000</f>
        <v>4393.1467384615389</v>
      </c>
      <c r="I45" s="30">
        <f>(I21*(VLOOKUP(I$27,tech_data!$B$2:$O$15,6, FALSE)/100)*(1-(VLOOKUP(I$27,tech_data!$B$2:$O$15,7, FALSE)/100))*8760)/1000</f>
        <v>8700.847415310569</v>
      </c>
      <c r="J45" s="30">
        <f>(J21*(VLOOKUP(J$27,tech_data!$B$2:$O$15,6, FALSE)/100)*(1-(VLOOKUP(J$27,tech_data!$B$2:$O$15,7, FALSE)/100))*8760)/1000</f>
        <v>11364.275587094735</v>
      </c>
      <c r="K45" s="30">
        <f>(K21*(VLOOKUP(K$27,tech_data!$B$2:$O$15,6, FALSE)/100)*(1-(VLOOKUP(K$27,tech_data!$B$2:$O$15,7, FALSE)/100))*8760)/1000</f>
        <v>5898.5801423685343</v>
      </c>
      <c r="L45" s="30">
        <f>(L21*(VLOOKUP(L$27,tech_data!$B$2:$O$15,6, FALSE)/100)*(1-(VLOOKUP(L$27,tech_data!$B$2:$O$15,7, FALSE)/100))*8760)/1000</f>
        <v>22329.0328444109</v>
      </c>
      <c r="M45" s="30">
        <f>(M21*(VLOOKUP(M$27,tech_data!$B$2:$O$15,6, FALSE)/100)*(1-(VLOOKUP(M$27,tech_data!$B$2:$O$15,7, FALSE)/100))*8760)/1000</f>
        <v>91.412554153846145</v>
      </c>
      <c r="N45" s="30">
        <f>(N21*(VLOOKUP(N$27,tech_data!$B$2:$O$15,6, FALSE)/100)*(1-(VLOOKUP(N$27,tech_data!$B$2:$O$15,7, FALSE)/100))*8760)/1000</f>
        <v>0.68711837797748387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54.587997972507829</v>
      </c>
      <c r="Q45" s="34">
        <f t="shared" si="18"/>
        <v>199012.00000065845</v>
      </c>
      <c r="R45" s="34">
        <f>proj_rukn!D39</f>
        <v>199012</v>
      </c>
      <c r="S45" s="35"/>
      <c r="T45" s="19"/>
      <c r="U45" s="20" t="str">
        <f t="shared" si="19"/>
        <v>SUMATERA</v>
      </c>
      <c r="V45" s="20">
        <f t="shared" si="19"/>
        <v>2036</v>
      </c>
      <c r="W45" s="29">
        <f t="shared" si="20"/>
        <v>0.27799999998532582</v>
      </c>
      <c r="X45" s="29">
        <f t="shared" si="20"/>
        <v>3.0681744003094362E-2</v>
      </c>
      <c r="Y45" s="29">
        <f t="shared" si="20"/>
        <v>0.27712984728997669</v>
      </c>
      <c r="Z45" s="29">
        <f t="shared" si="20"/>
        <v>0.14898840872158567</v>
      </c>
      <c r="AA45" s="29">
        <f t="shared" si="20"/>
        <v>2.2074783120852027E-2</v>
      </c>
      <c r="AB45" s="29">
        <f t="shared" si="20"/>
        <v>4.3720214938203633E-2</v>
      </c>
      <c r="AC45" s="29">
        <f t="shared" si="20"/>
        <v>5.7103469072503847E-2</v>
      </c>
      <c r="AD45" s="29">
        <f t="shared" si="20"/>
        <v>2.9639318947344978E-2</v>
      </c>
      <c r="AE45" s="29">
        <f t="shared" si="20"/>
        <v>0.11219942940293562</v>
      </c>
      <c r="AF45" s="29">
        <f t="shared" si="20"/>
        <v>4.5933187020653882E-4</v>
      </c>
      <c r="AG45" s="29">
        <f t="shared" si="20"/>
        <v>3.4526479708520617E-6</v>
      </c>
      <c r="AH45" s="29">
        <f t="shared" si="20"/>
        <v>0</v>
      </c>
      <c r="AI45" s="29">
        <f t="shared" si="20"/>
        <v>2.7429500719719025E-4</v>
      </c>
      <c r="AJ45" s="29">
        <f t="shared" si="21"/>
        <v>1</v>
      </c>
      <c r="AM45" s="23"/>
      <c r="AO45" s="20" t="str">
        <f t="shared" si="41"/>
        <v>SUMATERA</v>
      </c>
      <c r="AP45" s="20">
        <f t="shared" si="42"/>
        <v>2036</v>
      </c>
      <c r="AQ45" s="25">
        <f t="shared" si="22"/>
        <v>0.27799999998532582</v>
      </c>
      <c r="AR45" s="25">
        <f t="shared" si="23"/>
        <v>0.30781159129307106</v>
      </c>
      <c r="AS45" s="25">
        <f t="shared" si="24"/>
        <v>0.14898840872158567</v>
      </c>
      <c r="AT45" s="37">
        <f t="shared" si="25"/>
        <v>0.26520000000001748</v>
      </c>
      <c r="AU45" s="24">
        <f t="shared" si="33"/>
        <v>1</v>
      </c>
      <c r="AW45" s="24">
        <f t="shared" si="57"/>
        <v>0.27800000000000002</v>
      </c>
      <c r="AX45" s="24">
        <f t="shared" si="26"/>
        <v>0.27060000000000001</v>
      </c>
      <c r="AY45" s="24">
        <f t="shared" si="44"/>
        <v>0.14930744119263592</v>
      </c>
      <c r="AZ45" s="25">
        <f t="shared" si="54"/>
        <v>0.26519999999999999</v>
      </c>
      <c r="BA45" s="24">
        <f t="shared" si="35"/>
        <v>0.96310744119263592</v>
      </c>
      <c r="BJ45" s="19"/>
      <c r="BK45" s="20" t="str">
        <f t="shared" si="46"/>
        <v>SUMATERA</v>
      </c>
      <c r="BL45" s="20">
        <f t="shared" si="47"/>
        <v>2036</v>
      </c>
      <c r="BM45" s="34">
        <f>VLOOKUP(BL45,proj_rukn!$B$22:$E$41,4,FALSE)</f>
        <v>28521.27374484306</v>
      </c>
      <c r="BN45" s="30">
        <f t="shared" si="27"/>
        <v>32799.464806569515</v>
      </c>
      <c r="BO45" s="30">
        <f t="shared" si="36"/>
        <v>42002.756019418041</v>
      </c>
      <c r="BQ45" s="30">
        <f t="shared" si="28"/>
        <v>13119.785922627807</v>
      </c>
      <c r="BR45" s="30">
        <f t="shared" si="37"/>
        <v>32051.507852540453</v>
      </c>
      <c r="BS45" s="30"/>
      <c r="BT45" s="30">
        <f t="shared" si="29"/>
        <v>6559.8929613139035</v>
      </c>
      <c r="BU45" s="30">
        <f t="shared" si="38"/>
        <v>9951.2481668775872</v>
      </c>
      <c r="BW45" s="30">
        <f t="shared" si="30"/>
        <v>7.5301556198356447</v>
      </c>
      <c r="BX45" s="30">
        <f t="shared" si="39"/>
        <v>0.22801793895929037</v>
      </c>
      <c r="BZ45" s="24">
        <f t="shared" si="48"/>
        <v>0.11089002908980242</v>
      </c>
      <c r="CA45" s="24">
        <f t="shared" si="31"/>
        <v>0.11176213781049404</v>
      </c>
      <c r="CF45" s="23"/>
    </row>
    <row r="46" spans="1:84" x14ac:dyDescent="0.25">
      <c r="A46" s="19"/>
      <c r="B46" s="20" t="str">
        <f t="shared" ref="B46:C46" si="67">B22</f>
        <v>SUMATERA</v>
      </c>
      <c r="C46" s="20">
        <f t="shared" si="67"/>
        <v>2037</v>
      </c>
      <c r="D46" s="30">
        <f>(D22*(VLOOKUP(D$27,tech_data!$B$2:$O$15,6, FALSE)/100)*(1-(VLOOKUP(D$27,tech_data!$B$2:$O$15,7, FALSE)/100))*8760)/1000</f>
        <v>58475.015967807994</v>
      </c>
      <c r="E46" s="30">
        <f>(E22*(VLOOKUP(E$27,tech_data!$B$2:$O$15,6, FALSE)/100)*(1-(VLOOKUP(E$27,tech_data!$B$2:$O$15,7, FALSE)/100))*8760)/1000</f>
        <v>6106.0352375640177</v>
      </c>
      <c r="F46" s="30">
        <f>(F22*(VLOOKUP(F$27,tech_data!$B$2:$O$15,6, FALSE)/100)*(1-(VLOOKUP(F$27,tech_data!$B$2:$O$15,7, FALSE)/100))*8760)/1000</f>
        <v>59419.607543718274</v>
      </c>
      <c r="G46" s="30">
        <f>(G22*(VLOOKUP(G$27,tech_data!$B$2:$O$15,6, FALSE)/100)*(1-(VLOOKUP(G$27,tech_data!$B$2:$O$15,7, FALSE)/100))*8760)/1000</f>
        <v>31000.506979850205</v>
      </c>
      <c r="H46" s="30">
        <f>(H22*(VLOOKUP(H$27,tech_data!$B$2:$O$15,6, FALSE)/100)*(1-(VLOOKUP(H$27,tech_data!$B$2:$O$15,7, FALSE)/100))*8760)/1000</f>
        <v>4393.1467384615389</v>
      </c>
      <c r="I46" s="30">
        <f>(I22*(VLOOKUP(I$27,tech_data!$B$2:$O$15,6, FALSE)/100)*(1-(VLOOKUP(I$27,tech_data!$B$2:$O$15,7, FALSE)/100))*8760)/1000</f>
        <v>8700.847415310569</v>
      </c>
      <c r="J46" s="30">
        <f>(J22*(VLOOKUP(J$27,tech_data!$B$2:$O$15,6, FALSE)/100)*(1-(VLOOKUP(J$27,tech_data!$B$2:$O$15,7, FALSE)/100))*8760)/1000</f>
        <v>14518.203308582797</v>
      </c>
      <c r="K46" s="30">
        <f>(K22*(VLOOKUP(K$27,tech_data!$B$2:$O$15,6, FALSE)/100)*(1-(VLOOKUP(K$27,tech_data!$B$2:$O$15,7, FALSE)/100))*8760)/1000</f>
        <v>6621.0302924447087</v>
      </c>
      <c r="L46" s="30">
        <f>(L22*(VLOOKUP(L$27,tech_data!$B$2:$O$15,6, FALSE)/100)*(1-(VLOOKUP(L$27,tech_data!$B$2:$O$15,7, FALSE)/100))*8760)/1000</f>
        <v>22539.506946205449</v>
      </c>
      <c r="M46" s="30">
        <f>(M22*(VLOOKUP(M$27,tech_data!$B$2:$O$15,6, FALSE)/100)*(1-(VLOOKUP(M$27,tech_data!$B$2:$O$15,7, FALSE)/100))*8760)/1000</f>
        <v>91.412554153846145</v>
      </c>
      <c r="N46" s="30">
        <f>(N22*(VLOOKUP(N$27,tech_data!$B$2:$O$15,6, FALSE)/100)*(1-(VLOOKUP(N$27,tech_data!$B$2:$O$15,7, FALSE)/100))*8760)/1000</f>
        <v>0.68711837797748387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57.936497538134475</v>
      </c>
      <c r="Q46" s="34">
        <f t="shared" si="18"/>
        <v>211866.00010247738</v>
      </c>
      <c r="R46" s="34">
        <f>proj_rukn!D40</f>
        <v>211866</v>
      </c>
      <c r="S46" s="35"/>
      <c r="T46" s="19"/>
      <c r="U46" s="20" t="str">
        <f t="shared" si="19"/>
        <v>SUMATERA</v>
      </c>
      <c r="V46" s="20">
        <f t="shared" si="19"/>
        <v>2037</v>
      </c>
      <c r="W46" s="29">
        <f t="shared" si="20"/>
        <v>0.27599999971455652</v>
      </c>
      <c r="X46" s="29">
        <f t="shared" si="20"/>
        <v>2.882026957893476E-2</v>
      </c>
      <c r="Y46" s="29">
        <f t="shared" si="20"/>
        <v>0.28045843842323748</v>
      </c>
      <c r="Z46" s="29">
        <f t="shared" si="20"/>
        <v>0.14632129253799847</v>
      </c>
      <c r="AA46" s="29">
        <f t="shared" si="20"/>
        <v>2.0735496664573926E-2</v>
      </c>
      <c r="AB46" s="29">
        <f t="shared" si="20"/>
        <v>4.1067690951365768E-2</v>
      </c>
      <c r="AC46" s="29">
        <f t="shared" si="20"/>
        <v>6.8525404272325396E-2</v>
      </c>
      <c r="AD46" s="29">
        <f t="shared" si="20"/>
        <v>3.1251027957492877E-2</v>
      </c>
      <c r="AE46" s="29">
        <f t="shared" si="20"/>
        <v>0.10638567271437288</v>
      </c>
      <c r="AF46" s="29">
        <f t="shared" si="20"/>
        <v>4.3146401078809644E-4</v>
      </c>
      <c r="AG46" s="29">
        <f t="shared" si="20"/>
        <v>3.2431743538138815E-6</v>
      </c>
      <c r="AH46" s="29">
        <f t="shared" si="20"/>
        <v>0</v>
      </c>
      <c r="AI46" s="29">
        <f t="shared" si="20"/>
        <v>2.7345821184197178E-4</v>
      </c>
      <c r="AJ46" s="29">
        <f t="shared" si="21"/>
        <v>0.99999999999999989</v>
      </c>
      <c r="AM46" s="23"/>
      <c r="AO46" s="20" t="str">
        <f t="shared" si="41"/>
        <v>SUMATERA</v>
      </c>
      <c r="AP46" s="20">
        <f t="shared" si="42"/>
        <v>2037</v>
      </c>
      <c r="AQ46" s="25">
        <f t="shared" si="22"/>
        <v>0.27599999971455652</v>
      </c>
      <c r="AR46" s="25">
        <f t="shared" si="23"/>
        <v>0.30927870800217222</v>
      </c>
      <c r="AS46" s="25">
        <f t="shared" si="24"/>
        <v>0.14632129253799847</v>
      </c>
      <c r="AT46" s="37">
        <f t="shared" si="25"/>
        <v>0.26839999974527273</v>
      </c>
      <c r="AU46" s="24">
        <f t="shared" si="33"/>
        <v>0.99999999999999989</v>
      </c>
      <c r="AW46" s="24">
        <f t="shared" si="57"/>
        <v>0.27600000000000002</v>
      </c>
      <c r="AX46" s="24">
        <f t="shared" si="26"/>
        <v>0.2752</v>
      </c>
      <c r="AY46" s="24">
        <f t="shared" si="44"/>
        <v>0.14632129236878319</v>
      </c>
      <c r="AZ46" s="25">
        <f t="shared" si="54"/>
        <v>0.26840000000000003</v>
      </c>
      <c r="BA46" s="24">
        <f t="shared" si="35"/>
        <v>0.96592129236878321</v>
      </c>
      <c r="BJ46" s="19"/>
      <c r="BK46" s="20" t="str">
        <f t="shared" si="46"/>
        <v>SUMATERA</v>
      </c>
      <c r="BL46" s="20">
        <f t="shared" si="47"/>
        <v>2037</v>
      </c>
      <c r="BM46" s="34">
        <f>VLOOKUP(BL46,proj_rukn!$B$22:$E$41,4,FALSE)</f>
        <v>30982.021940449344</v>
      </c>
      <c r="BN46" s="30">
        <f t="shared" si="27"/>
        <v>35629.325231516741</v>
      </c>
      <c r="BO46" s="30">
        <f t="shared" si="36"/>
        <v>44465.376690605663</v>
      </c>
      <c r="BQ46" s="30">
        <f t="shared" si="28"/>
        <v>14251.730092606696</v>
      </c>
      <c r="BR46" s="30">
        <f t="shared" si="37"/>
        <v>34243.032997907918</v>
      </c>
      <c r="BS46" s="30"/>
      <c r="BT46" s="30">
        <f t="shared" si="29"/>
        <v>7125.8650463033482</v>
      </c>
      <c r="BU46" s="30">
        <f t="shared" si="38"/>
        <v>10222.343692697747</v>
      </c>
      <c r="BW46" s="30">
        <f t="shared" si="30"/>
        <v>8.0271545125879609</v>
      </c>
      <c r="BX46" s="30">
        <f t="shared" si="39"/>
        <v>0.22801793895929037</v>
      </c>
      <c r="BZ46" s="24">
        <f t="shared" si="48"/>
        <v>0.11643453054429254</v>
      </c>
      <c r="CA46" s="24">
        <f t="shared" si="31"/>
        <v>0.11643453050354666</v>
      </c>
      <c r="CF46" s="23"/>
    </row>
    <row r="47" spans="1:84" x14ac:dyDescent="0.25">
      <c r="A47" s="19"/>
      <c r="B47" s="20" t="str">
        <f t="shared" ref="B47:C47" si="68">B23</f>
        <v>SUMATERA</v>
      </c>
      <c r="C47" s="20">
        <f t="shared" si="68"/>
        <v>2038</v>
      </c>
      <c r="D47" s="30">
        <f>(D23*(VLOOKUP(D$27,tech_data!$B$2:$O$15,6, FALSE)/100)*(1-(VLOOKUP(D$27,tech_data!$B$2:$O$15,7, FALSE)/100))*8760)/1000</f>
        <v>62129.774592438291</v>
      </c>
      <c r="E47" s="30">
        <f>(E23*(VLOOKUP(E$27,tech_data!$B$2:$O$15,6, FALSE)/100)*(1-(VLOOKUP(E$27,tech_data!$B$2:$O$15,7, FALSE)/100))*8760)/1000</f>
        <v>6106.0352375640177</v>
      </c>
      <c r="F47" s="30">
        <f>(F23*(VLOOKUP(F$27,tech_data!$B$2:$O$15,6, FALSE)/100)*(1-(VLOOKUP(F$27,tech_data!$B$2:$O$15,7, FALSE)/100))*8760)/1000</f>
        <v>64215.01064773705</v>
      </c>
      <c r="G47" s="30">
        <f>(G23*(VLOOKUP(G$27,tech_data!$B$2:$O$15,6, FALSE)/100)*(1-(VLOOKUP(G$27,tech_data!$B$2:$O$15,7, FALSE)/100))*8760)/1000</f>
        <v>32514.929679029556</v>
      </c>
      <c r="H47" s="30">
        <f>(H23*(VLOOKUP(H$27,tech_data!$B$2:$O$15,6, FALSE)/100)*(1-(VLOOKUP(H$27,tech_data!$B$2:$O$15,7, FALSE)/100))*8760)/1000</f>
        <v>4393.1467384630469</v>
      </c>
      <c r="I47" s="30">
        <f>(I23*(VLOOKUP(I$27,tech_data!$B$2:$O$15,6, FALSE)/100)*(1-(VLOOKUP(I$27,tech_data!$B$2:$O$15,7, FALSE)/100))*8760)/1000</f>
        <v>8700.8474153132556</v>
      </c>
      <c r="J47" s="30">
        <f>(J23*(VLOOKUP(J$27,tech_data!$B$2:$O$15,6, FALSE)/100)*(1-(VLOOKUP(J$27,tech_data!$B$2:$O$15,7, FALSE)/100))*8760)/1000</f>
        <v>14518.203308587628</v>
      </c>
      <c r="K47" s="30">
        <f>(K23*(VLOOKUP(K$27,tech_data!$B$2:$O$15,6, FALSE)/100)*(1-(VLOOKUP(K$27,tech_data!$B$2:$O$15,7, FALSE)/100))*8760)/1000</f>
        <v>11541.447843672773</v>
      </c>
      <c r="L47" s="30">
        <f>(L23*(VLOOKUP(L$27,tech_data!$B$2:$O$15,6, FALSE)/100)*(1-(VLOOKUP(L$27,tech_data!$B$2:$O$15,7, FALSE)/100))*8760)/1000</f>
        <v>22539.506946205449</v>
      </c>
      <c r="M47" s="30">
        <f>(M23*(VLOOKUP(M$27,tech_data!$B$2:$O$15,6, FALSE)/100)*(1-(VLOOKUP(M$27,tech_data!$B$2:$O$15,7, FALSE)/100))*8760)/1000</f>
        <v>91.412554153846145</v>
      </c>
      <c r="N47" s="30">
        <f>(N23*(VLOOKUP(N$27,tech_data!$B$2:$O$15,6, FALSE)/100)*(1-(VLOOKUP(N$27,tech_data!$B$2:$O$15,7, FALSE)/100))*8760)/1000</f>
        <v>0.68711837797748387</v>
      </c>
      <c r="O47" s="30">
        <f>(O23*(VLOOKUP(O$27,tech_data!$B$2:$O$15,6, FALSE)/100)*(1-(VLOOKUP(O$27,tech_data!$B$2:$O$15,7, FALSE)/100))*8760)/1000</f>
        <v>2.7053005264614298E-6</v>
      </c>
      <c r="P47" s="30">
        <f>(P23*(VLOOKUP(P$27,tech_data!$B$2:$O$15,6, FALSE)/100)*(1-(VLOOKUP(P$27,tech_data!$B$2:$O$15,7, FALSE)/100))*8760)/1000</f>
        <v>62.57875449738254</v>
      </c>
      <c r="Q47" s="34">
        <f t="shared" si="18"/>
        <v>226751.00208424818</v>
      </c>
      <c r="R47" s="34">
        <f>proj_rukn!D41</f>
        <v>226751</v>
      </c>
      <c r="S47" s="35"/>
      <c r="T47" s="19"/>
      <c r="U47" s="20" t="str">
        <f t="shared" si="19"/>
        <v>SUMATERA</v>
      </c>
      <c r="V47" s="20">
        <f t="shared" si="19"/>
        <v>2038</v>
      </c>
      <c r="W47" s="29">
        <f t="shared" si="20"/>
        <v>0.27400000009417508</v>
      </c>
      <c r="X47" s="29">
        <f t="shared" si="20"/>
        <v>2.692837156810161E-2</v>
      </c>
      <c r="Y47" s="29">
        <f t="shared" si="20"/>
        <v>0.28319614933334802</v>
      </c>
      <c r="Z47" s="29">
        <f t="shared" si="20"/>
        <v>0.14339486652830227</v>
      </c>
      <c r="AA47" s="29">
        <f t="shared" si="20"/>
        <v>1.9374321163223771E-2</v>
      </c>
      <c r="AB47" s="29">
        <f t="shared" si="20"/>
        <v>3.8371814613108082E-2</v>
      </c>
      <c r="AC47" s="29">
        <f t="shared" si="20"/>
        <v>6.4027074522887722E-2</v>
      </c>
      <c r="AD47" s="29">
        <f t="shared" si="20"/>
        <v>5.0899214281684223E-2</v>
      </c>
      <c r="AE47" s="29">
        <f t="shared" ref="AE47:AI47" si="69">L47/$Q47</f>
        <v>9.94020169217643E-2</v>
      </c>
      <c r="AF47" s="29">
        <f t="shared" si="69"/>
        <v>4.0314068433480298E-4</v>
      </c>
      <c r="AG47" s="29">
        <f t="shared" si="69"/>
        <v>3.0302771395126559E-6</v>
      </c>
      <c r="AH47" s="29">
        <f t="shared" si="69"/>
        <v>1.1930710345686981E-11</v>
      </c>
      <c r="AI47" s="29">
        <f t="shared" si="69"/>
        <v>2.7598005707658006E-4</v>
      </c>
      <c r="AJ47" s="29">
        <f t="shared" si="21"/>
        <v>1.0000000000000002</v>
      </c>
      <c r="AM47" s="23"/>
      <c r="AO47" s="20" t="str">
        <f t="shared" si="41"/>
        <v>SUMATERA</v>
      </c>
      <c r="AP47" s="20">
        <f t="shared" si="42"/>
        <v>2038</v>
      </c>
      <c r="AQ47" s="25">
        <f t="shared" si="22"/>
        <v>0.27400000009417508</v>
      </c>
      <c r="AR47" s="25">
        <f t="shared" si="23"/>
        <v>0.3101245209014496</v>
      </c>
      <c r="AS47" s="25">
        <f t="shared" si="24"/>
        <v>0.14339486652830227</v>
      </c>
      <c r="AT47" s="37">
        <f t="shared" si="25"/>
        <v>0.27248061246414246</v>
      </c>
      <c r="AU47" s="24">
        <f t="shared" si="33"/>
        <v>0.99999999998806943</v>
      </c>
      <c r="AW47" s="24">
        <f t="shared" si="57"/>
        <v>0.27400000000000002</v>
      </c>
      <c r="AX47" s="24">
        <f t="shared" si="26"/>
        <v>0.27980000000000005</v>
      </c>
      <c r="AY47" s="24">
        <f t="shared" si="44"/>
        <v>0.14339486652140751</v>
      </c>
      <c r="AZ47" s="25">
        <f t="shared" si="54"/>
        <v>0.27160000000000001</v>
      </c>
      <c r="BA47" s="24">
        <f t="shared" si="35"/>
        <v>0.96879486652140767</v>
      </c>
      <c r="BJ47" s="19"/>
      <c r="BK47" s="20" t="str">
        <f t="shared" si="46"/>
        <v>SUMATERA</v>
      </c>
      <c r="BL47" s="20">
        <f t="shared" si="47"/>
        <v>2038</v>
      </c>
      <c r="BM47" s="34">
        <f>VLOOKUP(BL47,proj_rukn!$B$22:$E$41,4,FALSE)</f>
        <v>33655.077683619995</v>
      </c>
      <c r="BN47" s="30">
        <f t="shared" si="27"/>
        <v>38703.339336162993</v>
      </c>
      <c r="BO47" s="30">
        <f t="shared" si="36"/>
        <v>47256.18954434491</v>
      </c>
      <c r="BQ47" s="30">
        <f t="shared" si="28"/>
        <v>15481.335734465198</v>
      </c>
      <c r="BR47" s="30">
        <f t="shared" si="37"/>
        <v>36729.489070463176</v>
      </c>
      <c r="BS47" s="30"/>
      <c r="BT47" s="30">
        <f t="shared" si="29"/>
        <v>7740.6678672325988</v>
      </c>
      <c r="BU47" s="30">
        <f t="shared" si="38"/>
        <v>10526.700472937269</v>
      </c>
      <c r="BW47" s="30">
        <f t="shared" si="30"/>
        <v>9.3645152303985046</v>
      </c>
      <c r="BX47" s="30">
        <f t="shared" si="39"/>
        <v>0.22801793895929037</v>
      </c>
      <c r="BZ47" s="24">
        <f t="shared" si="48"/>
        <v>0.12225625707150717</v>
      </c>
      <c r="CA47" s="24">
        <f t="shared" si="31"/>
        <v>0.186799397649452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70">B4</f>
        <v>SUMATERA</v>
      </c>
      <c r="C52" s="20">
        <f t="shared" si="70"/>
        <v>2019</v>
      </c>
      <c r="D52" s="30">
        <f>(sumatera!D28*3.6/(VLOOKUP(D$51,tech_data!$B$2:$J$15,4,FALSE)/100))/1000</f>
        <v>240.55029771889659</v>
      </c>
      <c r="E52" s="30">
        <f>(sumatera!E28*3.6/(VLOOKUP(E$51,tech_data!$B$2:$J$15,4,FALSE)/100))/1000</f>
        <v>37.828164129437816</v>
      </c>
      <c r="F52" s="30">
        <f>(sumatera!F28*3.6/(VLOOKUP(F$51,tech_data!$B$2:$J$15,4,FALSE)/100))/1000</f>
        <v>22.022617400355163</v>
      </c>
      <c r="G52" s="30">
        <f>(sumatera!G28*3.6/(VLOOKUP(G$51,tech_data!$B$2:$J$15,4,FALSE)/100))/1000</f>
        <v>97.55939496497659</v>
      </c>
      <c r="H52" s="30">
        <f>(sumatera!H28*3.6/(VLOOKUP(H$51,tech_data!$B$2:$J$15,4,FALSE)/100))/1000</f>
        <v>117.1505796923077</v>
      </c>
      <c r="I52" s="30">
        <f>(sumatera!I28*3.6/(VLOOKUP(I$51,tech_data!$B$2:$J$15,4,FALSE)/100))/1000</f>
        <v>32.97163230067045</v>
      </c>
      <c r="J52" s="30">
        <f>(sumatera!J28*3.6/(VLOOKUP(J$51,tech_data!$B$2:$J$15,4,FALSE)/100))/1000</f>
        <v>1.8714306594461543</v>
      </c>
      <c r="K52" s="30">
        <f>K28*3.6/1000</f>
        <v>7.4834928000000007E-3</v>
      </c>
      <c r="L52" s="30">
        <f>L28*3.6/1000</f>
        <v>0</v>
      </c>
      <c r="M52" s="30">
        <f>(sumatera!M28*3.6/(VLOOKUP(M$51,tech_data!$B$2:$J$15,4,FALSE)/100))/1000</f>
        <v>1.0615651450124068</v>
      </c>
      <c r="N52" s="30">
        <f>N28*3.6/1000</f>
        <v>0</v>
      </c>
      <c r="O52" s="30">
        <f>(sumatera!O28*3.6/(VLOOKUP(O$51,tech_data!$B$2:$J$15,4,FALSE)/100))/1000</f>
        <v>0</v>
      </c>
      <c r="P52" s="30">
        <v>0</v>
      </c>
      <c r="Q52" s="30">
        <f t="shared" ref="Q52:Q71" si="71">SUM(D52:O52)</f>
        <v>551.02316550390287</v>
      </c>
      <c r="R52" s="30"/>
      <c r="T52" s="19"/>
      <c r="U52" s="20" t="str">
        <f t="shared" ref="U52:V71" si="72">B52</f>
        <v>SUMATERA</v>
      </c>
      <c r="V52" s="20">
        <f t="shared" si="72"/>
        <v>2019</v>
      </c>
      <c r="W52" s="30">
        <f>D52*VLOOKUP(W$51,tech_data!$B$2:$K$15,10,FALSE)*1000</f>
        <v>23987675.68852837</v>
      </c>
      <c r="X52" s="30">
        <f>E52*VLOOKUP(X$51,tech_data!$B$2:$K$15,10,FALSE)*1000</f>
        <v>2349128.9924380886</v>
      </c>
      <c r="Y52" s="30">
        <f>F52*VLOOKUP(Y$51,tech_data!$B$2:$K$15,10,FALSE)*1000</f>
        <v>1367604.5405620558</v>
      </c>
      <c r="Z52" s="30">
        <f>G52*VLOOKUP(Z$51,tech_data!$B$2:$K$15,10,FALSE)*1000</f>
        <v>7333539.7195172906</v>
      </c>
      <c r="AA52" s="30">
        <f>H28*VLOOKUP(AA$51,tech_data!$B$2:$K$15,10,FALSE)/1000</f>
        <v>276.3289298492308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119277.45969359402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73">SUM(W52:AI52)</f>
        <v>35157502.729669251</v>
      </c>
      <c r="AK52" s="25"/>
      <c r="AM52" s="23"/>
      <c r="AO52" s="20" t="str">
        <f t="shared" ref="AO52:AP71" si="74">U52</f>
        <v>SUMATERA</v>
      </c>
      <c r="AP52" s="20">
        <f t="shared" si="74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246.51796275762939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28.209582834706659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29.399497516788461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19.770698948398937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33.353564573487915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74.119172024492329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3.5387628920486147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1.2204000000000001E-2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1.5799204277094998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436.50136597526188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70"/>
        <v>SUMATERA</v>
      </c>
      <c r="C53" s="20">
        <f t="shared" si="70"/>
        <v>2020</v>
      </c>
      <c r="D53" s="30">
        <f>(sumatera!D29*3.6/(VLOOKUP(D$51,tech_data!$B$2:$J$15,4,FALSE)/100))/1000</f>
        <v>249.32550481849805</v>
      </c>
      <c r="E53" s="30">
        <f>(sumatera!E29*3.6/(VLOOKUP(E$51,tech_data!$B$2:$J$15,4,FALSE)/100))/1000</f>
        <v>37.828164129437816</v>
      </c>
      <c r="F53" s="30">
        <f>(sumatera!F29*3.6/(VLOOKUP(F$51,tech_data!$B$2:$J$15,4,FALSE)/100))/1000</f>
        <v>45.863020510194154</v>
      </c>
      <c r="G53" s="30">
        <f>(sumatera!G29*3.6/(VLOOKUP(G$51,tech_data!$B$2:$J$15,4,FALSE)/100))/1000</f>
        <v>97.55939496497659</v>
      </c>
      <c r="H53" s="30">
        <f>(sumatera!H29*3.6/(VLOOKUP(H$51,tech_data!$B$2:$J$15,4,FALSE)/100))/1000</f>
        <v>117.1505796923077</v>
      </c>
      <c r="I53" s="30">
        <f>(sumatera!I29*3.6/(VLOOKUP(I$51,tech_data!$B$2:$J$15,4,FALSE)/100))/1000</f>
        <v>32.97163230067045</v>
      </c>
      <c r="J53" s="30">
        <f>(sumatera!J29*3.6/(VLOOKUP(J$51,tech_data!$B$2:$J$15,4,FALSE)/100))/1000</f>
        <v>1.8714306594461543</v>
      </c>
      <c r="K53" s="30">
        <f t="shared" ref="K53:L53" si="75">K29*3.6/1000</f>
        <v>2.6205247790665958</v>
      </c>
      <c r="L53" s="30">
        <f t="shared" si="75"/>
        <v>0</v>
      </c>
      <c r="M53" s="30">
        <f>(sumatera!M29*3.6/(VLOOKUP(M$51,tech_data!$B$2:$J$15,4,FALSE)/100))/1000</f>
        <v>1.0615651450124068</v>
      </c>
      <c r="N53" s="30">
        <f t="shared" ref="N53" si="76">N29*3.6/1000</f>
        <v>0</v>
      </c>
      <c r="O53" s="30">
        <f>(sumatera!O29*3.6/(VLOOKUP(O$51,tech_data!$B$2:$J$15,4,FALSE)/100))/1000</f>
        <v>0</v>
      </c>
      <c r="P53" s="30">
        <v>0</v>
      </c>
      <c r="Q53" s="30">
        <f t="shared" si="71"/>
        <v>586.25181699960979</v>
      </c>
      <c r="R53" s="30"/>
      <c r="T53" s="19"/>
      <c r="U53" s="20" t="str">
        <f t="shared" si="72"/>
        <v>SUMATERA</v>
      </c>
      <c r="V53" s="20">
        <f t="shared" si="72"/>
        <v>2020</v>
      </c>
      <c r="W53" s="30">
        <f>D53*VLOOKUP(W$51,tech_data!$B$2:$K$15,10,FALSE)*1000</f>
        <v>24862739.340500627</v>
      </c>
      <c r="X53" s="30">
        <f>E53*VLOOKUP(X$51,tech_data!$B$2:$K$15,10,FALSE)*1000</f>
        <v>2349128.9924380886</v>
      </c>
      <c r="Y53" s="30">
        <f>F53*VLOOKUP(Y$51,tech_data!$B$2:$K$15,10,FALSE)*1000</f>
        <v>2848093.573683057</v>
      </c>
      <c r="Z53" s="30">
        <f>G53*VLOOKUP(Z$51,tech_data!$B$2:$K$15,10,FALSE)*1000</f>
        <v>7333539.7195172906</v>
      </c>
      <c r="AA53" s="30">
        <f>H29*VLOOKUP(AA$51,tech_data!$B$2:$K$15,10,FALSE)/1000</f>
        <v>276.3289298492308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119277.45969359402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73"/>
        <v>37513055.414762504</v>
      </c>
      <c r="AK53" s="25">
        <f>(AJ53-AJ52)/AJ52</f>
        <v>6.7000000062729548E-2</v>
      </c>
      <c r="AL53" s="24">
        <f>indonesia!AL53</f>
        <v>5.2999999999999999E-2</v>
      </c>
      <c r="AM53" s="26"/>
      <c r="AN53" s="24"/>
      <c r="AO53" s="20" t="str">
        <f t="shared" si="74"/>
        <v>SUMATERA</v>
      </c>
      <c r="AP53" s="20">
        <f t="shared" si="74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542.96055202463151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28.209582834706659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973.18874241126434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19.770698948398937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33.353564573487915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74.119172024492329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3.5387628920486147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445.79360050286294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1.5799204277094998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3.9234711941312477</v>
      </c>
      <c r="BD53" s="30">
        <f>SUM(AQ53:BC53)</f>
        <v>2126.4380678337343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70"/>
        <v>SUMATERA</v>
      </c>
      <c r="C54" s="20">
        <f t="shared" si="70"/>
        <v>2021</v>
      </c>
      <c r="D54" s="30">
        <f>(sumatera!D30*3.6/(VLOOKUP(D$51,tech_data!$B$2:$J$15,4,FALSE)/100))/1000</f>
        <v>249.32550481849805</v>
      </c>
      <c r="E54" s="30">
        <f>(sumatera!E30*3.6/(VLOOKUP(E$51,tech_data!$B$2:$J$15,4,FALSE)/100))/1000</f>
        <v>61.631003444906455</v>
      </c>
      <c r="F54" s="30">
        <f>(sumatera!F30*3.6/(VLOOKUP(F$51,tech_data!$B$2:$J$15,4,FALSE)/100))/1000</f>
        <v>45.863020510194154</v>
      </c>
      <c r="G54" s="30">
        <f>(sumatera!G30*3.6/(VLOOKUP(G$51,tech_data!$B$2:$J$15,4,FALSE)/100))/1000</f>
        <v>97.55939496497659</v>
      </c>
      <c r="H54" s="30">
        <f>(sumatera!H30*3.6/(VLOOKUP(H$51,tech_data!$B$2:$J$15,4,FALSE)/100))/1000</f>
        <v>117.1505796923077</v>
      </c>
      <c r="I54" s="30">
        <f>(sumatera!I30*3.6/(VLOOKUP(I$51,tech_data!$B$2:$J$15,4,FALSE)/100))/1000</f>
        <v>32.97163230067045</v>
      </c>
      <c r="J54" s="30">
        <f>(sumatera!J30*3.6/(VLOOKUP(J$51,tech_data!$B$2:$J$15,4,FALSE)/100))/1000</f>
        <v>1.8714306594461543</v>
      </c>
      <c r="K54" s="30">
        <f t="shared" ref="K54:L54" si="77">K30*3.6/1000</f>
        <v>2.7589320940136219</v>
      </c>
      <c r="L54" s="30">
        <f t="shared" si="77"/>
        <v>0</v>
      </c>
      <c r="M54" s="30">
        <f>(sumatera!M30*3.6/(VLOOKUP(M$51,tech_data!$B$2:$J$15,4,FALSE)/100))/1000</f>
        <v>1.0615651450124068</v>
      </c>
      <c r="N54" s="30">
        <f t="shared" ref="N54" si="78">N30*3.6/1000</f>
        <v>0</v>
      </c>
      <c r="O54" s="30">
        <f>(sumatera!O30*3.6/(VLOOKUP(O$51,tech_data!$B$2:$J$15,4,FALSE)/100))/1000</f>
        <v>0</v>
      </c>
      <c r="P54" s="30">
        <v>0</v>
      </c>
      <c r="Q54" s="30">
        <f t="shared" si="71"/>
        <v>610.19306363002545</v>
      </c>
      <c r="R54" s="30"/>
      <c r="T54" s="19"/>
      <c r="U54" s="20" t="str">
        <f t="shared" si="72"/>
        <v>SUMATERA</v>
      </c>
      <c r="V54" s="20">
        <f t="shared" si="72"/>
        <v>2021</v>
      </c>
      <c r="W54" s="30">
        <f>D54*VLOOKUP(W$51,tech_data!$B$2:$K$15,10,FALSE)*1000</f>
        <v>24862739.340500627</v>
      </c>
      <c r="X54" s="30">
        <f>E54*VLOOKUP(X$51,tech_data!$B$2:$K$15,10,FALSE)*1000</f>
        <v>3827285.3139286907</v>
      </c>
      <c r="Y54" s="30">
        <f>F54*VLOOKUP(Y$51,tech_data!$B$2:$K$15,10,FALSE)*1000</f>
        <v>2848093.573683057</v>
      </c>
      <c r="Z54" s="30">
        <f>G54*VLOOKUP(Z$51,tech_data!$B$2:$K$15,10,FALSE)*1000</f>
        <v>7333539.7195172906</v>
      </c>
      <c r="AA54" s="30">
        <f>H30*VLOOKUP(AA$51,tech_data!$B$2:$K$15,10,FALSE)/1000</f>
        <v>276.3289298492308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119277.45969359402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73"/>
        <v>38991211.736253105</v>
      </c>
      <c r="AK54" s="25">
        <f t="shared" ref="AK54:AK71" si="79">(AJ54-AJ53)/AJ53</f>
        <v>3.9403783700031593E-2</v>
      </c>
      <c r="AL54" s="24">
        <f>AL53</f>
        <v>5.2999999999999999E-2</v>
      </c>
      <c r="AM54" s="26"/>
      <c r="AN54" s="24"/>
      <c r="AO54" s="20" t="str">
        <f t="shared" si="74"/>
        <v>SUMATERA</v>
      </c>
      <c r="AP54" s="20">
        <f t="shared" si="74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255.51086859679813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619.20782345062105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61.225681447843073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19.770698948398937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33.353564573487915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74.119172024492329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3.5387628920486147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27.88562912847437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1.5799204277094998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0.18193691525339589</v>
      </c>
      <c r="BD54" s="30">
        <f t="shared" ref="BD54:BD71" si="80">SUM(AQ54:BC54)</f>
        <v>1096.3740584051275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70"/>
        <v>SUMATERA</v>
      </c>
      <c r="C55" s="20">
        <f t="shared" si="70"/>
        <v>2022</v>
      </c>
      <c r="D55" s="30">
        <f>(sumatera!D31*3.6/(VLOOKUP(D$51,tech_data!$B$2:$J$15,4,FALSE)/100))/1000</f>
        <v>249.32550481849805</v>
      </c>
      <c r="E55" s="30">
        <f>(sumatera!E31*3.6/(VLOOKUP(E$51,tech_data!$B$2:$J$15,4,FALSE)/100))/1000</f>
        <v>61.631003444906455</v>
      </c>
      <c r="F55" s="30">
        <f>(sumatera!F31*3.6/(VLOOKUP(F$51,tech_data!$B$2:$J$15,4,FALSE)/100))/1000</f>
        <v>49.04631720212727</v>
      </c>
      <c r="G55" s="30">
        <f>(sumatera!G31*3.6/(VLOOKUP(G$51,tech_data!$B$2:$J$15,4,FALSE)/100))/1000</f>
        <v>101.05823369744012</v>
      </c>
      <c r="H55" s="30">
        <f>(sumatera!H31*3.6/(VLOOKUP(H$51,tech_data!$B$2:$J$15,4,FALSE)/100))/1000</f>
        <v>117.1505796923077</v>
      </c>
      <c r="I55" s="30">
        <f>(sumatera!I31*3.6/(VLOOKUP(I$51,tech_data!$B$2:$J$15,4,FALSE)/100))/1000</f>
        <v>32.97163230067045</v>
      </c>
      <c r="J55" s="30">
        <f>(sumatera!J31*3.6/(VLOOKUP(J$51,tech_data!$B$2:$J$15,4,FALSE)/100))/1000</f>
        <v>1.8714306594461543</v>
      </c>
      <c r="K55" s="30">
        <f t="shared" ref="K55:L55" si="81">K31*3.6/1000</f>
        <v>2.9050646624260832</v>
      </c>
      <c r="L55" s="30">
        <f t="shared" si="81"/>
        <v>0</v>
      </c>
      <c r="M55" s="30">
        <f>(sumatera!M31*3.6/(VLOOKUP(M$51,tech_data!$B$2:$J$15,4,FALSE)/100))/1000</f>
        <v>1.0615651450124068</v>
      </c>
      <c r="N55" s="30">
        <f t="shared" ref="N55" si="82">N31*3.6/1000</f>
        <v>0</v>
      </c>
      <c r="O55" s="30">
        <f>(sumatera!O31*3.6/(VLOOKUP(O$51,tech_data!$B$2:$J$15,4,FALSE)/100))/1000</f>
        <v>0</v>
      </c>
      <c r="P55" s="30">
        <v>0</v>
      </c>
      <c r="Q55" s="30">
        <f t="shared" si="71"/>
        <v>617.02133162283462</v>
      </c>
      <c r="R55" s="30"/>
      <c r="T55" s="19"/>
      <c r="U55" s="20" t="str">
        <f t="shared" si="72"/>
        <v>SUMATERA</v>
      </c>
      <c r="V55" s="20">
        <f t="shared" si="72"/>
        <v>2022</v>
      </c>
      <c r="W55" s="30">
        <f>D55*VLOOKUP(W$51,tech_data!$B$2:$K$15,10,FALSE)*1000</f>
        <v>24862739.340500627</v>
      </c>
      <c r="X55" s="30">
        <f>E55*VLOOKUP(X$51,tech_data!$B$2:$K$15,10,FALSE)*1000</f>
        <v>3827285.3139286907</v>
      </c>
      <c r="Y55" s="30">
        <f>F55*VLOOKUP(Y$51,tech_data!$B$2:$K$15,10,FALSE)*1000</f>
        <v>3045776.2982521034</v>
      </c>
      <c r="Z55" s="30">
        <f>G55*VLOOKUP(Z$51,tech_data!$B$2:$K$15,10,FALSE)*1000</f>
        <v>7596547.4270365741</v>
      </c>
      <c r="AA55" s="30">
        <f>H31*VLOOKUP(AA$51,tech_data!$B$2:$K$15,10,FALSE)/1000</f>
        <v>276.3289298492308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119277.45969359402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73"/>
        <v>39451902.168341435</v>
      </c>
      <c r="AK55" s="25">
        <f t="shared" si="79"/>
        <v>1.1815237628534415E-2</v>
      </c>
      <c r="AL55" s="24">
        <f>AL54</f>
        <v>5.2999999999999999E-2</v>
      </c>
      <c r="AM55" s="26"/>
      <c r="AN55" s="24"/>
      <c r="AO55" s="20" t="str">
        <f t="shared" si="74"/>
        <v>SUMATERA</v>
      </c>
      <c r="AP55" s="20">
        <f t="shared" si="74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255.51086859679813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45.960065387159943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187.2454122096415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91.454599006062878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33.353564573487915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74.119172024492329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3.5387628920486147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29.429260347621717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1.5799204277094998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9.9730281077686944E-2</v>
      </c>
      <c r="BD55" s="30">
        <f t="shared" si="80"/>
        <v>722.29135574609995</v>
      </c>
      <c r="BE55" s="20">
        <v>2022</v>
      </c>
      <c r="BF55" s="23"/>
      <c r="BG55" s="19"/>
      <c r="BH55" s="30"/>
      <c r="BI55" s="30">
        <f>MIN($BD$53)</f>
        <v>2126.4380678337343</v>
      </c>
      <c r="BJ55" s="30">
        <f>MIN($BD$54)</f>
        <v>1096.3740584051275</v>
      </c>
      <c r="BK55" s="30">
        <f t="shared" ref="BK55" si="83">MIN($BD$55)</f>
        <v>722.29135574609995</v>
      </c>
      <c r="BL55" s="30">
        <f>MIN($BD$56)</f>
        <v>1883.9262710861983</v>
      </c>
      <c r="BM55" s="30">
        <f>MIN($BD$57)</f>
        <v>3068.6037721908201</v>
      </c>
      <c r="BN55" s="30">
        <f>MIN($BD$58)</f>
        <v>3338.6248543709721</v>
      </c>
      <c r="BO55" s="30">
        <f>MIN($BD$59)</f>
        <v>4630.7349325223513</v>
      </c>
      <c r="BP55" s="30">
        <f>MIN($BD$60)</f>
        <v>5671.4775837361085</v>
      </c>
      <c r="BQ55" s="30">
        <f>MIN($BD$61)</f>
        <v>3048.4599507970997</v>
      </c>
      <c r="BR55" s="30">
        <f>MIN($BD$62)</f>
        <v>3216.6770429282124</v>
      </c>
      <c r="BS55" s="30">
        <f>MIN($BD$63)</f>
        <v>4321.474564529487</v>
      </c>
      <c r="BT55" s="30">
        <f>MIN($BD$64)</f>
        <v>3858.0361401537812</v>
      </c>
      <c r="BU55" s="30">
        <f>MIN($BD$65)</f>
        <v>4136.1341244234682</v>
      </c>
      <c r="BV55" s="30">
        <f>MIN($BD$66)</f>
        <v>3918.0664936219955</v>
      </c>
      <c r="BW55" s="30">
        <f>MIN($BD$67)</f>
        <v>5667.5266084907371</v>
      </c>
      <c r="BX55" s="30">
        <f>MIN($BD$68)</f>
        <v>3785.7405345925213</v>
      </c>
      <c r="BY55" s="30">
        <f>MIN($BD$69)</f>
        <v>5262.000344357758</v>
      </c>
      <c r="BZ55" s="30">
        <f>MIN($BD$70)</f>
        <v>5867.4177661767053</v>
      </c>
      <c r="CA55" s="30">
        <f>MIN($BD$71)</f>
        <v>7377.8379166291106</v>
      </c>
      <c r="CD55" s="23"/>
    </row>
    <row r="56" spans="1:82" x14ac:dyDescent="0.25">
      <c r="A56" s="19"/>
      <c r="B56" s="20" t="str">
        <f t="shared" si="70"/>
        <v>SUMATERA</v>
      </c>
      <c r="C56" s="20">
        <f t="shared" si="70"/>
        <v>2023</v>
      </c>
      <c r="D56" s="30">
        <f>(sumatera!D32*3.6/(VLOOKUP(D$51,tech_data!$B$2:$J$15,4,FALSE)/100))/1000</f>
        <v>249.32550481849805</v>
      </c>
      <c r="E56" s="30">
        <f>(sumatera!E32*3.6/(VLOOKUP(E$51,tech_data!$B$2:$J$15,4,FALSE)/100))/1000</f>
        <v>61.631003444906455</v>
      </c>
      <c r="F56" s="30">
        <f>(sumatera!F32*3.6/(VLOOKUP(F$51,tech_data!$B$2:$J$15,4,FALSE)/100))/1000</f>
        <v>77.123328560829876</v>
      </c>
      <c r="G56" s="30">
        <f>(sumatera!G32*3.6/(VLOOKUP(G$51,tech_data!$B$2:$J$15,4,FALSE)/100))/1000</f>
        <v>112.81783095753315</v>
      </c>
      <c r="H56" s="30">
        <f>(sumatera!H32*3.6/(VLOOKUP(H$51,tech_data!$B$2:$J$15,4,FALSE)/100))/1000</f>
        <v>117.1505796923077</v>
      </c>
      <c r="I56" s="30">
        <f>(sumatera!I32*3.6/(VLOOKUP(I$51,tech_data!$B$2:$J$15,4,FALSE)/100))/1000</f>
        <v>32.97163230067045</v>
      </c>
      <c r="J56" s="30">
        <f>(sumatera!J32*3.6/(VLOOKUP(J$51,tech_data!$B$2:$J$15,4,FALSE)/100))/1000</f>
        <v>1.8714306594461543</v>
      </c>
      <c r="K56" s="30">
        <f t="shared" ref="K56:L56" si="84">K32*3.6/1000</f>
        <v>3.05939378081673</v>
      </c>
      <c r="L56" s="30">
        <f t="shared" si="84"/>
        <v>4.5153833476246082E-10</v>
      </c>
      <c r="M56" s="30">
        <f>(sumatera!M32*3.6/(VLOOKUP(M$51,tech_data!$B$2:$J$15,4,FALSE)/100))/1000</f>
        <v>1.0615651450124068</v>
      </c>
      <c r="N56" s="30">
        <f t="shared" ref="N56" si="85">N32*3.6/1000</f>
        <v>0</v>
      </c>
      <c r="O56" s="30">
        <f>(sumatera!O32*3.6/(VLOOKUP(O$51,tech_data!$B$2:$J$15,4,FALSE)/100))/1000</f>
        <v>0</v>
      </c>
      <c r="P56" s="30">
        <v>0</v>
      </c>
      <c r="Q56" s="30">
        <f t="shared" si="71"/>
        <v>657.01226936047249</v>
      </c>
      <c r="R56" s="30"/>
      <c r="T56" s="19"/>
      <c r="U56" s="20" t="str">
        <f t="shared" si="72"/>
        <v>SUMATERA</v>
      </c>
      <c r="V56" s="20">
        <f t="shared" si="72"/>
        <v>2023</v>
      </c>
      <c r="W56" s="30">
        <f>D56*VLOOKUP(W$51,tech_data!$B$2:$K$15,10,FALSE)*1000</f>
        <v>24862739.340500627</v>
      </c>
      <c r="X56" s="30">
        <f>E56*VLOOKUP(X$51,tech_data!$B$2:$K$15,10,FALSE)*1000</f>
        <v>3827285.3139286907</v>
      </c>
      <c r="Y56" s="30">
        <f>F56*VLOOKUP(Y$51,tech_data!$B$2:$K$15,10,FALSE)*1000</f>
        <v>4789358.7036275361</v>
      </c>
      <c r="Z56" s="30">
        <f>G56*VLOOKUP(Z$51,tech_data!$B$2:$K$15,10,FALSE)*1000</f>
        <v>8480516.3530777656</v>
      </c>
      <c r="AA56" s="30">
        <f>H32*VLOOKUP(AA$51,tech_data!$B$2:$K$15,10,FALSE)/1000</f>
        <v>276.3289298492308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119277.45969359402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73"/>
        <v>42079453.499758057</v>
      </c>
      <c r="AK56" s="25">
        <f t="shared" si="79"/>
        <v>6.6601385155140275E-2</v>
      </c>
      <c r="AL56" s="24">
        <f t="shared" ref="AL56:AL70" si="86">AL55</f>
        <v>5.2999999999999999E-2</v>
      </c>
      <c r="AM56" s="26"/>
      <c r="AN56" s="24"/>
      <c r="AO56" s="20" t="str">
        <f t="shared" si="74"/>
        <v>SUMATERA</v>
      </c>
      <c r="AP56" s="20">
        <f t="shared" si="74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255.51086859679813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45.960065387159943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1176.9825506834225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261.40934276667156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33.353564573487915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74.119172024492329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3.5387628920486147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31.065892390851083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5.4568806800432041E-8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1.5799204277094998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0.40613128898781786</v>
      </c>
      <c r="BD56" s="30">
        <f t="shared" si="80"/>
        <v>1883.9262710861983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70"/>
        <v>SUMATERA</v>
      </c>
      <c r="C57" s="20">
        <f t="shared" si="70"/>
        <v>2024</v>
      </c>
      <c r="D57" s="30">
        <f>(sumatera!D33*3.6/(VLOOKUP(D$51,tech_data!$B$2:$J$15,4,FALSE)/100))/1000</f>
        <v>249.32550481849805</v>
      </c>
      <c r="E57" s="30">
        <f>(sumatera!E33*3.6/(VLOOKUP(E$51,tech_data!$B$2:$J$15,4,FALSE)/100))/1000</f>
        <v>61.631003444906455</v>
      </c>
      <c r="F57" s="30">
        <f>(sumatera!F33*3.6/(VLOOKUP(F$51,tech_data!$B$2:$J$15,4,FALSE)/100))/1000</f>
        <v>101.96035063572438</v>
      </c>
      <c r="G57" s="30">
        <f>(sumatera!G33*3.6/(VLOOKUP(G$51,tech_data!$B$2:$J$15,4,FALSE)/100))/1000</f>
        <v>122.89687601006479</v>
      </c>
      <c r="H57" s="30">
        <f>(sumatera!H33*3.6/(VLOOKUP(H$51,tech_data!$B$2:$J$15,4,FALSE)/100))/1000</f>
        <v>117.1505796923077</v>
      </c>
      <c r="I57" s="30">
        <f>(sumatera!I33*3.6/(VLOOKUP(I$51,tech_data!$B$2:$J$15,4,FALSE)/100))/1000</f>
        <v>32.97163230067045</v>
      </c>
      <c r="J57" s="30">
        <f>(sumatera!J33*3.6/(VLOOKUP(J$51,tech_data!$B$2:$J$15,4,FALSE)/100))/1000</f>
        <v>1.8714306594461543</v>
      </c>
      <c r="K57" s="30">
        <f t="shared" ref="K57:L57" si="87">K33*3.6/1000</f>
        <v>3.8729249656211642</v>
      </c>
      <c r="L57" s="30">
        <f t="shared" si="87"/>
        <v>9.8842446734475082</v>
      </c>
      <c r="M57" s="30">
        <f>(sumatera!M33*3.6/(VLOOKUP(M$51,tech_data!$B$2:$J$15,4,FALSE)/100))/1000</f>
        <v>1.0615651450124068</v>
      </c>
      <c r="N57" s="30">
        <f t="shared" ref="N57" si="88">N33*3.6/1000</f>
        <v>0</v>
      </c>
      <c r="O57" s="30">
        <f>(sumatera!O33*3.6/(VLOOKUP(O$51,tech_data!$B$2:$J$15,4,FALSE)/100))/1000</f>
        <v>0</v>
      </c>
      <c r="P57" s="30">
        <v>0</v>
      </c>
      <c r="Q57" s="30">
        <f t="shared" si="71"/>
        <v>702.62611234569897</v>
      </c>
      <c r="R57" s="30"/>
      <c r="T57" s="19"/>
      <c r="U57" s="20" t="str">
        <f t="shared" si="72"/>
        <v>SUMATERA</v>
      </c>
      <c r="V57" s="20">
        <f t="shared" si="72"/>
        <v>2024</v>
      </c>
      <c r="W57" s="30">
        <f>D57*VLOOKUP(W$51,tech_data!$B$2:$K$15,10,FALSE)*1000</f>
        <v>24862739.340500627</v>
      </c>
      <c r="X57" s="30">
        <f>E57*VLOOKUP(X$51,tech_data!$B$2:$K$15,10,FALSE)*1000</f>
        <v>3827285.3139286907</v>
      </c>
      <c r="Y57" s="30">
        <f>F57*VLOOKUP(Y$51,tech_data!$B$2:$K$15,10,FALSE)*1000</f>
        <v>6331737.7744784849</v>
      </c>
      <c r="Z57" s="30">
        <f>G57*VLOOKUP(Z$51,tech_data!$B$2:$K$15,10,FALSE)*1000</f>
        <v>9238158.1696765702</v>
      </c>
      <c r="AA57" s="30">
        <f>H33*VLOOKUP(AA$51,tech_data!$B$2:$K$15,10,FALSE)/1000</f>
        <v>276.3289298492308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119277.45969359402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73"/>
        <v>44379474.387207821</v>
      </c>
      <c r="AK57" s="25">
        <f t="shared" si="79"/>
        <v>5.4659000917466477E-2</v>
      </c>
      <c r="AL57" s="24">
        <f t="shared" si="86"/>
        <v>5.2999999999999999E-2</v>
      </c>
      <c r="AM57" s="26"/>
      <c r="AN57" s="24"/>
      <c r="AO57" s="20" t="str">
        <f t="shared" si="74"/>
        <v>SUMATERA</v>
      </c>
      <c r="AP57" s="20">
        <f t="shared" si="74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255.51086859679813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45.960065387159943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1086.2004065257238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229.36145407092522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33.353564573487915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74.119172024492329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3.5387628920486147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143.77657362483251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1194.5197038776532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1.5799204277094998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0.68328018998921958</v>
      </c>
      <c r="BD57" s="30">
        <f t="shared" si="80"/>
        <v>3068.6037721908201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70"/>
        <v>SUMATERA</v>
      </c>
      <c r="C58" s="20">
        <f t="shared" si="70"/>
        <v>2025</v>
      </c>
      <c r="D58" s="30">
        <f>(sumatera!D34*3.6/(VLOOKUP(D$51,tech_data!$B$2:$J$15,4,FALSE)/100))/1000</f>
        <v>254.0997928916907</v>
      </c>
      <c r="E58" s="30">
        <f>(sumatera!E34*3.6/(VLOOKUP(E$51,tech_data!$B$2:$J$15,4,FALSE)/100))/1000</f>
        <v>61.631003444906455</v>
      </c>
      <c r="F58" s="30">
        <f>(sumatera!F34*3.6/(VLOOKUP(F$51,tech_data!$B$2:$J$15,4,FALSE)/100))/1000</f>
        <v>121.50545513839823</v>
      </c>
      <c r="G58" s="30">
        <f>(sumatera!G34*3.6/(VLOOKUP(G$51,tech_data!$B$2:$J$15,4,FALSE)/100))/1000</f>
        <v>132.75673953781163</v>
      </c>
      <c r="H58" s="30">
        <f>(sumatera!H34*3.6/(VLOOKUP(H$51,tech_data!$B$2:$J$15,4,FALSE)/100))/1000</f>
        <v>117.1505796923077</v>
      </c>
      <c r="I58" s="30">
        <f>(sumatera!I34*3.6/(VLOOKUP(I$51,tech_data!$B$2:$J$15,4,FALSE)/100))/1000</f>
        <v>32.97163230067045</v>
      </c>
      <c r="J58" s="30">
        <f>(sumatera!J34*3.6/(VLOOKUP(J$51,tech_data!$B$2:$J$15,4,FALSE)/100))/1000</f>
        <v>1.8714306594461543</v>
      </c>
      <c r="K58" s="30">
        <f t="shared" ref="K58:L58" si="89">K34*3.6/1000</f>
        <v>4.8837984076847114</v>
      </c>
      <c r="L58" s="30">
        <f t="shared" si="89"/>
        <v>21.478064889690391</v>
      </c>
      <c r="M58" s="30">
        <f>(sumatera!M34*3.6/(VLOOKUP(M$51,tech_data!$B$2:$J$15,4,FALSE)/100))/1000</f>
        <v>1.0615651450124068</v>
      </c>
      <c r="N58" s="30">
        <f t="shared" ref="N58" si="90">N34*3.6/1000</f>
        <v>0</v>
      </c>
      <c r="O58" s="30">
        <f>(sumatera!O34*3.6/(VLOOKUP(O$51,tech_data!$B$2:$J$15,4,FALSE)/100))/1000</f>
        <v>0</v>
      </c>
      <c r="P58" s="30">
        <v>0</v>
      </c>
      <c r="Q58" s="30">
        <f t="shared" si="71"/>
        <v>749.41006210761873</v>
      </c>
      <c r="R58" s="30"/>
      <c r="T58" s="19"/>
      <c r="U58" s="20" t="str">
        <f t="shared" si="72"/>
        <v>SUMATERA</v>
      </c>
      <c r="V58" s="20">
        <f t="shared" si="72"/>
        <v>2025</v>
      </c>
      <c r="W58" s="30">
        <f>D58*VLOOKUP(W$51,tech_data!$B$2:$K$15,10,FALSE)*1000</f>
        <v>25338831.347159397</v>
      </c>
      <c r="X58" s="30">
        <f>E58*VLOOKUP(X$51,tech_data!$B$2:$K$15,10,FALSE)*1000</f>
        <v>3827285.3139286907</v>
      </c>
      <c r="Y58" s="30">
        <f>F58*VLOOKUP(Y$51,tech_data!$B$2:$K$15,10,FALSE)*1000</f>
        <v>7545488.7640945306</v>
      </c>
      <c r="Z58" s="30">
        <f>G58*VLOOKUP(Z$51,tech_data!$B$2:$K$15,10,FALSE)*1000</f>
        <v>9979324.1110573001</v>
      </c>
      <c r="AA58" s="30">
        <f>H34*VLOOKUP(AA$51,tech_data!$B$2:$K$15,10,FALSE)/1000</f>
        <v>276.3289298492308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119277.45969359402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73"/>
        <v>46810483.324863367</v>
      </c>
      <c r="AK58" s="25">
        <f t="shared" si="79"/>
        <v>5.4777776691205537E-2</v>
      </c>
      <c r="AL58" s="24">
        <f t="shared" si="86"/>
        <v>5.2999999999999999E-2</v>
      </c>
      <c r="AM58" s="26"/>
      <c r="AN58" s="24"/>
      <c r="AO58" s="20" t="str">
        <f t="shared" si="74"/>
        <v>SUMATERA</v>
      </c>
      <c r="AP58" s="20">
        <f t="shared" si="74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416.79507559723169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45.960065387159943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909.86164088884402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226.91343046694251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33.353564573487915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74.119172024492329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3.5387628920486147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178.76960034670961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1447.0092589594537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1.5799204277094998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0.7243628068919491</v>
      </c>
      <c r="BD58" s="30">
        <f t="shared" si="80"/>
        <v>3338.6248543709721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1</v>
      </c>
      <c r="BK58" s="20" t="b">
        <f>$AK$55&lt;=$AL$55</f>
        <v>1</v>
      </c>
      <c r="BL58" s="20" t="b">
        <f>$AK$56&lt;=$AL$56</f>
        <v>0</v>
      </c>
      <c r="BM58" s="20" t="b">
        <f>$AK$57&lt;=$AL$57</f>
        <v>0</v>
      </c>
      <c r="BN58" s="20" t="b">
        <f>$AK$58&lt;=$AL$58</f>
        <v>0</v>
      </c>
      <c r="BO58" s="20" t="b">
        <f>$AK$59&lt;=$AL$59</f>
        <v>0</v>
      </c>
      <c r="BP58" s="20" t="b">
        <f>$AK$60&lt;=$AL$60</f>
        <v>0</v>
      </c>
      <c r="BQ58" s="20" t="b">
        <f>$AK$61&lt;=$AL$61</f>
        <v>0</v>
      </c>
      <c r="BR58" s="20" t="b">
        <f>$AK$62&lt;=$AL$62</f>
        <v>0</v>
      </c>
      <c r="BS58" s="20" t="b">
        <f>$AK$63&lt;=$AL$63</f>
        <v>1</v>
      </c>
      <c r="BT58" s="20" t="b">
        <f>$AK$64&lt;=$AL$64</f>
        <v>0</v>
      </c>
      <c r="BU58" s="20" t="b">
        <f>$AK$65&lt;=$AL$65</f>
        <v>0</v>
      </c>
      <c r="BV58" s="20" t="b">
        <f>$AK$66&lt;=$AL$66</f>
        <v>0</v>
      </c>
      <c r="BW58" s="20" t="b">
        <f>$AK$67&lt;=$AL$67</f>
        <v>0</v>
      </c>
      <c r="BX58" s="20" t="b">
        <f>$AK$68&lt;=$AL$68</f>
        <v>0</v>
      </c>
      <c r="BY58" s="20" t="b">
        <f>$AK$69&lt;=$AL$69</f>
        <v>0</v>
      </c>
      <c r="BZ58" s="20" t="b">
        <f>$AK$70&lt;=$AL$70</f>
        <v>0</v>
      </c>
      <c r="CA58" s="20" t="b">
        <f>$AK$71&lt;=$AL$71</f>
        <v>0</v>
      </c>
      <c r="CD58" s="23"/>
    </row>
    <row r="59" spans="1:82" x14ac:dyDescent="0.25">
      <c r="A59" s="19"/>
      <c r="B59" s="20" t="str">
        <f t="shared" si="70"/>
        <v>SUMATERA</v>
      </c>
      <c r="C59" s="20">
        <f t="shared" si="70"/>
        <v>2026</v>
      </c>
      <c r="D59" s="30">
        <f>(sumatera!D35*3.6/(VLOOKUP(D$51,tech_data!$B$2:$J$15,4,FALSE)/100))/1000</f>
        <v>280.58066633920208</v>
      </c>
      <c r="E59" s="30">
        <f>(sumatera!E35*3.6/(VLOOKUP(E$51,tech_data!$B$2:$J$15,4,FALSE)/100))/1000</f>
        <v>61.631003444906455</v>
      </c>
      <c r="F59" s="30">
        <f>(sumatera!F35*3.6/(VLOOKUP(F$51,tech_data!$B$2:$J$15,4,FALSE)/100))/1000</f>
        <v>129.48660963645861</v>
      </c>
      <c r="G59" s="30">
        <f>(sumatera!G35*3.6/(VLOOKUP(G$51,tech_data!$B$2:$J$15,4,FALSE)/100))/1000</f>
        <v>132.75673953781163</v>
      </c>
      <c r="H59" s="30">
        <f>(sumatera!H35*3.6/(VLOOKUP(H$51,tech_data!$B$2:$J$15,4,FALSE)/100))/1000</f>
        <v>117.1505796923077</v>
      </c>
      <c r="I59" s="30">
        <f>(sumatera!I35*3.6/(VLOOKUP(I$51,tech_data!$B$2:$J$15,4,FALSE)/100))/1000</f>
        <v>32.97163230067045</v>
      </c>
      <c r="J59" s="30">
        <f>(sumatera!J35*3.6/(VLOOKUP(J$51,tech_data!$B$2:$J$15,4,FALSE)/100))/1000</f>
        <v>1.8714306594461543</v>
      </c>
      <c r="K59" s="30">
        <f t="shared" ref="K59:L59" si="91">K35*3.6/1000</f>
        <v>6.6027428927072735</v>
      </c>
      <c r="L59" s="30">
        <f t="shared" si="91"/>
        <v>41.422176582120272</v>
      </c>
      <c r="M59" s="30">
        <f>(sumatera!M35*3.6/(VLOOKUP(M$51,tech_data!$B$2:$J$15,4,FALSE)/100))/1000</f>
        <v>1.0615651450124068</v>
      </c>
      <c r="N59" s="30">
        <f t="shared" ref="N59" si="92">N35*3.6/1000</f>
        <v>0</v>
      </c>
      <c r="O59" s="30">
        <f>(sumatera!O35*3.6/(VLOOKUP(O$51,tech_data!$B$2:$J$15,4,FALSE)/100))/1000</f>
        <v>0</v>
      </c>
      <c r="P59" s="30">
        <v>0</v>
      </c>
      <c r="Q59" s="30">
        <f t="shared" si="71"/>
        <v>805.53514623064302</v>
      </c>
      <c r="R59" s="30"/>
      <c r="T59" s="19"/>
      <c r="U59" s="20" t="str">
        <f t="shared" si="72"/>
        <v>SUMATERA</v>
      </c>
      <c r="V59" s="20">
        <f t="shared" si="72"/>
        <v>2026</v>
      </c>
      <c r="W59" s="30">
        <f>D59*VLOOKUP(W$51,tech_data!$B$2:$K$15,10,FALSE)*1000</f>
        <v>27979504.047345232</v>
      </c>
      <c r="X59" s="30">
        <f>E59*VLOOKUP(X$51,tech_data!$B$2:$K$15,10,FALSE)*1000</f>
        <v>3827285.3139286907</v>
      </c>
      <c r="Y59" s="30">
        <f>F59*VLOOKUP(Y$51,tech_data!$B$2:$K$15,10,FALSE)*1000</f>
        <v>8041118.4584240802</v>
      </c>
      <c r="Z59" s="30">
        <f>G59*VLOOKUP(Z$51,tech_data!$B$2:$K$15,10,FALSE)*1000</f>
        <v>9979324.1110573001</v>
      </c>
      <c r="AA59" s="30">
        <f>H35*VLOOKUP(AA$51,tech_data!$B$2:$K$15,10,FALSE)/1000</f>
        <v>276.3289298492308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119277.45969359402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73"/>
        <v>49946785.719378747</v>
      </c>
      <c r="AK59" s="25">
        <f t="shared" si="79"/>
        <v>6.7000000251002209E-2</v>
      </c>
      <c r="AL59" s="24">
        <f t="shared" si="86"/>
        <v>5.2999999999999999E-2</v>
      </c>
      <c r="AM59" s="26"/>
      <c r="AN59" s="24"/>
      <c r="AO59" s="20" t="str">
        <f t="shared" si="74"/>
        <v>SUMATERA</v>
      </c>
      <c r="AP59" s="20">
        <f t="shared" si="74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1154.9760691710183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45.960065387159943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478.16233175466152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26.903544571133697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33.353564573487915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74.119172024492329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3.5387628920486147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301.21410783465683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2509.9716022369198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1.5799204277094998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0.95579164906263459</v>
      </c>
      <c r="BD59" s="30">
        <f t="shared" si="80"/>
        <v>4630.7349325223513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1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0</v>
      </c>
      <c r="BP59" s="20" t="b">
        <f>$AQ$36&gt;=$AW$36</f>
        <v>1</v>
      </c>
      <c r="BQ59" s="20" t="b">
        <f>$AQ$37&gt;=$AW$37</f>
        <v>0</v>
      </c>
      <c r="BR59" s="20" t="b">
        <f>$AQ$38&gt;=$AW$38</f>
        <v>0</v>
      </c>
      <c r="BS59" s="20" t="b">
        <f>$AQ$39&gt;=$AW$39</f>
        <v>1</v>
      </c>
      <c r="BT59" s="20" t="b">
        <f>$AQ$40&gt;=$AW$40</f>
        <v>0</v>
      </c>
      <c r="BU59" s="20" t="b">
        <f>$AQ$41&gt;=$AW$41</f>
        <v>1</v>
      </c>
      <c r="BV59" s="20" t="b">
        <f>$AQ$42&gt;=$AW$42</f>
        <v>0</v>
      </c>
      <c r="BW59" s="20" t="b">
        <f>$AQ$43&gt;=$AW$43</f>
        <v>1</v>
      </c>
      <c r="BX59" s="20" t="b">
        <f>$AQ$44&gt;=$AW$44</f>
        <v>1</v>
      </c>
      <c r="BY59" s="20" t="b">
        <f>$AQ$45&gt;=$AW$45</f>
        <v>0</v>
      </c>
      <c r="BZ59" s="20" t="b">
        <f>$AQ$46&gt;=$AW$46</f>
        <v>0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70"/>
        <v>SUMATERA</v>
      </c>
      <c r="C60" s="20">
        <f t="shared" si="70"/>
        <v>2027</v>
      </c>
      <c r="D60" s="30">
        <f>(sumatera!D36*3.6/(VLOOKUP(D$51,tech_data!$B$2:$J$15,4,FALSE)/100))/1000</f>
        <v>311.72658181452903</v>
      </c>
      <c r="E60" s="30">
        <f>(sumatera!E36*3.6/(VLOOKUP(E$51,tech_data!$B$2:$J$15,4,FALSE)/100))/1000</f>
        <v>61.631003444906455</v>
      </c>
      <c r="F60" s="30">
        <f>(sumatera!F36*3.6/(VLOOKUP(F$51,tech_data!$B$2:$J$15,4,FALSE)/100))/1000</f>
        <v>133.3604252557605</v>
      </c>
      <c r="G60" s="30">
        <f>(sumatera!G36*3.6/(VLOOKUP(G$51,tech_data!$B$2:$J$15,4,FALSE)/100))/1000</f>
        <v>132.75673953781163</v>
      </c>
      <c r="H60" s="30">
        <f>(sumatera!H36*3.6/(VLOOKUP(H$51,tech_data!$B$2:$J$15,4,FALSE)/100))/1000</f>
        <v>117.1505796923077</v>
      </c>
      <c r="I60" s="30">
        <f>(sumatera!I36*3.6/(VLOOKUP(I$51,tech_data!$B$2:$J$15,4,FALSE)/100))/1000</f>
        <v>32.97163230067045</v>
      </c>
      <c r="J60" s="30">
        <f>(sumatera!J36*3.6/(VLOOKUP(J$51,tech_data!$B$2:$J$15,4,FALSE)/100))/1000</f>
        <v>9.6369838451117715</v>
      </c>
      <c r="K60" s="30">
        <f t="shared" ref="K60:L60" si="93">K36*3.6/1000</f>
        <v>8.9946094827720628</v>
      </c>
      <c r="L60" s="30">
        <f t="shared" si="93"/>
        <v>61.661054177460144</v>
      </c>
      <c r="M60" s="30">
        <f>(sumatera!M36*3.6/(VLOOKUP(M$51,tech_data!$B$2:$J$15,4,FALSE)/100))/1000</f>
        <v>1.0615651450124068</v>
      </c>
      <c r="N60" s="30">
        <f t="shared" ref="N60" si="94">N36*3.6/1000</f>
        <v>0</v>
      </c>
      <c r="O60" s="30">
        <f>(sumatera!O36*3.6/(VLOOKUP(O$51,tech_data!$B$2:$J$15,4,FALSE)/100))/1000</f>
        <v>0</v>
      </c>
      <c r="P60" s="30">
        <v>0</v>
      </c>
      <c r="Q60" s="30">
        <f t="shared" si="71"/>
        <v>870.95117469634215</v>
      </c>
      <c r="R60" s="30"/>
      <c r="T60" s="19"/>
      <c r="U60" s="20" t="str">
        <f t="shared" si="72"/>
        <v>SUMATERA</v>
      </c>
      <c r="V60" s="20">
        <f t="shared" si="72"/>
        <v>2027</v>
      </c>
      <c r="W60" s="30">
        <f>D60*VLOOKUP(W$51,tech_data!$B$2:$K$15,10,FALSE)*1000</f>
        <v>31085374.738544833</v>
      </c>
      <c r="X60" s="30">
        <f>E60*VLOOKUP(X$51,tech_data!$B$2:$K$15,10,FALSE)*1000</f>
        <v>3827285.3139286907</v>
      </c>
      <c r="Y60" s="30">
        <f>F60*VLOOKUP(Y$51,tech_data!$B$2:$K$15,10,FALSE)*1000</f>
        <v>8281682.4083827268</v>
      </c>
      <c r="Z60" s="30">
        <f>G60*VLOOKUP(Z$51,tech_data!$B$2:$K$15,10,FALSE)*1000</f>
        <v>9979324.1110573001</v>
      </c>
      <c r="AA60" s="30">
        <f>H36*VLOOKUP(AA$51,tech_data!$B$2:$K$15,10,FALSE)/1000</f>
        <v>276.3289298492308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119277.45969359402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73"/>
        <v>53293220.360537</v>
      </c>
      <c r="AK60" s="25">
        <f t="shared" si="79"/>
        <v>6.6999999959154066E-2</v>
      </c>
      <c r="AL60" s="24">
        <f t="shared" si="86"/>
        <v>5.2999999999999999E-2</v>
      </c>
      <c r="AM60" s="26"/>
      <c r="AN60" s="24"/>
      <c r="AO60" s="20" t="str">
        <f t="shared" si="74"/>
        <v>SUMATERA</v>
      </c>
      <c r="AP60" s="20">
        <f t="shared" si="74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1339.7075656266466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45.960065387159943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326.21638725103304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26.903544571133697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33.353564573487915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74.119172024492329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765.55204929371644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418.81696756185505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2638.1812971715776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1.5799204277094998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1.0870498472967831</v>
      </c>
      <c r="BD60" s="30">
        <f t="shared" si="80"/>
        <v>5671.4775837361085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70"/>
        <v>SUMATERA</v>
      </c>
      <c r="C61" s="20">
        <f t="shared" si="70"/>
        <v>2028</v>
      </c>
      <c r="D61" s="30">
        <f>(sumatera!D37*3.6/(VLOOKUP(D$51,tech_data!$B$2:$J$15,4,FALSE)/100))/1000</f>
        <v>329.41877589773105</v>
      </c>
      <c r="E61" s="30">
        <f>(sumatera!E37*3.6/(VLOOKUP(E$51,tech_data!$B$2:$J$15,4,FALSE)/100))/1000</f>
        <v>61.631003444906455</v>
      </c>
      <c r="F61" s="30">
        <f>(sumatera!F37*3.6/(VLOOKUP(F$51,tech_data!$B$2:$J$15,4,FALSE)/100))/1000</f>
        <v>162.44872958274811</v>
      </c>
      <c r="G61" s="30">
        <f>(sumatera!G37*3.6/(VLOOKUP(G$51,tech_data!$B$2:$J$15,4,FALSE)/100))/1000</f>
        <v>132.75673953781163</v>
      </c>
      <c r="H61" s="30">
        <f>(sumatera!H37*3.6/(VLOOKUP(H$51,tech_data!$B$2:$J$15,4,FALSE)/100))/1000</f>
        <v>117.1505796923077</v>
      </c>
      <c r="I61" s="30">
        <f>(sumatera!I37*3.6/(VLOOKUP(I$51,tech_data!$B$2:$J$15,4,FALSE)/100))/1000</f>
        <v>32.97163230067045</v>
      </c>
      <c r="J61" s="30">
        <f>(sumatera!J37*3.6/(VLOOKUP(J$51,tech_data!$B$2:$J$15,4,FALSE)/100))/1000</f>
        <v>9.6369838451117715</v>
      </c>
      <c r="K61" s="30">
        <f t="shared" ref="K61:L61" si="95">K37*3.6/1000</f>
        <v>9.6116894136978885</v>
      </c>
      <c r="L61" s="30">
        <f t="shared" si="95"/>
        <v>63.273655646459794</v>
      </c>
      <c r="M61" s="30">
        <f>(sumatera!M37*3.6/(VLOOKUP(M$51,tech_data!$B$2:$J$15,4,FALSE)/100))/1000</f>
        <v>1.0615651450124068</v>
      </c>
      <c r="N61" s="30">
        <f t="shared" ref="N61" si="96">N37*3.6/1000</f>
        <v>0</v>
      </c>
      <c r="O61" s="30">
        <f>(sumatera!O37*3.6/(VLOOKUP(O$51,tech_data!$B$2:$J$15,4,FALSE)/100))/1000</f>
        <v>0</v>
      </c>
      <c r="P61" s="30">
        <v>0</v>
      </c>
      <c r="Q61" s="30">
        <f t="shared" si="71"/>
        <v>919.96135450645738</v>
      </c>
      <c r="R61" s="30"/>
      <c r="T61" s="19"/>
      <c r="U61" s="20" t="str">
        <f t="shared" si="72"/>
        <v>SUMATERA</v>
      </c>
      <c r="V61" s="20">
        <f t="shared" si="72"/>
        <v>2028</v>
      </c>
      <c r="W61" s="30">
        <f>D61*VLOOKUP(W$51,tech_data!$B$2:$K$15,10,FALSE)*1000</f>
        <v>32849640.33252174</v>
      </c>
      <c r="X61" s="30">
        <f>E61*VLOOKUP(X$51,tech_data!$B$2:$K$15,10,FALSE)*1000</f>
        <v>3827285.3139286907</v>
      </c>
      <c r="Y61" s="30">
        <f>F61*VLOOKUP(Y$51,tech_data!$B$2:$K$15,10,FALSE)*1000</f>
        <v>10088066.107088659</v>
      </c>
      <c r="Z61" s="30">
        <f>G61*VLOOKUP(Z$51,tech_data!$B$2:$K$15,10,FALSE)*1000</f>
        <v>9979324.1110573001</v>
      </c>
      <c r="AA61" s="30">
        <f>H37*VLOOKUP(AA$51,tech_data!$B$2:$K$15,10,FALSE)/1000</f>
        <v>276.3289298492308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119277.45969359402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73"/>
        <v>56863869.653219827</v>
      </c>
      <c r="AK61" s="25">
        <f t="shared" si="79"/>
        <v>6.7000066209675899E-2</v>
      </c>
      <c r="AL61" s="24">
        <f t="shared" si="86"/>
        <v>5.2999999999999999E-2</v>
      </c>
      <c r="AM61" s="26"/>
      <c r="AN61" s="24"/>
      <c r="AO61" s="20" t="str">
        <f t="shared" si="74"/>
        <v>SUMATERA</v>
      </c>
      <c r="AP61" s="20">
        <f t="shared" si="74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917.13477873681666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45.960065387159943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1329.5740870363118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26.903544571133697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33.353564573487915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74.119172024492329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18.222957206678561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119.94133512930568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481.13473954775799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1.5799204277094998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0.53578615624580217</v>
      </c>
      <c r="BD61" s="30">
        <f t="shared" si="80"/>
        <v>3048.4599507970997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0</v>
      </c>
      <c r="CA61" s="20" t="b">
        <f>$AS$47&lt;=$AY$47</f>
        <v>0</v>
      </c>
      <c r="CD61" s="23"/>
    </row>
    <row r="62" spans="1:82" x14ac:dyDescent="0.25">
      <c r="A62" s="19"/>
      <c r="B62" s="20" t="str">
        <f t="shared" si="70"/>
        <v>SUMATERA</v>
      </c>
      <c r="C62" s="20">
        <f t="shared" si="70"/>
        <v>2029</v>
      </c>
      <c r="D62" s="30">
        <f>(sumatera!D38*3.6/(VLOOKUP(D$51,tech_data!$B$2:$J$15,4,FALSE)/100))/1000</f>
        <v>347.99975601550238</v>
      </c>
      <c r="E62" s="30">
        <f>(sumatera!E38*3.6/(VLOOKUP(E$51,tech_data!$B$2:$J$15,4,FALSE)/100))/1000</f>
        <v>61.631003444906455</v>
      </c>
      <c r="F62" s="30">
        <f>(sumatera!F38*3.6/(VLOOKUP(F$51,tech_data!$B$2:$J$15,4,FALSE)/100))/1000</f>
        <v>193.96215839791031</v>
      </c>
      <c r="G62" s="30">
        <f>(sumatera!G38*3.6/(VLOOKUP(G$51,tech_data!$B$2:$J$15,4,FALSE)/100))/1000</f>
        <v>132.75673953781163</v>
      </c>
      <c r="H62" s="30">
        <f>(sumatera!H38*3.6/(VLOOKUP(H$51,tech_data!$B$2:$J$15,4,FALSE)/100))/1000</f>
        <v>117.1505796923077</v>
      </c>
      <c r="I62" s="30">
        <f>(sumatera!I38*3.6/(VLOOKUP(I$51,tech_data!$B$2:$J$15,4,FALSE)/100))/1000</f>
        <v>32.97163230067045</v>
      </c>
      <c r="J62" s="30">
        <f>(sumatera!J38*3.6/(VLOOKUP(J$51,tech_data!$B$2:$J$15,4,FALSE)/100))/1000</f>
        <v>9.6369848677476266</v>
      </c>
      <c r="K62" s="30">
        <f t="shared" ref="K62:L62" si="97">K38*3.6/1000</f>
        <v>10.289838194826713</v>
      </c>
      <c r="L62" s="30">
        <f t="shared" si="97"/>
        <v>64.597914834074018</v>
      </c>
      <c r="M62" s="30">
        <f>(sumatera!M38*3.6/(VLOOKUP(M$51,tech_data!$B$2:$J$15,4,FALSE)/100))/1000</f>
        <v>1.0615651450124068</v>
      </c>
      <c r="N62" s="30">
        <f t="shared" ref="N62" si="98">N38*3.6/1000</f>
        <v>2.4736261607189421E-3</v>
      </c>
      <c r="O62" s="30">
        <f>(sumatera!O38*3.6/(VLOOKUP(O$51,tech_data!$B$2:$J$15,4,FALSE)/100))/1000</f>
        <v>0</v>
      </c>
      <c r="P62" s="30">
        <v>0</v>
      </c>
      <c r="Q62" s="30">
        <f t="shared" si="71"/>
        <v>972.06064605693052</v>
      </c>
      <c r="R62" s="30"/>
      <c r="T62" s="19"/>
      <c r="U62" s="20" t="str">
        <f t="shared" si="72"/>
        <v>SUMATERA</v>
      </c>
      <c r="V62" s="20">
        <f t="shared" si="72"/>
        <v>2029</v>
      </c>
      <c r="W62" s="30">
        <f>D62*VLOOKUP(W$51,tech_data!$B$2:$K$15,10,FALSE)*1000</f>
        <v>34702535.669865891</v>
      </c>
      <c r="X62" s="30">
        <f>E62*VLOOKUP(X$51,tech_data!$B$2:$K$15,10,FALSE)*1000</f>
        <v>3827285.3139286907</v>
      </c>
      <c r="Y62" s="30">
        <f>F62*VLOOKUP(Y$51,tech_data!$B$2:$K$15,10,FALSE)*1000</f>
        <v>12045050.036510231</v>
      </c>
      <c r="Z62" s="30">
        <f>G62*VLOOKUP(Z$51,tech_data!$B$2:$K$15,10,FALSE)*1000</f>
        <v>9979324.1110573001</v>
      </c>
      <c r="AA62" s="30">
        <f>H38*VLOOKUP(AA$51,tech_data!$B$2:$K$15,10,FALSE)/1000</f>
        <v>276.3289298492308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119277.45969359402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73"/>
        <v>60673748.919985555</v>
      </c>
      <c r="AK62" s="25">
        <f t="shared" si="79"/>
        <v>6.7000000000000004E-2</v>
      </c>
      <c r="AL62" s="24">
        <f t="shared" si="86"/>
        <v>5.2999999999999999E-2</v>
      </c>
      <c r="AM62" s="26"/>
      <c r="AN62" s="24"/>
      <c r="AO62" s="20" t="str">
        <f t="shared" si="74"/>
        <v>SUMATERA</v>
      </c>
      <c r="AP62" s="20">
        <f t="shared" si="74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965.2907098817077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45.960065387159943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1464.4114099797318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26.903544571133697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33.353564573487915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74.119172024492329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18.223057555242328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131.36592776619321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453.774534214006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1.5799204277094998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1.1325271113645574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0.56260943598337898</v>
      </c>
      <c r="BD62" s="30">
        <f t="shared" si="80"/>
        <v>3216.6770429282124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0</v>
      </c>
      <c r="BN62" s="20" t="b">
        <f>$AT$34&gt;=$AZ$34</f>
        <v>1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1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0</v>
      </c>
      <c r="BY62" s="20" t="b">
        <f>$AT$45&gt;=$AZ$45</f>
        <v>1</v>
      </c>
      <c r="BZ62" s="20" t="b">
        <f>$AT$46&gt;=$AZ$46</f>
        <v>0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70"/>
        <v>SUMATERA</v>
      </c>
      <c r="C63" s="20">
        <f t="shared" si="70"/>
        <v>2030</v>
      </c>
      <c r="D63" s="30">
        <f>(sumatera!D39*3.6/(VLOOKUP(D$51,tech_data!$B$2:$J$15,4,FALSE)/100))/1000</f>
        <v>366.85440267990975</v>
      </c>
      <c r="E63" s="30">
        <f>(sumatera!E39*3.6/(VLOOKUP(E$51,tech_data!$B$2:$J$15,4,FALSE)/100))/1000</f>
        <v>61.631003444906455</v>
      </c>
      <c r="F63" s="30">
        <f>(sumatera!F39*3.6/(VLOOKUP(F$51,tech_data!$B$2:$J$15,4,FALSE)/100))/1000</f>
        <v>211.24565146687763</v>
      </c>
      <c r="G63" s="30">
        <f>(sumatera!G39*3.6/(VLOOKUP(G$51,tech_data!$B$2:$J$15,4,FALSE)/100))/1000</f>
        <v>132.75685192801399</v>
      </c>
      <c r="H63" s="30">
        <f>(sumatera!H39*3.6/(VLOOKUP(H$51,tech_data!$B$2:$J$15,4,FALSE)/100))/1000</f>
        <v>117.1505796923077</v>
      </c>
      <c r="I63" s="30">
        <f>(sumatera!I39*3.6/(VLOOKUP(I$51,tech_data!$B$2:$J$15,4,FALSE)/100))/1000</f>
        <v>32.971632310650584</v>
      </c>
      <c r="J63" s="30">
        <f>(sumatera!J39*3.6/(VLOOKUP(J$51,tech_data!$B$2:$J$15,4,FALSE)/100))/1000</f>
        <v>9.6369848694247437</v>
      </c>
      <c r="K63" s="30">
        <f t="shared" ref="K63:L63" si="99">K39*3.6/1000</f>
        <v>21.234888512526723</v>
      </c>
      <c r="L63" s="30">
        <f t="shared" si="99"/>
        <v>64.597913881022976</v>
      </c>
      <c r="M63" s="30">
        <f>(sumatera!M39*3.6/(VLOOKUP(M$51,tech_data!$B$2:$J$15,4,FALSE)/100))/1000</f>
        <v>1.0615651450124068</v>
      </c>
      <c r="N63" s="30">
        <f t="shared" ref="N63" si="100">N39*3.6/1000</f>
        <v>2.4736261607189421E-3</v>
      </c>
      <c r="O63" s="30">
        <f>(sumatera!O39*3.6/(VLOOKUP(O$51,tech_data!$B$2:$J$15,4,FALSE)/100))/1000</f>
        <v>0</v>
      </c>
      <c r="P63" s="30">
        <v>0</v>
      </c>
      <c r="Q63" s="30">
        <f t="shared" si="71"/>
        <v>1019.1439475568135</v>
      </c>
      <c r="R63" s="30"/>
      <c r="T63" s="19"/>
      <c r="U63" s="20" t="str">
        <f t="shared" si="72"/>
        <v>SUMATERA</v>
      </c>
      <c r="V63" s="20">
        <f t="shared" si="72"/>
        <v>2030</v>
      </c>
      <c r="W63" s="30">
        <f>D63*VLOOKUP(W$51,tech_data!$B$2:$K$15,10,FALSE)*1000</f>
        <v>36582721.035240605</v>
      </c>
      <c r="X63" s="30">
        <f>E63*VLOOKUP(X$51,tech_data!$B$2:$K$15,10,FALSE)*1000</f>
        <v>3827285.3139286907</v>
      </c>
      <c r="Y63" s="30">
        <f>F63*VLOOKUP(Y$51,tech_data!$B$2:$K$15,10,FALSE)*1000</f>
        <v>13118354.956093101</v>
      </c>
      <c r="Z63" s="30">
        <f>G63*VLOOKUP(Z$51,tech_data!$B$2:$K$15,10,FALSE)*1000</f>
        <v>9979332.5594288111</v>
      </c>
      <c r="AA63" s="30">
        <f>H39*VLOOKUP(AA$51,tech_data!$B$2:$K$15,10,FALSE)/1000</f>
        <v>276.3289298492308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119277.45969359402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73"/>
        <v>63627247.653314658</v>
      </c>
      <c r="AK63" s="25">
        <f t="shared" si="79"/>
        <v>4.8678362321472414E-2</v>
      </c>
      <c r="AL63" s="24">
        <f t="shared" si="86"/>
        <v>5.2999999999999999E-2</v>
      </c>
      <c r="AM63" s="26"/>
      <c r="AN63" s="24"/>
      <c r="AO63" s="20" t="str">
        <f t="shared" si="74"/>
        <v>SUMATERA</v>
      </c>
      <c r="AP63" s="20">
        <f t="shared" si="74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993.57761199829179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45.960065387159943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943.14890977058076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26.90584721170891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33.353564573487915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74.119173278924606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18.222959304992461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1883.9917043321018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299.88416257734048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1.5799204277094998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3.0440406394654014E-2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0.7002052607947975</v>
      </c>
      <c r="BD63" s="30">
        <f t="shared" si="80"/>
        <v>4321.474564529487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70"/>
        <v>SUMATERA</v>
      </c>
      <c r="C64" s="20">
        <f t="shared" si="70"/>
        <v>2031</v>
      </c>
      <c r="D64" s="30">
        <f>(sumatera!D40*3.6/(VLOOKUP(D$51,tech_data!$B$2:$J$15,4,FALSE)/100))/1000</f>
        <v>388.85095523241813</v>
      </c>
      <c r="E64" s="30">
        <f>(sumatera!E40*3.6/(VLOOKUP(E$51,tech_data!$B$2:$J$15,4,FALSE)/100))/1000</f>
        <v>61.631003444906455</v>
      </c>
      <c r="F64" s="30">
        <f>(sumatera!F40*3.6/(VLOOKUP(F$51,tech_data!$B$2:$J$15,4,FALSE)/100))/1000</f>
        <v>244.57140625328591</v>
      </c>
      <c r="G64" s="30">
        <f>(sumatera!G40*3.6/(VLOOKUP(G$51,tech_data!$B$2:$J$15,4,FALSE)/100))/1000</f>
        <v>132.75685192801399</v>
      </c>
      <c r="H64" s="30">
        <f>(sumatera!H40*3.6/(VLOOKUP(H$51,tech_data!$B$2:$J$15,4,FALSE)/100))/1000</f>
        <v>117.1505796923077</v>
      </c>
      <c r="I64" s="30">
        <f>(sumatera!I40*3.6/(VLOOKUP(I$51,tech_data!$B$2:$J$15,4,FALSE)/100))/1000</f>
        <v>32.971632310650584</v>
      </c>
      <c r="J64" s="30">
        <f>(sumatera!J40*3.6/(VLOOKUP(J$51,tech_data!$B$2:$J$15,4,FALSE)/100))/1000</f>
        <v>9.6369848694247437</v>
      </c>
      <c r="K64" s="30">
        <f t="shared" ref="K64:L64" si="101">K40*3.6/1000</f>
        <v>21.234888512526723</v>
      </c>
      <c r="L64" s="30">
        <f t="shared" si="101"/>
        <v>69.58183321394057</v>
      </c>
      <c r="M64" s="30">
        <f>(sumatera!M40*3.6/(VLOOKUP(M$51,tech_data!$B$2:$J$15,4,FALSE)/100))/1000</f>
        <v>1.0615651450124068</v>
      </c>
      <c r="N64" s="30">
        <f t="shared" ref="N64" si="102">N40*3.6/1000</f>
        <v>2.4736261607189421E-3</v>
      </c>
      <c r="O64" s="30">
        <f>(sumatera!O40*3.6/(VLOOKUP(O$51,tech_data!$B$2:$J$15,4,FALSE)/100))/1000</f>
        <v>0</v>
      </c>
      <c r="P64" s="30">
        <v>0</v>
      </c>
      <c r="Q64" s="30">
        <f t="shared" si="71"/>
        <v>1079.4501742286477</v>
      </c>
      <c r="R64" s="30"/>
      <c r="T64" s="19"/>
      <c r="U64" s="20" t="str">
        <f t="shared" si="72"/>
        <v>SUMATERA</v>
      </c>
      <c r="V64" s="20">
        <f t="shared" si="72"/>
        <v>2031</v>
      </c>
      <c r="W64" s="30">
        <f>D64*VLOOKUP(W$51,tech_data!$B$2:$K$15,10,FALSE)*1000</f>
        <v>38776217.255776733</v>
      </c>
      <c r="X64" s="30">
        <f>E64*VLOOKUP(X$51,tech_data!$B$2:$K$15,10,FALSE)*1000</f>
        <v>3827285.3139286907</v>
      </c>
      <c r="Y64" s="30">
        <f>F64*VLOOKUP(Y$51,tech_data!$B$2:$K$15,10,FALSE)*1000</f>
        <v>15187884.328329055</v>
      </c>
      <c r="Z64" s="30">
        <f>G64*VLOOKUP(Z$51,tech_data!$B$2:$K$15,10,FALSE)*1000</f>
        <v>9979332.5594288111</v>
      </c>
      <c r="AA64" s="30">
        <f>H40*VLOOKUP(AA$51,tech_data!$B$2:$K$15,10,FALSE)/1000</f>
        <v>276.3289298492308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119277.45969359402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73"/>
        <v>67890273.246086746</v>
      </c>
      <c r="AK64" s="25">
        <f t="shared" si="79"/>
        <v>6.7000000000000115E-2</v>
      </c>
      <c r="AL64" s="24">
        <f t="shared" si="86"/>
        <v>5.2999999999999999E-2</v>
      </c>
      <c r="AM64" s="26"/>
      <c r="AN64" s="24"/>
      <c r="AO64" s="20" t="str">
        <f t="shared" si="74"/>
        <v>SUMATERA</v>
      </c>
      <c r="AP64" s="20">
        <f t="shared" si="74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1119.039355098997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45.960065387159943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1601.299765265622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26.903567347339475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33.353564573487972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74.119172046927318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18.222959143592824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34.629629015862243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902.19532922297219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1.5799204277094998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3.0440406394654014E-2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0.7023722177159929</v>
      </c>
      <c r="BD64" s="30">
        <f t="shared" si="80"/>
        <v>3858.0361401537812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70"/>
        <v>SUMATERA</v>
      </c>
      <c r="C65" s="20">
        <f t="shared" si="70"/>
        <v>2032</v>
      </c>
      <c r="D65" s="30">
        <f>(sumatera!D41*3.6/(VLOOKUP(D$51,tech_data!$B$2:$J$15,4,FALSE)/100))/1000</f>
        <v>412.21913367775767</v>
      </c>
      <c r="E65" s="30">
        <f>(sumatera!E41*3.6/(VLOOKUP(E$51,tech_data!$B$2:$J$15,4,FALSE)/100))/1000</f>
        <v>61.631003444906455</v>
      </c>
      <c r="F65" s="30">
        <f>(sumatera!F41*3.6/(VLOOKUP(F$51,tech_data!$B$2:$J$15,4,FALSE)/100))/1000</f>
        <v>280.29400774955866</v>
      </c>
      <c r="G65" s="30">
        <f>(sumatera!G41*3.6/(VLOOKUP(G$51,tech_data!$B$2:$J$15,4,FALSE)/100))/1000</f>
        <v>132.75685192801399</v>
      </c>
      <c r="H65" s="30">
        <f>(sumatera!H41*3.6/(VLOOKUP(H$51,tech_data!$B$2:$J$15,4,FALSE)/100))/1000</f>
        <v>117.1505796923077</v>
      </c>
      <c r="I65" s="30">
        <f>(sumatera!I41*3.6/(VLOOKUP(I$51,tech_data!$B$2:$J$15,4,FALSE)/100))/1000</f>
        <v>32.971632310650584</v>
      </c>
      <c r="J65" s="30">
        <f>(sumatera!J41*3.6/(VLOOKUP(J$51,tech_data!$B$2:$J$15,4,FALSE)/100))/1000</f>
        <v>9.6369848694247437</v>
      </c>
      <c r="K65" s="30">
        <f t="shared" ref="K65:L65" si="103">K41*3.6/1000</f>
        <v>21.234888512526723</v>
      </c>
      <c r="L65" s="30">
        <f t="shared" si="103"/>
        <v>74.951835868898058</v>
      </c>
      <c r="M65" s="30">
        <f>(sumatera!M41*3.6/(VLOOKUP(M$51,tech_data!$B$2:$J$15,4,FALSE)/100))/1000</f>
        <v>1.0615651450124068</v>
      </c>
      <c r="N65" s="30">
        <f t="shared" ref="N65" si="104">N41*3.6/1000</f>
        <v>2.4736261607189421E-3</v>
      </c>
      <c r="O65" s="30">
        <f>(sumatera!O41*3.6/(VLOOKUP(O$51,tech_data!$B$2:$J$15,4,FALSE)/100))/1000</f>
        <v>0</v>
      </c>
      <c r="P65" s="30">
        <v>0</v>
      </c>
      <c r="Q65" s="30">
        <f t="shared" si="71"/>
        <v>1143.9109568252179</v>
      </c>
      <c r="R65" s="30"/>
      <c r="T65" s="19"/>
      <c r="U65" s="20" t="str">
        <f t="shared" si="72"/>
        <v>SUMATERA</v>
      </c>
      <c r="V65" s="20">
        <f t="shared" si="72"/>
        <v>2032</v>
      </c>
      <c r="W65" s="30">
        <f>D65*VLOOKUP(W$51,tech_data!$B$2:$K$15,10,FALSE)*1000</f>
        <v>41106492.010345995</v>
      </c>
      <c r="X65" s="30">
        <f>E65*VLOOKUP(X$51,tech_data!$B$2:$K$15,10,FALSE)*1000</f>
        <v>3827285.3139286907</v>
      </c>
      <c r="Y65" s="30">
        <f>F65*VLOOKUP(Y$51,tech_data!$B$2:$K$15,10,FALSE)*1000</f>
        <v>17406257.881247595</v>
      </c>
      <c r="Z65" s="30">
        <f>G65*VLOOKUP(Z$51,tech_data!$B$2:$K$15,10,FALSE)*1000</f>
        <v>9979332.5594288111</v>
      </c>
      <c r="AA65" s="30">
        <f>H41*VLOOKUP(AA$51,tech_data!$B$2:$K$15,10,FALSE)/1000</f>
        <v>276.3289298492308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119277.45969359402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73"/>
        <v>72438921.553574547</v>
      </c>
      <c r="AK65" s="25">
        <f t="shared" si="79"/>
        <v>6.6999999999999837E-2</v>
      </c>
      <c r="AL65" s="24">
        <f t="shared" si="86"/>
        <v>5.2999999999999999E-2</v>
      </c>
      <c r="AM65" s="26"/>
      <c r="AN65" s="24"/>
      <c r="AO65" s="20" t="str">
        <f t="shared" si="74"/>
        <v>SUMATERA</v>
      </c>
      <c r="AP65" s="20">
        <f t="shared" si="74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1187.9176448313312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45.960065387159943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1740.6744953234827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26.903567347339475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33.353564573487915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74.119172046927318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18.222959143592824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34.629629015862243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971.99079490476947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1.5799204277094998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3.0440406394654014E-2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0.75187101541115409</v>
      </c>
      <c r="BD65" s="30">
        <f t="shared" si="80"/>
        <v>4136.1341244234682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70"/>
        <v>SUMATERA</v>
      </c>
      <c r="C66" s="20">
        <f t="shared" si="70"/>
        <v>2033</v>
      </c>
      <c r="D66" s="30">
        <f>(sumatera!D42*3.6/(VLOOKUP(D$51,tech_data!$B$2:$J$15,4,FALSE)/100))/1000</f>
        <v>434.47945614581954</v>
      </c>
      <c r="E66" s="30">
        <f>(sumatera!E42*3.6/(VLOOKUP(E$51,tech_data!$B$2:$J$15,4,FALSE)/100))/1000</f>
        <v>61.631003444906455</v>
      </c>
      <c r="F66" s="30">
        <f>(sumatera!F42*3.6/(VLOOKUP(F$51,tech_data!$B$2:$J$15,4,FALSE)/100))/1000</f>
        <v>322.7031603599977</v>
      </c>
      <c r="G66" s="30">
        <f>(sumatera!G42*3.6/(VLOOKUP(G$51,tech_data!$B$2:$J$15,4,FALSE)/100))/1000</f>
        <v>132.75685192801399</v>
      </c>
      <c r="H66" s="30">
        <f>(sumatera!H42*3.6/(VLOOKUP(H$51,tech_data!$B$2:$J$15,4,FALSE)/100))/1000</f>
        <v>117.1505796923077</v>
      </c>
      <c r="I66" s="30">
        <f>(sumatera!I42*3.6/(VLOOKUP(I$51,tech_data!$B$2:$J$15,4,FALSE)/100))/1000</f>
        <v>32.971632310650584</v>
      </c>
      <c r="J66" s="30">
        <f>(sumatera!J42*3.6/(VLOOKUP(J$51,tech_data!$B$2:$J$15,4,FALSE)/100))/1000</f>
        <v>9.6369848694247437</v>
      </c>
      <c r="K66" s="30">
        <f t="shared" ref="K66:L66" si="105">K42*3.6/1000</f>
        <v>21.234888512526723</v>
      </c>
      <c r="L66" s="30">
        <f t="shared" si="105"/>
        <v>75.838275687248796</v>
      </c>
      <c r="M66" s="30">
        <f>(sumatera!M42*3.6/(VLOOKUP(M$51,tech_data!$B$2:$J$15,4,FALSE)/100))/1000</f>
        <v>1.0615651450124068</v>
      </c>
      <c r="N66" s="30">
        <f t="shared" ref="N66" si="106">N42*3.6/1000</f>
        <v>2.4736261607189421E-3</v>
      </c>
      <c r="O66" s="30">
        <f>(sumatera!O42*3.6/(VLOOKUP(O$51,tech_data!$B$2:$J$15,4,FALSE)/100))/1000</f>
        <v>0</v>
      </c>
      <c r="P66" s="30">
        <v>0</v>
      </c>
      <c r="Q66" s="30">
        <f t="shared" si="71"/>
        <v>1209.4668717220695</v>
      </c>
      <c r="R66" s="30"/>
      <c r="T66" s="19"/>
      <c r="U66" s="20" t="str">
        <f t="shared" si="72"/>
        <v>SUMATERA</v>
      </c>
      <c r="V66" s="20">
        <f t="shared" si="72"/>
        <v>2033</v>
      </c>
      <c r="W66" s="30">
        <f>D66*VLOOKUP(W$51,tech_data!$B$2:$K$15,10,FALSE)*1000</f>
        <v>43326291.36686112</v>
      </c>
      <c r="X66" s="30">
        <f>E66*VLOOKUP(X$51,tech_data!$B$2:$K$15,10,FALSE)*1000</f>
        <v>3827285.3139286907</v>
      </c>
      <c r="Y66" s="30">
        <f>F66*VLOOKUP(Y$51,tech_data!$B$2:$K$15,10,FALSE)*1000</f>
        <v>20039866.25835586</v>
      </c>
      <c r="Z66" s="30">
        <f>G66*VLOOKUP(Z$51,tech_data!$B$2:$K$15,10,FALSE)*1000</f>
        <v>9979332.5594288111</v>
      </c>
      <c r="AA66" s="30">
        <f>H42*VLOOKUP(AA$51,tech_data!$B$2:$K$15,10,FALSE)/1000</f>
        <v>276.3289298492308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119277.45969359402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73"/>
        <v>77292329.287197933</v>
      </c>
      <c r="AK66" s="25">
        <f t="shared" si="79"/>
        <v>6.6999999855518147E-2</v>
      </c>
      <c r="AL66" s="24">
        <f t="shared" si="86"/>
        <v>5.2999999999999999E-2</v>
      </c>
      <c r="AM66" s="26"/>
      <c r="AN66" s="24"/>
      <c r="AO66" s="20" t="str">
        <f t="shared" si="74"/>
        <v>SUMATERA</v>
      </c>
      <c r="AP66" s="20">
        <f t="shared" si="74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1174.4401434225426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45.960065387159943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2053.0689241588602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26.903567347339475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33.353564573487915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74.119172046927318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18.222959143592824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34.629629015862243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455.07754163266748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1.5799204277094998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3.0440406394654014E-2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0.68056605945128379</v>
      </c>
      <c r="BD66" s="30">
        <f t="shared" si="80"/>
        <v>3918.0664936219955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70"/>
        <v>SUMATERA</v>
      </c>
      <c r="C67" s="20">
        <f t="shared" si="70"/>
        <v>2034</v>
      </c>
      <c r="D67" s="30">
        <f>(sumatera!D43*3.6/(VLOOKUP(D$51,tech_data!$B$2:$J$15,4,FALSE)/100))/1000</f>
        <v>486.41068361910067</v>
      </c>
      <c r="E67" s="30">
        <f>(sumatera!E43*3.6/(VLOOKUP(E$51,tech_data!$B$2:$J$15,4,FALSE)/100))/1000</f>
        <v>61.63100987447794</v>
      </c>
      <c r="F67" s="30">
        <f>(sumatera!F43*3.6/(VLOOKUP(F$51,tech_data!$B$2:$J$15,4,FALSE)/100))/1000</f>
        <v>322.70317074335793</v>
      </c>
      <c r="G67" s="30">
        <f>(sumatera!G43*3.6/(VLOOKUP(G$51,tech_data!$B$2:$J$15,4,FALSE)/100))/1000</f>
        <v>132.75689203941187</v>
      </c>
      <c r="H67" s="30">
        <f>(sumatera!H43*3.6/(VLOOKUP(H$51,tech_data!$B$2:$J$15,4,FALSE)/100))/1000</f>
        <v>117.1505796923077</v>
      </c>
      <c r="I67" s="30">
        <f>(sumatera!I43*3.6/(VLOOKUP(I$51,tech_data!$B$2:$J$15,4,FALSE)/100))/1000</f>
        <v>32.971632310650584</v>
      </c>
      <c r="J67" s="30">
        <f>(sumatera!J43*3.6/(VLOOKUP(J$51,tech_data!$B$2:$J$15,4,FALSE)/100))/1000</f>
        <v>34.599442179487035</v>
      </c>
      <c r="K67" s="30">
        <f t="shared" ref="K67:L67" si="107">K43*3.6/1000</f>
        <v>21.234888512526723</v>
      </c>
      <c r="L67" s="30">
        <f t="shared" si="107"/>
        <v>75.83827764111696</v>
      </c>
      <c r="M67" s="30">
        <f>(sumatera!M43*3.6/(VLOOKUP(M$51,tech_data!$B$2:$J$15,4,FALSE)/100))/1000</f>
        <v>1.0615651450124068</v>
      </c>
      <c r="N67" s="30">
        <f t="shared" ref="N67" si="108">N43*3.6/1000</f>
        <v>2.4736261607189421E-3</v>
      </c>
      <c r="O67" s="30">
        <f>(sumatera!O43*3.6/(VLOOKUP(O$51,tech_data!$B$2:$J$15,4,FALSE)/100))/1000</f>
        <v>0</v>
      </c>
      <c r="P67" s="30">
        <v>0</v>
      </c>
      <c r="Q67" s="30">
        <f t="shared" si="71"/>
        <v>1286.3606153836108</v>
      </c>
      <c r="R67" s="30"/>
      <c r="T67" s="19"/>
      <c r="U67" s="20" t="str">
        <f t="shared" si="72"/>
        <v>SUMATERA</v>
      </c>
      <c r="V67" s="20">
        <f t="shared" si="72"/>
        <v>2034</v>
      </c>
      <c r="W67" s="30">
        <f>D67*VLOOKUP(W$51,tech_data!$B$2:$K$15,10,FALSE)*1000</f>
        <v>48504873.370496713</v>
      </c>
      <c r="X67" s="30">
        <f>E67*VLOOKUP(X$51,tech_data!$B$2:$K$15,10,FALSE)*1000</f>
        <v>3827285.7132050805</v>
      </c>
      <c r="Y67" s="30">
        <f>F67*VLOOKUP(Y$51,tech_data!$B$2:$K$15,10,FALSE)*1000</f>
        <v>20039866.903162528</v>
      </c>
      <c r="Z67" s="30">
        <f>G67*VLOOKUP(Z$51,tech_data!$B$2:$K$15,10,FALSE)*1000</f>
        <v>9979335.5746025909</v>
      </c>
      <c r="AA67" s="30">
        <f>H43*VLOOKUP(AA$51,tech_data!$B$2:$K$15,10,FALSE)/1000</f>
        <v>276.3289298492308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119277.45969359402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73"/>
        <v>82470915.350090355</v>
      </c>
      <c r="AK67" s="25">
        <f t="shared" si="79"/>
        <v>6.7000000008411706E-2</v>
      </c>
      <c r="AL67" s="24">
        <f t="shared" si="86"/>
        <v>5.2999999999999999E-2</v>
      </c>
      <c r="AM67" s="26"/>
      <c r="AN67" s="24"/>
      <c r="AO67" s="20" t="str">
        <f t="shared" si="74"/>
        <v>SUMATERA</v>
      </c>
      <c r="AP67" s="20">
        <f t="shared" si="74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2199.5902951444077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45.960225026326889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430.79892102222601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26.904389146130406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33.353564573487915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74.119172046927318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2467.7231655955902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34.629629015862243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352.06588080000381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1.5799204277094998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3.0440406394654014E-2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0.77100528567116444</v>
      </c>
      <c r="BD67" s="30">
        <f t="shared" si="80"/>
        <v>5667.5266084907371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109">B20</f>
        <v>SUMATERA</v>
      </c>
      <c r="C68" s="20">
        <f t="shared" si="109"/>
        <v>2035</v>
      </c>
      <c r="D68" s="30">
        <f>(sumatera!D44*3.6/(VLOOKUP(D$51,tech_data!$B$2:$J$15,4,FALSE)/100))/1000</f>
        <v>486.41068361910067</v>
      </c>
      <c r="E68" s="30">
        <f>(sumatera!E44*3.6/(VLOOKUP(E$51,tech_data!$B$2:$J$15,4,FALSE)/100))/1000</f>
        <v>61.63100987447794</v>
      </c>
      <c r="F68" s="30">
        <f>(sumatera!F44*3.6/(VLOOKUP(F$51,tech_data!$B$2:$J$15,4,FALSE)/100))/1000</f>
        <v>334.43194310986246</v>
      </c>
      <c r="G68" s="30">
        <f>(sumatera!G44*3.6/(VLOOKUP(G$51,tech_data!$B$2:$J$15,4,FALSE)/100))/1000</f>
        <v>196.57483198440954</v>
      </c>
      <c r="H68" s="30">
        <f>(sumatera!H44*3.6/(VLOOKUP(H$51,tech_data!$B$2:$J$15,4,FALSE)/100))/1000</f>
        <v>117.1505796923077</v>
      </c>
      <c r="I68" s="30">
        <f>(sumatera!I44*3.6/(VLOOKUP(I$51,tech_data!$B$2:$J$15,4,FALSE)/100))/1000</f>
        <v>32.971632310650584</v>
      </c>
      <c r="J68" s="30">
        <f>(sumatera!J44*3.6/(VLOOKUP(J$51,tech_data!$B$2:$J$15,4,FALSE)/100))/1000</f>
        <v>35.450277337807648</v>
      </c>
      <c r="K68" s="30">
        <f t="shared" ref="K68:L68" si="110">K44*3.6/1000</f>
        <v>21.234888512526723</v>
      </c>
      <c r="L68" s="30">
        <f t="shared" si="110"/>
        <v>78.869104706958467</v>
      </c>
      <c r="M68" s="30">
        <f>(sumatera!M44*3.6/(VLOOKUP(M$51,tech_data!$B$2:$J$15,4,FALSE)/100))/1000</f>
        <v>1.0615651450124068</v>
      </c>
      <c r="N68" s="30">
        <f t="shared" ref="N68" si="111">N44*3.6/1000</f>
        <v>2.4736261607189421E-3</v>
      </c>
      <c r="O68" s="30">
        <f>(sumatera!O44*3.6/(VLOOKUP(O$51,tech_data!$B$2:$J$15,4,FALSE)/100))/1000</f>
        <v>0</v>
      </c>
      <c r="P68" s="30">
        <v>0</v>
      </c>
      <c r="Q68" s="30">
        <f t="shared" si="71"/>
        <v>1365.7889899192749</v>
      </c>
      <c r="R68" s="30"/>
      <c r="T68" s="19"/>
      <c r="U68" s="20" t="str">
        <f t="shared" si="72"/>
        <v>SUMATERA</v>
      </c>
      <c r="V68" s="20">
        <f t="shared" si="72"/>
        <v>2035</v>
      </c>
      <c r="W68" s="30">
        <f>D68*VLOOKUP(W$51,tech_data!$B$2:$K$15,10,FALSE)*1000</f>
        <v>48504873.370496713</v>
      </c>
      <c r="X68" s="30">
        <f>E68*VLOOKUP(X$51,tech_data!$B$2:$K$15,10,FALSE)*1000</f>
        <v>3827285.7132050805</v>
      </c>
      <c r="Y68" s="30">
        <f>F68*VLOOKUP(Y$51,tech_data!$B$2:$K$15,10,FALSE)*1000</f>
        <v>20768223.667122461</v>
      </c>
      <c r="Z68" s="30">
        <f>G68*VLOOKUP(Z$51,tech_data!$B$2:$K$15,10,FALSE)*1000</f>
        <v>14776530.120268065</v>
      </c>
      <c r="AA68" s="30">
        <f>H44*VLOOKUP(AA$51,tech_data!$B$2:$K$15,10,FALSE)/1000</f>
        <v>276.3289298492308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119277.45969359402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73"/>
        <v>87996466.659715757</v>
      </c>
      <c r="AK68" s="25">
        <f t="shared" si="79"/>
        <v>6.6999999771669178E-2</v>
      </c>
      <c r="AL68" s="24">
        <f t="shared" si="86"/>
        <v>5.2999999999999999E-2</v>
      </c>
      <c r="AM68" s="26"/>
      <c r="AN68" s="24"/>
      <c r="AO68" s="20" t="str">
        <f t="shared" si="74"/>
        <v>SUMATERA</v>
      </c>
      <c r="AP68" s="20">
        <f t="shared" si="74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498.47774842270337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45.960070181881903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895.11488477005469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1334.3999131772448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33.353564573487915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74.119172046927318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148.91567924020904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34.629629015862243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718.34378312661158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1.5799204277094998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3.0440406394654014E-2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0.81572920343495148</v>
      </c>
      <c r="BD68" s="30">
        <f t="shared" si="80"/>
        <v>3785.7405345925213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109"/>
        <v>SUMATERA</v>
      </c>
      <c r="C69" s="20">
        <f t="shared" si="109"/>
        <v>2036</v>
      </c>
      <c r="D69" s="30">
        <f>(sumatera!D45*3.6/(VLOOKUP(D$51,tech_data!$B$2:$J$15,4,FALSE)/100))/1000</f>
        <v>515.09795583658388</v>
      </c>
      <c r="E69" s="30">
        <f>(sumatera!E45*3.6/(VLOOKUP(E$51,tech_data!$B$2:$J$15,4,FALSE)/100))/1000</f>
        <v>61.63100987447794</v>
      </c>
      <c r="F69" s="30">
        <f>(sumatera!F45*3.6/(VLOOKUP(F$51,tech_data!$B$2:$J$15,4,FALSE)/100))/1000</f>
        <v>340.36764790045561</v>
      </c>
      <c r="G69" s="30">
        <f>(sumatera!G45*3.6/(VLOOKUP(G$51,tech_data!$B$2:$J$15,4,FALSE)/100))/1000</f>
        <v>232.04724414729111</v>
      </c>
      <c r="H69" s="30">
        <f>(sumatera!H45*3.6/(VLOOKUP(H$51,tech_data!$B$2:$J$15,4,FALSE)/100))/1000</f>
        <v>117.1505796923077</v>
      </c>
      <c r="I69" s="30">
        <f>(sumatera!I45*3.6/(VLOOKUP(I$51,tech_data!$B$2:$J$15,4,FALSE)/100))/1000</f>
        <v>32.971632310650584</v>
      </c>
      <c r="J69" s="30">
        <f>(sumatera!J45*3.6/(VLOOKUP(J$51,tech_data!$B$2:$J$15,4,FALSE)/100))/1000</f>
        <v>51.139240141926308</v>
      </c>
      <c r="K69" s="30">
        <f t="shared" ref="K69:L69" si="112">K45*3.6/1000</f>
        <v>21.234888512526723</v>
      </c>
      <c r="L69" s="30">
        <f t="shared" si="112"/>
        <v>80.384518239879242</v>
      </c>
      <c r="M69" s="30">
        <f>(sumatera!M45*3.6/(VLOOKUP(M$51,tech_data!$B$2:$J$15,4,FALSE)/100))/1000</f>
        <v>1.0615651450124068</v>
      </c>
      <c r="N69" s="30">
        <f t="shared" ref="N69" si="113">N45*3.6/1000</f>
        <v>2.4736261607189421E-3</v>
      </c>
      <c r="O69" s="30">
        <f>(sumatera!O45*3.6/(VLOOKUP(O$51,tech_data!$B$2:$J$15,4,FALSE)/100))/1000</f>
        <v>0</v>
      </c>
      <c r="P69" s="30">
        <v>0</v>
      </c>
      <c r="Q69" s="30">
        <f t="shared" si="71"/>
        <v>1453.0887554272724</v>
      </c>
      <c r="R69" s="30"/>
      <c r="T69" s="19"/>
      <c r="U69" s="20" t="str">
        <f t="shared" si="72"/>
        <v>SUMATERA</v>
      </c>
      <c r="V69" s="20">
        <f t="shared" si="72"/>
        <v>2036</v>
      </c>
      <c r="W69" s="30">
        <f>D69*VLOOKUP(W$51,tech_data!$B$2:$K$15,10,FALSE)*1000</f>
        <v>51365568.156024143</v>
      </c>
      <c r="X69" s="30">
        <f>E69*VLOOKUP(X$51,tech_data!$B$2:$K$15,10,FALSE)*1000</f>
        <v>3827285.7132050805</v>
      </c>
      <c r="Y69" s="30">
        <f>F69*VLOOKUP(Y$51,tech_data!$B$2:$K$15,10,FALSE)*1000</f>
        <v>21136830.934618294</v>
      </c>
      <c r="Z69" s="30">
        <f>G69*VLOOKUP(Z$51,tech_data!$B$2:$K$15,10,FALSE)*1000</f>
        <v>17442991.342551872</v>
      </c>
      <c r="AA69" s="30">
        <f>H45*VLOOKUP(AA$51,tech_data!$B$2:$K$15,10,FALSE)/1000</f>
        <v>276.3289298492308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119277.45969359402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73"/>
        <v>93892229.935022846</v>
      </c>
      <c r="AK69" s="25">
        <f t="shared" si="79"/>
        <v>6.7000000103482948E-2</v>
      </c>
      <c r="AL69" s="24">
        <f t="shared" si="86"/>
        <v>5.2999999999999999E-2</v>
      </c>
      <c r="AM69" s="26"/>
      <c r="AN69" s="24"/>
      <c r="AO69" s="20" t="str">
        <f t="shared" si="74"/>
        <v>SUMATERA</v>
      </c>
      <c r="AP69" s="20">
        <f t="shared" si="74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1467.5864154471328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45.960070181881903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681.43759152127473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766.59212797995565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33.353564573487915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74.119172046927318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1606.5509525534894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34.629629015862243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549.27479156330583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1.5799204277094998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3.0440406394654014E-2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0.88566864033497661</v>
      </c>
      <c r="BD69" s="30">
        <f t="shared" si="80"/>
        <v>5262.000344357758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109"/>
        <v>SUMATERA</v>
      </c>
      <c r="C70" s="20">
        <f t="shared" si="109"/>
        <v>2037</v>
      </c>
      <c r="D70" s="30">
        <f>(sumatera!D46*3.6/(VLOOKUP(D$51,tech_data!$B$2:$J$15,4,FALSE)/100))/1000</f>
        <v>544.42256245890201</v>
      </c>
      <c r="E70" s="30">
        <f>(sumatera!E46*3.6/(VLOOKUP(E$51,tech_data!$B$2:$J$15,4,FALSE)/100))/1000</f>
        <v>61.63100987447794</v>
      </c>
      <c r="F70" s="30">
        <f>(sumatera!F46*3.6/(VLOOKUP(F$51,tech_data!$B$2:$J$15,4,FALSE)/100))/1000</f>
        <v>366.70386369837564</v>
      </c>
      <c r="G70" s="30">
        <f>(sumatera!G46*3.6/(VLOOKUP(G$51,tech_data!$B$2:$J$15,4,FALSE)/100))/1000</f>
        <v>242.61266332056678</v>
      </c>
      <c r="H70" s="30">
        <f>(sumatera!H46*3.6/(VLOOKUP(H$51,tech_data!$B$2:$J$15,4,FALSE)/100))/1000</f>
        <v>117.1505796923077</v>
      </c>
      <c r="I70" s="30">
        <f>(sumatera!I46*3.6/(VLOOKUP(I$51,tech_data!$B$2:$J$15,4,FALSE)/100))/1000</f>
        <v>32.971632310650584</v>
      </c>
      <c r="J70" s="30">
        <f>(sumatera!J46*3.6/(VLOOKUP(J$51,tech_data!$B$2:$J$15,4,FALSE)/100))/1000</f>
        <v>65.331914888622578</v>
      </c>
      <c r="K70" s="30">
        <f t="shared" ref="K70:L70" si="114">K46*3.6/1000</f>
        <v>23.835709052800951</v>
      </c>
      <c r="L70" s="30">
        <f t="shared" si="114"/>
        <v>81.142225006339615</v>
      </c>
      <c r="M70" s="30">
        <f>(sumatera!M46*3.6/(VLOOKUP(M$51,tech_data!$B$2:$J$15,4,FALSE)/100))/1000</f>
        <v>1.0615651450124068</v>
      </c>
      <c r="N70" s="30">
        <f t="shared" ref="N70" si="115">N46*3.6/1000</f>
        <v>2.4736261607189421E-3</v>
      </c>
      <c r="O70" s="30">
        <f>(sumatera!O46*3.6/(VLOOKUP(O$51,tech_data!$B$2:$J$15,4,FALSE)/100))/1000</f>
        <v>0</v>
      </c>
      <c r="P70" s="30">
        <v>0</v>
      </c>
      <c r="Q70" s="30">
        <f t="shared" si="71"/>
        <v>1536.8661990742169</v>
      </c>
      <c r="R70" s="30"/>
      <c r="T70" s="19"/>
      <c r="U70" s="20" t="str">
        <f t="shared" si="72"/>
        <v>SUMATERA</v>
      </c>
      <c r="V70" s="20">
        <f t="shared" si="72"/>
        <v>2037</v>
      </c>
      <c r="W70" s="30">
        <f>D70*VLOOKUP(W$51,tech_data!$B$2:$K$15,10,FALSE)*1000</f>
        <v>54289817.928401709</v>
      </c>
      <c r="X70" s="30">
        <f>E70*VLOOKUP(X$51,tech_data!$B$2:$K$15,10,FALSE)*1000</f>
        <v>3827285.7132050805</v>
      </c>
      <c r="Y70" s="30">
        <f>F70*VLOOKUP(Y$51,tech_data!$B$2:$K$15,10,FALSE)*1000</f>
        <v>22772309.935669128</v>
      </c>
      <c r="Z70" s="30">
        <f>G70*VLOOKUP(Z$51,tech_data!$B$2:$K$15,10,FALSE)*1000</f>
        <v>18237193.901807003</v>
      </c>
      <c r="AA70" s="30">
        <f>H46*VLOOKUP(AA$51,tech_data!$B$2:$K$15,10,FALSE)/1000</f>
        <v>276.3289298492308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119277.45969359402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73"/>
        <v>99246161.267706364</v>
      </c>
      <c r="AK70" s="25">
        <f t="shared" si="79"/>
        <v>5.7022091565922459E-2</v>
      </c>
      <c r="AL70" s="24">
        <f t="shared" si="86"/>
        <v>5.2999999999999999E-2</v>
      </c>
      <c r="AM70" s="26"/>
      <c r="AN70" s="24"/>
      <c r="AO70" s="20" t="str">
        <f t="shared" si="74"/>
        <v>SUMATERA</v>
      </c>
      <c r="AP70" s="20">
        <f t="shared" si="74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1518.5156976805806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45.960070181881903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1496.9730345217381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263.48843627103724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33.353564573487915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74.119172046927318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1489.3910310544336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478.32618237314745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464.74029578165289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1.5799204277094998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3.0440406394654014E-2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0.93992085771547407</v>
      </c>
      <c r="BD70" s="30">
        <f t="shared" si="80"/>
        <v>5867.4177661767053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109"/>
        <v>SUMATERA</v>
      </c>
      <c r="C71" s="20">
        <f t="shared" si="109"/>
        <v>2038</v>
      </c>
      <c r="D71" s="30">
        <f>(sumatera!D47*3.6/(VLOOKUP(D$51,tech_data!$B$2:$J$15,4,FALSE)/100))/1000</f>
        <v>578.44962551580488</v>
      </c>
      <c r="E71" s="30">
        <f>(sumatera!E47*3.6/(VLOOKUP(E$51,tech_data!$B$2:$J$15,4,FALSE)/100))/1000</f>
        <v>61.63100987447794</v>
      </c>
      <c r="F71" s="30">
        <f>(sumatera!F47*3.6/(VLOOKUP(F$51,tech_data!$B$2:$J$15,4,FALSE)/100))/1000</f>
        <v>396.29835142603434</v>
      </c>
      <c r="G71" s="30">
        <f>(sumatera!G47*3.6/(VLOOKUP(G$51,tech_data!$B$2:$J$15,4,FALSE)/100))/1000</f>
        <v>254.46466705327478</v>
      </c>
      <c r="H71" s="30">
        <f>(sumatera!H47*3.6/(VLOOKUP(H$51,tech_data!$B$2:$J$15,4,FALSE)/100))/1000</f>
        <v>117.1505796923479</v>
      </c>
      <c r="I71" s="30">
        <f>(sumatera!I47*3.6/(VLOOKUP(I$51,tech_data!$B$2:$J$15,4,FALSE)/100))/1000</f>
        <v>32.971632310660759</v>
      </c>
      <c r="J71" s="30">
        <f>(sumatera!J47*3.6/(VLOOKUP(J$51,tech_data!$B$2:$J$15,4,FALSE)/100))/1000</f>
        <v>65.331914888644334</v>
      </c>
      <c r="K71" s="30">
        <f t="shared" ref="K71:L71" si="116">K47*3.6/1000</f>
        <v>41.54921223722198</v>
      </c>
      <c r="L71" s="30">
        <f t="shared" si="116"/>
        <v>81.142225006339615</v>
      </c>
      <c r="M71" s="30">
        <f>(sumatera!M47*3.6/(VLOOKUP(M$51,tech_data!$B$2:$J$15,4,FALSE)/100))/1000</f>
        <v>1.0615651450124068</v>
      </c>
      <c r="N71" s="30">
        <f t="shared" ref="N71" si="117">N47*3.6/1000</f>
        <v>2.4736261607189421E-3</v>
      </c>
      <c r="O71" s="30">
        <f>(sumatera!O47*3.6/(VLOOKUP(O$51,tech_data!$B$2:$J$15,4,FALSE)/100))/1000</f>
        <v>3.3973541495097024E-8</v>
      </c>
      <c r="P71" s="30">
        <v>0</v>
      </c>
      <c r="Q71" s="30">
        <f t="shared" si="71"/>
        <v>1630.0532568099532</v>
      </c>
      <c r="R71" s="30"/>
      <c r="T71" s="19"/>
      <c r="U71" s="20" t="str">
        <f t="shared" si="72"/>
        <v>SUMATERA</v>
      </c>
      <c r="V71" s="20">
        <f t="shared" si="72"/>
        <v>2038</v>
      </c>
      <c r="W71" s="30">
        <f>D71*VLOOKUP(W$51,tech_data!$B$2:$K$15,10,FALSE)*1000</f>
        <v>57682996.656436063</v>
      </c>
      <c r="X71" s="30">
        <f>E71*VLOOKUP(X$51,tech_data!$B$2:$K$15,10,FALSE)*1000</f>
        <v>3827285.7132050805</v>
      </c>
      <c r="Y71" s="30">
        <f>F71*VLOOKUP(Y$51,tech_data!$B$2:$K$15,10,FALSE)*1000</f>
        <v>24610127.623556733</v>
      </c>
      <c r="Z71" s="30">
        <f>G71*VLOOKUP(Z$51,tech_data!$B$2:$K$15,10,FALSE)*1000</f>
        <v>19128109.022394668</v>
      </c>
      <c r="AA71" s="30">
        <f>H47*VLOOKUP(AA$51,tech_data!$B$2:$K$15,10,FALSE)/1000</f>
        <v>276.32892984932562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119277.45969359402</v>
      </c>
      <c r="AG71" s="30">
        <f>N71*VLOOKUP(AG$51,tech_data!$B$2:$K$15,10,FALSE)*1000</f>
        <v>0</v>
      </c>
      <c r="AH71" s="30">
        <f>O71*VLOOKUP(AH$51,tech_data!$B$2:$K$15,10,FALSE)*1000</f>
        <v>9.4344524731884434E-4</v>
      </c>
      <c r="AI71" s="30"/>
      <c r="AJ71" s="30">
        <f t="shared" si="73"/>
        <v>105368072.80515945</v>
      </c>
      <c r="AK71" s="25">
        <f t="shared" si="79"/>
        <v>6.1684114118427766E-2</v>
      </c>
      <c r="AL71" s="24">
        <f>AL70</f>
        <v>5.2999999999999999E-2</v>
      </c>
      <c r="AM71" s="26"/>
      <c r="AN71" s="24"/>
      <c r="AO71" s="20" t="str">
        <f t="shared" si="74"/>
        <v>SUMATERA</v>
      </c>
      <c r="AP71" s="20">
        <f t="shared" si="74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1707.4254030234883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45.960070181881903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1661.1188853377644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291.98898084429527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33.353564574395719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74.119172048206735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123.53872419015831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3060.7712962251958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376.68828171797423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1.5799204277094998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3.0440406394654014E-2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6.0956246596117521E-6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1.2631715560218468</v>
      </c>
      <c r="BD71" s="30">
        <f t="shared" si="80"/>
        <v>7377.8379166291106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118">B28</f>
        <v>SUMATERA</v>
      </c>
      <c r="C76" s="20">
        <f t="shared" si="118"/>
        <v>2019</v>
      </c>
      <c r="D76" s="30">
        <f>D28*3.6/1000</f>
        <v>93.012781784640012</v>
      </c>
      <c r="E76" s="30">
        <f t="shared" ref="E76:O76" si="119">E28*3.6/1000</f>
        <v>13.49204520616615</v>
      </c>
      <c r="F76" s="30">
        <f t="shared" si="119"/>
        <v>12.846526816873848</v>
      </c>
      <c r="G76" s="30">
        <f t="shared" si="119"/>
        <v>44.877321683889235</v>
      </c>
      <c r="H76" s="30">
        <f t="shared" si="119"/>
        <v>15.815328258461541</v>
      </c>
      <c r="I76" s="30">
        <f t="shared" si="119"/>
        <v>31.323050685636925</v>
      </c>
      <c r="J76" s="30">
        <f t="shared" si="119"/>
        <v>1.4971445275569235</v>
      </c>
      <c r="K76" s="30">
        <f t="shared" si="119"/>
        <v>7.4834928000000007E-3</v>
      </c>
      <c r="L76" s="30">
        <f t="shared" si="119"/>
        <v>0</v>
      </c>
      <c r="M76" s="30">
        <f t="shared" si="119"/>
        <v>0.32908519495384614</v>
      </c>
      <c r="N76" s="30">
        <f t="shared" si="119"/>
        <v>0</v>
      </c>
      <c r="O76" s="30">
        <f t="shared" si="119"/>
        <v>0</v>
      </c>
      <c r="P76" s="30">
        <f>(sumatera!P52*3.6/(VLOOKUP(P$51,tech_data!$B$2:$J$15,4,FALSE)/100))/1000</f>
        <v>0</v>
      </c>
      <c r="Q76" s="30">
        <f t="shared" ref="Q76:Q95" si="120">SUM(D76:O76)</f>
        <v>213.20076765097846</v>
      </c>
      <c r="R76" s="30"/>
      <c r="S76" s="23"/>
      <c r="T76" s="19"/>
      <c r="U76" s="20" t="str">
        <f t="shared" ref="U76:V91" si="121">U28</f>
        <v>SUMATERA</v>
      </c>
      <c r="V76" s="20">
        <f t="shared" si="121"/>
        <v>2019</v>
      </c>
      <c r="W76" s="30">
        <f>D52*(1-(VLOOKUP(W$75,tech_data!$B$2:$O$15,4,FALSE)/100))</f>
        <v>147.53751593425656</v>
      </c>
      <c r="X76" s="30">
        <f>E52*(1-(VLOOKUP(X$75,tech_data!$B$2:$O$15,4,FALSE)/100))</f>
        <v>24.336118923271663</v>
      </c>
      <c r="Y76" s="30">
        <f>F52*(1-(VLOOKUP(Y$75,tech_data!$B$2:$O$15,4,FALSE)/100))</f>
        <v>9.1760905834813169</v>
      </c>
      <c r="Z76" s="30">
        <f>G52*(1-(VLOOKUP(Z$75,tech_data!$B$2:$O$15,4,FALSE)/100))</f>
        <v>52.682073281087362</v>
      </c>
      <c r="AA76" s="30">
        <f>H52*(1-(VLOOKUP(AA$75,tech_data!$B$2:$O$15,4,FALSE)/100))</f>
        <v>101.33525143384617</v>
      </c>
      <c r="AB76" s="30">
        <f>I52*(1-(VLOOKUP(AB$75,tech_data!$B$2:$O$15,4,FALSE)/100))</f>
        <v>1.648581615033524</v>
      </c>
      <c r="AC76" s="30">
        <f>J52*(1-(VLOOKUP(AC$75,tech_data!$B$2:$O$15,4,FALSE)/100))</f>
        <v>0.37428613188923077</v>
      </c>
      <c r="AD76" s="30">
        <f>K52*(1-(VLOOKUP(AD$75,tech_data!$B$2:$O$15,4,FALSE)/100))</f>
        <v>6.2861339520000007E-3</v>
      </c>
      <c r="AE76" s="30">
        <f>L52*(1-(VLOOKUP(AE$75,tech_data!$B$2:$O$15,4,FALSE)/100))</f>
        <v>0</v>
      </c>
      <c r="AF76" s="30">
        <f>M52*(1-(VLOOKUP(AF$75,tech_data!$B$2:$O$15,4,FALSE)/100))</f>
        <v>0.7324799500585607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(sumatera!AI52*3.6/(VLOOKUP(AI$51,tech_data!$B$2:$J$15,4,FALSE)/100))/1000</f>
        <v>0</v>
      </c>
      <c r="AJ76" s="30">
        <f t="shared" ref="AJ76:AJ95" si="122">SUM(W76:AH76)</f>
        <v>337.82868398687646</v>
      </c>
      <c r="AK76" s="30"/>
      <c r="AL76" s="23"/>
      <c r="AR76" s="30"/>
      <c r="AS76" s="30"/>
    </row>
    <row r="77" spans="1:82" x14ac:dyDescent="0.25">
      <c r="A77" s="19"/>
      <c r="B77" s="20" t="str">
        <f t="shared" si="118"/>
        <v>SUMATERA</v>
      </c>
      <c r="C77" s="20">
        <f t="shared" si="118"/>
        <v>2020</v>
      </c>
      <c r="D77" s="30">
        <f t="shared" ref="D77:O92" si="123">D29*3.6/1000</f>
        <v>96.40586186315258</v>
      </c>
      <c r="E77" s="30">
        <f t="shared" si="123"/>
        <v>13.49204520616615</v>
      </c>
      <c r="F77" s="30">
        <f t="shared" si="123"/>
        <v>26.753428630946591</v>
      </c>
      <c r="G77" s="30">
        <f t="shared" si="123"/>
        <v>44.877321683889235</v>
      </c>
      <c r="H77" s="30">
        <f t="shared" si="123"/>
        <v>15.815328258461541</v>
      </c>
      <c r="I77" s="30">
        <f t="shared" si="123"/>
        <v>31.323050685636925</v>
      </c>
      <c r="J77" s="30">
        <f t="shared" si="123"/>
        <v>1.4971445275569235</v>
      </c>
      <c r="K77" s="30">
        <f t="shared" si="123"/>
        <v>2.6205247790665958</v>
      </c>
      <c r="L77" s="30">
        <f t="shared" si="123"/>
        <v>0</v>
      </c>
      <c r="M77" s="30">
        <f t="shared" si="123"/>
        <v>0.32908519495384614</v>
      </c>
      <c r="N77" s="30">
        <f t="shared" si="123"/>
        <v>0</v>
      </c>
      <c r="O77" s="30">
        <f t="shared" si="123"/>
        <v>0</v>
      </c>
      <c r="P77" s="30">
        <f>(sumatera!P53*3.6/(VLOOKUP(P$51,tech_data!$B$2:$J$15,4,FALSE)/100))/1000</f>
        <v>0</v>
      </c>
      <c r="Q77" s="30">
        <f t="shared" si="120"/>
        <v>233.11379082983035</v>
      </c>
      <c r="R77" s="30"/>
      <c r="S77" s="23"/>
      <c r="T77" s="19"/>
      <c r="U77" s="20" t="str">
        <f t="shared" si="121"/>
        <v>SUMATERA</v>
      </c>
      <c r="V77" s="20">
        <f t="shared" si="121"/>
        <v>2020</v>
      </c>
      <c r="W77" s="30">
        <f>D53*(1-(VLOOKUP(W$75,tech_data!$B$2:$O$15,4,FALSE)/100))</f>
        <v>152.91964295534547</v>
      </c>
      <c r="X77" s="30">
        <f>E53*(1-(VLOOKUP(X$75,tech_data!$B$2:$O$15,4,FALSE)/100))</f>
        <v>24.336118923271663</v>
      </c>
      <c r="Y77" s="30">
        <f>F53*(1-(VLOOKUP(Y$75,tech_data!$B$2:$O$15,4,FALSE)/100))</f>
        <v>19.109591879247564</v>
      </c>
      <c r="Z77" s="30">
        <f>G53*(1-(VLOOKUP(Z$75,tech_data!$B$2:$O$15,4,FALSE)/100))</f>
        <v>52.682073281087362</v>
      </c>
      <c r="AA77" s="30">
        <f>H53*(1-(VLOOKUP(AA$75,tech_data!$B$2:$O$15,4,FALSE)/100))</f>
        <v>101.33525143384617</v>
      </c>
      <c r="AB77" s="30">
        <f>I53*(1-(VLOOKUP(AB$75,tech_data!$B$2:$O$15,4,FALSE)/100))</f>
        <v>1.648581615033524</v>
      </c>
      <c r="AC77" s="30">
        <f>J53*(1-(VLOOKUP(AC$75,tech_data!$B$2:$O$15,4,FALSE)/100))</f>
        <v>0.37428613188923077</v>
      </c>
      <c r="AD77" s="30">
        <f>K53*(1-(VLOOKUP(AD$75,tech_data!$B$2:$O$15,4,FALSE)/100))</f>
        <v>2.2012408144159403</v>
      </c>
      <c r="AE77" s="30">
        <f>L53*(1-(VLOOKUP(AE$75,tech_data!$B$2:$O$15,4,FALSE)/100))</f>
        <v>0</v>
      </c>
      <c r="AF77" s="30">
        <f>M53*(1-(VLOOKUP(AF$75,tech_data!$B$2:$O$15,4,FALSE)/100))</f>
        <v>0.7324799500585607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(sumatera!AI53*3.6/(VLOOKUP(AI$51,tech_data!$B$2:$J$15,4,FALSE)/100))/1000</f>
        <v>0</v>
      </c>
      <c r="AJ77" s="30">
        <f t="shared" si="122"/>
        <v>355.33926698419555</v>
      </c>
      <c r="AK77" s="30"/>
      <c r="AL77" s="23"/>
      <c r="AR77" s="30"/>
      <c r="AS77" s="30"/>
    </row>
    <row r="78" spans="1:82" x14ac:dyDescent="0.25">
      <c r="A78" s="19"/>
      <c r="B78" s="20" t="str">
        <f t="shared" si="118"/>
        <v>SUMATERA</v>
      </c>
      <c r="C78" s="20">
        <f t="shared" si="118"/>
        <v>2021</v>
      </c>
      <c r="D78" s="30">
        <f t="shared" si="123"/>
        <v>96.40586186315258</v>
      </c>
      <c r="E78" s="30">
        <f t="shared" si="123"/>
        <v>21.981724562016634</v>
      </c>
      <c r="F78" s="30">
        <f t="shared" si="123"/>
        <v>26.753428630946591</v>
      </c>
      <c r="G78" s="30">
        <f t="shared" si="123"/>
        <v>44.877321683889235</v>
      </c>
      <c r="H78" s="30">
        <f t="shared" si="123"/>
        <v>15.815328258461541</v>
      </c>
      <c r="I78" s="30">
        <f t="shared" si="123"/>
        <v>31.323050685636925</v>
      </c>
      <c r="J78" s="30">
        <f t="shared" si="123"/>
        <v>1.4971445275569235</v>
      </c>
      <c r="K78" s="30">
        <f t="shared" si="123"/>
        <v>2.7589320940136219</v>
      </c>
      <c r="L78" s="30">
        <f t="shared" si="123"/>
        <v>0</v>
      </c>
      <c r="M78" s="30">
        <f t="shared" si="123"/>
        <v>0.32908519495384614</v>
      </c>
      <c r="N78" s="30">
        <f t="shared" si="123"/>
        <v>0</v>
      </c>
      <c r="O78" s="30">
        <f t="shared" si="123"/>
        <v>0</v>
      </c>
      <c r="P78" s="30">
        <f>(sumatera!P54*3.6/(VLOOKUP(P$51,tech_data!$B$2:$J$15,4,FALSE)/100))/1000</f>
        <v>0</v>
      </c>
      <c r="Q78" s="30">
        <f t="shared" si="120"/>
        <v>241.74187750062791</v>
      </c>
      <c r="R78" s="30"/>
      <c r="S78" s="23"/>
      <c r="T78" s="19"/>
      <c r="U78" s="20" t="str">
        <f t="shared" si="121"/>
        <v>SUMATERA</v>
      </c>
      <c r="V78" s="20">
        <f t="shared" si="121"/>
        <v>2021</v>
      </c>
      <c r="W78" s="30">
        <f>D54*(1-(VLOOKUP(W$75,tech_data!$B$2:$O$15,4,FALSE)/100))</f>
        <v>152.91964295534547</v>
      </c>
      <c r="X78" s="30">
        <f>E54*(1-(VLOOKUP(X$75,tech_data!$B$2:$O$15,4,FALSE)/100))</f>
        <v>39.649278882889817</v>
      </c>
      <c r="Y78" s="30">
        <f>F54*(1-(VLOOKUP(Y$75,tech_data!$B$2:$O$15,4,FALSE)/100))</f>
        <v>19.109591879247564</v>
      </c>
      <c r="Z78" s="30">
        <f>G54*(1-(VLOOKUP(Z$75,tech_data!$B$2:$O$15,4,FALSE)/100))</f>
        <v>52.682073281087362</v>
      </c>
      <c r="AA78" s="30">
        <f>H54*(1-(VLOOKUP(AA$75,tech_data!$B$2:$O$15,4,FALSE)/100))</f>
        <v>101.33525143384617</v>
      </c>
      <c r="AB78" s="30">
        <f>I54*(1-(VLOOKUP(AB$75,tech_data!$B$2:$O$15,4,FALSE)/100))</f>
        <v>1.648581615033524</v>
      </c>
      <c r="AC78" s="30">
        <f>J54*(1-(VLOOKUP(AC$75,tech_data!$B$2:$O$15,4,FALSE)/100))</f>
        <v>0.37428613188923077</v>
      </c>
      <c r="AD78" s="30">
        <f>K54*(1-(VLOOKUP(AD$75,tech_data!$B$2:$O$15,4,FALSE)/100))</f>
        <v>2.3175029589714424</v>
      </c>
      <c r="AE78" s="30">
        <f>L54*(1-(VLOOKUP(AE$75,tech_data!$B$2:$O$15,4,FALSE)/100))</f>
        <v>0</v>
      </c>
      <c r="AF78" s="30">
        <f>M54*(1-(VLOOKUP(AF$75,tech_data!$B$2:$O$15,4,FALSE)/100))</f>
        <v>0.7324799500585607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(sumatera!AI54*3.6/(VLOOKUP(AI$51,tech_data!$B$2:$J$15,4,FALSE)/100))/1000</f>
        <v>0</v>
      </c>
      <c r="AJ78" s="30">
        <f t="shared" si="122"/>
        <v>370.76868908836917</v>
      </c>
      <c r="AK78" s="30"/>
      <c r="AL78" s="23"/>
      <c r="AR78" s="30"/>
      <c r="AS78" s="30"/>
    </row>
    <row r="79" spans="1:82" x14ac:dyDescent="0.25">
      <c r="A79" s="19"/>
      <c r="B79" s="20" t="str">
        <f t="shared" si="118"/>
        <v>SUMATERA</v>
      </c>
      <c r="C79" s="20">
        <f t="shared" si="118"/>
        <v>2022</v>
      </c>
      <c r="D79" s="30">
        <f t="shared" si="123"/>
        <v>96.40586186315258</v>
      </c>
      <c r="E79" s="30">
        <f t="shared" si="123"/>
        <v>21.981724562016634</v>
      </c>
      <c r="F79" s="30">
        <f t="shared" si="123"/>
        <v>28.610351701240909</v>
      </c>
      <c r="G79" s="30">
        <f t="shared" si="123"/>
        <v>46.486787500822452</v>
      </c>
      <c r="H79" s="30">
        <f t="shared" si="123"/>
        <v>15.815328258461541</v>
      </c>
      <c r="I79" s="30">
        <f t="shared" si="123"/>
        <v>31.323050685636925</v>
      </c>
      <c r="J79" s="30">
        <f t="shared" si="123"/>
        <v>1.4971445275569235</v>
      </c>
      <c r="K79" s="30">
        <f t="shared" si="123"/>
        <v>2.9050646624260832</v>
      </c>
      <c r="L79" s="30">
        <f t="shared" si="123"/>
        <v>0</v>
      </c>
      <c r="M79" s="30">
        <f t="shared" si="123"/>
        <v>0.32908519495384614</v>
      </c>
      <c r="N79" s="30">
        <f t="shared" si="123"/>
        <v>0</v>
      </c>
      <c r="O79" s="30">
        <f t="shared" si="123"/>
        <v>0</v>
      </c>
      <c r="P79" s="30">
        <f>(sumatera!P55*3.6/(VLOOKUP(P$51,tech_data!$B$2:$J$15,4,FALSE)/100))/1000</f>
        <v>0</v>
      </c>
      <c r="Q79" s="30">
        <f t="shared" si="120"/>
        <v>245.35439895626789</v>
      </c>
      <c r="R79" s="30"/>
      <c r="S79" s="23"/>
      <c r="T79" s="19"/>
      <c r="U79" s="20" t="str">
        <f t="shared" si="121"/>
        <v>SUMATERA</v>
      </c>
      <c r="V79" s="20">
        <f t="shared" si="121"/>
        <v>2022</v>
      </c>
      <c r="W79" s="30">
        <f>D55*(1-(VLOOKUP(W$75,tech_data!$B$2:$O$15,4,FALSE)/100))</f>
        <v>152.91964295534547</v>
      </c>
      <c r="X79" s="30">
        <f>E55*(1-(VLOOKUP(X$75,tech_data!$B$2:$O$15,4,FALSE)/100))</f>
        <v>39.649278882889817</v>
      </c>
      <c r="Y79" s="30">
        <f>F55*(1-(VLOOKUP(Y$75,tech_data!$B$2:$O$15,4,FALSE)/100))</f>
        <v>20.435965500886361</v>
      </c>
      <c r="Z79" s="30">
        <f>G55*(1-(VLOOKUP(Z$75,tech_data!$B$2:$O$15,4,FALSE)/100))</f>
        <v>54.571446196617664</v>
      </c>
      <c r="AA79" s="30">
        <f>H55*(1-(VLOOKUP(AA$75,tech_data!$B$2:$O$15,4,FALSE)/100))</f>
        <v>101.33525143384617</v>
      </c>
      <c r="AB79" s="30">
        <f>I55*(1-(VLOOKUP(AB$75,tech_data!$B$2:$O$15,4,FALSE)/100))</f>
        <v>1.648581615033524</v>
      </c>
      <c r="AC79" s="30">
        <f>J55*(1-(VLOOKUP(AC$75,tech_data!$B$2:$O$15,4,FALSE)/100))</f>
        <v>0.37428613188923077</v>
      </c>
      <c r="AD79" s="30">
        <f>K55*(1-(VLOOKUP(AD$75,tech_data!$B$2:$O$15,4,FALSE)/100))</f>
        <v>2.4402543164379096</v>
      </c>
      <c r="AE79" s="30">
        <f>L55*(1-(VLOOKUP(AE$75,tech_data!$B$2:$O$15,4,FALSE)/100))</f>
        <v>0</v>
      </c>
      <c r="AF79" s="30">
        <f>M55*(1-(VLOOKUP(AF$75,tech_data!$B$2:$O$15,4,FALSE)/100))</f>
        <v>0.7324799500585607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(sumatera!AI55*3.6/(VLOOKUP(AI$51,tech_data!$B$2:$J$15,4,FALSE)/100))/1000</f>
        <v>0</v>
      </c>
      <c r="AJ79" s="30">
        <f t="shared" si="122"/>
        <v>374.10718698300474</v>
      </c>
      <c r="AK79" s="30"/>
      <c r="AL79" s="23"/>
      <c r="AR79" s="30"/>
      <c r="AS79" s="30"/>
    </row>
    <row r="80" spans="1:82" x14ac:dyDescent="0.25">
      <c r="A80" s="19"/>
      <c r="B80" s="20" t="str">
        <f t="shared" si="118"/>
        <v>SUMATERA</v>
      </c>
      <c r="C80" s="20">
        <f t="shared" si="118"/>
        <v>2023</v>
      </c>
      <c r="D80" s="30">
        <f t="shared" si="123"/>
        <v>96.40586186315258</v>
      </c>
      <c r="E80" s="30">
        <f t="shared" si="123"/>
        <v>21.981724562016634</v>
      </c>
      <c r="F80" s="30">
        <f t="shared" si="123"/>
        <v>44.988608327150757</v>
      </c>
      <c r="G80" s="30">
        <f t="shared" si="123"/>
        <v>51.89620224046525</v>
      </c>
      <c r="H80" s="30">
        <f t="shared" si="123"/>
        <v>15.815328258461541</v>
      </c>
      <c r="I80" s="30">
        <f t="shared" si="123"/>
        <v>31.323050685636925</v>
      </c>
      <c r="J80" s="30">
        <f t="shared" si="123"/>
        <v>1.4971445275569235</v>
      </c>
      <c r="K80" s="30">
        <f t="shared" si="123"/>
        <v>3.05939378081673</v>
      </c>
      <c r="L80" s="30">
        <f t="shared" si="123"/>
        <v>4.5153833476246082E-10</v>
      </c>
      <c r="M80" s="30">
        <f t="shared" si="123"/>
        <v>0.32908519495384614</v>
      </c>
      <c r="N80" s="30">
        <f t="shared" si="123"/>
        <v>0</v>
      </c>
      <c r="O80" s="30">
        <f t="shared" si="123"/>
        <v>0</v>
      </c>
      <c r="P80" s="30">
        <f>(sumatera!P56*3.6/(VLOOKUP(P$51,tech_data!$B$2:$J$15,4,FALSE)/100))/1000</f>
        <v>0</v>
      </c>
      <c r="Q80" s="30">
        <f t="shared" si="120"/>
        <v>267.29639944066275</v>
      </c>
      <c r="R80" s="30"/>
      <c r="S80" s="23"/>
      <c r="T80" s="19"/>
      <c r="U80" s="20" t="str">
        <f t="shared" si="121"/>
        <v>SUMATERA</v>
      </c>
      <c r="V80" s="20">
        <f t="shared" si="121"/>
        <v>2023</v>
      </c>
      <c r="W80" s="30">
        <f>D56*(1-(VLOOKUP(W$75,tech_data!$B$2:$O$15,4,FALSE)/100))</f>
        <v>152.91964295534547</v>
      </c>
      <c r="X80" s="30">
        <f>E56*(1-(VLOOKUP(X$75,tech_data!$B$2:$O$15,4,FALSE)/100))</f>
        <v>39.649278882889817</v>
      </c>
      <c r="Y80" s="30">
        <f>F56*(1-(VLOOKUP(Y$75,tech_data!$B$2:$O$15,4,FALSE)/100))</f>
        <v>32.134720233679111</v>
      </c>
      <c r="Z80" s="30">
        <f>G56*(1-(VLOOKUP(Z$75,tech_data!$B$2:$O$15,4,FALSE)/100))</f>
        <v>60.921628717067904</v>
      </c>
      <c r="AA80" s="30">
        <f>H56*(1-(VLOOKUP(AA$75,tech_data!$B$2:$O$15,4,FALSE)/100))</f>
        <v>101.33525143384617</v>
      </c>
      <c r="AB80" s="30">
        <f>I56*(1-(VLOOKUP(AB$75,tech_data!$B$2:$O$15,4,FALSE)/100))</f>
        <v>1.648581615033524</v>
      </c>
      <c r="AC80" s="30">
        <f>J56*(1-(VLOOKUP(AC$75,tech_data!$B$2:$O$15,4,FALSE)/100))</f>
        <v>0.37428613188923077</v>
      </c>
      <c r="AD80" s="30">
        <f>K56*(1-(VLOOKUP(AD$75,tech_data!$B$2:$O$15,4,FALSE)/100))</f>
        <v>2.5698907758860532</v>
      </c>
      <c r="AE80" s="30">
        <f>L56*(1-(VLOOKUP(AE$75,tech_data!$B$2:$O$15,4,FALSE)/100))</f>
        <v>1.8377610224832155E-10</v>
      </c>
      <c r="AF80" s="30">
        <f>M56*(1-(VLOOKUP(AF$75,tech_data!$B$2:$O$15,4,FALSE)/100))</f>
        <v>0.7324799500585607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(sumatera!AI56*3.6/(VLOOKUP(AI$51,tech_data!$B$2:$J$15,4,FALSE)/100))/1000</f>
        <v>0</v>
      </c>
      <c r="AJ80" s="30">
        <f t="shared" si="122"/>
        <v>392.28576069587962</v>
      </c>
      <c r="AK80" s="30"/>
      <c r="AL80" s="23"/>
      <c r="AR80" s="30"/>
      <c r="AS80" s="30"/>
    </row>
    <row r="81" spans="1:38" x14ac:dyDescent="0.25">
      <c r="A81" s="19"/>
      <c r="B81" s="20" t="str">
        <f t="shared" si="118"/>
        <v>SUMATERA</v>
      </c>
      <c r="C81" s="20">
        <f t="shared" si="118"/>
        <v>2024</v>
      </c>
      <c r="D81" s="30">
        <f t="shared" si="123"/>
        <v>96.40586186315258</v>
      </c>
      <c r="E81" s="30">
        <f t="shared" si="123"/>
        <v>21.981724562016634</v>
      </c>
      <c r="F81" s="30">
        <f t="shared" si="123"/>
        <v>59.476871204172554</v>
      </c>
      <c r="G81" s="30">
        <f t="shared" si="123"/>
        <v>56.532562964629804</v>
      </c>
      <c r="H81" s="30">
        <f t="shared" si="123"/>
        <v>15.815328258461541</v>
      </c>
      <c r="I81" s="30">
        <f t="shared" si="123"/>
        <v>31.323050685636925</v>
      </c>
      <c r="J81" s="30">
        <f t="shared" si="123"/>
        <v>1.4971445275569235</v>
      </c>
      <c r="K81" s="30">
        <f t="shared" si="123"/>
        <v>3.8729249656211642</v>
      </c>
      <c r="L81" s="30">
        <f t="shared" si="123"/>
        <v>9.8842446734475082</v>
      </c>
      <c r="M81" s="30">
        <f t="shared" si="123"/>
        <v>0.32908519495384614</v>
      </c>
      <c r="N81" s="30">
        <f t="shared" si="123"/>
        <v>0</v>
      </c>
      <c r="O81" s="30">
        <f t="shared" si="123"/>
        <v>0</v>
      </c>
      <c r="P81" s="30">
        <f>(sumatera!P57*3.6/(VLOOKUP(P$51,tech_data!$B$2:$J$15,4,FALSE)/100))/1000</f>
        <v>0</v>
      </c>
      <c r="Q81" s="30">
        <f t="shared" si="120"/>
        <v>297.11879889964945</v>
      </c>
      <c r="R81" s="30"/>
      <c r="S81" s="23"/>
      <c r="T81" s="19"/>
      <c r="U81" s="20" t="str">
        <f t="shared" si="121"/>
        <v>SUMATERA</v>
      </c>
      <c r="V81" s="20">
        <f t="shared" si="121"/>
        <v>2024</v>
      </c>
      <c r="W81" s="30">
        <f>D57*(1-(VLOOKUP(W$75,tech_data!$B$2:$O$15,4,FALSE)/100))</f>
        <v>152.91964295534547</v>
      </c>
      <c r="X81" s="30">
        <f>E57*(1-(VLOOKUP(X$75,tech_data!$B$2:$O$15,4,FALSE)/100))</f>
        <v>39.649278882889817</v>
      </c>
      <c r="Y81" s="30">
        <f>F57*(1-(VLOOKUP(Y$75,tech_data!$B$2:$O$15,4,FALSE)/100))</f>
        <v>42.483479431551821</v>
      </c>
      <c r="Z81" s="30">
        <f>G57*(1-(VLOOKUP(Z$75,tech_data!$B$2:$O$15,4,FALSE)/100))</f>
        <v>66.364313045434983</v>
      </c>
      <c r="AA81" s="30">
        <f>H57*(1-(VLOOKUP(AA$75,tech_data!$B$2:$O$15,4,FALSE)/100))</f>
        <v>101.33525143384617</v>
      </c>
      <c r="AB81" s="30">
        <f>I57*(1-(VLOOKUP(AB$75,tech_data!$B$2:$O$15,4,FALSE)/100))</f>
        <v>1.648581615033524</v>
      </c>
      <c r="AC81" s="30">
        <f>J57*(1-(VLOOKUP(AC$75,tech_data!$B$2:$O$15,4,FALSE)/100))</f>
        <v>0.37428613188923077</v>
      </c>
      <c r="AD81" s="30">
        <f>K57*(1-(VLOOKUP(AD$75,tech_data!$B$2:$O$15,4,FALSE)/100))</f>
        <v>3.2532569711217776</v>
      </c>
      <c r="AE81" s="30">
        <f>L57*(1-(VLOOKUP(AE$75,tech_data!$B$2:$O$15,4,FALSE)/100))</f>
        <v>4.0228875820931362</v>
      </c>
      <c r="AF81" s="30">
        <f>M57*(1-(VLOOKUP(AF$75,tech_data!$B$2:$O$15,4,FALSE)/100))</f>
        <v>0.7324799500585607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(sumatera!AI57*3.6/(VLOOKUP(AI$51,tech_data!$B$2:$J$15,4,FALSE)/100))/1000</f>
        <v>0</v>
      </c>
      <c r="AJ81" s="30">
        <f t="shared" si="122"/>
        <v>412.7834579992645</v>
      </c>
      <c r="AK81" s="30"/>
      <c r="AL81" s="23"/>
    </row>
    <row r="82" spans="1:38" x14ac:dyDescent="0.25">
      <c r="A82" s="19"/>
      <c r="B82" s="20" t="str">
        <f t="shared" si="118"/>
        <v>SUMATERA</v>
      </c>
      <c r="C82" s="20">
        <f t="shared" si="118"/>
        <v>2025</v>
      </c>
      <c r="D82" s="30">
        <f t="shared" si="123"/>
        <v>98.251919918120407</v>
      </c>
      <c r="E82" s="30">
        <f t="shared" si="123"/>
        <v>21.981724562016634</v>
      </c>
      <c r="F82" s="30">
        <f t="shared" si="123"/>
        <v>70.878182164065635</v>
      </c>
      <c r="G82" s="30">
        <f t="shared" si="123"/>
        <v>61.068100187393355</v>
      </c>
      <c r="H82" s="30">
        <f t="shared" si="123"/>
        <v>15.815328258461541</v>
      </c>
      <c r="I82" s="30">
        <f t="shared" si="123"/>
        <v>31.323050685636925</v>
      </c>
      <c r="J82" s="30">
        <f t="shared" si="123"/>
        <v>1.4971445275569235</v>
      </c>
      <c r="K82" s="30">
        <f t="shared" si="123"/>
        <v>4.8837984076847114</v>
      </c>
      <c r="L82" s="30">
        <f t="shared" si="123"/>
        <v>21.478064889690391</v>
      </c>
      <c r="M82" s="30">
        <f t="shared" si="123"/>
        <v>0.32908519495384614</v>
      </c>
      <c r="N82" s="30">
        <f t="shared" si="123"/>
        <v>0</v>
      </c>
      <c r="O82" s="30">
        <f t="shared" si="123"/>
        <v>0</v>
      </c>
      <c r="P82" s="30">
        <f>(sumatera!P58*3.6/(VLOOKUP(P$51,tech_data!$B$2:$J$15,4,FALSE)/100))/1000</f>
        <v>0</v>
      </c>
      <c r="Q82" s="30">
        <f t="shared" si="120"/>
        <v>327.50639879558042</v>
      </c>
      <c r="R82" s="30"/>
      <c r="S82" s="23"/>
      <c r="T82" s="19"/>
      <c r="U82" s="20" t="str">
        <f t="shared" si="121"/>
        <v>SUMATERA</v>
      </c>
      <c r="V82" s="20">
        <f t="shared" si="121"/>
        <v>2025</v>
      </c>
      <c r="W82" s="30">
        <f>D58*(1-(VLOOKUP(W$75,tech_data!$B$2:$O$15,4,FALSE)/100))</f>
        <v>155.84787297357028</v>
      </c>
      <c r="X82" s="30">
        <f>E58*(1-(VLOOKUP(X$75,tech_data!$B$2:$O$15,4,FALSE)/100))</f>
        <v>39.649278882889817</v>
      </c>
      <c r="Y82" s="30">
        <f>F58*(1-(VLOOKUP(Y$75,tech_data!$B$2:$O$15,4,FALSE)/100))</f>
        <v>50.627272974332591</v>
      </c>
      <c r="Z82" s="30">
        <f>G58*(1-(VLOOKUP(Z$75,tech_data!$B$2:$O$15,4,FALSE)/100))</f>
        <v>71.688639350418285</v>
      </c>
      <c r="AA82" s="30">
        <f>H58*(1-(VLOOKUP(AA$75,tech_data!$B$2:$O$15,4,FALSE)/100))</f>
        <v>101.33525143384617</v>
      </c>
      <c r="AB82" s="30">
        <f>I58*(1-(VLOOKUP(AB$75,tech_data!$B$2:$O$15,4,FALSE)/100))</f>
        <v>1.648581615033524</v>
      </c>
      <c r="AC82" s="30">
        <f>J58*(1-(VLOOKUP(AC$75,tech_data!$B$2:$O$15,4,FALSE)/100))</f>
        <v>0.37428613188923077</v>
      </c>
      <c r="AD82" s="30">
        <f>K58*(1-(VLOOKUP(AD$75,tech_data!$B$2:$O$15,4,FALSE)/100))</f>
        <v>4.1023906624551572</v>
      </c>
      <c r="AE82" s="30">
        <f>L58*(1-(VLOOKUP(AE$75,tech_data!$B$2:$O$15,4,FALSE)/100))</f>
        <v>8.7415724101039896</v>
      </c>
      <c r="AF82" s="30">
        <f>M58*(1-(VLOOKUP(AF$75,tech_data!$B$2:$O$15,4,FALSE)/100))</f>
        <v>0.7324799500585607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(sumatera!AI58*3.6/(VLOOKUP(AI$51,tech_data!$B$2:$J$15,4,FALSE)/100))/1000</f>
        <v>0</v>
      </c>
      <c r="AJ82" s="30">
        <f t="shared" si="122"/>
        <v>434.7476263845976</v>
      </c>
      <c r="AK82" s="30"/>
      <c r="AL82" s="23"/>
    </row>
    <row r="83" spans="1:38" x14ac:dyDescent="0.25">
      <c r="A83" s="19"/>
      <c r="B83" s="20" t="str">
        <f t="shared" si="118"/>
        <v>SUMATERA</v>
      </c>
      <c r="C83" s="20">
        <f t="shared" si="118"/>
        <v>2026</v>
      </c>
      <c r="D83" s="30">
        <f t="shared" si="123"/>
        <v>108.49119098449147</v>
      </c>
      <c r="E83" s="30">
        <f t="shared" si="123"/>
        <v>21.981724562016634</v>
      </c>
      <c r="F83" s="30">
        <f t="shared" si="123"/>
        <v>75.533855621267534</v>
      </c>
      <c r="G83" s="30">
        <f t="shared" si="123"/>
        <v>61.068100187393355</v>
      </c>
      <c r="H83" s="30">
        <f t="shared" si="123"/>
        <v>15.815328258461541</v>
      </c>
      <c r="I83" s="30">
        <f t="shared" si="123"/>
        <v>31.323050685636925</v>
      </c>
      <c r="J83" s="30">
        <f t="shared" si="123"/>
        <v>1.4971445275569235</v>
      </c>
      <c r="K83" s="30">
        <f t="shared" si="123"/>
        <v>6.6027428927072735</v>
      </c>
      <c r="L83" s="30">
        <f t="shared" si="123"/>
        <v>41.422176582120272</v>
      </c>
      <c r="M83" s="30">
        <f t="shared" si="123"/>
        <v>0.32908519495384614</v>
      </c>
      <c r="N83" s="30">
        <f t="shared" si="123"/>
        <v>0</v>
      </c>
      <c r="O83" s="30">
        <f t="shared" si="123"/>
        <v>0</v>
      </c>
      <c r="P83" s="30">
        <f>(sumatera!P59*3.6/(VLOOKUP(P$51,tech_data!$B$2:$J$15,4,FALSE)/100))/1000</f>
        <v>0</v>
      </c>
      <c r="Q83" s="30">
        <f t="shared" si="120"/>
        <v>364.06439949660574</v>
      </c>
      <c r="R83" s="30"/>
      <c r="S83" s="23"/>
      <c r="T83" s="19"/>
      <c r="U83" s="20" t="str">
        <f t="shared" si="121"/>
        <v>SUMATERA</v>
      </c>
      <c r="V83" s="20">
        <f t="shared" si="121"/>
        <v>2026</v>
      </c>
      <c r="W83" s="30">
        <f>D59*(1-(VLOOKUP(W$75,tech_data!$B$2:$O$15,4,FALSE)/100))</f>
        <v>172.0894753547106</v>
      </c>
      <c r="X83" s="30">
        <f>E59*(1-(VLOOKUP(X$75,tech_data!$B$2:$O$15,4,FALSE)/100))</f>
        <v>39.649278882889817</v>
      </c>
      <c r="Y83" s="30">
        <f>F59*(1-(VLOOKUP(Y$75,tech_data!$B$2:$O$15,4,FALSE)/100))</f>
        <v>53.952754015191083</v>
      </c>
      <c r="Z83" s="30">
        <f>G59*(1-(VLOOKUP(Z$75,tech_data!$B$2:$O$15,4,FALSE)/100))</f>
        <v>71.688639350418285</v>
      </c>
      <c r="AA83" s="30">
        <f>H59*(1-(VLOOKUP(AA$75,tech_data!$B$2:$O$15,4,FALSE)/100))</f>
        <v>101.33525143384617</v>
      </c>
      <c r="AB83" s="30">
        <f>I59*(1-(VLOOKUP(AB$75,tech_data!$B$2:$O$15,4,FALSE)/100))</f>
        <v>1.648581615033524</v>
      </c>
      <c r="AC83" s="30">
        <f>J59*(1-(VLOOKUP(AC$75,tech_data!$B$2:$O$15,4,FALSE)/100))</f>
        <v>0.37428613188923077</v>
      </c>
      <c r="AD83" s="30">
        <f>K59*(1-(VLOOKUP(AD$75,tech_data!$B$2:$O$15,4,FALSE)/100))</f>
        <v>5.5463040298741095</v>
      </c>
      <c r="AE83" s="30">
        <f>L59*(1-(VLOOKUP(AE$75,tech_data!$B$2:$O$15,4,FALSE)/100))</f>
        <v>16.858825868922953</v>
      </c>
      <c r="AF83" s="30">
        <f>M59*(1-(VLOOKUP(AF$75,tech_data!$B$2:$O$15,4,FALSE)/100))</f>
        <v>0.7324799500585607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(sumatera!AI59*3.6/(VLOOKUP(AI$51,tech_data!$B$2:$J$15,4,FALSE)/100))/1000</f>
        <v>0</v>
      </c>
      <c r="AJ83" s="30">
        <f t="shared" si="122"/>
        <v>463.87587663283438</v>
      </c>
      <c r="AK83" s="30"/>
      <c r="AL83" s="23"/>
    </row>
    <row r="84" spans="1:38" x14ac:dyDescent="0.25">
      <c r="A84" s="19"/>
      <c r="B84" s="20" t="str">
        <f t="shared" si="118"/>
        <v>SUMATERA</v>
      </c>
      <c r="C84" s="20">
        <f t="shared" si="118"/>
        <v>2027</v>
      </c>
      <c r="D84" s="30">
        <f t="shared" si="123"/>
        <v>120.53427830161789</v>
      </c>
      <c r="E84" s="30">
        <f t="shared" si="123"/>
        <v>21.981724562016634</v>
      </c>
      <c r="F84" s="30">
        <f t="shared" si="123"/>
        <v>77.793581399193627</v>
      </c>
      <c r="G84" s="30">
        <f t="shared" si="123"/>
        <v>61.068100187393355</v>
      </c>
      <c r="H84" s="30">
        <f t="shared" si="123"/>
        <v>15.815328258461541</v>
      </c>
      <c r="I84" s="30">
        <f t="shared" si="123"/>
        <v>31.323050685636925</v>
      </c>
      <c r="J84" s="30">
        <f t="shared" si="123"/>
        <v>7.7095870760894174</v>
      </c>
      <c r="K84" s="30">
        <f t="shared" si="123"/>
        <v>8.9946094827720628</v>
      </c>
      <c r="L84" s="30">
        <f t="shared" si="123"/>
        <v>61.661054177460144</v>
      </c>
      <c r="M84" s="30">
        <f t="shared" si="123"/>
        <v>0.32908519495384614</v>
      </c>
      <c r="N84" s="30">
        <f t="shared" si="123"/>
        <v>0</v>
      </c>
      <c r="O84" s="30">
        <f t="shared" si="123"/>
        <v>0</v>
      </c>
      <c r="P84" s="30">
        <f>(sumatera!P60*3.6/(VLOOKUP(P$51,tech_data!$B$2:$J$15,4,FALSE)/100))/1000</f>
        <v>0</v>
      </c>
      <c r="Q84" s="30">
        <f t="shared" si="120"/>
        <v>407.2103993255954</v>
      </c>
      <c r="R84" s="30"/>
      <c r="S84" s="23"/>
      <c r="T84" s="19"/>
      <c r="U84" s="20" t="str">
        <f t="shared" si="121"/>
        <v>SUMATERA</v>
      </c>
      <c r="V84" s="20">
        <f t="shared" si="121"/>
        <v>2027</v>
      </c>
      <c r="W84" s="30">
        <f>D60*(1-(VLOOKUP(W$75,tech_data!$B$2:$O$15,4,FALSE)/100))</f>
        <v>191.19230351291111</v>
      </c>
      <c r="X84" s="30">
        <f>E60*(1-(VLOOKUP(X$75,tech_data!$B$2:$O$15,4,FALSE)/100))</f>
        <v>39.649278882889817</v>
      </c>
      <c r="Y84" s="30">
        <f>F60*(1-(VLOOKUP(Y$75,tech_data!$B$2:$O$15,4,FALSE)/100))</f>
        <v>55.566843856566869</v>
      </c>
      <c r="Z84" s="30">
        <f>G60*(1-(VLOOKUP(Z$75,tech_data!$B$2:$O$15,4,FALSE)/100))</f>
        <v>71.688639350418285</v>
      </c>
      <c r="AA84" s="30">
        <f>H60*(1-(VLOOKUP(AA$75,tech_data!$B$2:$O$15,4,FALSE)/100))</f>
        <v>101.33525143384617</v>
      </c>
      <c r="AB84" s="30">
        <f>I60*(1-(VLOOKUP(AB$75,tech_data!$B$2:$O$15,4,FALSE)/100))</f>
        <v>1.648581615033524</v>
      </c>
      <c r="AC84" s="30">
        <f>J60*(1-(VLOOKUP(AC$75,tech_data!$B$2:$O$15,4,FALSE)/100))</f>
        <v>1.9273967690223539</v>
      </c>
      <c r="AD84" s="30">
        <f>K60*(1-(VLOOKUP(AD$75,tech_data!$B$2:$O$15,4,FALSE)/100))</f>
        <v>7.5554719655285325</v>
      </c>
      <c r="AE84" s="30">
        <f>L60*(1-(VLOOKUP(AE$75,tech_data!$B$2:$O$15,4,FALSE)/100))</f>
        <v>25.096049050226281</v>
      </c>
      <c r="AF84" s="30">
        <f>M60*(1-(VLOOKUP(AF$75,tech_data!$B$2:$O$15,4,FALSE)/100))</f>
        <v>0.7324799500585607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(sumatera!AI60*3.6/(VLOOKUP(AI$51,tech_data!$B$2:$J$15,4,FALSE)/100))/1000</f>
        <v>0</v>
      </c>
      <c r="AJ84" s="30">
        <f t="shared" si="122"/>
        <v>496.39229638650153</v>
      </c>
      <c r="AK84" s="30"/>
      <c r="AL84" s="23"/>
    </row>
    <row r="85" spans="1:38" x14ac:dyDescent="0.25">
      <c r="A85" s="19"/>
      <c r="B85" s="20" t="str">
        <f t="shared" si="118"/>
        <v>SUMATERA</v>
      </c>
      <c r="C85" s="20">
        <f t="shared" si="118"/>
        <v>2028</v>
      </c>
      <c r="D85" s="30">
        <f t="shared" si="123"/>
        <v>127.37526001378934</v>
      </c>
      <c r="E85" s="30">
        <f t="shared" si="123"/>
        <v>21.981724562016634</v>
      </c>
      <c r="F85" s="30">
        <f t="shared" si="123"/>
        <v>94.761758923269738</v>
      </c>
      <c r="G85" s="30">
        <f t="shared" si="123"/>
        <v>61.068100187393355</v>
      </c>
      <c r="H85" s="30">
        <f t="shared" si="123"/>
        <v>15.815328258461541</v>
      </c>
      <c r="I85" s="30">
        <f t="shared" si="123"/>
        <v>31.323050685636925</v>
      </c>
      <c r="J85" s="30">
        <f t="shared" si="123"/>
        <v>7.7095870760894174</v>
      </c>
      <c r="K85" s="30">
        <f t="shared" si="123"/>
        <v>9.6116894136978885</v>
      </c>
      <c r="L85" s="30">
        <f t="shared" si="123"/>
        <v>63.273655646459794</v>
      </c>
      <c r="M85" s="30">
        <f t="shared" si="123"/>
        <v>0.32908519495384614</v>
      </c>
      <c r="N85" s="30">
        <f t="shared" si="123"/>
        <v>0</v>
      </c>
      <c r="O85" s="30">
        <f t="shared" si="123"/>
        <v>0</v>
      </c>
      <c r="P85" s="30">
        <f>(sumatera!P61*3.6/(VLOOKUP(P$51,tech_data!$B$2:$J$15,4,FALSE)/100))/1000</f>
        <v>0</v>
      </c>
      <c r="Q85" s="30">
        <f t="shared" si="120"/>
        <v>433.24923996176847</v>
      </c>
      <c r="R85" s="30"/>
      <c r="S85" s="23"/>
      <c r="T85" s="19"/>
      <c r="U85" s="20" t="str">
        <f t="shared" si="121"/>
        <v>SUMATERA</v>
      </c>
      <c r="V85" s="20">
        <f t="shared" si="121"/>
        <v>2028</v>
      </c>
      <c r="W85" s="30">
        <f>D61*(1-(VLOOKUP(W$75,tech_data!$B$2:$O$15,4,FALSE)/100))</f>
        <v>202.04351588394169</v>
      </c>
      <c r="X85" s="30">
        <f>E61*(1-(VLOOKUP(X$75,tech_data!$B$2:$O$15,4,FALSE)/100))</f>
        <v>39.649278882889817</v>
      </c>
      <c r="Y85" s="30">
        <f>F61*(1-(VLOOKUP(Y$75,tech_data!$B$2:$O$15,4,FALSE)/100))</f>
        <v>67.686970659478376</v>
      </c>
      <c r="Z85" s="30">
        <f>G61*(1-(VLOOKUP(Z$75,tech_data!$B$2:$O$15,4,FALSE)/100))</f>
        <v>71.688639350418285</v>
      </c>
      <c r="AA85" s="30">
        <f>H61*(1-(VLOOKUP(AA$75,tech_data!$B$2:$O$15,4,FALSE)/100))</f>
        <v>101.33525143384617</v>
      </c>
      <c r="AB85" s="30">
        <f>I61*(1-(VLOOKUP(AB$75,tech_data!$B$2:$O$15,4,FALSE)/100))</f>
        <v>1.648581615033524</v>
      </c>
      <c r="AC85" s="30">
        <f>J61*(1-(VLOOKUP(AC$75,tech_data!$B$2:$O$15,4,FALSE)/100))</f>
        <v>1.9273967690223539</v>
      </c>
      <c r="AD85" s="30">
        <f>K61*(1-(VLOOKUP(AD$75,tech_data!$B$2:$O$15,4,FALSE)/100))</f>
        <v>8.0738191075062264</v>
      </c>
      <c r="AE85" s="30">
        <f>L61*(1-(VLOOKUP(AE$75,tech_data!$B$2:$O$15,4,FALSE)/100))</f>
        <v>25.752377848109138</v>
      </c>
      <c r="AF85" s="30">
        <f>M61*(1-(VLOOKUP(AF$75,tech_data!$B$2:$O$15,4,FALSE)/100))</f>
        <v>0.7324799500585607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(sumatera!AI61*3.6/(VLOOKUP(AI$51,tech_data!$B$2:$J$15,4,FALSE)/100))/1000</f>
        <v>0</v>
      </c>
      <c r="AJ85" s="30">
        <f t="shared" si="122"/>
        <v>520.53831150030419</v>
      </c>
      <c r="AK85" s="30"/>
      <c r="AL85" s="23"/>
    </row>
    <row r="86" spans="1:38" x14ac:dyDescent="0.25">
      <c r="A86" s="19"/>
      <c r="B86" s="20" t="str">
        <f t="shared" si="118"/>
        <v>SUMATERA</v>
      </c>
      <c r="C86" s="20">
        <f t="shared" si="118"/>
        <v>2029</v>
      </c>
      <c r="D86" s="30">
        <f t="shared" si="123"/>
        <v>134.55990565932757</v>
      </c>
      <c r="E86" s="30">
        <f t="shared" si="123"/>
        <v>21.981724562016634</v>
      </c>
      <c r="F86" s="30">
        <f t="shared" si="123"/>
        <v>113.14459239878103</v>
      </c>
      <c r="G86" s="30">
        <f t="shared" si="123"/>
        <v>61.068100187393355</v>
      </c>
      <c r="H86" s="30">
        <f t="shared" si="123"/>
        <v>15.815328258461541</v>
      </c>
      <c r="I86" s="30">
        <f t="shared" si="123"/>
        <v>31.323050685636925</v>
      </c>
      <c r="J86" s="30">
        <f t="shared" si="123"/>
        <v>7.7095878941981031</v>
      </c>
      <c r="K86" s="30">
        <f t="shared" si="123"/>
        <v>10.289838194826713</v>
      </c>
      <c r="L86" s="30">
        <f t="shared" si="123"/>
        <v>64.597914834074018</v>
      </c>
      <c r="M86" s="30">
        <f t="shared" si="123"/>
        <v>0.32908519495384614</v>
      </c>
      <c r="N86" s="30">
        <f t="shared" si="123"/>
        <v>2.4736261607189421E-3</v>
      </c>
      <c r="O86" s="30">
        <f t="shared" si="123"/>
        <v>0</v>
      </c>
      <c r="P86" s="30">
        <f>(sumatera!P62*3.6/(VLOOKUP(P$51,tech_data!$B$2:$J$15,4,FALSE)/100))/1000</f>
        <v>0</v>
      </c>
      <c r="Q86" s="30">
        <f t="shared" si="120"/>
        <v>460.82160149583046</v>
      </c>
      <c r="R86" s="30"/>
      <c r="S86" s="23"/>
      <c r="T86" s="19"/>
      <c r="U86" s="20" t="str">
        <f t="shared" si="121"/>
        <v>SUMATERA</v>
      </c>
      <c r="V86" s="20">
        <f t="shared" si="121"/>
        <v>2029</v>
      </c>
      <c r="W86" s="30">
        <f>D62*(1-(VLOOKUP(W$75,tech_data!$B$2:$O$15,4,FALSE)/100))</f>
        <v>213.43985035617479</v>
      </c>
      <c r="X86" s="30">
        <f>E62*(1-(VLOOKUP(X$75,tech_data!$B$2:$O$15,4,FALSE)/100))</f>
        <v>39.649278882889817</v>
      </c>
      <c r="Y86" s="30">
        <f>F62*(1-(VLOOKUP(Y$75,tech_data!$B$2:$O$15,4,FALSE)/100))</f>
        <v>80.817565999129286</v>
      </c>
      <c r="Z86" s="30">
        <f>G62*(1-(VLOOKUP(Z$75,tech_data!$B$2:$O$15,4,FALSE)/100))</f>
        <v>71.688639350418285</v>
      </c>
      <c r="AA86" s="30">
        <f>H62*(1-(VLOOKUP(AA$75,tech_data!$B$2:$O$15,4,FALSE)/100))</f>
        <v>101.33525143384617</v>
      </c>
      <c r="AB86" s="30">
        <f>I62*(1-(VLOOKUP(AB$75,tech_data!$B$2:$O$15,4,FALSE)/100))</f>
        <v>1.648581615033524</v>
      </c>
      <c r="AC86" s="30">
        <f>J62*(1-(VLOOKUP(AC$75,tech_data!$B$2:$O$15,4,FALSE)/100))</f>
        <v>1.9273969735495249</v>
      </c>
      <c r="AD86" s="30">
        <f>K62*(1-(VLOOKUP(AD$75,tech_data!$B$2:$O$15,4,FALSE)/100))</f>
        <v>8.6434640836544379</v>
      </c>
      <c r="AE86" s="30">
        <f>L62*(1-(VLOOKUP(AE$75,tech_data!$B$2:$O$15,4,FALSE)/100))</f>
        <v>26.291351337468129</v>
      </c>
      <c r="AF86" s="30">
        <f>M62*(1-(VLOOKUP(AF$75,tech_data!$B$2:$O$15,4,FALSE)/100))</f>
        <v>0.7324799500585607</v>
      </c>
      <c r="AG86" s="30">
        <f>N62*(1-(VLOOKUP(AG$75,tech_data!$B$2:$O$15,4,FALSE)/100))</f>
        <v>2.1850364419683999E-4</v>
      </c>
      <c r="AH86" s="30">
        <f>O62*(1-(VLOOKUP(AH$75,tech_data!$B$2:$O$15,4,FALSE)/100))</f>
        <v>0</v>
      </c>
      <c r="AI86" s="30">
        <f>(sumatera!AI62*3.6/(VLOOKUP(AI$51,tech_data!$B$2:$J$15,4,FALSE)/100))/1000</f>
        <v>0</v>
      </c>
      <c r="AJ86" s="30">
        <f t="shared" si="122"/>
        <v>546.17407848586663</v>
      </c>
      <c r="AK86" s="30"/>
      <c r="AL86" s="23"/>
    </row>
    <row r="87" spans="1:38" x14ac:dyDescent="0.25">
      <c r="A87" s="19"/>
      <c r="B87" s="20" t="str">
        <f t="shared" si="118"/>
        <v>SUMATERA</v>
      </c>
      <c r="C87" s="20">
        <f t="shared" si="118"/>
        <v>2030</v>
      </c>
      <c r="D87" s="30">
        <f t="shared" si="123"/>
        <v>141.85036903623177</v>
      </c>
      <c r="E87" s="30">
        <f t="shared" si="123"/>
        <v>21.981724562016634</v>
      </c>
      <c r="F87" s="30">
        <f t="shared" si="123"/>
        <v>123.2266300223453</v>
      </c>
      <c r="G87" s="30">
        <f t="shared" si="123"/>
        <v>61.06815188688644</v>
      </c>
      <c r="H87" s="30">
        <f t="shared" si="123"/>
        <v>15.815328258461541</v>
      </c>
      <c r="I87" s="30">
        <f t="shared" si="123"/>
        <v>31.323050695118049</v>
      </c>
      <c r="J87" s="30">
        <f t="shared" si="123"/>
        <v>7.7095878955397952</v>
      </c>
      <c r="K87" s="30">
        <f t="shared" si="123"/>
        <v>21.234888512526723</v>
      </c>
      <c r="L87" s="30">
        <f t="shared" si="123"/>
        <v>64.597913881022976</v>
      </c>
      <c r="M87" s="30">
        <f t="shared" si="123"/>
        <v>0.32908519495384614</v>
      </c>
      <c r="N87" s="30">
        <f t="shared" si="123"/>
        <v>2.4736261607189421E-3</v>
      </c>
      <c r="O87" s="30">
        <f t="shared" si="123"/>
        <v>0</v>
      </c>
      <c r="P87" s="30">
        <f>(sumatera!P63*3.6/(VLOOKUP(P$51,tech_data!$B$2:$J$15,4,FALSE)/100))/1000</f>
        <v>0</v>
      </c>
      <c r="Q87" s="30">
        <f t="shared" si="120"/>
        <v>489.13920357126381</v>
      </c>
      <c r="R87" s="30"/>
      <c r="S87" s="23"/>
      <c r="T87" s="19"/>
      <c r="U87" s="20" t="str">
        <f t="shared" si="121"/>
        <v>SUMATERA</v>
      </c>
      <c r="V87" s="20">
        <f t="shared" si="121"/>
        <v>2030</v>
      </c>
      <c r="W87" s="30">
        <f>D63*(1-(VLOOKUP(W$75,tech_data!$B$2:$O$15,4,FALSE)/100))</f>
        <v>225.00403364367796</v>
      </c>
      <c r="X87" s="30">
        <f>E63*(1-(VLOOKUP(X$75,tech_data!$B$2:$O$15,4,FALSE)/100))</f>
        <v>39.649278882889817</v>
      </c>
      <c r="Y87" s="30">
        <f>F63*(1-(VLOOKUP(Y$75,tech_data!$B$2:$O$15,4,FALSE)/100))</f>
        <v>88.019021444532342</v>
      </c>
      <c r="Z87" s="30">
        <f>G63*(1-(VLOOKUP(Z$75,tech_data!$B$2:$O$15,4,FALSE)/100))</f>
        <v>71.688700041127561</v>
      </c>
      <c r="AA87" s="30">
        <f>H63*(1-(VLOOKUP(AA$75,tech_data!$B$2:$O$15,4,FALSE)/100))</f>
        <v>101.33525143384617</v>
      </c>
      <c r="AB87" s="30">
        <f>I63*(1-(VLOOKUP(AB$75,tech_data!$B$2:$O$15,4,FALSE)/100))</f>
        <v>1.6485816155325306</v>
      </c>
      <c r="AC87" s="30">
        <f>J63*(1-(VLOOKUP(AC$75,tech_data!$B$2:$O$15,4,FALSE)/100))</f>
        <v>1.9273969738849484</v>
      </c>
      <c r="AD87" s="30">
        <f>K63*(1-(VLOOKUP(AD$75,tech_data!$B$2:$O$15,4,FALSE)/100))</f>
        <v>17.837306350522447</v>
      </c>
      <c r="AE87" s="30">
        <f>L63*(1-(VLOOKUP(AE$75,tech_data!$B$2:$O$15,4,FALSE)/100))</f>
        <v>26.291350949576351</v>
      </c>
      <c r="AF87" s="30">
        <f>M63*(1-(VLOOKUP(AF$75,tech_data!$B$2:$O$15,4,FALSE)/100))</f>
        <v>0.7324799500585607</v>
      </c>
      <c r="AG87" s="30">
        <f>N63*(1-(VLOOKUP(AG$75,tech_data!$B$2:$O$15,4,FALSE)/100))</f>
        <v>2.1850364419683999E-4</v>
      </c>
      <c r="AH87" s="30">
        <f>O63*(1-(VLOOKUP(AH$75,tech_data!$B$2:$O$15,4,FALSE)/100))</f>
        <v>0</v>
      </c>
      <c r="AI87" s="30">
        <f>(sumatera!AI63*3.6/(VLOOKUP(AI$51,tech_data!$B$2:$J$15,4,FALSE)/100))/1000</f>
        <v>0</v>
      </c>
      <c r="AJ87" s="30">
        <f t="shared" si="122"/>
        <v>574.13361978929277</v>
      </c>
      <c r="AK87" s="30"/>
      <c r="AL87" s="23"/>
    </row>
    <row r="88" spans="1:38" x14ac:dyDescent="0.25">
      <c r="A88" s="19"/>
      <c r="B88" s="20" t="str">
        <f t="shared" si="118"/>
        <v>SUMATERA</v>
      </c>
      <c r="C88" s="20">
        <f t="shared" si="118"/>
        <v>2031</v>
      </c>
      <c r="D88" s="30">
        <f t="shared" si="123"/>
        <v>150.35570268986834</v>
      </c>
      <c r="E88" s="30">
        <f t="shared" si="123"/>
        <v>21.981724562016634</v>
      </c>
      <c r="F88" s="30">
        <f t="shared" si="123"/>
        <v>142.66665364775011</v>
      </c>
      <c r="G88" s="30">
        <f t="shared" si="123"/>
        <v>61.06815188688644</v>
      </c>
      <c r="H88" s="30">
        <f t="shared" si="123"/>
        <v>15.815328258461541</v>
      </c>
      <c r="I88" s="30">
        <f t="shared" si="123"/>
        <v>31.323050695118049</v>
      </c>
      <c r="J88" s="30">
        <f t="shared" si="123"/>
        <v>7.7095878955397952</v>
      </c>
      <c r="K88" s="30">
        <f t="shared" si="123"/>
        <v>21.234888512526723</v>
      </c>
      <c r="L88" s="30">
        <f t="shared" si="123"/>
        <v>69.58183321394057</v>
      </c>
      <c r="M88" s="30">
        <f t="shared" si="123"/>
        <v>0.32908519495384614</v>
      </c>
      <c r="N88" s="30">
        <f t="shared" si="123"/>
        <v>2.4736261607189421E-3</v>
      </c>
      <c r="O88" s="30">
        <f t="shared" si="123"/>
        <v>0</v>
      </c>
      <c r="P88" s="30">
        <f>(sumatera!P64*3.6/(VLOOKUP(P$51,tech_data!$B$2:$J$15,4,FALSE)/100))/1000</f>
        <v>0</v>
      </c>
      <c r="Q88" s="30">
        <f t="shared" si="120"/>
        <v>522.06848018322273</v>
      </c>
      <c r="R88" s="30"/>
      <c r="S88" s="23"/>
      <c r="T88" s="19"/>
      <c r="U88" s="20" t="str">
        <f t="shared" si="121"/>
        <v>SUMATERA</v>
      </c>
      <c r="V88" s="20">
        <f t="shared" si="121"/>
        <v>2031</v>
      </c>
      <c r="W88" s="30">
        <f>D64*(1-(VLOOKUP(W$75,tech_data!$B$2:$O$15,4,FALSE)/100))</f>
        <v>238.49525254254976</v>
      </c>
      <c r="X88" s="30">
        <f>E64*(1-(VLOOKUP(X$75,tech_data!$B$2:$O$15,4,FALSE)/100))</f>
        <v>39.649278882889817</v>
      </c>
      <c r="Y88" s="30">
        <f>F64*(1-(VLOOKUP(Y$75,tech_data!$B$2:$O$15,4,FALSE)/100))</f>
        <v>101.90475260553579</v>
      </c>
      <c r="Z88" s="30">
        <f>G64*(1-(VLOOKUP(Z$75,tech_data!$B$2:$O$15,4,FALSE)/100))</f>
        <v>71.688700041127561</v>
      </c>
      <c r="AA88" s="30">
        <f>H64*(1-(VLOOKUP(AA$75,tech_data!$B$2:$O$15,4,FALSE)/100))</f>
        <v>101.33525143384617</v>
      </c>
      <c r="AB88" s="30">
        <f>I64*(1-(VLOOKUP(AB$75,tech_data!$B$2:$O$15,4,FALSE)/100))</f>
        <v>1.6485816155325306</v>
      </c>
      <c r="AC88" s="30">
        <f>J64*(1-(VLOOKUP(AC$75,tech_data!$B$2:$O$15,4,FALSE)/100))</f>
        <v>1.9273969738849484</v>
      </c>
      <c r="AD88" s="30">
        <f>K64*(1-(VLOOKUP(AD$75,tech_data!$B$2:$O$15,4,FALSE)/100))</f>
        <v>17.837306350522447</v>
      </c>
      <c r="AE88" s="30">
        <f>L64*(1-(VLOOKUP(AE$75,tech_data!$B$2:$O$15,4,FALSE)/100))</f>
        <v>28.319806118073814</v>
      </c>
      <c r="AF88" s="30">
        <f>M64*(1-(VLOOKUP(AF$75,tech_data!$B$2:$O$15,4,FALSE)/100))</f>
        <v>0.7324799500585607</v>
      </c>
      <c r="AG88" s="30">
        <f>N64*(1-(VLOOKUP(AG$75,tech_data!$B$2:$O$15,4,FALSE)/100))</f>
        <v>2.1850364419683999E-4</v>
      </c>
      <c r="AH88" s="30">
        <f>O64*(1-(VLOOKUP(AH$75,tech_data!$B$2:$O$15,4,FALSE)/100))</f>
        <v>0</v>
      </c>
      <c r="AI88" s="30">
        <f>(sumatera!AI64*3.6/(VLOOKUP(AI$51,tech_data!$B$2:$J$15,4,FALSE)/100))/1000</f>
        <v>0</v>
      </c>
      <c r="AJ88" s="30">
        <f t="shared" si="122"/>
        <v>603.53902501766549</v>
      </c>
      <c r="AK88" s="30"/>
      <c r="AL88" s="23"/>
    </row>
    <row r="89" spans="1:38" x14ac:dyDescent="0.25">
      <c r="A89" s="19"/>
      <c r="B89" s="20" t="str">
        <f t="shared" si="118"/>
        <v>SUMATERA</v>
      </c>
      <c r="C89" s="20">
        <f t="shared" si="118"/>
        <v>2032</v>
      </c>
      <c r="D89" s="30">
        <f t="shared" si="123"/>
        <v>159.39139835539964</v>
      </c>
      <c r="E89" s="30">
        <f t="shared" si="123"/>
        <v>21.981724562016634</v>
      </c>
      <c r="F89" s="30">
        <f t="shared" si="123"/>
        <v>163.50483785390924</v>
      </c>
      <c r="G89" s="30">
        <f t="shared" si="123"/>
        <v>61.06815188688644</v>
      </c>
      <c r="H89" s="30">
        <f t="shared" si="123"/>
        <v>15.815328258461541</v>
      </c>
      <c r="I89" s="30">
        <f t="shared" si="123"/>
        <v>31.323050695118049</v>
      </c>
      <c r="J89" s="30">
        <f t="shared" si="123"/>
        <v>7.7095878955397952</v>
      </c>
      <c r="K89" s="30">
        <f t="shared" si="123"/>
        <v>21.234888512526723</v>
      </c>
      <c r="L89" s="30">
        <f t="shared" si="123"/>
        <v>74.951835868898058</v>
      </c>
      <c r="M89" s="30">
        <f t="shared" si="123"/>
        <v>0.32908519495384614</v>
      </c>
      <c r="N89" s="30">
        <f t="shared" si="123"/>
        <v>2.4736261607189421E-3</v>
      </c>
      <c r="O89" s="30">
        <f t="shared" si="123"/>
        <v>0</v>
      </c>
      <c r="P89" s="30">
        <f>(sumatera!P65*3.6/(VLOOKUP(P$51,tech_data!$B$2:$J$15,4,FALSE)/100))/1000</f>
        <v>0</v>
      </c>
      <c r="Q89" s="30">
        <f t="shared" si="120"/>
        <v>557.31236270987063</v>
      </c>
      <c r="R89" s="30"/>
      <c r="S89" s="23"/>
      <c r="T89" s="19"/>
      <c r="U89" s="20" t="str">
        <f t="shared" si="121"/>
        <v>SUMATERA</v>
      </c>
      <c r="V89" s="20">
        <f t="shared" si="121"/>
        <v>2032</v>
      </c>
      <c r="W89" s="30">
        <f>D65*(1-(VLOOKUP(W$75,tech_data!$B$2:$O$15,4,FALSE)/100))</f>
        <v>252.82773532235802</v>
      </c>
      <c r="X89" s="30">
        <f>E65*(1-(VLOOKUP(X$75,tech_data!$B$2:$O$15,4,FALSE)/100))</f>
        <v>39.649278882889817</v>
      </c>
      <c r="Y89" s="30">
        <f>F65*(1-(VLOOKUP(Y$75,tech_data!$B$2:$O$15,4,FALSE)/100))</f>
        <v>116.78916989564944</v>
      </c>
      <c r="Z89" s="30">
        <f>G65*(1-(VLOOKUP(Z$75,tech_data!$B$2:$O$15,4,FALSE)/100))</f>
        <v>71.688700041127561</v>
      </c>
      <c r="AA89" s="30">
        <f>H65*(1-(VLOOKUP(AA$75,tech_data!$B$2:$O$15,4,FALSE)/100))</f>
        <v>101.33525143384617</v>
      </c>
      <c r="AB89" s="30">
        <f>I65*(1-(VLOOKUP(AB$75,tech_data!$B$2:$O$15,4,FALSE)/100))</f>
        <v>1.6485816155325306</v>
      </c>
      <c r="AC89" s="30">
        <f>J65*(1-(VLOOKUP(AC$75,tech_data!$B$2:$O$15,4,FALSE)/100))</f>
        <v>1.9273969738849484</v>
      </c>
      <c r="AD89" s="30">
        <f>K65*(1-(VLOOKUP(AD$75,tech_data!$B$2:$O$15,4,FALSE)/100))</f>
        <v>17.837306350522447</v>
      </c>
      <c r="AE89" s="30">
        <f>L65*(1-(VLOOKUP(AE$75,tech_data!$B$2:$O$15,4,FALSE)/100))</f>
        <v>30.505397198641511</v>
      </c>
      <c r="AF89" s="30">
        <f>M65*(1-(VLOOKUP(AF$75,tech_data!$B$2:$O$15,4,FALSE)/100))</f>
        <v>0.7324799500585607</v>
      </c>
      <c r="AG89" s="30">
        <f>N65*(1-(VLOOKUP(AG$75,tech_data!$B$2:$O$15,4,FALSE)/100))</f>
        <v>2.1850364419683999E-4</v>
      </c>
      <c r="AH89" s="30">
        <f>O65*(1-(VLOOKUP(AH$75,tech_data!$B$2:$O$15,4,FALSE)/100))</f>
        <v>0</v>
      </c>
      <c r="AI89" s="30">
        <f>(sumatera!AI65*3.6/(VLOOKUP(AI$51,tech_data!$B$2:$J$15,4,FALSE)/100))/1000</f>
        <v>0</v>
      </c>
      <c r="AJ89" s="30">
        <f t="shared" si="122"/>
        <v>634.94151616815509</v>
      </c>
      <c r="AK89" s="30"/>
      <c r="AL89" s="23"/>
    </row>
    <row r="90" spans="1:38" x14ac:dyDescent="0.25">
      <c r="A90" s="19"/>
      <c r="B90" s="20" t="str">
        <f t="shared" si="118"/>
        <v>SUMATERA</v>
      </c>
      <c r="C90" s="20">
        <f t="shared" si="118"/>
        <v>2033</v>
      </c>
      <c r="D90" s="30">
        <f t="shared" si="123"/>
        <v>167.99872304305023</v>
      </c>
      <c r="E90" s="30">
        <f t="shared" si="123"/>
        <v>21.981724562016634</v>
      </c>
      <c r="F90" s="30">
        <f t="shared" si="123"/>
        <v>188.24351020999868</v>
      </c>
      <c r="G90" s="30">
        <f t="shared" si="123"/>
        <v>61.06815188688644</v>
      </c>
      <c r="H90" s="30">
        <f t="shared" si="123"/>
        <v>15.815328258461541</v>
      </c>
      <c r="I90" s="30">
        <f t="shared" si="123"/>
        <v>31.323050695118049</v>
      </c>
      <c r="J90" s="30">
        <f t="shared" si="123"/>
        <v>7.7095878955397952</v>
      </c>
      <c r="K90" s="30">
        <f t="shared" si="123"/>
        <v>21.234888512526723</v>
      </c>
      <c r="L90" s="30">
        <f t="shared" si="123"/>
        <v>75.838275687248796</v>
      </c>
      <c r="M90" s="30">
        <f t="shared" si="123"/>
        <v>0.32908519495384614</v>
      </c>
      <c r="N90" s="30">
        <f t="shared" si="123"/>
        <v>2.4736261607189421E-3</v>
      </c>
      <c r="O90" s="30">
        <f t="shared" si="123"/>
        <v>0</v>
      </c>
      <c r="P90" s="30">
        <f>(sumatera!P66*3.6/(VLOOKUP(P$51,tech_data!$B$2:$J$15,4,FALSE)/100))/1000</f>
        <v>0</v>
      </c>
      <c r="Q90" s="30">
        <f t="shared" si="120"/>
        <v>591.54479957196145</v>
      </c>
      <c r="R90" s="30"/>
      <c r="S90" s="23"/>
      <c r="T90" s="19"/>
      <c r="U90" s="20" t="str">
        <f t="shared" si="121"/>
        <v>SUMATERA</v>
      </c>
      <c r="V90" s="20">
        <f t="shared" si="121"/>
        <v>2033</v>
      </c>
      <c r="W90" s="30">
        <f>D66*(1-(VLOOKUP(W$75,tech_data!$B$2:$O$15,4,FALSE)/100))</f>
        <v>266.48073310276931</v>
      </c>
      <c r="X90" s="30">
        <f>E66*(1-(VLOOKUP(X$75,tech_data!$B$2:$O$15,4,FALSE)/100))</f>
        <v>39.649278882889817</v>
      </c>
      <c r="Y90" s="30">
        <f>F66*(1-(VLOOKUP(Y$75,tech_data!$B$2:$O$15,4,FALSE)/100))</f>
        <v>134.45965014999902</v>
      </c>
      <c r="Z90" s="30">
        <f>G66*(1-(VLOOKUP(Z$75,tech_data!$B$2:$O$15,4,FALSE)/100))</f>
        <v>71.688700041127561</v>
      </c>
      <c r="AA90" s="30">
        <f>H66*(1-(VLOOKUP(AA$75,tech_data!$B$2:$O$15,4,FALSE)/100))</f>
        <v>101.33525143384617</v>
      </c>
      <c r="AB90" s="30">
        <f>I66*(1-(VLOOKUP(AB$75,tech_data!$B$2:$O$15,4,FALSE)/100))</f>
        <v>1.6485816155325306</v>
      </c>
      <c r="AC90" s="30">
        <f>J66*(1-(VLOOKUP(AC$75,tech_data!$B$2:$O$15,4,FALSE)/100))</f>
        <v>1.9273969738849484</v>
      </c>
      <c r="AD90" s="30">
        <f>K66*(1-(VLOOKUP(AD$75,tech_data!$B$2:$O$15,4,FALSE)/100))</f>
        <v>17.837306350522447</v>
      </c>
      <c r="AE90" s="30">
        <f>L66*(1-(VLOOKUP(AE$75,tech_data!$B$2:$O$15,4,FALSE)/100))</f>
        <v>30.866178204710263</v>
      </c>
      <c r="AF90" s="30">
        <f>M66*(1-(VLOOKUP(AF$75,tech_data!$B$2:$O$15,4,FALSE)/100))</f>
        <v>0.7324799500585607</v>
      </c>
      <c r="AG90" s="30">
        <f>N66*(1-(VLOOKUP(AG$75,tech_data!$B$2:$O$15,4,FALSE)/100))</f>
        <v>2.1850364419683999E-4</v>
      </c>
      <c r="AH90" s="30">
        <f>O66*(1-(VLOOKUP(AH$75,tech_data!$B$2:$O$15,4,FALSE)/100))</f>
        <v>0</v>
      </c>
      <c r="AI90" s="30">
        <f>(sumatera!AI66*3.6/(VLOOKUP(AI$51,tech_data!$B$2:$J$15,4,FALSE)/100))/1000</f>
        <v>0</v>
      </c>
      <c r="AJ90" s="30">
        <f t="shared" si="122"/>
        <v>666.62577520898492</v>
      </c>
      <c r="AK90" s="30"/>
      <c r="AL90" s="23"/>
    </row>
    <row r="91" spans="1:38" x14ac:dyDescent="0.25">
      <c r="A91" s="19"/>
      <c r="B91" s="20" t="str">
        <f t="shared" si="118"/>
        <v>SUMATERA</v>
      </c>
      <c r="C91" s="20">
        <f t="shared" si="118"/>
        <v>2034</v>
      </c>
      <c r="D91" s="30">
        <f t="shared" si="123"/>
        <v>188.07879766605225</v>
      </c>
      <c r="E91" s="30">
        <f t="shared" si="123"/>
        <v>21.981726855230463</v>
      </c>
      <c r="F91" s="30">
        <f t="shared" si="123"/>
        <v>188.24351626695878</v>
      </c>
      <c r="G91" s="30">
        <f t="shared" si="123"/>
        <v>61.06817033812947</v>
      </c>
      <c r="H91" s="30">
        <f t="shared" si="123"/>
        <v>15.815328258461541</v>
      </c>
      <c r="I91" s="30">
        <f t="shared" si="123"/>
        <v>31.323050695118049</v>
      </c>
      <c r="J91" s="30">
        <f t="shared" si="123"/>
        <v>27.679553743589629</v>
      </c>
      <c r="K91" s="30">
        <f t="shared" si="123"/>
        <v>21.234888512526723</v>
      </c>
      <c r="L91" s="30">
        <f t="shared" si="123"/>
        <v>75.83827764111696</v>
      </c>
      <c r="M91" s="30">
        <f t="shared" si="123"/>
        <v>0.32908519495384614</v>
      </c>
      <c r="N91" s="30">
        <f t="shared" si="123"/>
        <v>2.4736261607189421E-3</v>
      </c>
      <c r="O91" s="30">
        <f t="shared" si="123"/>
        <v>0</v>
      </c>
      <c r="P91" s="30">
        <f>(sumatera!P67*3.6/(VLOOKUP(P$51,tech_data!$B$2:$J$15,4,FALSE)/100))/1000</f>
        <v>0</v>
      </c>
      <c r="Q91" s="30">
        <f t="shared" si="120"/>
        <v>631.59486879829842</v>
      </c>
      <c r="R91" s="30"/>
      <c r="S91" s="23"/>
      <c r="T91" s="19"/>
      <c r="U91" s="20" t="str">
        <f t="shared" si="121"/>
        <v>SUMATERA</v>
      </c>
      <c r="V91" s="20">
        <f t="shared" si="121"/>
        <v>2034</v>
      </c>
      <c r="W91" s="30">
        <f>D67*(1-(VLOOKUP(W$75,tech_data!$B$2:$O$15,4,FALSE)/100))</f>
        <v>298.33188595304841</v>
      </c>
      <c r="X91" s="30">
        <f>E67*(1-(VLOOKUP(X$75,tech_data!$B$2:$O$15,4,FALSE)/100))</f>
        <v>39.64928301924747</v>
      </c>
      <c r="Y91" s="30">
        <f>F67*(1-(VLOOKUP(Y$75,tech_data!$B$2:$O$15,4,FALSE)/100))</f>
        <v>134.45965447639912</v>
      </c>
      <c r="Z91" s="30">
        <f>G67*(1-(VLOOKUP(Z$75,tech_data!$B$2:$O$15,4,FALSE)/100))</f>
        <v>71.688721701282418</v>
      </c>
      <c r="AA91" s="30">
        <f>H67*(1-(VLOOKUP(AA$75,tech_data!$B$2:$O$15,4,FALSE)/100))</f>
        <v>101.33525143384617</v>
      </c>
      <c r="AB91" s="30">
        <f>I67*(1-(VLOOKUP(AB$75,tech_data!$B$2:$O$15,4,FALSE)/100))</f>
        <v>1.6485816155325306</v>
      </c>
      <c r="AC91" s="30">
        <f>J67*(1-(VLOOKUP(AC$75,tech_data!$B$2:$O$15,4,FALSE)/100))</f>
        <v>6.9198884358974055</v>
      </c>
      <c r="AD91" s="30">
        <f>K67*(1-(VLOOKUP(AD$75,tech_data!$B$2:$O$15,4,FALSE)/100))</f>
        <v>17.837306350522447</v>
      </c>
      <c r="AE91" s="30">
        <f>L67*(1-(VLOOKUP(AE$75,tech_data!$B$2:$O$15,4,FALSE)/100))</f>
        <v>30.866178999934604</v>
      </c>
      <c r="AF91" s="30">
        <f>M67*(1-(VLOOKUP(AF$75,tech_data!$B$2:$O$15,4,FALSE)/100))</f>
        <v>0.7324799500585607</v>
      </c>
      <c r="AG91" s="30">
        <f>N67*(1-(VLOOKUP(AG$75,tech_data!$B$2:$O$15,4,FALSE)/100))</f>
        <v>2.1850364419683999E-4</v>
      </c>
      <c r="AH91" s="30">
        <f>O67*(1-(VLOOKUP(AH$75,tech_data!$B$2:$O$15,4,FALSE)/100))</f>
        <v>0</v>
      </c>
      <c r="AI91" s="30">
        <f>(sumatera!AI67*3.6/(VLOOKUP(AI$51,tech_data!$B$2:$J$15,4,FALSE)/100))/1000</f>
        <v>0</v>
      </c>
      <c r="AJ91" s="30">
        <f t="shared" si="122"/>
        <v>703.46945043941344</v>
      </c>
      <c r="AK91" s="30"/>
      <c r="AL91" s="23"/>
    </row>
    <row r="92" spans="1:38" x14ac:dyDescent="0.25">
      <c r="A92" s="19"/>
      <c r="B92" s="20" t="str">
        <f t="shared" ref="B92:C95" si="124">B44</f>
        <v>SUMATERA</v>
      </c>
      <c r="C92" s="20">
        <f t="shared" si="124"/>
        <v>2035</v>
      </c>
      <c r="D92" s="30">
        <f t="shared" si="123"/>
        <v>188.07879766605225</v>
      </c>
      <c r="E92" s="30">
        <f t="shared" si="123"/>
        <v>21.981726855230463</v>
      </c>
      <c r="F92" s="30">
        <f t="shared" si="123"/>
        <v>195.08530014741976</v>
      </c>
      <c r="G92" s="30">
        <f t="shared" si="123"/>
        <v>90.424422712828402</v>
      </c>
      <c r="H92" s="30">
        <f t="shared" si="123"/>
        <v>15.815328258461541</v>
      </c>
      <c r="I92" s="30">
        <f t="shared" si="123"/>
        <v>31.323050695118049</v>
      </c>
      <c r="J92" s="30">
        <f t="shared" si="123"/>
        <v>28.360221870246118</v>
      </c>
      <c r="K92" s="30">
        <f t="shared" si="123"/>
        <v>21.234888512526723</v>
      </c>
      <c r="L92" s="30">
        <f t="shared" si="123"/>
        <v>78.869104706958467</v>
      </c>
      <c r="M92" s="30">
        <f t="shared" si="123"/>
        <v>0.32908519495384614</v>
      </c>
      <c r="N92" s="30">
        <f t="shared" si="123"/>
        <v>2.4736261607189421E-3</v>
      </c>
      <c r="O92" s="30">
        <f t="shared" si="123"/>
        <v>0</v>
      </c>
      <c r="P92" s="30">
        <f>(sumatera!P68*3.6/(VLOOKUP(P$51,tech_data!$B$2:$J$15,4,FALSE)/100))/1000</f>
        <v>0</v>
      </c>
      <c r="Q92" s="30">
        <f t="shared" si="120"/>
        <v>671.50440024595639</v>
      </c>
      <c r="R92" s="30"/>
      <c r="S92" s="23"/>
      <c r="T92" s="19"/>
      <c r="U92" s="20" t="str">
        <f t="shared" ref="U92:V95" si="125">U44</f>
        <v>SUMATERA</v>
      </c>
      <c r="V92" s="20">
        <f t="shared" si="125"/>
        <v>2035</v>
      </c>
      <c r="W92" s="30">
        <f>D68*(1-(VLOOKUP(W$75,tech_data!$B$2:$O$15,4,FALSE)/100))</f>
        <v>298.33188595304841</v>
      </c>
      <c r="X92" s="30">
        <f>E68*(1-(VLOOKUP(X$75,tech_data!$B$2:$O$15,4,FALSE)/100))</f>
        <v>39.64928301924747</v>
      </c>
      <c r="Y92" s="30">
        <f>F68*(1-(VLOOKUP(Y$75,tech_data!$B$2:$O$15,4,FALSE)/100))</f>
        <v>139.34664296244267</v>
      </c>
      <c r="Z92" s="30">
        <f>G68*(1-(VLOOKUP(Z$75,tech_data!$B$2:$O$15,4,FALSE)/100))</f>
        <v>106.15040927158115</v>
      </c>
      <c r="AA92" s="30">
        <f>H68*(1-(VLOOKUP(AA$75,tech_data!$B$2:$O$15,4,FALSE)/100))</f>
        <v>101.33525143384617</v>
      </c>
      <c r="AB92" s="30">
        <f>I68*(1-(VLOOKUP(AB$75,tech_data!$B$2:$O$15,4,FALSE)/100))</f>
        <v>1.6485816155325306</v>
      </c>
      <c r="AC92" s="30">
        <f>J68*(1-(VLOOKUP(AC$75,tech_data!$B$2:$O$15,4,FALSE)/100))</f>
        <v>7.0900554675615277</v>
      </c>
      <c r="AD92" s="30">
        <f>K68*(1-(VLOOKUP(AD$75,tech_data!$B$2:$O$15,4,FALSE)/100))</f>
        <v>17.837306350522447</v>
      </c>
      <c r="AE92" s="30">
        <f>L68*(1-(VLOOKUP(AE$75,tech_data!$B$2:$O$15,4,FALSE)/100))</f>
        <v>32.099725615732098</v>
      </c>
      <c r="AF92" s="30">
        <f>M68*(1-(VLOOKUP(AF$75,tech_data!$B$2:$O$15,4,FALSE)/100))</f>
        <v>0.7324799500585607</v>
      </c>
      <c r="AG92" s="30">
        <f>N68*(1-(VLOOKUP(AG$75,tech_data!$B$2:$O$15,4,FALSE)/100))</f>
        <v>2.1850364419683999E-4</v>
      </c>
      <c r="AH92" s="30">
        <f>O68*(1-(VLOOKUP(AH$75,tech_data!$B$2:$O$15,4,FALSE)/100))</f>
        <v>0</v>
      </c>
      <c r="AI92" s="30">
        <f>(sumatera!AI68*3.6/(VLOOKUP(AI$51,tech_data!$B$2:$J$15,4,FALSE)/100))/1000</f>
        <v>0</v>
      </c>
      <c r="AJ92" s="30">
        <f t="shared" si="122"/>
        <v>744.22184014321726</v>
      </c>
      <c r="AK92" s="30"/>
      <c r="AL92" s="23"/>
    </row>
    <row r="93" spans="1:38" x14ac:dyDescent="0.25">
      <c r="A93" s="19"/>
      <c r="B93" s="20" t="str">
        <f t="shared" si="124"/>
        <v>SUMATERA</v>
      </c>
      <c r="C93" s="20">
        <f t="shared" si="124"/>
        <v>2036</v>
      </c>
      <c r="D93" s="30">
        <f t="shared" ref="D93:O95" si="126">D45*3.6/1000</f>
        <v>199.17120959014576</v>
      </c>
      <c r="E93" s="30">
        <f t="shared" si="126"/>
        <v>21.981726855230463</v>
      </c>
      <c r="F93" s="30">
        <f t="shared" si="126"/>
        <v>198.54779460859913</v>
      </c>
      <c r="G93" s="30">
        <f t="shared" si="126"/>
        <v>106.74173230775392</v>
      </c>
      <c r="H93" s="30">
        <f t="shared" si="126"/>
        <v>15.815328258461541</v>
      </c>
      <c r="I93" s="30">
        <f t="shared" si="126"/>
        <v>31.323050695118049</v>
      </c>
      <c r="J93" s="30">
        <f t="shared" si="126"/>
        <v>40.911392113541048</v>
      </c>
      <c r="K93" s="30">
        <f t="shared" si="126"/>
        <v>21.234888512526723</v>
      </c>
      <c r="L93" s="30">
        <f t="shared" si="126"/>
        <v>80.384518239879242</v>
      </c>
      <c r="M93" s="30">
        <f t="shared" si="126"/>
        <v>0.32908519495384614</v>
      </c>
      <c r="N93" s="30">
        <f t="shared" si="126"/>
        <v>2.4736261607189421E-3</v>
      </c>
      <c r="O93" s="30">
        <f t="shared" si="126"/>
        <v>0</v>
      </c>
      <c r="P93" s="30">
        <f>(sumatera!P69*3.6/(VLOOKUP(P$51,tech_data!$B$2:$J$15,4,FALSE)/100))/1000</f>
        <v>0</v>
      </c>
      <c r="Q93" s="30">
        <f t="shared" si="120"/>
        <v>716.44320000237042</v>
      </c>
      <c r="R93" s="30"/>
      <c r="S93" s="23"/>
      <c r="T93" s="19"/>
      <c r="U93" s="20" t="str">
        <f t="shared" si="125"/>
        <v>SUMATERA</v>
      </c>
      <c r="V93" s="20">
        <f t="shared" si="125"/>
        <v>2036</v>
      </c>
      <c r="W93" s="30">
        <f>D69*(1-(VLOOKUP(W$75,tech_data!$B$2:$O$15,4,FALSE)/100))</f>
        <v>315.92674624643809</v>
      </c>
      <c r="X93" s="30">
        <f>E69*(1-(VLOOKUP(X$75,tech_data!$B$2:$O$15,4,FALSE)/100))</f>
        <v>39.64928301924747</v>
      </c>
      <c r="Y93" s="30">
        <f>F69*(1-(VLOOKUP(Y$75,tech_data!$B$2:$O$15,4,FALSE)/100))</f>
        <v>141.8198532918565</v>
      </c>
      <c r="Z93" s="30">
        <f>G69*(1-(VLOOKUP(Z$75,tech_data!$B$2:$O$15,4,FALSE)/100))</f>
        <v>125.3055118395372</v>
      </c>
      <c r="AA93" s="30">
        <f>H69*(1-(VLOOKUP(AA$75,tech_data!$B$2:$O$15,4,FALSE)/100))</f>
        <v>101.33525143384617</v>
      </c>
      <c r="AB93" s="30">
        <f>I69*(1-(VLOOKUP(AB$75,tech_data!$B$2:$O$15,4,FALSE)/100))</f>
        <v>1.6485816155325306</v>
      </c>
      <c r="AC93" s="30">
        <f>J69*(1-(VLOOKUP(AC$75,tech_data!$B$2:$O$15,4,FALSE)/100))</f>
        <v>10.22784802838526</v>
      </c>
      <c r="AD93" s="30">
        <f>K69*(1-(VLOOKUP(AD$75,tech_data!$B$2:$O$15,4,FALSE)/100))</f>
        <v>17.837306350522447</v>
      </c>
      <c r="AE93" s="30">
        <f>L69*(1-(VLOOKUP(AE$75,tech_data!$B$2:$O$15,4,FALSE)/100))</f>
        <v>32.716498923630851</v>
      </c>
      <c r="AF93" s="30">
        <f>M69*(1-(VLOOKUP(AF$75,tech_data!$B$2:$O$15,4,FALSE)/100))</f>
        <v>0.7324799500585607</v>
      </c>
      <c r="AG93" s="30">
        <f>N69*(1-(VLOOKUP(AG$75,tech_data!$B$2:$O$15,4,FALSE)/100))</f>
        <v>2.1850364419683999E-4</v>
      </c>
      <c r="AH93" s="30">
        <f>O69*(1-(VLOOKUP(AH$75,tech_data!$B$2:$O$15,4,FALSE)/100))</f>
        <v>0</v>
      </c>
      <c r="AI93" s="30">
        <f>(sumatera!AI69*3.6/(VLOOKUP(AI$51,tech_data!$B$2:$J$15,4,FALSE)/100))/1000</f>
        <v>0</v>
      </c>
      <c r="AJ93" s="30">
        <f t="shared" si="122"/>
        <v>787.19957920269917</v>
      </c>
      <c r="AK93" s="30"/>
      <c r="AL93" s="23"/>
    </row>
    <row r="94" spans="1:38" x14ac:dyDescent="0.25">
      <c r="A94" s="19"/>
      <c r="B94" s="20" t="str">
        <f t="shared" si="124"/>
        <v>SUMATERA</v>
      </c>
      <c r="C94" s="20">
        <f t="shared" si="124"/>
        <v>2037</v>
      </c>
      <c r="D94" s="30">
        <f t="shared" si="126"/>
        <v>210.51005748410878</v>
      </c>
      <c r="E94" s="30">
        <f t="shared" si="126"/>
        <v>21.981726855230463</v>
      </c>
      <c r="F94" s="30">
        <f t="shared" si="126"/>
        <v>213.91058715738581</v>
      </c>
      <c r="G94" s="30">
        <f t="shared" si="126"/>
        <v>111.60182512746073</v>
      </c>
      <c r="H94" s="30">
        <f t="shared" si="126"/>
        <v>15.815328258461541</v>
      </c>
      <c r="I94" s="30">
        <f t="shared" si="126"/>
        <v>31.323050695118049</v>
      </c>
      <c r="J94" s="30">
        <f t="shared" si="126"/>
        <v>52.265531910898069</v>
      </c>
      <c r="K94" s="30">
        <f t="shared" si="126"/>
        <v>23.835709052800951</v>
      </c>
      <c r="L94" s="30">
        <f t="shared" si="126"/>
        <v>81.142225006339615</v>
      </c>
      <c r="M94" s="30">
        <f t="shared" si="126"/>
        <v>0.32908519495384614</v>
      </c>
      <c r="N94" s="30">
        <f t="shared" si="126"/>
        <v>2.4736261607189421E-3</v>
      </c>
      <c r="O94" s="30">
        <f t="shared" si="126"/>
        <v>0</v>
      </c>
      <c r="P94" s="30">
        <f>(sumatera!P70*3.6/(VLOOKUP(P$51,tech_data!$B$2:$J$15,4,FALSE)/100))/1000</f>
        <v>0</v>
      </c>
      <c r="Q94" s="30">
        <f t="shared" si="120"/>
        <v>762.71760036891851</v>
      </c>
      <c r="R94" s="30"/>
      <c r="S94" s="23"/>
      <c r="T94" s="19"/>
      <c r="U94" s="20" t="str">
        <f t="shared" si="125"/>
        <v>SUMATERA</v>
      </c>
      <c r="V94" s="20">
        <f t="shared" si="125"/>
        <v>2037</v>
      </c>
      <c r="W94" s="30">
        <f>D70*(1-(VLOOKUP(W$75,tech_data!$B$2:$O$15,4,FALSE)/100))</f>
        <v>333.91250497479319</v>
      </c>
      <c r="X94" s="30">
        <f>E70*(1-(VLOOKUP(X$75,tech_data!$B$2:$O$15,4,FALSE)/100))</f>
        <v>39.64928301924747</v>
      </c>
      <c r="Y94" s="30">
        <f>F70*(1-(VLOOKUP(Y$75,tech_data!$B$2:$O$15,4,FALSE)/100))</f>
        <v>152.79327654098984</v>
      </c>
      <c r="Z94" s="30">
        <f>G70*(1-(VLOOKUP(Z$75,tech_data!$B$2:$O$15,4,FALSE)/100))</f>
        <v>131.01083819310608</v>
      </c>
      <c r="AA94" s="30">
        <f>H70*(1-(VLOOKUP(AA$75,tech_data!$B$2:$O$15,4,FALSE)/100))</f>
        <v>101.33525143384617</v>
      </c>
      <c r="AB94" s="30">
        <f>I70*(1-(VLOOKUP(AB$75,tech_data!$B$2:$O$15,4,FALSE)/100))</f>
        <v>1.6485816155325306</v>
      </c>
      <c r="AC94" s="30">
        <f>J70*(1-(VLOOKUP(AC$75,tech_data!$B$2:$O$15,4,FALSE)/100))</f>
        <v>13.066382977724512</v>
      </c>
      <c r="AD94" s="30">
        <f>K70*(1-(VLOOKUP(AD$75,tech_data!$B$2:$O$15,4,FALSE)/100))</f>
        <v>20.021995604352799</v>
      </c>
      <c r="AE94" s="30">
        <f>L70*(1-(VLOOKUP(AE$75,tech_data!$B$2:$O$15,4,FALSE)/100))</f>
        <v>33.024885577580228</v>
      </c>
      <c r="AF94" s="30">
        <f>M70*(1-(VLOOKUP(AF$75,tech_data!$B$2:$O$15,4,FALSE)/100))</f>
        <v>0.7324799500585607</v>
      </c>
      <c r="AG94" s="30">
        <f>N70*(1-(VLOOKUP(AG$75,tech_data!$B$2:$O$15,4,FALSE)/100))</f>
        <v>2.1850364419683999E-4</v>
      </c>
      <c r="AH94" s="30">
        <f>O70*(1-(VLOOKUP(AH$75,tech_data!$B$2:$O$15,4,FALSE)/100))</f>
        <v>0</v>
      </c>
      <c r="AI94" s="30">
        <f>(sumatera!AI70*3.6/(VLOOKUP(AI$51,tech_data!$B$2:$J$15,4,FALSE)/100))/1000</f>
        <v>0</v>
      </c>
      <c r="AJ94" s="30">
        <f t="shared" si="122"/>
        <v>827.19569839087569</v>
      </c>
      <c r="AK94" s="30"/>
      <c r="AL94" s="23"/>
    </row>
    <row r="95" spans="1:38" x14ac:dyDescent="0.25">
      <c r="A95" s="19"/>
      <c r="B95" s="20" t="str">
        <f t="shared" si="124"/>
        <v>SUMATERA</v>
      </c>
      <c r="C95" s="20">
        <f t="shared" si="124"/>
        <v>2038</v>
      </c>
      <c r="D95" s="30">
        <f t="shared" si="126"/>
        <v>223.66718853277786</v>
      </c>
      <c r="E95" s="30">
        <f t="shared" si="126"/>
        <v>21.981726855230463</v>
      </c>
      <c r="F95" s="30">
        <f t="shared" si="126"/>
        <v>231.17403833185338</v>
      </c>
      <c r="G95" s="30">
        <f t="shared" si="126"/>
        <v>117.05374684450641</v>
      </c>
      <c r="H95" s="30">
        <f t="shared" si="126"/>
        <v>15.815328258466968</v>
      </c>
      <c r="I95" s="30">
        <f t="shared" si="126"/>
        <v>31.323050695127719</v>
      </c>
      <c r="J95" s="30">
        <f t="shared" si="126"/>
        <v>52.265531910915463</v>
      </c>
      <c r="K95" s="30">
        <f t="shared" si="126"/>
        <v>41.54921223722198</v>
      </c>
      <c r="L95" s="30">
        <f t="shared" si="126"/>
        <v>81.142225006339615</v>
      </c>
      <c r="M95" s="30">
        <f t="shared" si="126"/>
        <v>0.32908519495384614</v>
      </c>
      <c r="N95" s="30">
        <f t="shared" si="126"/>
        <v>2.4736261607189421E-3</v>
      </c>
      <c r="O95" s="30">
        <f t="shared" si="126"/>
        <v>9.7390818952611468E-9</v>
      </c>
      <c r="P95" s="30">
        <f>(sumatera!P71*3.6/(VLOOKUP(P$51,tech_data!$B$2:$J$15,4,FALSE)/100))/1000</f>
        <v>0</v>
      </c>
      <c r="Q95" s="30">
        <f t="shared" si="120"/>
        <v>816.30360750329328</v>
      </c>
      <c r="R95" s="30"/>
      <c r="S95" s="23"/>
      <c r="T95" s="19"/>
      <c r="U95" s="20" t="str">
        <f t="shared" si="125"/>
        <v>SUMATERA</v>
      </c>
      <c r="V95" s="20">
        <f t="shared" si="125"/>
        <v>2038</v>
      </c>
      <c r="W95" s="30">
        <f>D71*(1-(VLOOKUP(W$75,tech_data!$B$2:$O$15,4,FALSE)/100))</f>
        <v>354.78243698302697</v>
      </c>
      <c r="X95" s="30">
        <f>E71*(1-(VLOOKUP(X$75,tech_data!$B$2:$O$15,4,FALSE)/100))</f>
        <v>39.64928301924747</v>
      </c>
      <c r="Y95" s="30">
        <f>F71*(1-(VLOOKUP(Y$75,tech_data!$B$2:$O$15,4,FALSE)/100))</f>
        <v>165.12431309418096</v>
      </c>
      <c r="Z95" s="30">
        <f>G71*(1-(VLOOKUP(Z$75,tech_data!$B$2:$O$15,4,FALSE)/100))</f>
        <v>137.4109202087684</v>
      </c>
      <c r="AA95" s="30">
        <f>H71*(1-(VLOOKUP(AA$75,tech_data!$B$2:$O$15,4,FALSE)/100))</f>
        <v>101.33525143388094</v>
      </c>
      <c r="AB95" s="30">
        <f>I71*(1-(VLOOKUP(AB$75,tech_data!$B$2:$O$15,4,FALSE)/100))</f>
        <v>1.6485816155330395</v>
      </c>
      <c r="AC95" s="30">
        <f>J71*(1-(VLOOKUP(AC$75,tech_data!$B$2:$O$15,4,FALSE)/100))</f>
        <v>13.066382977728864</v>
      </c>
      <c r="AD95" s="30">
        <f>K71*(1-(VLOOKUP(AD$75,tech_data!$B$2:$O$15,4,FALSE)/100))</f>
        <v>34.901338279266461</v>
      </c>
      <c r="AE95" s="30">
        <f>L71*(1-(VLOOKUP(AE$75,tech_data!$B$2:$O$15,4,FALSE)/100))</f>
        <v>33.024885577580228</v>
      </c>
      <c r="AF95" s="30">
        <f>M71*(1-(VLOOKUP(AF$75,tech_data!$B$2:$O$15,4,FALSE)/100))</f>
        <v>0.7324799500585607</v>
      </c>
      <c r="AG95" s="30">
        <f>N71*(1-(VLOOKUP(AG$75,tech_data!$B$2:$O$15,4,FALSE)/100))</f>
        <v>2.1850364419683999E-4</v>
      </c>
      <c r="AH95" s="30">
        <f>O71*(1-(VLOOKUP(AH$75,tech_data!$B$2:$O$15,4,FALSE)/100))</f>
        <v>2.4234459599835879E-8</v>
      </c>
      <c r="AI95" s="30">
        <f>(sumatera!AI71*3.6/(VLOOKUP(AI$51,tech_data!$B$2:$J$15,4,FALSE)/100))/1000</f>
        <v>0</v>
      </c>
      <c r="AJ95" s="30">
        <f t="shared" si="122"/>
        <v>881.67609166715056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238125</xdr:colOff>
                    <xdr:row>0</xdr:row>
                    <xdr:rowOff>47625</xdr:rowOff>
                  </from>
                  <to>
                    <xdr:col>3</xdr:col>
                    <xdr:colOff>571500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4B11B-894A-4C1A-812F-9F2BBE2B78D2}">
  <sheetPr codeName="Sheet9"/>
  <dimension ref="A1:CF96"/>
  <sheetViews>
    <sheetView topLeftCell="AO1" zoomScale="85" zoomScaleNormal="85" workbookViewId="0">
      <selection activeCell="BC4" sqref="BC4:BC23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proj_rukn!A42</f>
        <v>JAWA</v>
      </c>
      <c r="C4" s="20">
        <f>proj_rukn!B42</f>
        <v>2019</v>
      </c>
      <c r="D4" s="30">
        <f>existing_capacity!C4</f>
        <v>23045</v>
      </c>
      <c r="E4" s="30">
        <f>existing_capacity!D4</f>
        <v>2896.7400000000002</v>
      </c>
      <c r="F4" s="30">
        <f>existing_capacity!E4</f>
        <v>9861.0300000000007</v>
      </c>
      <c r="G4" s="30">
        <f>existing_capacity!F4</f>
        <v>33.130000000000003</v>
      </c>
      <c r="H4" s="30">
        <f>existing_capacity!G4</f>
        <v>1204.8</v>
      </c>
      <c r="I4" s="30">
        <f>existing_capacity!H4</f>
        <v>2599.35</v>
      </c>
      <c r="J4" s="30">
        <f>existing_capacity!I4</f>
        <v>17.350000000000001</v>
      </c>
      <c r="K4" s="30">
        <f>existing_capacity!J4</f>
        <v>1</v>
      </c>
      <c r="L4" s="30">
        <f>existing_capacity!K4</f>
        <v>0</v>
      </c>
      <c r="M4" s="30">
        <f>existing_capacity!L4</f>
        <v>8</v>
      </c>
      <c r="N4" s="30">
        <f>existing_capacity!M4</f>
        <v>0</v>
      </c>
      <c r="O4" s="30">
        <f>existing_capacity!N4</f>
        <v>0</v>
      </c>
      <c r="P4" s="30">
        <v>0</v>
      </c>
      <c r="Q4" s="30">
        <f>SUM(D4:O4)</f>
        <v>39666.400000000001</v>
      </c>
      <c r="R4" s="30"/>
      <c r="S4" s="36"/>
      <c r="T4" s="19"/>
      <c r="U4" s="20" t="str">
        <f t="shared" ref="U4:V23" si="0">B4</f>
        <v>JAWA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JAWA</v>
      </c>
      <c r="AP4" s="20">
        <f t="shared" si="2"/>
        <v>2019</v>
      </c>
      <c r="AQ4" s="30">
        <v>99999</v>
      </c>
      <c r="AR4" s="30">
        <v>99999</v>
      </c>
      <c r="AS4" s="30">
        <v>99999</v>
      </c>
      <c r="AT4" s="30">
        <v>99999</v>
      </c>
      <c r="AU4" s="30">
        <f>potential!G4</f>
        <v>8107</v>
      </c>
      <c r="AV4" s="30">
        <f>potential!H4</f>
        <v>4199</v>
      </c>
      <c r="AW4" s="30">
        <f>potential!I4</f>
        <v>2910</v>
      </c>
      <c r="AX4" s="30">
        <f>potential!J4</f>
        <v>31869</v>
      </c>
      <c r="AY4" s="30">
        <f>potential!K4</f>
        <v>22992</v>
      </c>
      <c r="AZ4" s="30">
        <f>potential!L4</f>
        <v>9215</v>
      </c>
      <c r="BA4" s="30">
        <f>potential!M4</f>
        <v>2273</v>
      </c>
      <c r="BB4" s="30">
        <v>99999</v>
      </c>
      <c r="BC4" s="30">
        <v>99999</v>
      </c>
      <c r="BD4" s="30">
        <f t="shared" ref="BD4:BD23" si="3">SUM(AU4:BA4)</f>
        <v>81565</v>
      </c>
      <c r="BF4" s="23"/>
      <c r="BG4" s="19"/>
      <c r="BH4" s="20" t="str">
        <f>AO4</f>
        <v>JAWA</v>
      </c>
      <c r="BI4" s="20">
        <f>AP4</f>
        <v>2019</v>
      </c>
      <c r="BJ4" s="25">
        <f t="shared" ref="BJ4:BJ22" si="4">SUM(K28:L28,N28)/Q28</f>
        <v>1.0992806798910363E-5</v>
      </c>
      <c r="BK4" s="43">
        <f t="shared" ref="BK4:BK23" si="5">$BO$5+((BJ4-$BN$5)*($BO$6-$BO$5)/($BN$6-$BN$5))</f>
        <v>2.7269208117115562E-4</v>
      </c>
      <c r="BL4" s="34">
        <f>BK4*Q28*1000</f>
        <v>45633.873286318667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JAWA</v>
      </c>
      <c r="C5" s="20">
        <f>C4+1</f>
        <v>2020</v>
      </c>
      <c r="D5" s="30">
        <f>D4+W5</f>
        <v>24590.342157804171</v>
      </c>
      <c r="E5" s="30">
        <f t="shared" ref="E5:O20" si="6">E4+X5</f>
        <v>2896.7400000000002</v>
      </c>
      <c r="F5" s="30">
        <f t="shared" si="6"/>
        <v>10866.790298850403</v>
      </c>
      <c r="G5" s="30">
        <f t="shared" si="6"/>
        <v>33.130000000000003</v>
      </c>
      <c r="H5" s="30">
        <f t="shared" si="6"/>
        <v>1204.8</v>
      </c>
      <c r="I5" s="30">
        <f t="shared" si="6"/>
        <v>4698.8502810393838</v>
      </c>
      <c r="J5" s="30">
        <f t="shared" si="6"/>
        <v>17.350000000000001</v>
      </c>
      <c r="K5" s="30">
        <f t="shared" si="6"/>
        <v>5211.8707525711061</v>
      </c>
      <c r="L5" s="30">
        <f t="shared" si="6"/>
        <v>22.503287433946543</v>
      </c>
      <c r="M5" s="30">
        <f t="shared" si="6"/>
        <v>8</v>
      </c>
      <c r="N5" s="30">
        <f t="shared" si="6"/>
        <v>5.5649797213790588</v>
      </c>
      <c r="O5" s="30">
        <f t="shared" si="6"/>
        <v>0</v>
      </c>
      <c r="P5" s="30">
        <f>BL5/((VLOOKUP(P$3,tech_data!$B$2:$G$15,6,FALSE)/100)*24*365)</f>
        <v>14.142510384854065</v>
      </c>
      <c r="Q5" s="30">
        <f t="shared" ref="Q5:Q23" si="7">SUM(D5:O5)</f>
        <v>49555.941757420384</v>
      </c>
      <c r="R5" s="30"/>
      <c r="S5" s="36"/>
      <c r="T5" s="19"/>
      <c r="U5" s="20" t="str">
        <f t="shared" si="0"/>
        <v>JAWA</v>
      </c>
      <c r="V5" s="20">
        <f t="shared" si="0"/>
        <v>2020</v>
      </c>
      <c r="W5" s="30">
        <v>1545.3421578041709</v>
      </c>
      <c r="X5" s="30">
        <v>0</v>
      </c>
      <c r="Y5" s="30">
        <v>1005.7602988504029</v>
      </c>
      <c r="Z5" s="30">
        <v>0</v>
      </c>
      <c r="AA5" s="30">
        <v>0</v>
      </c>
      <c r="AB5" s="30">
        <v>2099.5002810393844</v>
      </c>
      <c r="AC5" s="30">
        <v>0</v>
      </c>
      <c r="AD5" s="30">
        <v>5210.8707525711061</v>
      </c>
      <c r="AE5" s="30">
        <v>22.503287433946543</v>
      </c>
      <c r="AF5" s="30">
        <v>0</v>
      </c>
      <c r="AG5" s="30">
        <v>5.5649797213790588</v>
      </c>
      <c r="AH5" s="30">
        <v>0</v>
      </c>
      <c r="AI5" s="30">
        <f t="shared" ref="AI5:AI23" si="8">IF(P5&gt;=P4, P5-P4, 0)</f>
        <v>14.142510384854065</v>
      </c>
      <c r="AJ5" s="34">
        <f t="shared" si="1"/>
        <v>9903.6842678052435</v>
      </c>
      <c r="AM5" s="23"/>
      <c r="AO5" s="20" t="str">
        <f t="shared" si="2"/>
        <v>JAWA</v>
      </c>
      <c r="AP5" s="20">
        <f t="shared" si="2"/>
        <v>2020</v>
      </c>
      <c r="AQ5" s="30">
        <v>99999</v>
      </c>
      <c r="AR5" s="30">
        <v>99999</v>
      </c>
      <c r="AS5" s="30">
        <v>99999</v>
      </c>
      <c r="AT5" s="30">
        <v>99999</v>
      </c>
      <c r="AU5" s="30">
        <f t="shared" ref="AU5:BA20" si="9">AU4-AA5</f>
        <v>8107</v>
      </c>
      <c r="AV5" s="30">
        <f t="shared" si="9"/>
        <v>2099.4997189606156</v>
      </c>
      <c r="AW5" s="30">
        <f t="shared" si="9"/>
        <v>2910</v>
      </c>
      <c r="AX5" s="30">
        <f t="shared" si="9"/>
        <v>26658.129247428893</v>
      </c>
      <c r="AY5" s="30">
        <f t="shared" si="9"/>
        <v>22969.496712566055</v>
      </c>
      <c r="AZ5" s="30">
        <f t="shared" si="9"/>
        <v>9215</v>
      </c>
      <c r="BA5" s="30">
        <f t="shared" si="9"/>
        <v>2267.4350202786209</v>
      </c>
      <c r="BB5" s="30">
        <v>99999</v>
      </c>
      <c r="BC5" s="30">
        <v>99999</v>
      </c>
      <c r="BD5" s="30">
        <f t="shared" si="3"/>
        <v>74226.560699234178</v>
      </c>
      <c r="BF5" s="23"/>
      <c r="BG5" s="19"/>
      <c r="BH5" s="20" t="str">
        <f t="shared" ref="BH5:BI23" si="10">AO5</f>
        <v>JAWA</v>
      </c>
      <c r="BI5" s="20">
        <f t="shared" si="10"/>
        <v>2020</v>
      </c>
      <c r="BJ5" s="25">
        <f t="shared" si="4"/>
        <v>4.9201416816669917E-2</v>
      </c>
      <c r="BK5" s="43">
        <f t="shared" si="5"/>
        <v>2.835478988836789E-4</v>
      </c>
      <c r="BL5" s="34">
        <f t="shared" ref="BL5:BL23" si="11">BK5*Q29*1000</f>
        <v>55749.775937094731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JAWA</v>
      </c>
      <c r="C6" s="20">
        <f t="shared" ref="C6:C23" si="13">C5+1</f>
        <v>2021</v>
      </c>
      <c r="D6" s="30">
        <f t="shared" ref="D6:O21" si="14">D5+W6</f>
        <v>24590.342157804171</v>
      </c>
      <c r="E6" s="30">
        <f t="shared" si="6"/>
        <v>2993.7081201346509</v>
      </c>
      <c r="F6" s="30">
        <f t="shared" si="6"/>
        <v>18461.251539778194</v>
      </c>
      <c r="G6" s="30">
        <f t="shared" si="6"/>
        <v>41.442262997699544</v>
      </c>
      <c r="H6" s="30">
        <f t="shared" si="6"/>
        <v>1204.8</v>
      </c>
      <c r="I6" s="30">
        <f t="shared" si="6"/>
        <v>4698.8502810393838</v>
      </c>
      <c r="J6" s="30">
        <f t="shared" si="6"/>
        <v>17.350000000000001</v>
      </c>
      <c r="K6" s="30">
        <f t="shared" si="6"/>
        <v>5211.8707525711061</v>
      </c>
      <c r="L6" s="30">
        <f t="shared" si="6"/>
        <v>22.503287433946543</v>
      </c>
      <c r="M6" s="30">
        <f t="shared" si="6"/>
        <v>8</v>
      </c>
      <c r="N6" s="30">
        <f t="shared" si="6"/>
        <v>5.5649797213790588</v>
      </c>
      <c r="O6" s="30">
        <f t="shared" si="6"/>
        <v>0</v>
      </c>
      <c r="P6" s="30">
        <f>BL6/((VLOOKUP(P$3,tech_data!$B$2:$G$15,6,FALSE)/100)*24*365)</f>
        <v>15.619335828265186</v>
      </c>
      <c r="Q6" s="30">
        <f t="shared" si="7"/>
        <v>57255.683381480529</v>
      </c>
      <c r="R6" s="30"/>
      <c r="S6" s="36"/>
      <c r="T6" s="19"/>
      <c r="U6" s="20" t="str">
        <f t="shared" si="0"/>
        <v>JAWA</v>
      </c>
      <c r="V6" s="20">
        <f t="shared" si="0"/>
        <v>2021</v>
      </c>
      <c r="W6" s="30">
        <v>0</v>
      </c>
      <c r="X6" s="30">
        <v>96.968120134650846</v>
      </c>
      <c r="Y6" s="30">
        <v>7594.4612409277916</v>
      </c>
      <c r="Z6" s="30">
        <v>8.3122629976995448</v>
      </c>
      <c r="AA6" s="30">
        <v>0</v>
      </c>
      <c r="AB6" s="30">
        <v>0</v>
      </c>
      <c r="AC6" s="30">
        <v>0</v>
      </c>
      <c r="AD6" s="30">
        <v>0</v>
      </c>
      <c r="AE6" s="30">
        <v>0</v>
      </c>
      <c r="AF6" s="30">
        <v>0</v>
      </c>
      <c r="AG6" s="30">
        <v>0</v>
      </c>
      <c r="AH6" s="30">
        <v>0</v>
      </c>
      <c r="AI6" s="30">
        <f t="shared" si="8"/>
        <v>1.476825443411121</v>
      </c>
      <c r="AJ6" s="34">
        <f t="shared" si="1"/>
        <v>7701.2184495035535</v>
      </c>
      <c r="AM6" s="23"/>
      <c r="AO6" s="20" t="str">
        <f t="shared" si="2"/>
        <v>JAWA</v>
      </c>
      <c r="AP6" s="20">
        <f t="shared" si="2"/>
        <v>2021</v>
      </c>
      <c r="AQ6" s="30">
        <v>99999</v>
      </c>
      <c r="AR6" s="30">
        <v>99999</v>
      </c>
      <c r="AS6" s="30">
        <v>99999</v>
      </c>
      <c r="AT6" s="30">
        <v>99999</v>
      </c>
      <c r="AU6" s="30">
        <f t="shared" si="9"/>
        <v>8107</v>
      </c>
      <c r="AV6" s="30">
        <f t="shared" si="9"/>
        <v>2099.4997189606156</v>
      </c>
      <c r="AW6" s="30">
        <f t="shared" si="9"/>
        <v>2910</v>
      </c>
      <c r="AX6" s="30">
        <f t="shared" si="9"/>
        <v>26658.129247428893</v>
      </c>
      <c r="AY6" s="30">
        <f t="shared" si="9"/>
        <v>22969.496712566055</v>
      </c>
      <c r="AZ6" s="30">
        <f t="shared" si="9"/>
        <v>9215</v>
      </c>
      <c r="BA6" s="30">
        <f t="shared" si="9"/>
        <v>2267.4350202786209</v>
      </c>
      <c r="BB6" s="30">
        <v>99999</v>
      </c>
      <c r="BC6" s="30">
        <v>99999</v>
      </c>
      <c r="BD6" s="30">
        <f t="shared" si="3"/>
        <v>74226.560699234178</v>
      </c>
      <c r="BF6" s="23"/>
      <c r="BG6" s="19"/>
      <c r="BH6" s="20" t="str">
        <f t="shared" si="10"/>
        <v>JAWA</v>
      </c>
      <c r="BI6" s="20">
        <f t="shared" si="10"/>
        <v>2021</v>
      </c>
      <c r="BJ6" s="25">
        <f t="shared" si="4"/>
        <v>4.4382272161061796E-2</v>
      </c>
      <c r="BK6" s="43">
        <f t="shared" si="5"/>
        <v>2.8248436351140674E-4</v>
      </c>
      <c r="BL6" s="34">
        <f t="shared" si="11"/>
        <v>61571.42183502137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JAWA</v>
      </c>
      <c r="C7" s="20">
        <f t="shared" si="13"/>
        <v>2022</v>
      </c>
      <c r="D7" s="30">
        <f t="shared" si="14"/>
        <v>24590.342157804171</v>
      </c>
      <c r="E7" s="30">
        <f t="shared" si="6"/>
        <v>3453.9119035801214</v>
      </c>
      <c r="F7" s="30">
        <f t="shared" si="6"/>
        <v>21554.24941109561</v>
      </c>
      <c r="G7" s="30">
        <f t="shared" si="6"/>
        <v>42.696232775775911</v>
      </c>
      <c r="H7" s="30">
        <f t="shared" si="6"/>
        <v>1204.8</v>
      </c>
      <c r="I7" s="30">
        <f t="shared" si="6"/>
        <v>4698.8502810393838</v>
      </c>
      <c r="J7" s="30">
        <f t="shared" si="6"/>
        <v>17.350000000000001</v>
      </c>
      <c r="K7" s="30">
        <f t="shared" si="6"/>
        <v>5211.8707525711061</v>
      </c>
      <c r="L7" s="30">
        <f t="shared" si="6"/>
        <v>424.43908444492558</v>
      </c>
      <c r="M7" s="30">
        <f t="shared" si="6"/>
        <v>8</v>
      </c>
      <c r="N7" s="30">
        <f t="shared" si="6"/>
        <v>5.5649797213790588</v>
      </c>
      <c r="O7" s="30">
        <f t="shared" si="6"/>
        <v>0</v>
      </c>
      <c r="P7" s="30">
        <f>BL7/((VLOOKUP(P$3,tech_data!$B$2:$G$15,6,FALSE)/100)*24*365)</f>
        <v>16.461785826196913</v>
      </c>
      <c r="Q7" s="30">
        <f t="shared" si="7"/>
        <v>61212.074803032476</v>
      </c>
      <c r="R7" s="30"/>
      <c r="S7" s="36"/>
      <c r="T7" s="19"/>
      <c r="U7" s="20" t="str">
        <f t="shared" si="0"/>
        <v>JAWA</v>
      </c>
      <c r="V7" s="20">
        <f t="shared" si="0"/>
        <v>2022</v>
      </c>
      <c r="W7" s="30">
        <v>0</v>
      </c>
      <c r="X7" s="30">
        <v>460.20378344547032</v>
      </c>
      <c r="Y7" s="30">
        <v>3092.9978713174155</v>
      </c>
      <c r="Z7" s="30">
        <v>1.2539697780763643</v>
      </c>
      <c r="AA7" s="30">
        <v>0</v>
      </c>
      <c r="AB7" s="30">
        <v>0</v>
      </c>
      <c r="AC7" s="30">
        <v>0</v>
      </c>
      <c r="AD7" s="30">
        <v>0</v>
      </c>
      <c r="AE7" s="30">
        <v>401.93579701097906</v>
      </c>
      <c r="AF7" s="30">
        <v>0</v>
      </c>
      <c r="AG7" s="30">
        <v>0</v>
      </c>
      <c r="AH7" s="30">
        <v>0</v>
      </c>
      <c r="AI7" s="30">
        <f t="shared" si="8"/>
        <v>0.84244999793172681</v>
      </c>
      <c r="AJ7" s="34">
        <f t="shared" si="1"/>
        <v>3957.2338715498731</v>
      </c>
      <c r="AM7" s="23"/>
      <c r="AO7" s="20" t="str">
        <f t="shared" si="2"/>
        <v>JAWA</v>
      </c>
      <c r="AP7" s="20">
        <f t="shared" si="2"/>
        <v>2022</v>
      </c>
      <c r="AQ7" s="30">
        <v>99999</v>
      </c>
      <c r="AR7" s="30">
        <v>99999</v>
      </c>
      <c r="AS7" s="30">
        <v>99999</v>
      </c>
      <c r="AT7" s="30">
        <v>99999</v>
      </c>
      <c r="AU7" s="30">
        <f t="shared" si="9"/>
        <v>8107</v>
      </c>
      <c r="AV7" s="30">
        <f t="shared" si="9"/>
        <v>2099.4997189606156</v>
      </c>
      <c r="AW7" s="30">
        <f t="shared" si="9"/>
        <v>2910</v>
      </c>
      <c r="AX7" s="30">
        <f t="shared" si="9"/>
        <v>26658.129247428893</v>
      </c>
      <c r="AY7" s="30">
        <f t="shared" si="9"/>
        <v>22567.560915555077</v>
      </c>
      <c r="AZ7" s="30">
        <f t="shared" si="9"/>
        <v>9215</v>
      </c>
      <c r="BA7" s="30">
        <f t="shared" si="9"/>
        <v>2267.4350202786209</v>
      </c>
      <c r="BB7" s="30">
        <v>99999</v>
      </c>
      <c r="BC7" s="30">
        <v>99999</v>
      </c>
      <c r="BD7" s="30">
        <f t="shared" si="3"/>
        <v>73824.624902223208</v>
      </c>
      <c r="BF7" s="23"/>
      <c r="BG7" s="19"/>
      <c r="BH7" s="20" t="str">
        <f t="shared" si="10"/>
        <v>JAWA</v>
      </c>
      <c r="BI7" s="20">
        <f t="shared" si="10"/>
        <v>2022</v>
      </c>
      <c r="BJ7" s="25">
        <f t="shared" si="4"/>
        <v>4.7612042302591626E-2</v>
      </c>
      <c r="BK7" s="43">
        <f t="shared" si="5"/>
        <v>2.8319714037022711E-4</v>
      </c>
      <c r="BL7" s="34">
        <f t="shared" si="11"/>
        <v>64892.359726868235</v>
      </c>
      <c r="BP7" s="23"/>
    </row>
    <row r="8" spans="1:68" x14ac:dyDescent="0.25">
      <c r="A8" s="19"/>
      <c r="B8" s="20" t="str">
        <f t="shared" si="12"/>
        <v>JAWA</v>
      </c>
      <c r="C8" s="20">
        <f t="shared" si="13"/>
        <v>2023</v>
      </c>
      <c r="D8" s="30">
        <f t="shared" si="14"/>
        <v>24590.342157804171</v>
      </c>
      <c r="E8" s="30">
        <f t="shared" si="6"/>
        <v>3914.3855169239901</v>
      </c>
      <c r="F8" s="30">
        <f t="shared" si="6"/>
        <v>22711.461144948891</v>
      </c>
      <c r="G8" s="30">
        <f t="shared" si="6"/>
        <v>43.85771134409633</v>
      </c>
      <c r="H8" s="30">
        <f t="shared" si="6"/>
        <v>1204.8</v>
      </c>
      <c r="I8" s="30">
        <f t="shared" si="6"/>
        <v>4698.8502810393838</v>
      </c>
      <c r="J8" s="30">
        <f t="shared" si="6"/>
        <v>17.350000000000001</v>
      </c>
      <c r="K8" s="30">
        <f t="shared" si="6"/>
        <v>5211.8707525711061</v>
      </c>
      <c r="L8" s="30">
        <f t="shared" si="6"/>
        <v>2522.2937803251725</v>
      </c>
      <c r="M8" s="30">
        <f t="shared" si="6"/>
        <v>8</v>
      </c>
      <c r="N8" s="30">
        <f t="shared" si="6"/>
        <v>5.5649797213790588</v>
      </c>
      <c r="O8" s="30">
        <f t="shared" si="6"/>
        <v>0</v>
      </c>
      <c r="P8" s="30">
        <f>BL8/((VLOOKUP(P$3,tech_data!$B$2:$G$15,6,FALSE)/100)*24*365)</f>
        <v>17.586490692528702</v>
      </c>
      <c r="Q8" s="30">
        <f t="shared" si="7"/>
        <v>64928.776324678191</v>
      </c>
      <c r="R8" s="30"/>
      <c r="S8" s="36"/>
      <c r="T8" s="19"/>
      <c r="U8" s="20" t="str">
        <f t="shared" si="0"/>
        <v>JAWA</v>
      </c>
      <c r="V8" s="20">
        <f t="shared" si="0"/>
        <v>2023</v>
      </c>
      <c r="W8" s="30">
        <v>0</v>
      </c>
      <c r="X8" s="30">
        <v>460.47361334386858</v>
      </c>
      <c r="Y8" s="30">
        <v>1157.2117338532807</v>
      </c>
      <c r="Z8" s="30">
        <v>1.1614785683204221</v>
      </c>
      <c r="AA8" s="30">
        <v>0</v>
      </c>
      <c r="AB8" s="30">
        <v>0</v>
      </c>
      <c r="AC8" s="30">
        <v>0</v>
      </c>
      <c r="AD8" s="30">
        <v>0</v>
      </c>
      <c r="AE8" s="30">
        <v>2097.8546958802467</v>
      </c>
      <c r="AF8" s="30">
        <v>0</v>
      </c>
      <c r="AG8" s="30">
        <v>0</v>
      </c>
      <c r="AH8" s="30">
        <v>0</v>
      </c>
      <c r="AI8" s="30">
        <f t="shared" si="8"/>
        <v>1.1247048663317898</v>
      </c>
      <c r="AJ8" s="34">
        <f t="shared" si="1"/>
        <v>3717.8262265120484</v>
      </c>
      <c r="AM8" s="23"/>
      <c r="AO8" s="20" t="str">
        <f t="shared" si="2"/>
        <v>JAWA</v>
      </c>
      <c r="AP8" s="20">
        <f t="shared" si="2"/>
        <v>2023</v>
      </c>
      <c r="AQ8" s="30">
        <v>99999</v>
      </c>
      <c r="AR8" s="30">
        <v>99999</v>
      </c>
      <c r="AS8" s="30">
        <v>99999</v>
      </c>
      <c r="AT8" s="30">
        <v>99999</v>
      </c>
      <c r="AU8" s="30">
        <f t="shared" si="9"/>
        <v>8107</v>
      </c>
      <c r="AV8" s="30">
        <f t="shared" si="9"/>
        <v>2099.4997189606156</v>
      </c>
      <c r="AW8" s="30">
        <f t="shared" si="9"/>
        <v>2910</v>
      </c>
      <c r="AX8" s="30">
        <f t="shared" si="9"/>
        <v>26658.129247428893</v>
      </c>
      <c r="AY8" s="30">
        <f t="shared" si="9"/>
        <v>20469.70621967483</v>
      </c>
      <c r="AZ8" s="30">
        <f t="shared" si="9"/>
        <v>9215</v>
      </c>
      <c r="BA8" s="30">
        <f t="shared" si="9"/>
        <v>2267.4350202786209</v>
      </c>
      <c r="BB8" s="30">
        <v>99999</v>
      </c>
      <c r="BC8" s="30">
        <v>99999</v>
      </c>
      <c r="BD8" s="30">
        <f t="shared" si="3"/>
        <v>71726.770206342946</v>
      </c>
      <c r="BF8" s="23"/>
      <c r="BG8" s="19"/>
      <c r="BH8" s="20" t="str">
        <f t="shared" si="10"/>
        <v>JAWA</v>
      </c>
      <c r="BI8" s="20">
        <f t="shared" si="10"/>
        <v>2023</v>
      </c>
      <c r="BJ8" s="25">
        <f t="shared" si="4"/>
        <v>7.2287812870099832E-2</v>
      </c>
      <c r="BK8" s="43">
        <f t="shared" si="5"/>
        <v>2.8864282766788413E-4</v>
      </c>
      <c r="BL8" s="34">
        <f t="shared" si="11"/>
        <v>69325.946309948151</v>
      </c>
      <c r="BP8" s="23"/>
    </row>
    <row r="9" spans="1:68" x14ac:dyDescent="0.25">
      <c r="A9" s="19"/>
      <c r="B9" s="20" t="str">
        <f t="shared" si="12"/>
        <v>JAWA</v>
      </c>
      <c r="C9" s="20">
        <f t="shared" si="13"/>
        <v>2024</v>
      </c>
      <c r="D9" s="30">
        <f t="shared" si="14"/>
        <v>24590.342157804171</v>
      </c>
      <c r="E9" s="30">
        <f t="shared" si="6"/>
        <v>4394.3319433762917</v>
      </c>
      <c r="F9" s="30">
        <f t="shared" si="6"/>
        <v>24077.726952458739</v>
      </c>
      <c r="G9" s="30">
        <f t="shared" si="6"/>
        <v>45.194926630379932</v>
      </c>
      <c r="H9" s="30">
        <f t="shared" si="6"/>
        <v>1204.8</v>
      </c>
      <c r="I9" s="30">
        <f t="shared" si="6"/>
        <v>4698.8502810393838</v>
      </c>
      <c r="J9" s="30">
        <f t="shared" si="6"/>
        <v>17.350000000000001</v>
      </c>
      <c r="K9" s="30">
        <f t="shared" si="6"/>
        <v>5211.8707525711061</v>
      </c>
      <c r="L9" s="30">
        <f t="shared" si="6"/>
        <v>4847.5724991381849</v>
      </c>
      <c r="M9" s="30">
        <f t="shared" si="6"/>
        <v>8</v>
      </c>
      <c r="N9" s="30">
        <f t="shared" si="6"/>
        <v>5.5649797213790588</v>
      </c>
      <c r="O9" s="30">
        <f t="shared" si="6"/>
        <v>0</v>
      </c>
      <c r="P9" s="30">
        <f>BL9/((VLOOKUP(P$3,tech_data!$B$2:$G$15,6,FALSE)/100)*24*365)</f>
        <v>18.842848822453934</v>
      </c>
      <c r="Q9" s="30">
        <f t="shared" si="7"/>
        <v>69101.604492739643</v>
      </c>
      <c r="R9" s="30"/>
      <c r="S9" s="36"/>
      <c r="T9" s="19"/>
      <c r="U9" s="20" t="str">
        <f t="shared" si="0"/>
        <v>JAWA</v>
      </c>
      <c r="V9" s="20">
        <f t="shared" si="0"/>
        <v>2024</v>
      </c>
      <c r="W9" s="30">
        <v>0</v>
      </c>
      <c r="X9" s="30">
        <v>479.94642645230198</v>
      </c>
      <c r="Y9" s="30">
        <v>1366.2658075098479</v>
      </c>
      <c r="Z9" s="30">
        <v>1.337215286283602</v>
      </c>
      <c r="AA9" s="30">
        <v>0</v>
      </c>
      <c r="AB9" s="30">
        <v>0</v>
      </c>
      <c r="AC9" s="30">
        <v>0</v>
      </c>
      <c r="AD9" s="30">
        <v>0</v>
      </c>
      <c r="AE9" s="30">
        <v>2325.2787188130119</v>
      </c>
      <c r="AF9" s="30">
        <v>0</v>
      </c>
      <c r="AG9" s="30">
        <v>0</v>
      </c>
      <c r="AH9" s="30">
        <v>0</v>
      </c>
      <c r="AI9" s="30">
        <f t="shared" si="8"/>
        <v>1.256358129925232</v>
      </c>
      <c r="AJ9" s="34">
        <f t="shared" si="1"/>
        <v>4174.084526191371</v>
      </c>
      <c r="AM9" s="23"/>
      <c r="AO9" s="20" t="str">
        <f t="shared" si="2"/>
        <v>JAWA</v>
      </c>
      <c r="AP9" s="20">
        <f t="shared" si="2"/>
        <v>2024</v>
      </c>
      <c r="AQ9" s="30">
        <v>99999</v>
      </c>
      <c r="AR9" s="30">
        <v>99999</v>
      </c>
      <c r="AS9" s="30">
        <v>99999</v>
      </c>
      <c r="AT9" s="30">
        <v>99999</v>
      </c>
      <c r="AU9" s="30">
        <f t="shared" si="9"/>
        <v>8107</v>
      </c>
      <c r="AV9" s="30">
        <f t="shared" si="9"/>
        <v>2099.4997189606156</v>
      </c>
      <c r="AW9" s="30">
        <f t="shared" si="9"/>
        <v>2910</v>
      </c>
      <c r="AX9" s="30">
        <f t="shared" si="9"/>
        <v>26658.129247428893</v>
      </c>
      <c r="AY9" s="30">
        <f t="shared" si="9"/>
        <v>18144.427500861817</v>
      </c>
      <c r="AZ9" s="30">
        <f t="shared" si="9"/>
        <v>9215</v>
      </c>
      <c r="BA9" s="30">
        <f t="shared" si="9"/>
        <v>2267.4350202786209</v>
      </c>
      <c r="BB9" s="30">
        <v>99999</v>
      </c>
      <c r="BC9" s="30">
        <v>99999</v>
      </c>
      <c r="BD9" s="30">
        <f t="shared" si="3"/>
        <v>69401.491487529944</v>
      </c>
      <c r="BF9" s="23"/>
      <c r="BG9" s="19"/>
      <c r="BH9" s="20" t="str">
        <f t="shared" si="10"/>
        <v>JAWA</v>
      </c>
      <c r="BI9" s="20">
        <f t="shared" si="10"/>
        <v>2024</v>
      </c>
      <c r="BJ9" s="25">
        <f t="shared" si="4"/>
        <v>9.7063027836972862E-2</v>
      </c>
      <c r="BK9" s="43">
        <f t="shared" si="5"/>
        <v>2.9411046131574574E-4</v>
      </c>
      <c r="BL9" s="34">
        <f t="shared" si="11"/>
        <v>74278.510058113417</v>
      </c>
      <c r="BN9" s="38"/>
      <c r="BP9" s="23"/>
    </row>
    <row r="10" spans="1:68" x14ac:dyDescent="0.25">
      <c r="A10" s="19"/>
      <c r="B10" s="20" t="str">
        <f t="shared" si="12"/>
        <v>JAWA</v>
      </c>
      <c r="C10" s="20">
        <f t="shared" si="13"/>
        <v>2025</v>
      </c>
      <c r="D10" s="30">
        <f t="shared" si="14"/>
        <v>24590.342157804171</v>
      </c>
      <c r="E10" s="30">
        <f t="shared" si="6"/>
        <v>4899.7872767125855</v>
      </c>
      <c r="F10" s="30">
        <f t="shared" si="6"/>
        <v>25070.451868141241</v>
      </c>
      <c r="G10" s="30">
        <f t="shared" si="6"/>
        <v>46.349342082361943</v>
      </c>
      <c r="H10" s="30">
        <f t="shared" si="6"/>
        <v>1204.8</v>
      </c>
      <c r="I10" s="30">
        <f t="shared" si="6"/>
        <v>4698.8502810393838</v>
      </c>
      <c r="J10" s="30">
        <f t="shared" si="6"/>
        <v>17.350000000000001</v>
      </c>
      <c r="K10" s="30">
        <f t="shared" si="6"/>
        <v>5211.8707525711061</v>
      </c>
      <c r="L10" s="30">
        <f t="shared" si="6"/>
        <v>7277.2688278318037</v>
      </c>
      <c r="M10" s="30">
        <f t="shared" si="6"/>
        <v>8</v>
      </c>
      <c r="N10" s="30">
        <f t="shared" si="6"/>
        <v>5.5649797213790588</v>
      </c>
      <c r="O10" s="30">
        <f t="shared" si="6"/>
        <v>0</v>
      </c>
      <c r="P10" s="30">
        <f>BL10/((VLOOKUP(P$3,tech_data!$B$2:$G$15,6,FALSE)/100)*24*365)</f>
        <v>20.073101546053774</v>
      </c>
      <c r="Q10" s="30">
        <f t="shared" si="7"/>
        <v>73030.635485904044</v>
      </c>
      <c r="R10" s="30"/>
      <c r="S10" s="36"/>
      <c r="T10" s="19"/>
      <c r="U10" s="20" t="str">
        <f t="shared" si="0"/>
        <v>JAWA</v>
      </c>
      <c r="V10" s="20">
        <f t="shared" si="0"/>
        <v>2025</v>
      </c>
      <c r="W10" s="30">
        <v>0</v>
      </c>
      <c r="X10" s="30">
        <v>505.45533333629334</v>
      </c>
      <c r="Y10" s="30">
        <v>992.72491568250268</v>
      </c>
      <c r="Z10" s="30">
        <v>1.1544154519820125</v>
      </c>
      <c r="AA10" s="30">
        <v>0</v>
      </c>
      <c r="AB10" s="30">
        <v>0</v>
      </c>
      <c r="AC10" s="30">
        <v>0</v>
      </c>
      <c r="AD10" s="30">
        <v>0</v>
      </c>
      <c r="AE10" s="30">
        <v>2429.6963286936189</v>
      </c>
      <c r="AF10" s="30">
        <v>0</v>
      </c>
      <c r="AG10" s="30">
        <v>0</v>
      </c>
      <c r="AH10" s="30">
        <v>0</v>
      </c>
      <c r="AI10" s="30">
        <f t="shared" si="8"/>
        <v>1.2302527235998397</v>
      </c>
      <c r="AJ10" s="34">
        <f t="shared" si="1"/>
        <v>3930.2612458879967</v>
      </c>
      <c r="AM10" s="23"/>
      <c r="AO10" s="20" t="str">
        <f t="shared" si="2"/>
        <v>JAWA</v>
      </c>
      <c r="AP10" s="20">
        <f t="shared" si="2"/>
        <v>2025</v>
      </c>
      <c r="AQ10" s="30">
        <v>99999</v>
      </c>
      <c r="AR10" s="30">
        <v>99999</v>
      </c>
      <c r="AS10" s="30">
        <v>99999</v>
      </c>
      <c r="AT10" s="30">
        <v>99999</v>
      </c>
      <c r="AU10" s="30">
        <f t="shared" si="9"/>
        <v>8107</v>
      </c>
      <c r="AV10" s="30">
        <f t="shared" si="9"/>
        <v>2099.4997189606156</v>
      </c>
      <c r="AW10" s="30">
        <f t="shared" si="9"/>
        <v>2910</v>
      </c>
      <c r="AX10" s="30">
        <f t="shared" si="9"/>
        <v>26658.129247428893</v>
      </c>
      <c r="AY10" s="30">
        <f t="shared" si="9"/>
        <v>15714.731172168198</v>
      </c>
      <c r="AZ10" s="30">
        <f t="shared" si="9"/>
        <v>9215</v>
      </c>
      <c r="BA10" s="30">
        <f t="shared" si="9"/>
        <v>2267.4350202786209</v>
      </c>
      <c r="BB10" s="30">
        <v>99999</v>
      </c>
      <c r="BC10" s="30">
        <v>99999</v>
      </c>
      <c r="BD10" s="30">
        <f t="shared" si="3"/>
        <v>66971.795158836321</v>
      </c>
      <c r="BF10" s="23"/>
      <c r="BG10" s="19"/>
      <c r="BH10" s="20" t="str">
        <f t="shared" si="10"/>
        <v>JAWA</v>
      </c>
      <c r="BI10" s="20">
        <f t="shared" si="10"/>
        <v>2025</v>
      </c>
      <c r="BJ10" s="25">
        <f t="shared" si="4"/>
        <v>0.12102718997516254</v>
      </c>
      <c r="BK10" s="43">
        <f t="shared" si="5"/>
        <v>2.9939910399451861E-4</v>
      </c>
      <c r="BL10" s="34">
        <f t="shared" si="11"/>
        <v>79128.166294543989</v>
      </c>
      <c r="BP10" s="23"/>
    </row>
    <row r="11" spans="1:68" x14ac:dyDescent="0.25">
      <c r="A11" s="19"/>
      <c r="B11" s="20" t="str">
        <f t="shared" si="12"/>
        <v>JAWA</v>
      </c>
      <c r="C11" s="20">
        <f t="shared" si="13"/>
        <v>2026</v>
      </c>
      <c r="D11" s="30">
        <f t="shared" si="14"/>
        <v>24590.342157804171</v>
      </c>
      <c r="E11" s="30">
        <f t="shared" si="6"/>
        <v>5442.6717420154873</v>
      </c>
      <c r="F11" s="30">
        <f t="shared" si="6"/>
        <v>29054.507735576499</v>
      </c>
      <c r="G11" s="30">
        <f t="shared" si="6"/>
        <v>48.449269108615226</v>
      </c>
      <c r="H11" s="30">
        <f t="shared" si="6"/>
        <v>1204.8</v>
      </c>
      <c r="I11" s="30">
        <f t="shared" si="6"/>
        <v>4698.8502810393838</v>
      </c>
      <c r="J11" s="30">
        <f t="shared" si="6"/>
        <v>17.350000000000001</v>
      </c>
      <c r="K11" s="30">
        <f t="shared" si="6"/>
        <v>5211.8707525711061</v>
      </c>
      <c r="L11" s="30">
        <f t="shared" si="6"/>
        <v>8887.665797880989</v>
      </c>
      <c r="M11" s="30">
        <f t="shared" si="6"/>
        <v>8</v>
      </c>
      <c r="N11" s="30">
        <f t="shared" si="6"/>
        <v>5.5649797213790588</v>
      </c>
      <c r="O11" s="30">
        <f t="shared" si="6"/>
        <v>0</v>
      </c>
      <c r="P11" s="30">
        <f>BL11/((VLOOKUP(P$3,tech_data!$B$2:$G$15,6,FALSE)/100)*24*365)</f>
        <v>21.568709216900483</v>
      </c>
      <c r="Q11" s="30">
        <f t="shared" si="7"/>
        <v>79170.07271571763</v>
      </c>
      <c r="R11" s="30"/>
      <c r="S11" s="36"/>
      <c r="T11" s="19"/>
      <c r="U11" s="20" t="str">
        <f t="shared" si="0"/>
        <v>JAWA</v>
      </c>
      <c r="V11" s="20">
        <f t="shared" si="0"/>
        <v>2026</v>
      </c>
      <c r="W11" s="30">
        <v>0</v>
      </c>
      <c r="X11" s="30">
        <v>542.8844653029023</v>
      </c>
      <c r="Y11" s="30">
        <v>3984.0558674352574</v>
      </c>
      <c r="Z11" s="30">
        <v>2.0999270262532863</v>
      </c>
      <c r="AA11" s="30">
        <v>0</v>
      </c>
      <c r="AB11" s="30">
        <v>2.8421709430404007E-14</v>
      </c>
      <c r="AC11" s="30">
        <v>0</v>
      </c>
      <c r="AD11" s="30">
        <v>0</v>
      </c>
      <c r="AE11" s="30">
        <v>1610.3969700491855</v>
      </c>
      <c r="AF11" s="30">
        <v>0</v>
      </c>
      <c r="AG11" s="30">
        <v>0</v>
      </c>
      <c r="AH11" s="30">
        <v>0</v>
      </c>
      <c r="AI11" s="30">
        <f t="shared" si="8"/>
        <v>1.4956076708467094</v>
      </c>
      <c r="AJ11" s="34">
        <f t="shared" si="1"/>
        <v>6140.9328374844454</v>
      </c>
      <c r="AM11" s="23"/>
      <c r="AO11" s="20" t="str">
        <f t="shared" si="2"/>
        <v>JAWA</v>
      </c>
      <c r="AP11" s="20">
        <f t="shared" si="2"/>
        <v>2026</v>
      </c>
      <c r="AQ11" s="30">
        <v>99999</v>
      </c>
      <c r="AR11" s="30">
        <v>99999</v>
      </c>
      <c r="AS11" s="30">
        <v>99999</v>
      </c>
      <c r="AT11" s="30">
        <v>99999</v>
      </c>
      <c r="AU11" s="30">
        <f t="shared" si="9"/>
        <v>8107</v>
      </c>
      <c r="AV11" s="30">
        <f t="shared" si="9"/>
        <v>2099.4997189606156</v>
      </c>
      <c r="AW11" s="30">
        <f t="shared" si="9"/>
        <v>2910</v>
      </c>
      <c r="AX11" s="30">
        <f t="shared" si="9"/>
        <v>26658.129247428893</v>
      </c>
      <c r="AY11" s="30">
        <f t="shared" si="9"/>
        <v>14104.334202119013</v>
      </c>
      <c r="AZ11" s="30">
        <f t="shared" si="9"/>
        <v>9215</v>
      </c>
      <c r="BA11" s="30">
        <f t="shared" si="9"/>
        <v>2267.4350202786209</v>
      </c>
      <c r="BB11" s="30">
        <v>99999</v>
      </c>
      <c r="BC11" s="30">
        <v>99999</v>
      </c>
      <c r="BD11" s="30">
        <f t="shared" si="3"/>
        <v>65361.398188787141</v>
      </c>
      <c r="BF11" s="23"/>
      <c r="BG11" s="19"/>
      <c r="BH11" s="20" t="str">
        <f t="shared" si="10"/>
        <v>JAWA</v>
      </c>
      <c r="BI11" s="20">
        <f t="shared" si="10"/>
        <v>2026</v>
      </c>
      <c r="BJ11" s="25">
        <f t="shared" si="4"/>
        <v>0.13103543585065902</v>
      </c>
      <c r="BK11" s="43">
        <f t="shared" si="5"/>
        <v>3.0160782032566266E-4</v>
      </c>
      <c r="BL11" s="34">
        <f t="shared" si="11"/>
        <v>85023.851733021715</v>
      </c>
      <c r="BP11" s="23"/>
    </row>
    <row r="12" spans="1:68" x14ac:dyDescent="0.25">
      <c r="A12" s="19"/>
      <c r="B12" s="20" t="str">
        <f t="shared" si="12"/>
        <v>JAWA</v>
      </c>
      <c r="C12" s="20">
        <f t="shared" si="13"/>
        <v>2027</v>
      </c>
      <c r="D12" s="30">
        <f t="shared" si="14"/>
        <v>24590.342157804171</v>
      </c>
      <c r="E12" s="30">
        <f t="shared" si="6"/>
        <v>5994.3633437725175</v>
      </c>
      <c r="F12" s="30">
        <f t="shared" si="6"/>
        <v>33273.212554108832</v>
      </c>
      <c r="G12" s="30">
        <f t="shared" si="6"/>
        <v>50.620630529879293</v>
      </c>
      <c r="H12" s="30">
        <f t="shared" si="6"/>
        <v>1204.8</v>
      </c>
      <c r="I12" s="30">
        <f t="shared" si="6"/>
        <v>4698.8502810393838</v>
      </c>
      <c r="J12" s="30">
        <f t="shared" si="6"/>
        <v>17.350000000000001</v>
      </c>
      <c r="K12" s="30">
        <f t="shared" si="6"/>
        <v>5211.8707525711061</v>
      </c>
      <c r="L12" s="30">
        <f t="shared" si="6"/>
        <v>10614.08567735304</v>
      </c>
      <c r="M12" s="30">
        <f t="shared" si="6"/>
        <v>8</v>
      </c>
      <c r="N12" s="30">
        <f t="shared" si="6"/>
        <v>5.5649797213790588</v>
      </c>
      <c r="O12" s="30">
        <f t="shared" si="6"/>
        <v>0</v>
      </c>
      <c r="P12" s="30">
        <f>BL12/((VLOOKUP(P$3,tech_data!$B$2:$G$15,6,FALSE)/100)*24*365)</f>
        <v>23.155746038606143</v>
      </c>
      <c r="Q12" s="30">
        <f t="shared" si="7"/>
        <v>85669.060376900321</v>
      </c>
      <c r="R12" s="30"/>
      <c r="S12" s="36"/>
      <c r="T12" s="19"/>
      <c r="U12" s="20" t="str">
        <f t="shared" si="0"/>
        <v>JAWA</v>
      </c>
      <c r="V12" s="20">
        <f t="shared" si="0"/>
        <v>2027</v>
      </c>
      <c r="W12" s="30">
        <v>0</v>
      </c>
      <c r="X12" s="30">
        <v>551.69160175703041</v>
      </c>
      <c r="Y12" s="30">
        <v>4218.7048185323329</v>
      </c>
      <c r="Z12" s="30">
        <v>2.1713614212640673</v>
      </c>
      <c r="AA12" s="30">
        <v>0</v>
      </c>
      <c r="AB12" s="30">
        <v>0</v>
      </c>
      <c r="AC12" s="30">
        <v>0</v>
      </c>
      <c r="AD12" s="30">
        <v>0</v>
      </c>
      <c r="AE12" s="30">
        <v>1726.4198794720501</v>
      </c>
      <c r="AF12" s="30">
        <v>0</v>
      </c>
      <c r="AG12" s="30">
        <v>0</v>
      </c>
      <c r="AH12" s="30">
        <v>0</v>
      </c>
      <c r="AI12" s="30">
        <f t="shared" si="8"/>
        <v>1.5870368217056594</v>
      </c>
      <c r="AJ12" s="34">
        <f t="shared" si="1"/>
        <v>6500.5746980043823</v>
      </c>
      <c r="AM12" s="23"/>
      <c r="AO12" s="20" t="str">
        <f t="shared" si="2"/>
        <v>JAWA</v>
      </c>
      <c r="AP12" s="20">
        <f t="shared" si="2"/>
        <v>2027</v>
      </c>
      <c r="AQ12" s="30">
        <v>99999</v>
      </c>
      <c r="AR12" s="30">
        <v>99999</v>
      </c>
      <c r="AS12" s="30">
        <v>99999</v>
      </c>
      <c r="AT12" s="30">
        <v>99999</v>
      </c>
      <c r="AU12" s="30">
        <f t="shared" si="9"/>
        <v>8107</v>
      </c>
      <c r="AV12" s="30">
        <f t="shared" si="9"/>
        <v>2099.4997189606156</v>
      </c>
      <c r="AW12" s="30">
        <f t="shared" si="9"/>
        <v>2910</v>
      </c>
      <c r="AX12" s="30">
        <f t="shared" si="9"/>
        <v>26658.129247428893</v>
      </c>
      <c r="AY12" s="30">
        <f t="shared" si="9"/>
        <v>12377.914322646962</v>
      </c>
      <c r="AZ12" s="30">
        <f t="shared" si="9"/>
        <v>9215</v>
      </c>
      <c r="BA12" s="30">
        <f t="shared" si="9"/>
        <v>2267.4350202786209</v>
      </c>
      <c r="BB12" s="30">
        <v>99999</v>
      </c>
      <c r="BC12" s="30">
        <v>99999</v>
      </c>
      <c r="BD12" s="30">
        <f t="shared" si="3"/>
        <v>63634.978309315091</v>
      </c>
      <c r="BF12" s="23"/>
      <c r="BG12" s="19"/>
      <c r="BH12" s="20" t="str">
        <f t="shared" si="10"/>
        <v>JAWA</v>
      </c>
      <c r="BI12" s="20">
        <f t="shared" si="10"/>
        <v>2027</v>
      </c>
      <c r="BJ12" s="25">
        <f t="shared" si="4"/>
        <v>0.14057326906301718</v>
      </c>
      <c r="BK12" s="43">
        <f t="shared" si="5"/>
        <v>3.0371272144839E-4</v>
      </c>
      <c r="BL12" s="34">
        <f t="shared" si="11"/>
        <v>91279.950884185426</v>
      </c>
      <c r="BP12" s="23"/>
    </row>
    <row r="13" spans="1:68" x14ac:dyDescent="0.25">
      <c r="A13" s="19"/>
      <c r="B13" s="20" t="str">
        <f t="shared" si="12"/>
        <v>JAWA</v>
      </c>
      <c r="C13" s="20">
        <f t="shared" si="13"/>
        <v>2028</v>
      </c>
      <c r="D13" s="30">
        <f t="shared" si="14"/>
        <v>24590.342157804171</v>
      </c>
      <c r="E13" s="30">
        <f t="shared" si="6"/>
        <v>6579.2557154699416</v>
      </c>
      <c r="F13" s="30">
        <f t="shared" si="6"/>
        <v>37433.113053694913</v>
      </c>
      <c r="G13" s="30">
        <f t="shared" si="6"/>
        <v>52.697805650967744</v>
      </c>
      <c r="H13" s="30">
        <f t="shared" si="6"/>
        <v>1204.8</v>
      </c>
      <c r="I13" s="30">
        <f t="shared" si="6"/>
        <v>4698.8502810393838</v>
      </c>
      <c r="J13" s="30">
        <f t="shared" si="6"/>
        <v>17.350000000000001</v>
      </c>
      <c r="K13" s="30">
        <f t="shared" si="6"/>
        <v>5211.8707525711061</v>
      </c>
      <c r="L13" s="30">
        <f t="shared" si="6"/>
        <v>12385.012377959545</v>
      </c>
      <c r="M13" s="30">
        <f t="shared" si="6"/>
        <v>8</v>
      </c>
      <c r="N13" s="30">
        <f t="shared" si="6"/>
        <v>5.5649797213790588</v>
      </c>
      <c r="O13" s="30">
        <f t="shared" si="6"/>
        <v>0</v>
      </c>
      <c r="P13" s="30">
        <f>BL13/((VLOOKUP(P$3,tech_data!$B$2:$G$15,6,FALSE)/100)*24*365)</f>
        <v>24.755490656154155</v>
      </c>
      <c r="Q13" s="30">
        <f t="shared" si="7"/>
        <v>92186.857123911424</v>
      </c>
      <c r="R13" s="30"/>
      <c r="S13" s="36"/>
      <c r="T13" s="19"/>
      <c r="U13" s="20" t="str">
        <f t="shared" si="0"/>
        <v>JAWA</v>
      </c>
      <c r="V13" s="20">
        <f t="shared" si="0"/>
        <v>2028</v>
      </c>
      <c r="W13" s="30">
        <v>0</v>
      </c>
      <c r="X13" s="30">
        <v>584.89237169742421</v>
      </c>
      <c r="Y13" s="30">
        <v>4159.9004995860823</v>
      </c>
      <c r="Z13" s="30">
        <v>2.077175121088453</v>
      </c>
      <c r="AA13" s="30">
        <v>0</v>
      </c>
      <c r="AB13" s="30">
        <v>0</v>
      </c>
      <c r="AC13" s="30">
        <v>0</v>
      </c>
      <c r="AD13" s="30">
        <v>0</v>
      </c>
      <c r="AE13" s="30">
        <v>1770.9267006065065</v>
      </c>
      <c r="AF13" s="30">
        <v>0</v>
      </c>
      <c r="AG13" s="30">
        <v>0</v>
      </c>
      <c r="AH13" s="30">
        <v>0</v>
      </c>
      <c r="AI13" s="30">
        <f t="shared" si="8"/>
        <v>1.5997446175480121</v>
      </c>
      <c r="AJ13" s="34">
        <f t="shared" si="1"/>
        <v>6519.3964916286495</v>
      </c>
      <c r="AM13" s="23"/>
      <c r="AO13" s="20" t="str">
        <f t="shared" si="2"/>
        <v>JAWA</v>
      </c>
      <c r="AP13" s="20">
        <f t="shared" si="2"/>
        <v>2028</v>
      </c>
      <c r="AQ13" s="30">
        <v>99999</v>
      </c>
      <c r="AR13" s="30">
        <v>99999</v>
      </c>
      <c r="AS13" s="30">
        <v>99999</v>
      </c>
      <c r="AT13" s="30">
        <v>99999</v>
      </c>
      <c r="AU13" s="30">
        <f t="shared" si="9"/>
        <v>8107</v>
      </c>
      <c r="AV13" s="30">
        <f t="shared" si="9"/>
        <v>2099.4997189606156</v>
      </c>
      <c r="AW13" s="30">
        <f t="shared" si="9"/>
        <v>2910</v>
      </c>
      <c r="AX13" s="30">
        <f t="shared" si="9"/>
        <v>26658.129247428893</v>
      </c>
      <c r="AY13" s="30">
        <f t="shared" si="9"/>
        <v>10606.987622040455</v>
      </c>
      <c r="AZ13" s="30">
        <f t="shared" si="9"/>
        <v>9215</v>
      </c>
      <c r="BA13" s="30">
        <f t="shared" si="9"/>
        <v>2267.4350202786209</v>
      </c>
      <c r="BB13" s="30">
        <v>99999</v>
      </c>
      <c r="BC13" s="30">
        <v>99999</v>
      </c>
      <c r="BD13" s="30">
        <f t="shared" si="3"/>
        <v>61864.051608708585</v>
      </c>
      <c r="BF13" s="23"/>
      <c r="BG13" s="19"/>
      <c r="BH13" s="20" t="str">
        <f t="shared" si="10"/>
        <v>JAWA</v>
      </c>
      <c r="BI13" s="20">
        <f t="shared" si="10"/>
        <v>2028</v>
      </c>
      <c r="BJ13" s="25">
        <f t="shared" si="4"/>
        <v>0.14939154778441713</v>
      </c>
      <c r="BK13" s="43">
        <f t="shared" si="5"/>
        <v>3.0565882433863001E-4</v>
      </c>
      <c r="BL13" s="34">
        <f t="shared" si="11"/>
        <v>97586.144166559694</v>
      </c>
      <c r="BP13" s="23"/>
    </row>
    <row r="14" spans="1:68" x14ac:dyDescent="0.25">
      <c r="A14" s="19"/>
      <c r="B14" s="20" t="str">
        <f t="shared" si="12"/>
        <v>JAWA</v>
      </c>
      <c r="C14" s="20">
        <f t="shared" si="13"/>
        <v>2029</v>
      </c>
      <c r="D14" s="30">
        <f t="shared" si="14"/>
        <v>24590.342157804171</v>
      </c>
      <c r="E14" s="30">
        <f t="shared" si="6"/>
        <v>7218.709685959273</v>
      </c>
      <c r="F14" s="30">
        <f t="shared" si="6"/>
        <v>41832.095466831954</v>
      </c>
      <c r="G14" s="30">
        <f t="shared" si="6"/>
        <v>54.873506890166837</v>
      </c>
      <c r="H14" s="30">
        <f t="shared" si="6"/>
        <v>1204.8</v>
      </c>
      <c r="I14" s="30">
        <f t="shared" si="6"/>
        <v>4698.8502810393838</v>
      </c>
      <c r="J14" s="30">
        <f t="shared" si="6"/>
        <v>17.350000000000001</v>
      </c>
      <c r="K14" s="30">
        <f t="shared" si="6"/>
        <v>5211.8707525711061</v>
      </c>
      <c r="L14" s="30">
        <f t="shared" si="6"/>
        <v>14293.387650038185</v>
      </c>
      <c r="M14" s="30">
        <f t="shared" si="6"/>
        <v>8</v>
      </c>
      <c r="N14" s="30">
        <f t="shared" si="6"/>
        <v>5.5649797213790588</v>
      </c>
      <c r="O14" s="30">
        <f t="shared" si="6"/>
        <v>0</v>
      </c>
      <c r="P14" s="30">
        <f>BL14/((VLOOKUP(P$3,tech_data!$B$2:$G$15,6,FALSE)/100)*24*365)</f>
        <v>26.465231633204574</v>
      </c>
      <c r="Q14" s="30">
        <f t="shared" si="7"/>
        <v>99135.844480855652</v>
      </c>
      <c r="R14" s="30"/>
      <c r="S14" s="36"/>
      <c r="T14" s="19"/>
      <c r="U14" s="20" t="str">
        <f t="shared" si="0"/>
        <v>JAWA</v>
      </c>
      <c r="V14" s="20">
        <f t="shared" si="0"/>
        <v>2029</v>
      </c>
      <c r="W14" s="30">
        <v>0</v>
      </c>
      <c r="X14" s="30">
        <v>639.45397048933171</v>
      </c>
      <c r="Y14" s="30">
        <v>4398.9824131370424</v>
      </c>
      <c r="Z14" s="30">
        <v>2.1757012391990904</v>
      </c>
      <c r="AA14" s="30">
        <v>0</v>
      </c>
      <c r="AB14" s="30">
        <v>0</v>
      </c>
      <c r="AC14" s="30">
        <v>0</v>
      </c>
      <c r="AD14" s="30">
        <v>0</v>
      </c>
      <c r="AE14" s="30">
        <v>1908.3752720786399</v>
      </c>
      <c r="AF14" s="30">
        <v>0</v>
      </c>
      <c r="AG14" s="30">
        <v>0</v>
      </c>
      <c r="AH14" s="30">
        <v>0</v>
      </c>
      <c r="AI14" s="30">
        <f t="shared" si="8"/>
        <v>1.7097409770504193</v>
      </c>
      <c r="AJ14" s="34">
        <f t="shared" si="1"/>
        <v>6950.6970979212629</v>
      </c>
      <c r="AM14" s="23"/>
      <c r="AO14" s="20" t="str">
        <f t="shared" si="2"/>
        <v>JAWA</v>
      </c>
      <c r="AP14" s="20">
        <f t="shared" si="2"/>
        <v>2029</v>
      </c>
      <c r="AQ14" s="30">
        <v>99999</v>
      </c>
      <c r="AR14" s="30">
        <v>99999</v>
      </c>
      <c r="AS14" s="30">
        <v>99999</v>
      </c>
      <c r="AT14" s="30">
        <v>99999</v>
      </c>
      <c r="AU14" s="30">
        <f t="shared" si="9"/>
        <v>8107</v>
      </c>
      <c r="AV14" s="30">
        <f t="shared" si="9"/>
        <v>2099.4997189606156</v>
      </c>
      <c r="AW14" s="30">
        <f t="shared" si="9"/>
        <v>2910</v>
      </c>
      <c r="AX14" s="30">
        <f t="shared" si="9"/>
        <v>26658.129247428893</v>
      </c>
      <c r="AY14" s="30">
        <f t="shared" si="9"/>
        <v>8698.6123499618152</v>
      </c>
      <c r="AZ14" s="30">
        <f t="shared" si="9"/>
        <v>9215</v>
      </c>
      <c r="BA14" s="30">
        <f t="shared" si="9"/>
        <v>2267.4350202786209</v>
      </c>
      <c r="BB14" s="30">
        <v>99999</v>
      </c>
      <c r="BC14" s="30">
        <v>99999</v>
      </c>
      <c r="BD14" s="30">
        <f t="shared" si="3"/>
        <v>59955.676336629949</v>
      </c>
      <c r="BF14" s="23"/>
      <c r="BG14" s="19"/>
      <c r="BH14" s="20" t="str">
        <f t="shared" si="10"/>
        <v>JAWA</v>
      </c>
      <c r="BI14" s="20">
        <f t="shared" si="10"/>
        <v>2029</v>
      </c>
      <c r="BJ14" s="25">
        <f t="shared" si="4"/>
        <v>0.15790080129420844</v>
      </c>
      <c r="BK14" s="43">
        <f t="shared" si="5"/>
        <v>3.0753672856148048E-4</v>
      </c>
      <c r="BL14" s="34">
        <f t="shared" si="11"/>
        <v>104325.94309809244</v>
      </c>
      <c r="BP14" s="23"/>
    </row>
    <row r="15" spans="1:68" x14ac:dyDescent="0.25">
      <c r="A15" s="19"/>
      <c r="B15" s="20" t="str">
        <f t="shared" si="12"/>
        <v>JAWA</v>
      </c>
      <c r="C15" s="20">
        <f t="shared" si="13"/>
        <v>2030</v>
      </c>
      <c r="D15" s="30">
        <f t="shared" si="14"/>
        <v>24590.342157804171</v>
      </c>
      <c r="E15" s="30">
        <f t="shared" si="6"/>
        <v>7894.5312531758873</v>
      </c>
      <c r="F15" s="30">
        <f t="shared" si="6"/>
        <v>46355.695494130909</v>
      </c>
      <c r="G15" s="30">
        <f t="shared" si="6"/>
        <v>57.063354960262437</v>
      </c>
      <c r="H15" s="30">
        <f t="shared" si="6"/>
        <v>1204.8</v>
      </c>
      <c r="I15" s="30">
        <f t="shared" si="6"/>
        <v>4698.8502810393838</v>
      </c>
      <c r="J15" s="30">
        <f t="shared" si="6"/>
        <v>17.350000000000001</v>
      </c>
      <c r="K15" s="30">
        <f t="shared" si="6"/>
        <v>5211.8707525711061</v>
      </c>
      <c r="L15" s="30">
        <f t="shared" si="6"/>
        <v>16305.008779013149</v>
      </c>
      <c r="M15" s="30">
        <f t="shared" si="6"/>
        <v>8</v>
      </c>
      <c r="N15" s="30">
        <f t="shared" si="6"/>
        <v>5.5649797213790588</v>
      </c>
      <c r="O15" s="30">
        <f t="shared" si="6"/>
        <v>0</v>
      </c>
      <c r="P15" s="30">
        <f>BL15/((VLOOKUP(P$3,tech_data!$B$2:$G$15,6,FALSE)/100)*24*365)</f>
        <v>28.246098246113444</v>
      </c>
      <c r="Q15" s="30">
        <f t="shared" si="7"/>
        <v>106349.07705241627</v>
      </c>
      <c r="R15" s="30"/>
      <c r="S15" s="36"/>
      <c r="T15" s="19"/>
      <c r="U15" s="20" t="str">
        <f t="shared" si="0"/>
        <v>JAWA</v>
      </c>
      <c r="V15" s="20">
        <f t="shared" si="0"/>
        <v>2030</v>
      </c>
      <c r="W15" s="30">
        <v>0</v>
      </c>
      <c r="X15" s="30">
        <v>675.82156721661443</v>
      </c>
      <c r="Y15" s="30">
        <v>4523.6000272989513</v>
      </c>
      <c r="Z15" s="30">
        <v>2.1898480700956031</v>
      </c>
      <c r="AA15" s="30">
        <v>0</v>
      </c>
      <c r="AB15" s="30">
        <v>0</v>
      </c>
      <c r="AC15" s="30">
        <v>0</v>
      </c>
      <c r="AD15" s="30">
        <v>0</v>
      </c>
      <c r="AE15" s="30">
        <v>2011.6211289749638</v>
      </c>
      <c r="AF15" s="30">
        <v>0</v>
      </c>
      <c r="AG15" s="30">
        <v>0</v>
      </c>
      <c r="AH15" s="30">
        <v>0</v>
      </c>
      <c r="AI15" s="30">
        <f t="shared" si="8"/>
        <v>1.7808666129088699</v>
      </c>
      <c r="AJ15" s="34">
        <f t="shared" si="1"/>
        <v>7215.0134381735334</v>
      </c>
      <c r="AM15" s="23"/>
      <c r="AO15" s="20" t="str">
        <f t="shared" si="2"/>
        <v>JAWA</v>
      </c>
      <c r="AP15" s="20">
        <f t="shared" si="2"/>
        <v>2030</v>
      </c>
      <c r="AQ15" s="30">
        <v>99999</v>
      </c>
      <c r="AR15" s="30">
        <v>99999</v>
      </c>
      <c r="AS15" s="30">
        <v>99999</v>
      </c>
      <c r="AT15" s="30">
        <v>99999</v>
      </c>
      <c r="AU15" s="30">
        <f t="shared" si="9"/>
        <v>8107</v>
      </c>
      <c r="AV15" s="30">
        <f t="shared" si="9"/>
        <v>2099.4997189606156</v>
      </c>
      <c r="AW15" s="30">
        <f t="shared" si="9"/>
        <v>2910</v>
      </c>
      <c r="AX15" s="30">
        <f t="shared" si="9"/>
        <v>26658.129247428893</v>
      </c>
      <c r="AY15" s="30">
        <f t="shared" si="9"/>
        <v>6686.9912209868517</v>
      </c>
      <c r="AZ15" s="30">
        <f t="shared" si="9"/>
        <v>9215</v>
      </c>
      <c r="BA15" s="30">
        <f t="shared" si="9"/>
        <v>2267.4350202786209</v>
      </c>
      <c r="BB15" s="30">
        <v>99999</v>
      </c>
      <c r="BC15" s="30">
        <v>99999</v>
      </c>
      <c r="BD15" s="30">
        <f t="shared" si="3"/>
        <v>57944.055207654979</v>
      </c>
      <c r="BF15" s="23"/>
      <c r="BG15" s="19"/>
      <c r="BH15" s="20" t="str">
        <f t="shared" si="10"/>
        <v>JAWA</v>
      </c>
      <c r="BI15" s="20">
        <f t="shared" si="10"/>
        <v>2030</v>
      </c>
      <c r="BJ15" s="25">
        <f t="shared" si="4"/>
        <v>0.1659917219251878</v>
      </c>
      <c r="BK15" s="43">
        <f t="shared" si="5"/>
        <v>3.0932231104555867E-4</v>
      </c>
      <c r="BL15" s="34">
        <f t="shared" si="11"/>
        <v>111346.11928617921</v>
      </c>
      <c r="BP15" s="23"/>
    </row>
    <row r="16" spans="1:68" x14ac:dyDescent="0.25">
      <c r="A16" s="19"/>
      <c r="B16" s="20" t="str">
        <f t="shared" si="12"/>
        <v>JAWA</v>
      </c>
      <c r="C16" s="20">
        <f t="shared" si="13"/>
        <v>2031</v>
      </c>
      <c r="D16" s="30">
        <f t="shared" si="14"/>
        <v>24590.342157804171</v>
      </c>
      <c r="E16" s="30">
        <f t="shared" si="6"/>
        <v>8608.1483551938909</v>
      </c>
      <c r="F16" s="30">
        <f t="shared" si="6"/>
        <v>51717.015849513795</v>
      </c>
      <c r="G16" s="30">
        <f t="shared" si="6"/>
        <v>59.67467829987217</v>
      </c>
      <c r="H16" s="30">
        <f t="shared" si="6"/>
        <v>1204.8</v>
      </c>
      <c r="I16" s="30">
        <f t="shared" si="6"/>
        <v>4698.8502810393838</v>
      </c>
      <c r="J16" s="30">
        <f t="shared" si="6"/>
        <v>17.350000000000001</v>
      </c>
      <c r="K16" s="30">
        <f t="shared" si="6"/>
        <v>5211.8707525711061</v>
      </c>
      <c r="L16" s="30">
        <f t="shared" si="6"/>
        <v>18636.724506429029</v>
      </c>
      <c r="M16" s="30">
        <f t="shared" si="6"/>
        <v>8</v>
      </c>
      <c r="N16" s="30">
        <f t="shared" si="6"/>
        <v>5.5649797213790588</v>
      </c>
      <c r="O16" s="30">
        <f t="shared" si="6"/>
        <v>0</v>
      </c>
      <c r="P16" s="30">
        <f>BL16/((VLOOKUP(P$3,tech_data!$B$2:$G$15,6,FALSE)/100)*24*365)</f>
        <v>30.318517604560792</v>
      </c>
      <c r="Q16" s="30">
        <f t="shared" si="7"/>
        <v>114758.34156057265</v>
      </c>
      <c r="R16" s="30"/>
      <c r="S16" s="36"/>
      <c r="T16" s="19"/>
      <c r="U16" s="20" t="str">
        <f t="shared" si="0"/>
        <v>JAWA</v>
      </c>
      <c r="V16" s="20">
        <f t="shared" si="0"/>
        <v>2031</v>
      </c>
      <c r="W16" s="30">
        <v>0</v>
      </c>
      <c r="X16" s="30">
        <v>713.61710201800281</v>
      </c>
      <c r="Y16" s="30">
        <v>5361.3203553828835</v>
      </c>
      <c r="Z16" s="30">
        <v>2.6113233396097337</v>
      </c>
      <c r="AA16" s="30">
        <v>0</v>
      </c>
      <c r="AB16" s="30">
        <v>0</v>
      </c>
      <c r="AC16" s="30">
        <v>0</v>
      </c>
      <c r="AD16" s="30">
        <v>0</v>
      </c>
      <c r="AE16" s="30">
        <v>2331.7157274158803</v>
      </c>
      <c r="AF16" s="30">
        <v>0</v>
      </c>
      <c r="AG16" s="30">
        <v>0</v>
      </c>
      <c r="AH16" s="30">
        <v>0</v>
      </c>
      <c r="AI16" s="30">
        <f t="shared" si="8"/>
        <v>2.0724193584473483</v>
      </c>
      <c r="AJ16" s="34">
        <f t="shared" si="1"/>
        <v>8411.3369275148234</v>
      </c>
      <c r="AM16" s="23"/>
      <c r="AO16" s="20" t="str">
        <f t="shared" si="2"/>
        <v>JAWA</v>
      </c>
      <c r="AP16" s="20">
        <f t="shared" si="2"/>
        <v>2031</v>
      </c>
      <c r="AQ16" s="30">
        <v>99999</v>
      </c>
      <c r="AR16" s="30">
        <v>99999</v>
      </c>
      <c r="AS16" s="30">
        <v>99999</v>
      </c>
      <c r="AT16" s="30">
        <v>99999</v>
      </c>
      <c r="AU16" s="30">
        <f t="shared" si="9"/>
        <v>8107</v>
      </c>
      <c r="AV16" s="30">
        <f t="shared" si="9"/>
        <v>2099.4997189606156</v>
      </c>
      <c r="AW16" s="30">
        <f t="shared" si="9"/>
        <v>2910</v>
      </c>
      <c r="AX16" s="30">
        <f t="shared" si="9"/>
        <v>26658.129247428893</v>
      </c>
      <c r="AY16" s="30">
        <f t="shared" si="9"/>
        <v>4355.2754935709709</v>
      </c>
      <c r="AZ16" s="30">
        <f t="shared" si="9"/>
        <v>9215</v>
      </c>
      <c r="BA16" s="30">
        <f t="shared" si="9"/>
        <v>2267.4350202786209</v>
      </c>
      <c r="BB16" s="30">
        <v>99999</v>
      </c>
      <c r="BC16" s="30">
        <v>99999</v>
      </c>
      <c r="BD16" s="30">
        <f t="shared" si="3"/>
        <v>55612.339480239105</v>
      </c>
      <c r="BF16" s="23"/>
      <c r="BG16" s="19"/>
      <c r="BH16" s="20" t="str">
        <f t="shared" si="10"/>
        <v>JAWA</v>
      </c>
      <c r="BI16" s="20">
        <f t="shared" si="10"/>
        <v>2031</v>
      </c>
      <c r="BJ16" s="25">
        <f t="shared" si="4"/>
        <v>0.17422297139714324</v>
      </c>
      <c r="BK16" s="43">
        <f t="shared" si="5"/>
        <v>3.1113886265316264E-4</v>
      </c>
      <c r="BL16" s="34">
        <f t="shared" si="11"/>
        <v>119515.59639717866</v>
      </c>
      <c r="BP16" s="23"/>
    </row>
    <row r="17" spans="1:84" x14ac:dyDescent="0.25">
      <c r="A17" s="19"/>
      <c r="B17" s="20" t="str">
        <f t="shared" si="12"/>
        <v>JAWA</v>
      </c>
      <c r="C17" s="20">
        <f t="shared" si="13"/>
        <v>2032</v>
      </c>
      <c r="D17" s="30">
        <f t="shared" si="14"/>
        <v>24590.342157804171</v>
      </c>
      <c r="E17" s="30">
        <f t="shared" si="6"/>
        <v>9362.2419834100237</v>
      </c>
      <c r="F17" s="30">
        <f t="shared" si="6"/>
        <v>57435.028267677801</v>
      </c>
      <c r="G17" s="30">
        <f t="shared" si="6"/>
        <v>62.415955243506374</v>
      </c>
      <c r="H17" s="30">
        <f t="shared" si="6"/>
        <v>1204.8</v>
      </c>
      <c r="I17" s="30">
        <f t="shared" si="6"/>
        <v>4698.8502810393838</v>
      </c>
      <c r="J17" s="30">
        <f t="shared" si="6"/>
        <v>195.59883750732558</v>
      </c>
      <c r="K17" s="30">
        <f t="shared" si="6"/>
        <v>5211.8707525711061</v>
      </c>
      <c r="L17" s="30">
        <f t="shared" si="6"/>
        <v>20814.362253214516</v>
      </c>
      <c r="M17" s="30">
        <f t="shared" si="6"/>
        <v>8</v>
      </c>
      <c r="N17" s="30">
        <f t="shared" si="6"/>
        <v>5.5649797213790588</v>
      </c>
      <c r="O17" s="30">
        <f t="shared" si="6"/>
        <v>0</v>
      </c>
      <c r="P17" s="30">
        <f>BL17/((VLOOKUP(P$3,tech_data!$B$2:$G$15,6,FALSE)/100)*24*365)</f>
        <v>32.481312367201433</v>
      </c>
      <c r="Q17" s="30">
        <f t="shared" si="7"/>
        <v>123589.0754681892</v>
      </c>
      <c r="R17" s="30"/>
      <c r="S17" s="36"/>
      <c r="T17" s="19"/>
      <c r="U17" s="20" t="str">
        <f t="shared" si="0"/>
        <v>JAWA</v>
      </c>
      <c r="V17" s="20">
        <f t="shared" si="0"/>
        <v>2032</v>
      </c>
      <c r="W17" s="30">
        <v>0</v>
      </c>
      <c r="X17" s="30">
        <v>754.09362821613263</v>
      </c>
      <c r="Y17" s="30">
        <v>5718.0124181640085</v>
      </c>
      <c r="Z17" s="30">
        <v>2.7412769436342082</v>
      </c>
      <c r="AA17" s="30">
        <v>0</v>
      </c>
      <c r="AB17" s="30">
        <v>0</v>
      </c>
      <c r="AC17" s="30">
        <v>178.24883750732559</v>
      </c>
      <c r="AD17" s="30">
        <v>0</v>
      </c>
      <c r="AE17" s="30">
        <v>2177.6377467854854</v>
      </c>
      <c r="AF17" s="30">
        <v>0</v>
      </c>
      <c r="AG17" s="30">
        <v>0</v>
      </c>
      <c r="AH17" s="30">
        <v>0</v>
      </c>
      <c r="AI17" s="30">
        <f t="shared" si="8"/>
        <v>2.1627947626406403</v>
      </c>
      <c r="AJ17" s="34">
        <f t="shared" si="1"/>
        <v>8832.8967023792266</v>
      </c>
      <c r="AM17" s="23"/>
      <c r="AO17" s="20" t="str">
        <f t="shared" si="2"/>
        <v>JAWA</v>
      </c>
      <c r="AP17" s="20">
        <f t="shared" si="2"/>
        <v>2032</v>
      </c>
      <c r="AQ17" s="30">
        <v>99999</v>
      </c>
      <c r="AR17" s="30">
        <v>99999</v>
      </c>
      <c r="AS17" s="30">
        <v>99999</v>
      </c>
      <c r="AT17" s="30">
        <v>99999</v>
      </c>
      <c r="AU17" s="30">
        <f t="shared" si="9"/>
        <v>8107</v>
      </c>
      <c r="AV17" s="30">
        <f t="shared" si="9"/>
        <v>2099.4997189606156</v>
      </c>
      <c r="AW17" s="30">
        <f t="shared" si="9"/>
        <v>2731.7511624926742</v>
      </c>
      <c r="AX17" s="30">
        <f t="shared" si="9"/>
        <v>26658.129247428893</v>
      </c>
      <c r="AY17" s="30">
        <f t="shared" si="9"/>
        <v>2177.6377467854854</v>
      </c>
      <c r="AZ17" s="30">
        <f t="shared" si="9"/>
        <v>9215</v>
      </c>
      <c r="BA17" s="30">
        <f t="shared" si="9"/>
        <v>2267.4350202786209</v>
      </c>
      <c r="BB17" s="30">
        <v>99999</v>
      </c>
      <c r="BC17" s="30">
        <v>99999</v>
      </c>
      <c r="BD17" s="30">
        <f t="shared" si="3"/>
        <v>53256.452895946291</v>
      </c>
      <c r="BF17" s="23"/>
      <c r="BG17" s="19"/>
      <c r="BH17" s="20" t="str">
        <f t="shared" si="10"/>
        <v>JAWA</v>
      </c>
      <c r="BI17" s="20">
        <f t="shared" si="10"/>
        <v>2032</v>
      </c>
      <c r="BJ17" s="25">
        <f t="shared" si="4"/>
        <v>0.17957625577966058</v>
      </c>
      <c r="BK17" s="43">
        <f t="shared" si="5"/>
        <v>3.1232027713758029E-4</v>
      </c>
      <c r="BL17" s="34">
        <f t="shared" si="11"/>
        <v>128041.33335150806</v>
      </c>
      <c r="BP17" s="23"/>
    </row>
    <row r="18" spans="1:84" x14ac:dyDescent="0.25">
      <c r="A18" s="19"/>
      <c r="B18" s="20" t="str">
        <f t="shared" si="12"/>
        <v>JAWA</v>
      </c>
      <c r="C18" s="20">
        <f t="shared" si="13"/>
        <v>2033</v>
      </c>
      <c r="D18" s="30">
        <f t="shared" si="14"/>
        <v>25480.867138526035</v>
      </c>
      <c r="E18" s="30">
        <f t="shared" si="6"/>
        <v>9936.681914069839</v>
      </c>
      <c r="F18" s="30">
        <f t="shared" si="6"/>
        <v>61528.099464939187</v>
      </c>
      <c r="G18" s="30">
        <f t="shared" si="6"/>
        <v>64.913190676845687</v>
      </c>
      <c r="H18" s="30">
        <f t="shared" si="6"/>
        <v>1233.5645174490976</v>
      </c>
      <c r="I18" s="30">
        <f t="shared" si="6"/>
        <v>4921.9242136882904</v>
      </c>
      <c r="J18" s="30">
        <f t="shared" si="6"/>
        <v>556.83086689421975</v>
      </c>
      <c r="K18" s="30">
        <f t="shared" si="6"/>
        <v>5790.597286502124</v>
      </c>
      <c r="L18" s="30">
        <f t="shared" si="6"/>
        <v>21903.181126607258</v>
      </c>
      <c r="M18" s="30">
        <f t="shared" si="6"/>
        <v>8</v>
      </c>
      <c r="N18" s="30">
        <f t="shared" si="6"/>
        <v>5.5649797213790588</v>
      </c>
      <c r="O18" s="30">
        <f t="shared" si="6"/>
        <v>0</v>
      </c>
      <c r="P18" s="30">
        <f>BL18/((VLOOKUP(P$3,tech_data!$B$2:$G$15,6,FALSE)/100)*24*365)</f>
        <v>34.464969603175213</v>
      </c>
      <c r="Q18" s="30">
        <f t="shared" si="7"/>
        <v>131430.22469907429</v>
      </c>
      <c r="R18" s="30"/>
      <c r="S18" s="36"/>
      <c r="T18" s="19"/>
      <c r="U18" s="20" t="str">
        <f t="shared" si="0"/>
        <v>JAWA</v>
      </c>
      <c r="V18" s="20">
        <f t="shared" si="0"/>
        <v>2033</v>
      </c>
      <c r="W18" s="30">
        <v>890.52498072186324</v>
      </c>
      <c r="X18" s="30">
        <v>574.43993065981465</v>
      </c>
      <c r="Y18" s="30">
        <v>4093.0711972613863</v>
      </c>
      <c r="Z18" s="30">
        <v>2.4972354333393061</v>
      </c>
      <c r="AA18" s="30">
        <v>28.764517449097674</v>
      </c>
      <c r="AB18" s="30">
        <v>223.07393264890669</v>
      </c>
      <c r="AC18" s="30">
        <v>361.23202938689417</v>
      </c>
      <c r="AD18" s="30">
        <v>578.72653393101825</v>
      </c>
      <c r="AE18" s="30">
        <v>1088.8188733927427</v>
      </c>
      <c r="AF18" s="30">
        <v>0</v>
      </c>
      <c r="AG18" s="30">
        <v>0</v>
      </c>
      <c r="AH18" s="30">
        <v>0</v>
      </c>
      <c r="AI18" s="30">
        <f t="shared" si="8"/>
        <v>1.9836572359737801</v>
      </c>
      <c r="AJ18" s="34">
        <f t="shared" si="1"/>
        <v>7843.1328881210366</v>
      </c>
      <c r="AM18" s="23"/>
      <c r="AO18" s="20" t="str">
        <f t="shared" si="2"/>
        <v>JAWA</v>
      </c>
      <c r="AP18" s="20">
        <f t="shared" si="2"/>
        <v>2033</v>
      </c>
      <c r="AQ18" s="30">
        <v>99999</v>
      </c>
      <c r="AR18" s="30">
        <v>99999</v>
      </c>
      <c r="AS18" s="30">
        <v>99999</v>
      </c>
      <c r="AT18" s="30">
        <v>99999</v>
      </c>
      <c r="AU18" s="30">
        <f t="shared" si="9"/>
        <v>8078.2354825509019</v>
      </c>
      <c r="AV18" s="30">
        <f t="shared" si="9"/>
        <v>1876.4257863117089</v>
      </c>
      <c r="AW18" s="30">
        <f t="shared" si="9"/>
        <v>2370.5191331057799</v>
      </c>
      <c r="AX18" s="30">
        <f t="shared" si="9"/>
        <v>26079.402713497875</v>
      </c>
      <c r="AY18" s="30">
        <f t="shared" si="9"/>
        <v>1088.8188733927427</v>
      </c>
      <c r="AZ18" s="30">
        <f t="shared" si="9"/>
        <v>9215</v>
      </c>
      <c r="BA18" s="30">
        <f t="shared" si="9"/>
        <v>2267.4350202786209</v>
      </c>
      <c r="BB18" s="30">
        <v>99999</v>
      </c>
      <c r="BC18" s="30">
        <v>99999</v>
      </c>
      <c r="BD18" s="30">
        <f t="shared" si="3"/>
        <v>50975.837009137635</v>
      </c>
      <c r="BF18" s="23"/>
      <c r="BG18" s="19"/>
      <c r="BH18" s="20" t="str">
        <f t="shared" si="10"/>
        <v>JAWA</v>
      </c>
      <c r="BI18" s="20">
        <f t="shared" si="10"/>
        <v>2033</v>
      </c>
      <c r="BJ18" s="25">
        <f t="shared" si="4"/>
        <v>0.17935855675987358</v>
      </c>
      <c r="BK18" s="43">
        <f t="shared" si="5"/>
        <v>3.1227223321597208E-4</v>
      </c>
      <c r="BL18" s="34">
        <f t="shared" si="11"/>
        <v>135860.91017571671</v>
      </c>
      <c r="BP18" s="23"/>
    </row>
    <row r="19" spans="1:84" x14ac:dyDescent="0.25">
      <c r="A19" s="19"/>
      <c r="B19" s="20" t="str">
        <f t="shared" si="12"/>
        <v>JAWA</v>
      </c>
      <c r="C19" s="20">
        <f t="shared" si="13"/>
        <v>2034</v>
      </c>
      <c r="D19" s="30">
        <f t="shared" si="14"/>
        <v>27006.548669363052</v>
      </c>
      <c r="E19" s="30">
        <f t="shared" si="6"/>
        <v>10778.923033825142</v>
      </c>
      <c r="F19" s="30">
        <f t="shared" si="6"/>
        <v>65289.380979797206</v>
      </c>
      <c r="G19" s="30">
        <f t="shared" si="6"/>
        <v>67.902100757876539</v>
      </c>
      <c r="H19" s="30">
        <f t="shared" si="6"/>
        <v>1233.5645174490976</v>
      </c>
      <c r="I19" s="30">
        <f t="shared" si="6"/>
        <v>4921.9242136882904</v>
      </c>
      <c r="J19" s="30">
        <f t="shared" si="6"/>
        <v>1548.573645322936</v>
      </c>
      <c r="K19" s="30">
        <f t="shared" si="6"/>
        <v>6571.134319734575</v>
      </c>
      <c r="L19" s="30">
        <f t="shared" si="6"/>
        <v>22447.590563303631</v>
      </c>
      <c r="M19" s="30">
        <f t="shared" si="6"/>
        <v>8</v>
      </c>
      <c r="N19" s="30">
        <f t="shared" si="6"/>
        <v>5.5649797213790588</v>
      </c>
      <c r="O19" s="30">
        <f t="shared" si="6"/>
        <v>0</v>
      </c>
      <c r="P19" s="30">
        <f>BL19/((VLOOKUP(P$3,tech_data!$B$2:$G$15,6,FALSE)/100)*24*365)</f>
        <v>36.667366974864542</v>
      </c>
      <c r="Q19" s="30">
        <f t="shared" si="7"/>
        <v>139879.10702296317</v>
      </c>
      <c r="R19" s="30"/>
      <c r="S19" s="36"/>
      <c r="T19" s="19"/>
      <c r="U19" s="20" t="str">
        <f t="shared" si="0"/>
        <v>JAWA</v>
      </c>
      <c r="V19" s="20">
        <f t="shared" si="0"/>
        <v>2034</v>
      </c>
      <c r="W19" s="30">
        <v>1525.6815308370183</v>
      </c>
      <c r="X19" s="30">
        <v>842.24111975530354</v>
      </c>
      <c r="Y19" s="30">
        <v>3761.2815148580175</v>
      </c>
      <c r="Z19" s="30">
        <v>2.9889100810308546</v>
      </c>
      <c r="AA19" s="30">
        <v>3.5527136788005009E-15</v>
      </c>
      <c r="AB19" s="30">
        <v>0</v>
      </c>
      <c r="AC19" s="30">
        <v>991.74277842871618</v>
      </c>
      <c r="AD19" s="30">
        <v>780.53703323245122</v>
      </c>
      <c r="AE19" s="30">
        <v>544.40943669637136</v>
      </c>
      <c r="AF19" s="30">
        <v>0</v>
      </c>
      <c r="AG19" s="30">
        <v>0</v>
      </c>
      <c r="AH19" s="30">
        <v>0</v>
      </c>
      <c r="AI19" s="30">
        <f t="shared" si="8"/>
        <v>2.2023973716893295</v>
      </c>
      <c r="AJ19" s="34">
        <f t="shared" si="1"/>
        <v>8451.0847212605986</v>
      </c>
      <c r="AM19" s="23"/>
      <c r="AO19" s="20" t="str">
        <f t="shared" si="2"/>
        <v>JAWA</v>
      </c>
      <c r="AP19" s="20">
        <f t="shared" si="2"/>
        <v>2034</v>
      </c>
      <c r="AQ19" s="30">
        <v>99999</v>
      </c>
      <c r="AR19" s="30">
        <v>99999</v>
      </c>
      <c r="AS19" s="30">
        <v>99999</v>
      </c>
      <c r="AT19" s="30">
        <v>99999</v>
      </c>
      <c r="AU19" s="30">
        <f t="shared" si="9"/>
        <v>8078.2354825509019</v>
      </c>
      <c r="AV19" s="30">
        <f t="shared" si="9"/>
        <v>1876.4257863117089</v>
      </c>
      <c r="AW19" s="30">
        <f t="shared" si="9"/>
        <v>1378.7763546770639</v>
      </c>
      <c r="AX19" s="30">
        <f t="shared" si="9"/>
        <v>25298.865680265422</v>
      </c>
      <c r="AY19" s="30">
        <f t="shared" si="9"/>
        <v>544.40943669637136</v>
      </c>
      <c r="AZ19" s="30">
        <f t="shared" si="9"/>
        <v>9215</v>
      </c>
      <c r="BA19" s="30">
        <f t="shared" si="9"/>
        <v>2267.4350202786209</v>
      </c>
      <c r="BB19" s="30">
        <v>99999</v>
      </c>
      <c r="BC19" s="30">
        <v>99999</v>
      </c>
      <c r="BD19" s="30">
        <f t="shared" si="3"/>
        <v>48659.147760780084</v>
      </c>
      <c r="BF19" s="23"/>
      <c r="BG19" s="19"/>
      <c r="BH19" s="20" t="str">
        <f t="shared" si="10"/>
        <v>JAWA</v>
      </c>
      <c r="BI19" s="20">
        <f t="shared" si="10"/>
        <v>2034</v>
      </c>
      <c r="BJ19" s="25">
        <f t="shared" si="4"/>
        <v>0.1747317098981909</v>
      </c>
      <c r="BK19" s="43">
        <f t="shared" si="5"/>
        <v>3.1125113597753177E-4</v>
      </c>
      <c r="BL19" s="34">
        <f t="shared" si="11"/>
        <v>144542.76061491604</v>
      </c>
      <c r="BP19" s="23"/>
    </row>
    <row r="20" spans="1:84" x14ac:dyDescent="0.25">
      <c r="A20" s="19"/>
      <c r="B20" s="20" t="str">
        <f t="shared" si="12"/>
        <v>JAWA</v>
      </c>
      <c r="C20" s="20">
        <f t="shared" si="13"/>
        <v>2035</v>
      </c>
      <c r="D20" s="30">
        <f t="shared" si="14"/>
        <v>28504.687197252861</v>
      </c>
      <c r="E20" s="30">
        <f t="shared" si="6"/>
        <v>11164.501888630642</v>
      </c>
      <c r="F20" s="30">
        <f t="shared" si="6"/>
        <v>69509.125649298468</v>
      </c>
      <c r="G20" s="30">
        <f t="shared" si="6"/>
        <v>70.737136006280878</v>
      </c>
      <c r="H20" s="30">
        <f t="shared" si="6"/>
        <v>1298.7109254510754</v>
      </c>
      <c r="I20" s="30">
        <f t="shared" si="6"/>
        <v>5426.7959595986822</v>
      </c>
      <c r="J20" s="30">
        <f t="shared" si="6"/>
        <v>2237.961847774674</v>
      </c>
      <c r="K20" s="30">
        <f t="shared" si="6"/>
        <v>7425.1370206715001</v>
      </c>
      <c r="L20" s="30">
        <f t="shared" si="6"/>
        <v>22719.76886380928</v>
      </c>
      <c r="M20" s="30">
        <f t="shared" si="6"/>
        <v>8</v>
      </c>
      <c r="N20" s="30">
        <f t="shared" si="6"/>
        <v>5.5649797213790588</v>
      </c>
      <c r="O20" s="30">
        <f t="shared" si="6"/>
        <v>0</v>
      </c>
      <c r="P20" s="30">
        <f>BL20/((VLOOKUP(P$3,tech_data!$B$2:$G$15,6,FALSE)/100)*24*365)</f>
        <v>38.826414829219409</v>
      </c>
      <c r="Q20" s="30">
        <f t="shared" si="7"/>
        <v>148370.99146821484</v>
      </c>
      <c r="R20" s="30"/>
      <c r="S20" s="36"/>
      <c r="T20" s="19"/>
      <c r="U20" s="20" t="str">
        <f t="shared" si="0"/>
        <v>JAWA</v>
      </c>
      <c r="V20" s="20">
        <f t="shared" si="0"/>
        <v>2035</v>
      </c>
      <c r="W20" s="30">
        <v>1498.1385278898101</v>
      </c>
      <c r="X20" s="30">
        <v>385.5788548055005</v>
      </c>
      <c r="Y20" s="30">
        <v>4219.7446695012632</v>
      </c>
      <c r="Z20" s="30">
        <v>2.835035248404342</v>
      </c>
      <c r="AA20" s="30">
        <v>65.146408001977761</v>
      </c>
      <c r="AB20" s="30">
        <v>504.87174591039155</v>
      </c>
      <c r="AC20" s="30">
        <v>689.38820245173793</v>
      </c>
      <c r="AD20" s="30">
        <v>854.00270093692473</v>
      </c>
      <c r="AE20" s="30">
        <v>272.17830050565016</v>
      </c>
      <c r="AF20" s="30">
        <v>0</v>
      </c>
      <c r="AG20" s="30">
        <v>0</v>
      </c>
      <c r="AH20" s="30">
        <v>0</v>
      </c>
      <c r="AI20" s="30">
        <f t="shared" si="8"/>
        <v>2.159047854354867</v>
      </c>
      <c r="AJ20" s="34">
        <f t="shared" si="1"/>
        <v>8494.0434931060136</v>
      </c>
      <c r="AM20" s="23"/>
      <c r="AO20" s="20" t="str">
        <f t="shared" si="2"/>
        <v>JAWA</v>
      </c>
      <c r="AP20" s="20">
        <f t="shared" si="2"/>
        <v>2035</v>
      </c>
      <c r="AQ20" s="30">
        <v>99999</v>
      </c>
      <c r="AR20" s="30">
        <v>99999</v>
      </c>
      <c r="AS20" s="30">
        <v>99999</v>
      </c>
      <c r="AT20" s="30">
        <v>99999</v>
      </c>
      <c r="AU20" s="30">
        <f t="shared" si="9"/>
        <v>8013.0890745489241</v>
      </c>
      <c r="AV20" s="30">
        <f t="shared" si="9"/>
        <v>1371.5540404013173</v>
      </c>
      <c r="AW20" s="30">
        <f t="shared" si="9"/>
        <v>689.38815222532594</v>
      </c>
      <c r="AX20" s="30">
        <f t="shared" si="9"/>
        <v>24444.862979328496</v>
      </c>
      <c r="AY20" s="30">
        <f t="shared" si="9"/>
        <v>272.2311361907212</v>
      </c>
      <c r="AZ20" s="30">
        <f t="shared" si="9"/>
        <v>9215</v>
      </c>
      <c r="BA20" s="30">
        <f t="shared" si="9"/>
        <v>2267.4350202786209</v>
      </c>
      <c r="BB20" s="30">
        <v>99999</v>
      </c>
      <c r="BC20" s="30">
        <v>99999</v>
      </c>
      <c r="BD20" s="30">
        <f t="shared" si="3"/>
        <v>46273.560402973402</v>
      </c>
      <c r="BF20" s="23"/>
      <c r="BG20" s="19"/>
      <c r="BH20" s="20" t="str">
        <f t="shared" si="10"/>
        <v>JAWA</v>
      </c>
      <c r="BI20" s="20">
        <f t="shared" si="10"/>
        <v>2035</v>
      </c>
      <c r="BJ20" s="25">
        <f t="shared" si="4"/>
        <v>0.16925233669969997</v>
      </c>
      <c r="BK20" s="43">
        <f t="shared" si="5"/>
        <v>3.1004189499579584E-4</v>
      </c>
      <c r="BL20" s="34">
        <f t="shared" si="11"/>
        <v>153053.72725678294</v>
      </c>
      <c r="BP20" s="23"/>
    </row>
    <row r="21" spans="1:84" x14ac:dyDescent="0.25">
      <c r="A21" s="19"/>
      <c r="B21" s="20" t="str">
        <f t="shared" si="12"/>
        <v>JAWA</v>
      </c>
      <c r="C21" s="20">
        <f t="shared" si="13"/>
        <v>2036</v>
      </c>
      <c r="D21" s="30">
        <f t="shared" si="14"/>
        <v>30174.962490866477</v>
      </c>
      <c r="E21" s="30">
        <f t="shared" si="14"/>
        <v>11419.338503317374</v>
      </c>
      <c r="F21" s="30">
        <f t="shared" si="14"/>
        <v>74409.181901482356</v>
      </c>
      <c r="G21" s="30">
        <f t="shared" si="14"/>
        <v>73.912376864035025</v>
      </c>
      <c r="H21" s="30">
        <f t="shared" si="14"/>
        <v>1749.5232951205328</v>
      </c>
      <c r="I21" s="30">
        <f t="shared" si="14"/>
        <v>6112.5729797993408</v>
      </c>
      <c r="J21" s="30">
        <f t="shared" si="14"/>
        <v>2582.6559238873369</v>
      </c>
      <c r="K21" s="30">
        <f t="shared" si="14"/>
        <v>8414.1385765142895</v>
      </c>
      <c r="L21" s="30">
        <f t="shared" si="14"/>
        <v>22855.88443190464</v>
      </c>
      <c r="M21" s="30">
        <f t="shared" si="14"/>
        <v>8</v>
      </c>
      <c r="N21" s="30">
        <f t="shared" si="14"/>
        <v>5.5649797213790588</v>
      </c>
      <c r="O21" s="30">
        <f t="shared" si="14"/>
        <v>0</v>
      </c>
      <c r="P21" s="30">
        <f>BL21/((VLOOKUP(P$3,tech_data!$B$2:$G$15,6,FALSE)/100)*24*365)</f>
        <v>41.212772225272936</v>
      </c>
      <c r="Q21" s="30">
        <f t="shared" si="7"/>
        <v>157805.73545947779</v>
      </c>
      <c r="R21" s="30"/>
      <c r="S21" s="36"/>
      <c r="T21" s="19"/>
      <c r="U21" s="20" t="str">
        <f t="shared" si="0"/>
        <v>JAWA</v>
      </c>
      <c r="V21" s="20">
        <f t="shared" si="0"/>
        <v>2036</v>
      </c>
      <c r="W21" s="30">
        <v>1670.2752936136151</v>
      </c>
      <c r="X21" s="30">
        <v>254.83661468673131</v>
      </c>
      <c r="Y21" s="30">
        <v>4900.056252183892</v>
      </c>
      <c r="Z21" s="30">
        <v>3.1752408577541433</v>
      </c>
      <c r="AA21" s="30">
        <v>450.8123696694575</v>
      </c>
      <c r="AB21" s="30">
        <v>685.77702020065863</v>
      </c>
      <c r="AC21" s="30">
        <v>344.69407611266297</v>
      </c>
      <c r="AD21" s="30">
        <v>989.00155584278923</v>
      </c>
      <c r="AE21" s="30">
        <v>136.1155680953606</v>
      </c>
      <c r="AF21" s="30">
        <v>0</v>
      </c>
      <c r="AG21" s="30">
        <v>0</v>
      </c>
      <c r="AH21" s="30">
        <v>0</v>
      </c>
      <c r="AI21" s="30">
        <f t="shared" si="8"/>
        <v>2.3863573960535263</v>
      </c>
      <c r="AJ21" s="34">
        <f t="shared" si="1"/>
        <v>9437.1303486589732</v>
      </c>
      <c r="AM21" s="23"/>
      <c r="AO21" s="20" t="str">
        <f t="shared" si="2"/>
        <v>JAWA</v>
      </c>
      <c r="AP21" s="20">
        <f t="shared" si="2"/>
        <v>2036</v>
      </c>
      <c r="AQ21" s="30">
        <v>99999</v>
      </c>
      <c r="AR21" s="30">
        <v>99999</v>
      </c>
      <c r="AS21" s="30">
        <v>99999</v>
      </c>
      <c r="AT21" s="30">
        <v>99999</v>
      </c>
      <c r="AU21" s="30">
        <f t="shared" ref="AU21:BA23" si="15">AU20-AA21</f>
        <v>7562.2767048794667</v>
      </c>
      <c r="AV21" s="30">
        <f t="shared" si="15"/>
        <v>685.77702020065863</v>
      </c>
      <c r="AW21" s="30">
        <f t="shared" si="15"/>
        <v>344.69407611266297</v>
      </c>
      <c r="AX21" s="30">
        <f t="shared" si="15"/>
        <v>23455.861423485709</v>
      </c>
      <c r="AY21" s="30">
        <f t="shared" si="15"/>
        <v>136.1155680953606</v>
      </c>
      <c r="AZ21" s="30">
        <f t="shared" si="15"/>
        <v>9215</v>
      </c>
      <c r="BA21" s="30">
        <f t="shared" si="15"/>
        <v>2267.4350202786209</v>
      </c>
      <c r="BB21" s="30">
        <v>99999</v>
      </c>
      <c r="BC21" s="30">
        <v>99999</v>
      </c>
      <c r="BD21" s="30">
        <f t="shared" si="3"/>
        <v>43667.15981305248</v>
      </c>
      <c r="BF21" s="23"/>
      <c r="BG21" s="19"/>
      <c r="BH21" s="20" t="str">
        <f t="shared" si="10"/>
        <v>JAWA</v>
      </c>
      <c r="BI21" s="20">
        <f t="shared" si="10"/>
        <v>2036</v>
      </c>
      <c r="BJ21" s="25">
        <f t="shared" si="4"/>
        <v>0.16299370974179012</v>
      </c>
      <c r="BK21" s="43">
        <f t="shared" si="5"/>
        <v>3.0866068077060193E-4</v>
      </c>
      <c r="BL21" s="34">
        <f t="shared" si="11"/>
        <v>162460.74811202593</v>
      </c>
      <c r="BP21" s="23"/>
    </row>
    <row r="22" spans="1:84" x14ac:dyDescent="0.25">
      <c r="A22" s="19"/>
      <c r="B22" s="20" t="str">
        <f t="shared" si="12"/>
        <v>JAWA</v>
      </c>
      <c r="C22" s="20">
        <f t="shared" si="13"/>
        <v>2037</v>
      </c>
      <c r="D22" s="30">
        <f t="shared" ref="D22:O23" si="16">D21+W22</f>
        <v>31878.497995647602</v>
      </c>
      <c r="E22" s="30">
        <f t="shared" si="16"/>
        <v>12070.625167639753</v>
      </c>
      <c r="F22" s="30">
        <f t="shared" si="16"/>
        <v>79026.873257823056</v>
      </c>
      <c r="G22" s="30">
        <f t="shared" si="16"/>
        <v>77.077919386961071</v>
      </c>
      <c r="H22" s="30">
        <f t="shared" si="16"/>
        <v>2668.7500512220977</v>
      </c>
      <c r="I22" s="30">
        <f t="shared" si="16"/>
        <v>6455.4407743329339</v>
      </c>
      <c r="J22" s="30">
        <f t="shared" si="16"/>
        <v>2755.0029619436687</v>
      </c>
      <c r="K22" s="30">
        <f t="shared" si="16"/>
        <v>9514.6861013247453</v>
      </c>
      <c r="L22" s="30">
        <f t="shared" si="16"/>
        <v>22923.94221595232</v>
      </c>
      <c r="M22" s="30">
        <f t="shared" si="16"/>
        <v>8</v>
      </c>
      <c r="N22" s="30">
        <f t="shared" si="16"/>
        <v>5.5649797213790588</v>
      </c>
      <c r="O22" s="30">
        <f t="shared" si="16"/>
        <v>1.2406235350967193E-15</v>
      </c>
      <c r="P22" s="30">
        <f>BL22/((VLOOKUP(P$3,tech_data!$B$2:$G$15,6,FALSE)/100)*24*365)</f>
        <v>43.672087859027108</v>
      </c>
      <c r="Q22" s="30">
        <f t="shared" si="7"/>
        <v>167384.46142499454</v>
      </c>
      <c r="R22" s="30"/>
      <c r="S22" s="36"/>
      <c r="T22" s="19"/>
      <c r="U22" s="20" t="str">
        <f t="shared" si="0"/>
        <v>JAWA</v>
      </c>
      <c r="V22" s="20">
        <f t="shared" si="0"/>
        <v>2037</v>
      </c>
      <c r="W22" s="30">
        <v>1703.5355047811258</v>
      </c>
      <c r="X22" s="30">
        <v>651.28666432237947</v>
      </c>
      <c r="Y22" s="30">
        <v>4617.691356340697</v>
      </c>
      <c r="Z22" s="30">
        <v>3.1655425229260503</v>
      </c>
      <c r="AA22" s="30">
        <v>919.22675610156489</v>
      </c>
      <c r="AB22" s="30">
        <v>342.86779453359293</v>
      </c>
      <c r="AC22" s="30">
        <v>172.34703805633151</v>
      </c>
      <c r="AD22" s="30">
        <v>1100.5475248104553</v>
      </c>
      <c r="AE22" s="30">
        <v>68.057784047680315</v>
      </c>
      <c r="AF22" s="30">
        <v>0</v>
      </c>
      <c r="AG22" s="30">
        <v>0</v>
      </c>
      <c r="AH22" s="30">
        <v>1.2406235350967193E-15</v>
      </c>
      <c r="AI22" s="30">
        <f t="shared" si="8"/>
        <v>2.4593156337541728</v>
      </c>
      <c r="AJ22" s="34">
        <f t="shared" si="1"/>
        <v>9581.1852811505087</v>
      </c>
      <c r="AM22" s="23"/>
      <c r="AO22" s="20" t="str">
        <f t="shared" si="2"/>
        <v>JAWA</v>
      </c>
      <c r="AP22" s="20">
        <f t="shared" si="2"/>
        <v>2037</v>
      </c>
      <c r="AQ22" s="30">
        <v>99999</v>
      </c>
      <c r="AR22" s="30">
        <v>99999</v>
      </c>
      <c r="AS22" s="30">
        <v>99999</v>
      </c>
      <c r="AT22" s="30">
        <v>99999</v>
      </c>
      <c r="AU22" s="30">
        <f t="shared" si="15"/>
        <v>6643.0499487779016</v>
      </c>
      <c r="AV22" s="30">
        <f t="shared" si="15"/>
        <v>342.9092256670657</v>
      </c>
      <c r="AW22" s="30">
        <f t="shared" si="15"/>
        <v>172.34703805633146</v>
      </c>
      <c r="AX22" s="30">
        <f t="shared" si="15"/>
        <v>22355.313898675253</v>
      </c>
      <c r="AY22" s="30">
        <f t="shared" si="15"/>
        <v>68.057784047680286</v>
      </c>
      <c r="AZ22" s="30">
        <f t="shared" si="15"/>
        <v>9215</v>
      </c>
      <c r="BA22" s="30">
        <f t="shared" si="15"/>
        <v>2267.4350202786209</v>
      </c>
      <c r="BB22" s="30">
        <v>99999</v>
      </c>
      <c r="BC22" s="30">
        <v>99999</v>
      </c>
      <c r="BD22" s="30">
        <f t="shared" si="3"/>
        <v>41064.112915502854</v>
      </c>
      <c r="BF22" s="23"/>
      <c r="BG22" s="19"/>
      <c r="BH22" s="20" t="str">
        <f t="shared" si="10"/>
        <v>JAWA</v>
      </c>
      <c r="BI22" s="20">
        <f t="shared" si="10"/>
        <v>2037</v>
      </c>
      <c r="BJ22" s="25">
        <f t="shared" si="4"/>
        <v>0.15716214959345928</v>
      </c>
      <c r="BK22" s="43">
        <f t="shared" si="5"/>
        <v>3.0737371577234965E-4</v>
      </c>
      <c r="BL22" s="34">
        <f t="shared" si="11"/>
        <v>172155.37034028489</v>
      </c>
      <c r="BP22" s="23"/>
    </row>
    <row r="23" spans="1:84" x14ac:dyDescent="0.25">
      <c r="A23" s="19"/>
      <c r="B23" s="20" t="str">
        <f t="shared" si="12"/>
        <v>JAWA</v>
      </c>
      <c r="C23" s="20">
        <f t="shared" si="13"/>
        <v>2038</v>
      </c>
      <c r="D23" s="30">
        <f t="shared" si="16"/>
        <v>33839.880606293918</v>
      </c>
      <c r="E23" s="30">
        <f t="shared" si="16"/>
        <v>12949.076989286004</v>
      </c>
      <c r="F23" s="30">
        <f t="shared" si="16"/>
        <v>84199.128893242538</v>
      </c>
      <c r="G23" s="30">
        <f t="shared" si="16"/>
        <v>80.769158949480186</v>
      </c>
      <c r="H23" s="30">
        <f t="shared" si="16"/>
        <v>3989.7060805134352</v>
      </c>
      <c r="I23" s="30">
        <f t="shared" si="16"/>
        <v>6626.8953871664671</v>
      </c>
      <c r="J23" s="30">
        <f t="shared" si="16"/>
        <v>2841.1764809718343</v>
      </c>
      <c r="K23" s="30">
        <f t="shared" si="16"/>
        <v>10809.871879086793</v>
      </c>
      <c r="L23" s="30">
        <f t="shared" si="16"/>
        <v>22957.971107976162</v>
      </c>
      <c r="M23" s="30">
        <f t="shared" si="16"/>
        <v>8</v>
      </c>
      <c r="N23" s="30">
        <f t="shared" si="16"/>
        <v>5.5649797213790588</v>
      </c>
      <c r="O23" s="30">
        <f t="shared" si="16"/>
        <v>1.2406235350967193E-15</v>
      </c>
      <c r="P23" s="30">
        <f>BL23/((VLOOKUP(P$3,tech_data!$B$2:$G$15,6,FALSE)/100)*24*365)</f>
        <v>46.495344543576678</v>
      </c>
      <c r="Q23" s="30">
        <f t="shared" si="7"/>
        <v>178308.04156320801</v>
      </c>
      <c r="R23" s="30"/>
      <c r="S23" s="36"/>
      <c r="T23" s="19"/>
      <c r="U23" s="20" t="str">
        <f t="shared" si="0"/>
        <v>JAWA</v>
      </c>
      <c r="V23" s="20">
        <f t="shared" si="0"/>
        <v>2038</v>
      </c>
      <c r="W23" s="30">
        <v>1961.3826106463143</v>
      </c>
      <c r="X23" s="30">
        <v>878.45182164625157</v>
      </c>
      <c r="Y23" s="30">
        <v>5172.2556354194749</v>
      </c>
      <c r="Z23" s="30">
        <v>3.6912395625191112</v>
      </c>
      <c r="AA23" s="30">
        <v>1320.9560292913372</v>
      </c>
      <c r="AB23" s="30">
        <v>171.45461283353285</v>
      </c>
      <c r="AC23" s="30">
        <v>86.173519028165728</v>
      </c>
      <c r="AD23" s="30">
        <v>1295.1857777620482</v>
      </c>
      <c r="AE23" s="30">
        <v>34.02889202384015</v>
      </c>
      <c r="AF23" s="30">
        <v>0</v>
      </c>
      <c r="AG23" s="30">
        <v>0</v>
      </c>
      <c r="AH23" s="30">
        <v>0</v>
      </c>
      <c r="AI23" s="30">
        <f t="shared" si="8"/>
        <v>2.8232566845495697</v>
      </c>
      <c r="AJ23" s="34">
        <f t="shared" si="1"/>
        <v>10926.403394898032</v>
      </c>
      <c r="AM23" s="23"/>
      <c r="AO23" s="20" t="str">
        <f t="shared" si="2"/>
        <v>JAWA</v>
      </c>
      <c r="AP23" s="20">
        <f t="shared" si="2"/>
        <v>2038</v>
      </c>
      <c r="AQ23" s="30">
        <v>99999</v>
      </c>
      <c r="AR23" s="30">
        <v>99999</v>
      </c>
      <c r="AS23" s="30">
        <v>99999</v>
      </c>
      <c r="AT23" s="30">
        <v>99999</v>
      </c>
      <c r="AU23" s="30">
        <f t="shared" si="15"/>
        <v>5322.0939194865641</v>
      </c>
      <c r="AV23" s="30">
        <f t="shared" si="15"/>
        <v>171.45461283353285</v>
      </c>
      <c r="AW23" s="30">
        <f t="shared" si="15"/>
        <v>86.173519028165728</v>
      </c>
      <c r="AX23" s="30">
        <f t="shared" si="15"/>
        <v>21060.128120913203</v>
      </c>
      <c r="AY23" s="30">
        <f t="shared" si="15"/>
        <v>34.028892023840136</v>
      </c>
      <c r="AZ23" s="30">
        <f t="shared" si="15"/>
        <v>9215</v>
      </c>
      <c r="BA23" s="30">
        <f t="shared" si="15"/>
        <v>2267.4350202786209</v>
      </c>
      <c r="BB23" s="30">
        <v>99999</v>
      </c>
      <c r="BC23" s="30">
        <v>99999</v>
      </c>
      <c r="BD23" s="30">
        <f t="shared" si="3"/>
        <v>38156.314084563935</v>
      </c>
      <c r="BF23" s="23"/>
      <c r="BG23" s="19"/>
      <c r="BH23" s="20" t="str">
        <f t="shared" si="10"/>
        <v>JAWA</v>
      </c>
      <c r="BI23" s="20">
        <f t="shared" si="10"/>
        <v>2038</v>
      </c>
      <c r="BJ23" s="25">
        <f>SUM(K47:L47,N47)/Q47</f>
        <v>0.1511332605705962</v>
      </c>
      <c r="BK23" s="43">
        <f t="shared" si="5"/>
        <v>3.0604320233282122E-4</v>
      </c>
      <c r="BL23" s="34">
        <f t="shared" si="11"/>
        <v>183284.64819077929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JAWA</v>
      </c>
      <c r="C28" s="20">
        <f>C4</f>
        <v>2019</v>
      </c>
      <c r="D28" s="30">
        <f>(D4*(VLOOKUP(D$27,tech_data!$B$2:$O$15,6, FALSE)/100)*(1-(VLOOKUP(D$27,tech_data!$B$2:$O$15,7, FALSE)/100))*8760)/1000</f>
        <v>111748.58493333332</v>
      </c>
      <c r="E28" s="30">
        <f>(E4*(VLOOKUP(E$27,tech_data!$B$2:$O$15,6, FALSE)/100)*(1-(VLOOKUP(E$27,tech_data!$B$2:$O$15,7, FALSE)/100))*8760)/1000</f>
        <v>8659.4673168553854</v>
      </c>
      <c r="F28" s="30">
        <f>(F4*(VLOOKUP(F$27,tech_data!$B$2:$O$15,6, FALSE)/100)*(1-(VLOOKUP(F$27,tech_data!$B$2:$O$15,7, FALSE)/100))*8760)/1000</f>
        <v>27290.263987661539</v>
      </c>
      <c r="G28" s="30">
        <f>(G4*(VLOOKUP(G$27,tech_data!$B$2:$O$15,6, FALSE)/100)*(1-(VLOOKUP(G$27,tech_data!$B$2:$O$15,7, FALSE)/100))*8760)/1000</f>
        <v>165.55866313846153</v>
      </c>
      <c r="H28" s="30">
        <f>(H4*(VLOOKUP(H$27,tech_data!$B$2:$O$15,6, FALSE)/100)*(1-(VLOOKUP(H$27,tech_data!$B$2:$O$15,7, FALSE)/100))*8760)/1000</f>
        <v>7818.1140184615379</v>
      </c>
      <c r="I28" s="30">
        <f>(I4*(VLOOKUP(I$27,tech_data!$B$2:$O$15,6, FALSE)/100)*(1-(VLOOKUP(I$27,tech_data!$B$2:$O$15,7, FALSE)/100))*8760)/1000</f>
        <v>11539.290456000001</v>
      </c>
      <c r="J28" s="30">
        <f>(J4*(VLOOKUP(J$27,tech_data!$B$2:$O$15,6, FALSE)/100)*(1-(VLOOKUP(J$27,tech_data!$B$2:$O$15,7, FALSE)/100))*8760)/1000</f>
        <v>102.69577107692311</v>
      </c>
      <c r="K28" s="30">
        <f>(K4*(VLOOKUP(K$27,tech_data!$B$2:$O$15,6, FALSE)/100)*(1-(VLOOKUP(K$27,tech_data!$B$2:$O$15,7, FALSE)/100))*8760)/1000</f>
        <v>1.8395999999999999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19.980886153846154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167345.79563268099</v>
      </c>
      <c r="R28" s="34">
        <f>proj_rukn!D42</f>
        <v>187575</v>
      </c>
      <c r="S28" s="35"/>
      <c r="T28" s="19"/>
      <c r="U28" s="20" t="str">
        <f t="shared" ref="U28:V47" si="18">B28</f>
        <v>JAWA</v>
      </c>
      <c r="V28" s="20">
        <f t="shared" si="18"/>
        <v>2019</v>
      </c>
      <c r="W28" s="29">
        <f t="shared" ref="W28:AI47" si="19">D28/$Q28</f>
        <v>0.66777049588158233</v>
      </c>
      <c r="X28" s="29">
        <f t="shared" si="19"/>
        <v>5.1745950856528576E-2</v>
      </c>
      <c r="Y28" s="29">
        <f t="shared" si="19"/>
        <v>0.16307708170668866</v>
      </c>
      <c r="Z28" s="29">
        <f t="shared" si="19"/>
        <v>9.8932072068220848E-4</v>
      </c>
      <c r="AA28" s="29">
        <f t="shared" si="19"/>
        <v>4.6718317534681683E-2</v>
      </c>
      <c r="AB28" s="29">
        <f t="shared" si="19"/>
        <v>6.8954767655641597E-2</v>
      </c>
      <c r="AC28" s="29">
        <f t="shared" si="19"/>
        <v>6.1367404354954486E-4</v>
      </c>
      <c r="AD28" s="29">
        <f t="shared" si="19"/>
        <v>1.0992806798910363E-5</v>
      </c>
      <c r="AE28" s="29">
        <f t="shared" si="19"/>
        <v>0</v>
      </c>
      <c r="AF28" s="29">
        <f t="shared" si="19"/>
        <v>1.1939879384662641E-4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1.0000000000000002</v>
      </c>
      <c r="AM28" s="23"/>
      <c r="AO28" s="20" t="str">
        <f>B28</f>
        <v>JAWA</v>
      </c>
      <c r="AP28" s="20">
        <f>C28</f>
        <v>2019</v>
      </c>
      <c r="AQ28" s="25">
        <f t="shared" ref="AQ28:AQ47" si="21">D28/Q28</f>
        <v>0.66777049588158233</v>
      </c>
      <c r="AR28" s="25">
        <f t="shared" ref="AR28:AR47" si="22">SUM(E28:F28)/Q28</f>
        <v>0.21482303256321725</v>
      </c>
      <c r="AS28" s="25">
        <f t="shared" ref="AS28:AS47" si="23">G28/Q28</f>
        <v>9.8932072068220848E-4</v>
      </c>
      <c r="AT28" s="37">
        <f t="shared" ref="AT28:AT47" si="24">SUM(H28:N28)/Q28</f>
        <v>0.11641715083451837</v>
      </c>
      <c r="AU28" s="24">
        <f>SUM(AQ28:AT28)</f>
        <v>1.0000000000000002</v>
      </c>
      <c r="AW28" s="24">
        <f>$BD$29+((AP28-$BC$29)*($BD$30-$BD$29)/($BC$30-$BC$29))</f>
        <v>0.66777049588158233</v>
      </c>
      <c r="AX28" s="24">
        <f t="shared" ref="AX28:AX47" si="25">$BE$29+((AP28-$BC$29)*($BE$30-$BE$29)/($BC$30-$BC$29))</f>
        <v>0.19239999999999999</v>
      </c>
      <c r="AY28" s="24">
        <f>BF29</f>
        <v>9.8932072068220848E-4</v>
      </c>
      <c r="AZ28" s="25">
        <f>$BG$29+((AP28-$BC$29)*($BG$30-$BG$29)/($BC$30-$BC$29))</f>
        <v>0.1166</v>
      </c>
      <c r="BA28" s="24">
        <f>SUM(AW28:AZ28)</f>
        <v>0.97775981660226463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JAWA</v>
      </c>
      <c r="BL28" s="20">
        <f>C4</f>
        <v>2019</v>
      </c>
      <c r="BM28" s="34">
        <f>proj_rukn!E42</f>
        <v>30067</v>
      </c>
      <c r="BN28" s="30">
        <f t="shared" ref="BN28:BN47" si="26">(1+$CD$28)*BM28*$CD$29</f>
        <v>34577.049999999996</v>
      </c>
      <c r="BO28" s="30">
        <f>SUM(D4:I4,M4,O4:P4)</f>
        <v>39648.050000000003</v>
      </c>
      <c r="BQ28" s="30">
        <f t="shared" ref="BQ28:BQ47" si="27">BN28*$CD$30</f>
        <v>13830.82</v>
      </c>
      <c r="BR28" s="30">
        <f>SUM(D4,F4,H4,M4)</f>
        <v>34118.83</v>
      </c>
      <c r="BS28" s="30"/>
      <c r="BT28" s="30">
        <f t="shared" ref="BT28:BT47" si="28">BN28*$CD$31</f>
        <v>6915.41</v>
      </c>
      <c r="BU28" s="30">
        <f>SUM(E4,G4,P4,I4)</f>
        <v>5529.22</v>
      </c>
      <c r="BW28" s="30">
        <f t="shared" ref="BW28:BW47" si="29">$CD$32*SUM(H4:O4)</f>
        <v>1.9152499999999999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9.4426007852881858E-5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JAWA</v>
      </c>
      <c r="C29" s="20">
        <f t="shared" si="31"/>
        <v>2020</v>
      </c>
      <c r="D29" s="30">
        <f>(D5*(VLOOKUP(D$27,tech_data!$B$2:$O$15,6, FALSE)/100)*(1-(VLOOKUP(D$27,tech_data!$B$2:$O$15,7, FALSE)/100))*8760)/1000</f>
        <v>119242.17570670891</v>
      </c>
      <c r="E29" s="30">
        <f>(E5*(VLOOKUP(E$27,tech_data!$B$2:$O$15,6, FALSE)/100)*(1-(VLOOKUP(E$27,tech_data!$B$2:$O$15,7, FALSE)/100))*8760)/1000</f>
        <v>8659.4673168553854</v>
      </c>
      <c r="F29" s="30">
        <f>(F5*(VLOOKUP(F$27,tech_data!$B$2:$O$15,6, FALSE)/100)*(1-(VLOOKUP(F$27,tech_data!$B$2:$O$15,7, FALSE)/100))*8760)/1000</f>
        <v>30073.691688818199</v>
      </c>
      <c r="G29" s="30">
        <f>(G5*(VLOOKUP(G$27,tech_data!$B$2:$O$15,6, FALSE)/100)*(1-(VLOOKUP(G$27,tech_data!$B$2:$O$15,7, FALSE)/100))*8760)/1000</f>
        <v>165.55866313846153</v>
      </c>
      <c r="H29" s="30">
        <f>(H5*(VLOOKUP(H$27,tech_data!$B$2:$O$15,6, FALSE)/100)*(1-(VLOOKUP(H$27,tech_data!$B$2:$O$15,7, FALSE)/100))*8760)/1000</f>
        <v>7818.1140184615379</v>
      </c>
      <c r="I29" s="30">
        <f>(I5*(VLOOKUP(I$27,tech_data!$B$2:$O$15,6, FALSE)/100)*(1-(VLOOKUP(I$27,tech_data!$B$2:$O$15,7, FALSE)/100))*8760)/1000</f>
        <v>20859.5988236177</v>
      </c>
      <c r="J29" s="30">
        <f>(J5*(VLOOKUP(J$27,tech_data!$B$2:$O$15,6, FALSE)/100)*(1-(VLOOKUP(J$27,tech_data!$B$2:$O$15,7, FALSE)/100))*8760)/1000</f>
        <v>102.69577107692311</v>
      </c>
      <c r="K29" s="30">
        <f>(K5*(VLOOKUP(K$27,tech_data!$B$2:$O$15,6, FALSE)/100)*(1-(VLOOKUP(K$27,tech_data!$B$2:$O$15,7, FALSE)/100))*8760)/1000</f>
        <v>9587.7574364298071</v>
      </c>
      <c r="L29" s="30">
        <f>(L5*(VLOOKUP(L$27,tech_data!$B$2:$O$15,6, FALSE)/100)*(1-(VLOOKUP(L$27,tech_data!$B$2:$O$15,7, FALSE)/100))*8760)/1000</f>
        <v>69.210404574824992</v>
      </c>
      <c r="M29" s="30">
        <f>(M5*(VLOOKUP(M$27,tech_data!$B$2:$O$15,6, FALSE)/100)*(1-(VLOOKUP(M$27,tech_data!$B$2:$O$15,7, FALSE)/100))*8760)/1000</f>
        <v>19.980886153846154</v>
      </c>
      <c r="N29" s="30">
        <f>(N5*(VLOOKUP(N$27,tech_data!$B$2:$O$15,6, FALSE)/100)*(1-(VLOOKUP(N$27,tech_data!$B$2:$O$15,7, FALSE)/100))*8760)/1000</f>
        <v>16.769732491592507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50.30345167247085</v>
      </c>
      <c r="Q29" s="34">
        <f t="shared" si="17"/>
        <v>196615.02044832718</v>
      </c>
      <c r="R29" s="34">
        <f>proj_rukn!D43</f>
        <v>203080</v>
      </c>
      <c r="S29" s="35"/>
      <c r="T29" s="19"/>
      <c r="U29" s="20" t="str">
        <f t="shared" si="18"/>
        <v>JAWA</v>
      </c>
      <c r="V29" s="20">
        <f t="shared" si="18"/>
        <v>2020</v>
      </c>
      <c r="W29" s="29">
        <f t="shared" si="19"/>
        <v>0.60647541288966378</v>
      </c>
      <c r="X29" s="29">
        <f t="shared" si="19"/>
        <v>4.4042755721866118E-2</v>
      </c>
      <c r="Y29" s="29">
        <f t="shared" si="19"/>
        <v>0.15295724416295006</v>
      </c>
      <c r="Z29" s="29">
        <f t="shared" si="19"/>
        <v>8.4204483849173852E-4</v>
      </c>
      <c r="AA29" s="29">
        <f t="shared" si="19"/>
        <v>3.9763564353498787E-2</v>
      </c>
      <c r="AB29" s="29">
        <f t="shared" si="19"/>
        <v>0.10609361775134497</v>
      </c>
      <c r="AC29" s="29">
        <f t="shared" si="19"/>
        <v>5.2231905193587589E-4</v>
      </c>
      <c r="AD29" s="29">
        <f t="shared" si="19"/>
        <v>4.8764114840094762E-2</v>
      </c>
      <c r="AE29" s="29">
        <f t="shared" si="19"/>
        <v>3.520097519355818E-4</v>
      </c>
      <c r="AF29" s="29">
        <f t="shared" si="19"/>
        <v>1.0162441357880577E-4</v>
      </c>
      <c r="AG29" s="29">
        <f t="shared" si="19"/>
        <v>8.5292224639570694E-5</v>
      </c>
      <c r="AH29" s="29">
        <f t="shared" si="19"/>
        <v>0</v>
      </c>
      <c r="AI29" s="29">
        <f t="shared" si="19"/>
        <v>2.5584745030042712E-4</v>
      </c>
      <c r="AJ29" s="29">
        <f t="shared" si="20"/>
        <v>1.0000000000000002</v>
      </c>
      <c r="AM29" s="23"/>
      <c r="AO29" s="20" t="str">
        <f>AO28</f>
        <v>JAWA</v>
      </c>
      <c r="AP29" s="20">
        <f>AP28+1</f>
        <v>2020</v>
      </c>
      <c r="AQ29" s="25">
        <f t="shared" si="21"/>
        <v>0.60647541288966378</v>
      </c>
      <c r="AR29" s="25">
        <f t="shared" si="22"/>
        <v>0.1969999998848162</v>
      </c>
      <c r="AS29" s="25">
        <f t="shared" si="23"/>
        <v>8.4204483849173852E-4</v>
      </c>
      <c r="AT29" s="37">
        <f t="shared" si="24"/>
        <v>0.1956825423870284</v>
      </c>
      <c r="AU29" s="24">
        <f t="shared" ref="AU29:AU47" si="32">SUM(AQ29:AT29)</f>
        <v>1</v>
      </c>
      <c r="AW29" s="24">
        <f>$BD$29+((AP29-$BC$29)*($BD$30-$BD$29)/($BC$30-$BC$29))</f>
        <v>0.60647541323465193</v>
      </c>
      <c r="AX29" s="24">
        <f t="shared" si="25"/>
        <v>0.19699999999999998</v>
      </c>
      <c r="AY29" s="24">
        <f>AY28*0.98</f>
        <v>9.6953430626856431E-4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0.93994494754092051</v>
      </c>
      <c r="BC29" s="20">
        <v>2019</v>
      </c>
      <c r="BD29" s="25">
        <f>AQ28</f>
        <v>0.66777049588158233</v>
      </c>
      <c r="BE29" s="25">
        <v>0.19239999999999999</v>
      </c>
      <c r="BF29" s="25">
        <f>AS28</f>
        <v>9.8932072068220848E-4</v>
      </c>
      <c r="BG29" s="25">
        <v>0.1166</v>
      </c>
      <c r="BH29" s="24">
        <f>SUM(BD29:BG29)</f>
        <v>0.97775981660226463</v>
      </c>
      <c r="BJ29" s="19"/>
      <c r="BK29" s="20" t="str">
        <f>BK28</f>
        <v>JAWA</v>
      </c>
      <c r="BL29" s="20">
        <f>BL28+1</f>
        <v>2020</v>
      </c>
      <c r="BM29" s="34">
        <f>proj_rukn!E43</f>
        <v>31834</v>
      </c>
      <c r="BN29" s="30">
        <f t="shared" si="26"/>
        <v>36609.1</v>
      </c>
      <c r="BO29" s="30">
        <f t="shared" ref="BO29:BO47" si="35">SUM(D5:I5,M5,O5:P5)</f>
        <v>44312.795248078808</v>
      </c>
      <c r="BQ29" s="30">
        <f t="shared" si="27"/>
        <v>14643.64</v>
      </c>
      <c r="BR29" s="30">
        <f t="shared" ref="BR29:BR47" si="36">SUM(D5,F5,H5,M5)</f>
        <v>36669.932456654577</v>
      </c>
      <c r="BS29" s="30"/>
      <c r="BT29" s="30">
        <f t="shared" si="28"/>
        <v>7321.82</v>
      </c>
      <c r="BU29" s="30">
        <f t="shared" ref="BU29:BU47" si="37">SUM(E5,G5,P5,I5)</f>
        <v>7642.8627914242388</v>
      </c>
      <c r="BW29" s="30">
        <f t="shared" si="29"/>
        <v>5.5844696503829079</v>
      </c>
      <c r="BX29" s="30">
        <f t="shared" ref="BX29:BX47" si="38">N5</f>
        <v>5.5649797213790588</v>
      </c>
      <c r="BZ29" s="24">
        <f>BZ28+$CD$34</f>
        <v>5.0800000000000005E-2</v>
      </c>
      <c r="CA29" s="24">
        <f t="shared" si="30"/>
        <v>0.24920012917476941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JAWA</v>
      </c>
      <c r="C30" s="20">
        <f t="shared" si="31"/>
        <v>2021</v>
      </c>
      <c r="D30" s="30">
        <f>(D6*(VLOOKUP(D$27,tech_data!$B$2:$O$15,6, FALSE)/100)*(1-(VLOOKUP(D$27,tech_data!$B$2:$O$15,7, FALSE)/100))*8760)/1000</f>
        <v>119242.17570670891</v>
      </c>
      <c r="E30" s="30">
        <f>(E6*(VLOOKUP(E$27,tech_data!$B$2:$O$15,6, FALSE)/100)*(1-(VLOOKUP(E$27,tech_data!$B$2:$O$15,7, FALSE)/100))*8760)/1000</f>
        <v>8949.3422338596429</v>
      </c>
      <c r="F30" s="30">
        <f>(F6*(VLOOKUP(F$27,tech_data!$B$2:$O$15,6, FALSE)/100)*(1-(VLOOKUP(F$27,tech_data!$B$2:$O$15,7, FALSE)/100))*8760)/1000</f>
        <v>51091.258019007139</v>
      </c>
      <c r="G30" s="30">
        <f>(G6*(VLOOKUP(G$27,tech_data!$B$2:$O$15,6, FALSE)/100)*(1-(VLOOKUP(G$27,tech_data!$B$2:$O$15,7, FALSE)/100))*8760)/1000</f>
        <v>207.09706185727944</v>
      </c>
      <c r="H30" s="30">
        <f>(H6*(VLOOKUP(H$27,tech_data!$B$2:$O$15,6, FALSE)/100)*(1-(VLOOKUP(H$27,tech_data!$B$2:$O$15,7, FALSE)/100))*8760)/1000</f>
        <v>7818.1140184615379</v>
      </c>
      <c r="I30" s="30">
        <f>(I6*(VLOOKUP(I$27,tech_data!$B$2:$O$15,6, FALSE)/100)*(1-(VLOOKUP(I$27,tech_data!$B$2:$O$15,7, FALSE)/100))*8760)/1000</f>
        <v>20859.5988236177</v>
      </c>
      <c r="J30" s="30">
        <f>(J6*(VLOOKUP(J$27,tech_data!$B$2:$O$15,6, FALSE)/100)*(1-(VLOOKUP(J$27,tech_data!$B$2:$O$15,7, FALSE)/100))*8760)/1000</f>
        <v>102.69577107692311</v>
      </c>
      <c r="K30" s="30">
        <f>(K6*(VLOOKUP(K$27,tech_data!$B$2:$O$15,6, FALSE)/100)*(1-(VLOOKUP(K$27,tech_data!$B$2:$O$15,7, FALSE)/100))*8760)/1000</f>
        <v>9587.7574364298071</v>
      </c>
      <c r="L30" s="30">
        <f>(L6*(VLOOKUP(L$27,tech_data!$B$2:$O$15,6, FALSE)/100)*(1-(VLOOKUP(L$27,tech_data!$B$2:$O$15,7, FALSE)/100))*8760)/1000</f>
        <v>69.210404574824992</v>
      </c>
      <c r="M30" s="30">
        <f>(M6*(VLOOKUP(M$27,tech_data!$B$2:$O$15,6, FALSE)/100)*(1-(VLOOKUP(M$27,tech_data!$B$2:$O$15,7, FALSE)/100))*8760)/1000</f>
        <v>19.980886153846154</v>
      </c>
      <c r="N30" s="30">
        <f>(N6*(VLOOKUP(N$27,tech_data!$B$2:$O$15,6, FALSE)/100)*(1-(VLOOKUP(N$27,tech_data!$B$2:$O$15,7, FALSE)/100))*8760)/1000</f>
        <v>16.769732491592507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55.55636754806158</v>
      </c>
      <c r="Q30" s="34">
        <f t="shared" si="17"/>
        <v>217964.00009423922</v>
      </c>
      <c r="R30" s="34">
        <f>proj_rukn!D44</f>
        <v>217964</v>
      </c>
      <c r="S30" s="35"/>
      <c r="T30" s="19"/>
      <c r="U30" s="20" t="str">
        <f t="shared" si="18"/>
        <v>JAWA</v>
      </c>
      <c r="V30" s="20">
        <f t="shared" si="18"/>
        <v>2021</v>
      </c>
      <c r="W30" s="29">
        <f t="shared" si="19"/>
        <v>0.54707279943088394</v>
      </c>
      <c r="X30" s="29">
        <f t="shared" si="19"/>
        <v>4.1058808931705659E-2</v>
      </c>
      <c r="Y30" s="29">
        <f t="shared" si="19"/>
        <v>0.23440227742616784</v>
      </c>
      <c r="Z30" s="29">
        <f t="shared" si="19"/>
        <v>9.5014342628938115E-4</v>
      </c>
      <c r="AA30" s="29">
        <f t="shared" si="19"/>
        <v>3.586883161935589E-2</v>
      </c>
      <c r="AB30" s="29">
        <f t="shared" si="19"/>
        <v>9.5702037100616685E-2</v>
      </c>
      <c r="AC30" s="29">
        <f t="shared" si="19"/>
        <v>4.7115932462480693E-4</v>
      </c>
      <c r="AD30" s="29">
        <f t="shared" si="19"/>
        <v>4.3987802721020125E-2</v>
      </c>
      <c r="AE30" s="29">
        <f t="shared" si="19"/>
        <v>3.1753135630150433E-4</v>
      </c>
      <c r="AF30" s="29">
        <f t="shared" si="19"/>
        <v>9.1670579293861329E-5</v>
      </c>
      <c r="AG30" s="29">
        <f t="shared" si="19"/>
        <v>7.6938083740167742E-5</v>
      </c>
      <c r="AH30" s="29">
        <f t="shared" si="19"/>
        <v>0</v>
      </c>
      <c r="AI30" s="29">
        <f t="shared" si="19"/>
        <v>2.548878141529847E-4</v>
      </c>
      <c r="AJ30" s="29">
        <f t="shared" si="20"/>
        <v>0.99999999999999989</v>
      </c>
      <c r="AM30" s="23"/>
      <c r="AO30" s="20" t="str">
        <f t="shared" ref="AO30:AO47" si="39">AO29</f>
        <v>JAWA</v>
      </c>
      <c r="AP30" s="20">
        <f t="shared" ref="AP30:AP47" si="40">AP29+1</f>
        <v>2021</v>
      </c>
      <c r="AQ30" s="25">
        <f t="shared" si="21"/>
        <v>0.54707279943088394</v>
      </c>
      <c r="AR30" s="25">
        <f t="shared" si="22"/>
        <v>0.27546108635787353</v>
      </c>
      <c r="AS30" s="25">
        <f t="shared" si="23"/>
        <v>9.5014342628938115E-4</v>
      </c>
      <c r="AT30" s="37">
        <f t="shared" si="24"/>
        <v>0.17651597078495307</v>
      </c>
      <c r="AU30" s="24">
        <f t="shared" si="32"/>
        <v>0.99999999999999989</v>
      </c>
      <c r="AW30" s="24">
        <f t="shared" ref="AW30:AW34" si="41">$BD$29+((AP30-$BC$29)*($BD$30-$BD$29)/($BC$30-$BC$29))</f>
        <v>0.54518033058772153</v>
      </c>
      <c r="AX30" s="24">
        <f t="shared" si="25"/>
        <v>0.2016</v>
      </c>
      <c r="AY30" s="24">
        <f t="shared" ref="AY30:AY47" si="42">AY29*0.98</f>
        <v>9.5014362014319296E-4</v>
      </c>
      <c r="AZ30" s="25">
        <f t="shared" si="33"/>
        <v>0.15440000000000001</v>
      </c>
      <c r="BA30" s="24">
        <f t="shared" si="34"/>
        <v>0.90213047420786474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JAWA</v>
      </c>
      <c r="BL30" s="20">
        <f t="shared" ref="BL30:BL47" si="45">BL29+1</f>
        <v>2021</v>
      </c>
      <c r="BM30" s="34">
        <f>proj_rukn!E44</f>
        <v>33694</v>
      </c>
      <c r="BN30" s="30">
        <f t="shared" si="26"/>
        <v>38748.1</v>
      </c>
      <c r="BO30" s="30">
        <f t="shared" si="35"/>
        <v>52014.013697582363</v>
      </c>
      <c r="BQ30" s="30">
        <f t="shared" si="27"/>
        <v>15499.24</v>
      </c>
      <c r="BR30" s="30">
        <f t="shared" si="36"/>
        <v>44264.393697582367</v>
      </c>
      <c r="BS30" s="30"/>
      <c r="BT30" s="30">
        <f t="shared" si="28"/>
        <v>7749.62</v>
      </c>
      <c r="BU30" s="30">
        <f t="shared" si="37"/>
        <v>7749.619999999999</v>
      </c>
      <c r="BW30" s="30">
        <f t="shared" si="29"/>
        <v>5.5844696503829079</v>
      </c>
      <c r="BX30" s="30">
        <f t="shared" si="38"/>
        <v>5.5649797213790588</v>
      </c>
      <c r="BZ30" s="24">
        <f t="shared" ref="BZ30:BZ47" si="46">BZ29*1.05</f>
        <v>5.3340000000000005E-2</v>
      </c>
      <c r="CA30" s="24">
        <f t="shared" si="30"/>
        <v>0.24920012917476941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JAWA</v>
      </c>
      <c r="C31" s="20">
        <f t="shared" si="31"/>
        <v>2022</v>
      </c>
      <c r="D31" s="30">
        <f>(D7*(VLOOKUP(D$27,tech_data!$B$2:$O$15,6, FALSE)/100)*(1-(VLOOKUP(D$27,tech_data!$B$2:$O$15,7, FALSE)/100))*8760)/1000</f>
        <v>119242.17570670891</v>
      </c>
      <c r="E31" s="30">
        <f>(E7*(VLOOKUP(E$27,tech_data!$B$2:$O$15,6, FALSE)/100)*(1-(VLOOKUP(E$27,tech_data!$B$2:$O$15,7, FALSE)/100))*8760)/1000</f>
        <v>10325.067919229832</v>
      </c>
      <c r="F31" s="30">
        <f>(F7*(VLOOKUP(F$27,tech_data!$B$2:$O$15,6, FALSE)/100)*(1-(VLOOKUP(F$27,tech_data!$B$2:$O$15,7, FALSE)/100))*8760)/1000</f>
        <v>59651.086801753714</v>
      </c>
      <c r="G31" s="30">
        <f>(G7*(VLOOKUP(G$27,tech_data!$B$2:$O$15,6, FALSE)/100)*(1-(VLOOKUP(G$27,tech_data!$B$2:$O$15,7, FALSE)/100))*8760)/1000</f>
        <v>213.36345364944233</v>
      </c>
      <c r="H31" s="30">
        <f>(H7*(VLOOKUP(H$27,tech_data!$B$2:$O$15,6, FALSE)/100)*(1-(VLOOKUP(H$27,tech_data!$B$2:$O$15,7, FALSE)/100))*8760)/1000</f>
        <v>7818.1140184615379</v>
      </c>
      <c r="I31" s="30">
        <f>(I7*(VLOOKUP(I$27,tech_data!$B$2:$O$15,6, FALSE)/100)*(1-(VLOOKUP(I$27,tech_data!$B$2:$O$15,7, FALSE)/100))*8760)/1000</f>
        <v>20859.5988236177</v>
      </c>
      <c r="J31" s="30">
        <f>(J7*(VLOOKUP(J$27,tech_data!$B$2:$O$15,6, FALSE)/100)*(1-(VLOOKUP(J$27,tech_data!$B$2:$O$15,7, FALSE)/100))*8760)/1000</f>
        <v>102.69577107692311</v>
      </c>
      <c r="K31" s="30">
        <f>(K7*(VLOOKUP(K$27,tech_data!$B$2:$O$15,6, FALSE)/100)*(1-(VLOOKUP(K$27,tech_data!$B$2:$O$15,7, FALSE)/100))*8760)/1000</f>
        <v>9587.7574364298071</v>
      </c>
      <c r="L31" s="30">
        <f>(L7*(VLOOKUP(L$27,tech_data!$B$2:$O$15,6, FALSE)/100)*(1-(VLOOKUP(L$27,tech_data!$B$2:$O$15,7, FALSE)/100))*8760)/1000</f>
        <v>1305.3915272613935</v>
      </c>
      <c r="M31" s="30">
        <f>(M7*(VLOOKUP(M$27,tech_data!$B$2:$O$15,6, FALSE)/100)*(1-(VLOOKUP(M$27,tech_data!$B$2:$O$15,7, FALSE)/100))*8760)/1000</f>
        <v>19.980886153846154</v>
      </c>
      <c r="N31" s="30">
        <f>(N7*(VLOOKUP(N$27,tech_data!$B$2:$O$15,6, FALSE)/100)*(1-(VLOOKUP(N$27,tech_data!$B$2:$O$15,7, FALSE)/100))*8760)/1000</f>
        <v>16.769732491592507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58.552875353551109</v>
      </c>
      <c r="Q31" s="34">
        <f t="shared" si="17"/>
        <v>229142.0020768347</v>
      </c>
      <c r="R31" s="34">
        <f>proj_rukn!D45</f>
        <v>229142</v>
      </c>
      <c r="S31" s="35"/>
      <c r="T31" s="19"/>
      <c r="U31" s="20" t="str">
        <f t="shared" si="18"/>
        <v>JAWA</v>
      </c>
      <c r="V31" s="20">
        <f t="shared" si="18"/>
        <v>2022</v>
      </c>
      <c r="W31" s="29">
        <f t="shared" si="19"/>
        <v>0.5203855016799811</v>
      </c>
      <c r="X31" s="29">
        <f t="shared" si="19"/>
        <v>4.5059691482348507E-2</v>
      </c>
      <c r="Y31" s="29">
        <f t="shared" si="19"/>
        <v>0.26032366943251123</v>
      </c>
      <c r="Z31" s="29">
        <f t="shared" si="19"/>
        <v>9.3114074118065191E-4</v>
      </c>
      <c r="AA31" s="29">
        <f t="shared" si="19"/>
        <v>3.4119078770377544E-2</v>
      </c>
      <c r="AB31" s="29">
        <f t="shared" si="19"/>
        <v>9.1033501647695164E-2</v>
      </c>
      <c r="AC31" s="29">
        <f t="shared" si="19"/>
        <v>4.4817523695410367E-4</v>
      </c>
      <c r="AD31" s="29">
        <f t="shared" si="19"/>
        <v>4.1841990335821935E-2</v>
      </c>
      <c r="AE31" s="29">
        <f t="shared" si="19"/>
        <v>5.6968670755686091E-3</v>
      </c>
      <c r="AF31" s="29">
        <f t="shared" si="19"/>
        <v>8.7198706360025024E-5</v>
      </c>
      <c r="AG31" s="29">
        <f t="shared" si="19"/>
        <v>7.3184891201087465E-5</v>
      </c>
      <c r="AH31" s="29">
        <f t="shared" si="19"/>
        <v>0</v>
      </c>
      <c r="AI31" s="29">
        <f t="shared" si="19"/>
        <v>2.5553095819559726E-4</v>
      </c>
      <c r="AJ31" s="29">
        <f t="shared" si="20"/>
        <v>1</v>
      </c>
      <c r="AM31" s="23"/>
      <c r="AO31" s="20" t="str">
        <f t="shared" si="39"/>
        <v>JAWA</v>
      </c>
      <c r="AP31" s="20">
        <f t="shared" si="40"/>
        <v>2022</v>
      </c>
      <c r="AQ31" s="25">
        <f t="shared" si="21"/>
        <v>0.5203855016799811</v>
      </c>
      <c r="AR31" s="25">
        <f t="shared" si="22"/>
        <v>0.30538336091485968</v>
      </c>
      <c r="AS31" s="25">
        <f t="shared" si="23"/>
        <v>9.3114074118065191E-4</v>
      </c>
      <c r="AT31" s="37">
        <f t="shared" si="24"/>
        <v>0.1732999966639785</v>
      </c>
      <c r="AU31" s="24">
        <f t="shared" si="32"/>
        <v>0.99999999999999978</v>
      </c>
      <c r="AW31" s="24">
        <f t="shared" si="41"/>
        <v>0.48388524794079113</v>
      </c>
      <c r="AX31" s="24">
        <f t="shared" si="25"/>
        <v>0.20619999999999999</v>
      </c>
      <c r="AY31" s="24">
        <f t="shared" si="42"/>
        <v>9.3114074774032908E-4</v>
      </c>
      <c r="AZ31" s="25">
        <f t="shared" si="33"/>
        <v>0.17330000000000001</v>
      </c>
      <c r="BA31" s="24">
        <f t="shared" si="34"/>
        <v>0.86431638868853145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JAWA</v>
      </c>
      <c r="BL31" s="20">
        <f t="shared" si="45"/>
        <v>2022</v>
      </c>
      <c r="BM31" s="34">
        <f>proj_rukn!E45</f>
        <v>35704</v>
      </c>
      <c r="BN31" s="30">
        <f t="shared" si="26"/>
        <v>41059.599999999999</v>
      </c>
      <c r="BO31" s="30">
        <f t="shared" si="35"/>
        <v>55569.311772121269</v>
      </c>
      <c r="BQ31" s="30">
        <f t="shared" si="27"/>
        <v>16423.84</v>
      </c>
      <c r="BR31" s="30">
        <f t="shared" si="36"/>
        <v>47357.39156889978</v>
      </c>
      <c r="BS31" s="30"/>
      <c r="BT31" s="30">
        <f t="shared" si="28"/>
        <v>8211.92</v>
      </c>
      <c r="BU31" s="30">
        <f t="shared" si="37"/>
        <v>8211.920203221478</v>
      </c>
      <c r="BW31" s="30">
        <f t="shared" si="29"/>
        <v>5.7854375488883978</v>
      </c>
      <c r="BX31" s="30">
        <f t="shared" si="38"/>
        <v>5.5649797213790588</v>
      </c>
      <c r="BZ31" s="24">
        <f t="shared" si="46"/>
        <v>5.6007000000000008E-2</v>
      </c>
      <c r="CA31" s="24">
        <f t="shared" si="30"/>
        <v>0.24144253399468796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JAWA</v>
      </c>
      <c r="C32" s="20">
        <f t="shared" si="31"/>
        <v>2023</v>
      </c>
      <c r="D32" s="30">
        <f>(D8*(VLOOKUP(D$27,tech_data!$B$2:$O$15,6, FALSE)/100)*(1-(VLOOKUP(D$27,tech_data!$B$2:$O$15,7, FALSE)/100))*8760)/1000</f>
        <v>119242.17570670891</v>
      </c>
      <c r="E32" s="30">
        <f>(E8*(VLOOKUP(E$27,tech_data!$B$2:$O$15,6, FALSE)/100)*(1-(VLOOKUP(E$27,tech_data!$B$2:$O$15,7, FALSE)/100))*8760)/1000</f>
        <v>11701.60022969799</v>
      </c>
      <c r="F32" s="30">
        <f>(F8*(VLOOKUP(F$27,tech_data!$B$2:$O$15,6, FALSE)/100)*(1-(VLOOKUP(F$27,tech_data!$B$2:$O$15,7, FALSE)/100))*8760)/1000</f>
        <v>62853.654252260967</v>
      </c>
      <c r="G32" s="30">
        <f>(G8*(VLOOKUP(G$27,tech_data!$B$2:$O$15,6, FALSE)/100)*(1-(VLOOKUP(G$27,tech_data!$B$2:$O$15,7, FALSE)/100))*8760)/1000</f>
        <v>219.1676443839761</v>
      </c>
      <c r="H32" s="30">
        <f>(H8*(VLOOKUP(H$27,tech_data!$B$2:$O$15,6, FALSE)/100)*(1-(VLOOKUP(H$27,tech_data!$B$2:$O$15,7, FALSE)/100))*8760)/1000</f>
        <v>7818.1140184615379</v>
      </c>
      <c r="I32" s="30">
        <f>(I8*(VLOOKUP(I$27,tech_data!$B$2:$O$15,6, FALSE)/100)*(1-(VLOOKUP(I$27,tech_data!$B$2:$O$15,7, FALSE)/100))*8760)/1000</f>
        <v>20859.5988236177</v>
      </c>
      <c r="J32" s="30">
        <f>(J8*(VLOOKUP(J$27,tech_data!$B$2:$O$15,6, FALSE)/100)*(1-(VLOOKUP(J$27,tech_data!$B$2:$O$15,7, FALSE)/100))*8760)/1000</f>
        <v>102.69577107692311</v>
      </c>
      <c r="K32" s="30">
        <f>(K8*(VLOOKUP(K$27,tech_data!$B$2:$O$15,6, FALSE)/100)*(1-(VLOOKUP(K$27,tech_data!$B$2:$O$15,7, FALSE)/100))*8760)/1000</f>
        <v>9587.7574364298071</v>
      </c>
      <c r="L32" s="30">
        <f>(L8*(VLOOKUP(L$27,tech_data!$B$2:$O$15,6, FALSE)/100)*(1-(VLOOKUP(L$27,tech_data!$B$2:$O$15,7, FALSE)/100))*8760)/1000</f>
        <v>7757.4875895479172</v>
      </c>
      <c r="M32" s="30">
        <f>(M8*(VLOOKUP(M$27,tech_data!$B$2:$O$15,6, FALSE)/100)*(1-(VLOOKUP(M$27,tech_data!$B$2:$O$15,7, FALSE)/100))*8760)/1000</f>
        <v>19.980886153846154</v>
      </c>
      <c r="N32" s="30">
        <f>(N8*(VLOOKUP(N$27,tech_data!$B$2:$O$15,6, FALSE)/100)*(1-(VLOOKUP(N$27,tech_data!$B$2:$O$15,7, FALSE)/100))*8760)/1000</f>
        <v>16.769732491592507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62.553334631976277</v>
      </c>
      <c r="Q32" s="34">
        <f t="shared" si="17"/>
        <v>240179.00209083114</v>
      </c>
      <c r="R32" s="34">
        <f>proj_rukn!D46</f>
        <v>240179</v>
      </c>
      <c r="S32" s="35"/>
      <c r="T32" s="19"/>
      <c r="U32" s="20" t="str">
        <f t="shared" si="18"/>
        <v>JAWA</v>
      </c>
      <c r="V32" s="20">
        <f t="shared" si="18"/>
        <v>2023</v>
      </c>
      <c r="W32" s="29">
        <f t="shared" si="19"/>
        <v>0.49647210900482375</v>
      </c>
      <c r="X32" s="29">
        <f t="shared" si="19"/>
        <v>4.8720329953209927E-2</v>
      </c>
      <c r="Y32" s="29">
        <f t="shared" si="19"/>
        <v>0.26169504288510159</v>
      </c>
      <c r="Z32" s="29">
        <f t="shared" si="19"/>
        <v>9.1251792403188958E-4</v>
      </c>
      <c r="AA32" s="29">
        <f t="shared" si="19"/>
        <v>3.2551197025562105E-2</v>
      </c>
      <c r="AB32" s="29">
        <f t="shared" si="19"/>
        <v>8.6850218553780958E-2</v>
      </c>
      <c r="AC32" s="29">
        <f t="shared" si="19"/>
        <v>4.2758013890858586E-4</v>
      </c>
      <c r="AD32" s="29">
        <f t="shared" si="19"/>
        <v>3.9919215888839024E-2</v>
      </c>
      <c r="AE32" s="29">
        <f t="shared" si="19"/>
        <v>3.2298775171920244E-2</v>
      </c>
      <c r="AF32" s="29">
        <f t="shared" si="19"/>
        <v>8.3191644481434566E-5</v>
      </c>
      <c r="AG32" s="29">
        <f t="shared" si="19"/>
        <v>6.9821809340562215E-5</v>
      </c>
      <c r="AH32" s="29">
        <f t="shared" si="19"/>
        <v>0</v>
      </c>
      <c r="AI32" s="29">
        <f t="shared" si="19"/>
        <v>2.6044464373417537E-4</v>
      </c>
      <c r="AJ32" s="29">
        <f t="shared" si="20"/>
        <v>1</v>
      </c>
      <c r="AM32" s="23"/>
      <c r="AO32" s="20" t="str">
        <f t="shared" si="39"/>
        <v>JAWA</v>
      </c>
      <c r="AP32" s="20">
        <f t="shared" si="40"/>
        <v>2023</v>
      </c>
      <c r="AQ32" s="25">
        <f t="shared" si="21"/>
        <v>0.49647210900482375</v>
      </c>
      <c r="AR32" s="25">
        <f t="shared" si="22"/>
        <v>0.31041537283831155</v>
      </c>
      <c r="AS32" s="25">
        <f t="shared" si="23"/>
        <v>9.1251792403188958E-4</v>
      </c>
      <c r="AT32" s="37">
        <f t="shared" si="24"/>
        <v>0.19220000023283296</v>
      </c>
      <c r="AU32" s="24">
        <f t="shared" si="32"/>
        <v>1.0000000000000002</v>
      </c>
      <c r="AW32" s="24">
        <f t="shared" si="41"/>
        <v>0.42259016529386073</v>
      </c>
      <c r="AX32" s="24">
        <f t="shared" si="25"/>
        <v>0.21079999999999999</v>
      </c>
      <c r="AY32" s="24">
        <f t="shared" si="42"/>
        <v>9.1251793278552249E-4</v>
      </c>
      <c r="AZ32" s="25">
        <f t="shared" si="33"/>
        <v>0.19220000000000001</v>
      </c>
      <c r="BA32" s="24">
        <f t="shared" si="34"/>
        <v>0.82650268322664633</v>
      </c>
      <c r="BJ32" s="19"/>
      <c r="BK32" s="20" t="str">
        <f t="shared" si="44"/>
        <v>JAWA</v>
      </c>
      <c r="BL32" s="20">
        <f t="shared" si="45"/>
        <v>2023</v>
      </c>
      <c r="BM32" s="34">
        <f>proj_rukn!E46</f>
        <v>37716</v>
      </c>
      <c r="BN32" s="30">
        <f t="shared" si="26"/>
        <v>43373.399999999994</v>
      </c>
      <c r="BO32" s="30">
        <f t="shared" si="35"/>
        <v>57189.283302753065</v>
      </c>
      <c r="BQ32" s="30">
        <f t="shared" si="27"/>
        <v>17349.359999999997</v>
      </c>
      <c r="BR32" s="30">
        <f t="shared" si="36"/>
        <v>48514.603302753065</v>
      </c>
      <c r="BS32" s="30"/>
      <c r="BT32" s="30">
        <f t="shared" si="28"/>
        <v>8674.6799999999985</v>
      </c>
      <c r="BU32" s="30">
        <f t="shared" si="37"/>
        <v>8674.6799999999985</v>
      </c>
      <c r="BW32" s="30">
        <f t="shared" si="29"/>
        <v>6.8343648968285207</v>
      </c>
      <c r="BX32" s="30">
        <f t="shared" si="38"/>
        <v>5.5649797213790588</v>
      </c>
      <c r="BZ32" s="24">
        <f t="shared" si="46"/>
        <v>5.8807350000000008E-2</v>
      </c>
      <c r="CA32" s="24">
        <f t="shared" si="30"/>
        <v>0.2076962322605645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JAWA</v>
      </c>
      <c r="C33" s="20">
        <f t="shared" si="31"/>
        <v>2024</v>
      </c>
      <c r="D33" s="30">
        <f>(D9*(VLOOKUP(D$27,tech_data!$B$2:$O$15,6, FALSE)/100)*(1-(VLOOKUP(D$27,tech_data!$B$2:$O$15,7, FALSE)/100))*8760)/1000</f>
        <v>119242.17570670891</v>
      </c>
      <c r="E33" s="30">
        <f>(E9*(VLOOKUP(E$27,tech_data!$B$2:$O$15,6, FALSE)/100)*(1-(VLOOKUP(E$27,tech_data!$B$2:$O$15,7, FALSE)/100))*8760)/1000</f>
        <v>13136.344250115857</v>
      </c>
      <c r="F33" s="30">
        <f>(F9*(VLOOKUP(F$27,tech_data!$B$2:$O$15,6, FALSE)/100)*(1-(VLOOKUP(F$27,tech_data!$B$2:$O$15,7, FALSE)/100))*8760)/1000</f>
        <v>66634.775957017919</v>
      </c>
      <c r="G33" s="30">
        <f>(G9*(VLOOKUP(G$27,tech_data!$B$2:$O$15,6, FALSE)/100)*(1-(VLOOKUP(G$27,tech_data!$B$2:$O$15,7, FALSE)/100))*8760)/1000</f>
        <v>225.85003421571253</v>
      </c>
      <c r="H33" s="30">
        <f>(H9*(VLOOKUP(H$27,tech_data!$B$2:$O$15,6, FALSE)/100)*(1-(VLOOKUP(H$27,tech_data!$B$2:$O$15,7, FALSE)/100))*8760)/1000</f>
        <v>7818.1140184615379</v>
      </c>
      <c r="I33" s="30">
        <f>(I9*(VLOOKUP(I$27,tech_data!$B$2:$O$15,6, FALSE)/100)*(1-(VLOOKUP(I$27,tech_data!$B$2:$O$15,7, FALSE)/100))*8760)/1000</f>
        <v>20859.5988236177</v>
      </c>
      <c r="J33" s="30">
        <f>(J9*(VLOOKUP(J$27,tech_data!$B$2:$O$15,6, FALSE)/100)*(1-(VLOOKUP(J$27,tech_data!$B$2:$O$15,7, FALSE)/100))*8760)/1000</f>
        <v>102.69577107692311</v>
      </c>
      <c r="K33" s="30">
        <f>(K9*(VLOOKUP(K$27,tech_data!$B$2:$O$15,6, FALSE)/100)*(1-(VLOOKUP(K$27,tech_data!$B$2:$O$15,7, FALSE)/100))*8760)/1000</f>
        <v>9587.7574364298071</v>
      </c>
      <c r="L33" s="30">
        <f>(L9*(VLOOKUP(L$27,tech_data!$B$2:$O$15,6, FALSE)/100)*(1-(VLOOKUP(L$27,tech_data!$B$2:$O$15,7, FALSE)/100))*8760)/1000</f>
        <v>14909.041839150967</v>
      </c>
      <c r="M33" s="30">
        <f>(M9*(VLOOKUP(M$27,tech_data!$B$2:$O$15,6, FALSE)/100)*(1-(VLOOKUP(M$27,tech_data!$B$2:$O$15,7, FALSE)/100))*8760)/1000</f>
        <v>19.980886153846154</v>
      </c>
      <c r="N33" s="30">
        <f>(N9*(VLOOKUP(N$27,tech_data!$B$2:$O$15,6, FALSE)/100)*(1-(VLOOKUP(N$27,tech_data!$B$2:$O$15,7, FALSE)/100))*8760)/1000</f>
        <v>16.769732491592507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67.022070998590024</v>
      </c>
      <c r="Q33" s="34">
        <f t="shared" si="17"/>
        <v>252553.1044554408</v>
      </c>
      <c r="R33" s="34">
        <f>proj_rukn!D47</f>
        <v>252553</v>
      </c>
      <c r="S33" s="35"/>
      <c r="T33" s="19"/>
      <c r="U33" s="20" t="str">
        <f t="shared" si="18"/>
        <v>JAWA</v>
      </c>
      <c r="V33" s="20">
        <f t="shared" si="18"/>
        <v>2024</v>
      </c>
      <c r="W33" s="29">
        <f t="shared" si="19"/>
        <v>0.47214694099215637</v>
      </c>
      <c r="X33" s="29">
        <f t="shared" si="19"/>
        <v>5.2014186396325088E-2</v>
      </c>
      <c r="Y33" s="29">
        <f t="shared" si="19"/>
        <v>0.26384461240615881</v>
      </c>
      <c r="Z33" s="29">
        <f t="shared" si="19"/>
        <v>8.942675034729592E-4</v>
      </c>
      <c r="AA33" s="29">
        <f t="shared" si="19"/>
        <v>3.0956317228089853E-2</v>
      </c>
      <c r="AB33" s="29">
        <f t="shared" si="19"/>
        <v>8.2594901648884944E-2</v>
      </c>
      <c r="AC33" s="29">
        <f t="shared" si="19"/>
        <v>4.0663040471570301E-4</v>
      </c>
      <c r="AD33" s="29">
        <f t="shared" si="19"/>
        <v>3.7963332334017788E-2</v>
      </c>
      <c r="AE33" s="29">
        <f t="shared" si="19"/>
        <v>5.9033294685876425E-2</v>
      </c>
      <c r="AF33" s="29">
        <f t="shared" si="19"/>
        <v>7.9115583223295834E-5</v>
      </c>
      <c r="AG33" s="29">
        <f t="shared" si="19"/>
        <v>6.6400817078656323E-5</v>
      </c>
      <c r="AH33" s="29">
        <f t="shared" si="19"/>
        <v>0</v>
      </c>
      <c r="AI33" s="29">
        <f t="shared" si="19"/>
        <v>2.6537813163336136E-4</v>
      </c>
      <c r="AJ33" s="29">
        <f t="shared" si="20"/>
        <v>1</v>
      </c>
      <c r="AM33" s="23"/>
      <c r="AO33" s="20" t="str">
        <f t="shared" si="39"/>
        <v>JAWA</v>
      </c>
      <c r="AP33" s="20">
        <f t="shared" si="40"/>
        <v>2024</v>
      </c>
      <c r="AQ33" s="25">
        <f t="shared" si="21"/>
        <v>0.47214694099215637</v>
      </c>
      <c r="AR33" s="25">
        <f t="shared" si="22"/>
        <v>0.31585879880248391</v>
      </c>
      <c r="AS33" s="25">
        <f t="shared" si="23"/>
        <v>8.942675034729592E-4</v>
      </c>
      <c r="AT33" s="37">
        <f t="shared" si="24"/>
        <v>0.21109999270188667</v>
      </c>
      <c r="AU33" s="24">
        <f t="shared" si="32"/>
        <v>1</v>
      </c>
      <c r="AW33" s="24">
        <f t="shared" si="41"/>
        <v>0.36129508264693039</v>
      </c>
      <c r="AX33" s="24">
        <f t="shared" si="25"/>
        <v>0.21540000000000001</v>
      </c>
      <c r="AY33" s="24">
        <f t="shared" si="42"/>
        <v>8.9426757412981207E-4</v>
      </c>
      <c r="AZ33" s="25">
        <f t="shared" si="33"/>
        <v>0.21110000000000001</v>
      </c>
      <c r="BA33" s="24">
        <f t="shared" si="34"/>
        <v>0.78868935022106013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JAWA</v>
      </c>
      <c r="BL33" s="20">
        <f t="shared" si="45"/>
        <v>2024</v>
      </c>
      <c r="BM33" s="34">
        <f>proj_rukn!E47</f>
        <v>39814</v>
      </c>
      <c r="BN33" s="30">
        <f t="shared" si="26"/>
        <v>45786.1</v>
      </c>
      <c r="BO33" s="30">
        <f t="shared" si="35"/>
        <v>59038.089110131419</v>
      </c>
      <c r="BQ33" s="30">
        <f t="shared" si="27"/>
        <v>18314.439999999999</v>
      </c>
      <c r="BR33" s="30">
        <f t="shared" si="36"/>
        <v>49880.869110262909</v>
      </c>
      <c r="BS33" s="30"/>
      <c r="BT33" s="30">
        <f t="shared" si="28"/>
        <v>9157.2199999999993</v>
      </c>
      <c r="BU33" s="30">
        <f t="shared" si="37"/>
        <v>9157.2199998685101</v>
      </c>
      <c r="BW33" s="30">
        <f t="shared" si="29"/>
        <v>7.9970042562350274</v>
      </c>
      <c r="BX33" s="30">
        <f t="shared" si="38"/>
        <v>5.5649797213790588</v>
      </c>
      <c r="BZ33" s="24">
        <f t="shared" si="46"/>
        <v>6.1747717500000014E-2</v>
      </c>
      <c r="CA33" s="24">
        <f t="shared" si="30"/>
        <v>0.17983578231397301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JAWA</v>
      </c>
      <c r="C34" s="20">
        <f t="shared" si="31"/>
        <v>2025</v>
      </c>
      <c r="D34" s="30">
        <f>(D10*(VLOOKUP(D$27,tech_data!$B$2:$O$15,6, FALSE)/100)*(1-(VLOOKUP(D$27,tech_data!$B$2:$O$15,7, FALSE)/100))*8760)/1000</f>
        <v>119242.17570670891</v>
      </c>
      <c r="E34" s="30">
        <f>(E10*(VLOOKUP(E$27,tech_data!$B$2:$O$15,6, FALSE)/100)*(1-(VLOOKUP(E$27,tech_data!$B$2:$O$15,7, FALSE)/100))*8760)/1000</f>
        <v>14647.34418078132</v>
      </c>
      <c r="F34" s="30">
        <f>(F10*(VLOOKUP(F$27,tech_data!$B$2:$O$15,6, FALSE)/100)*(1-(VLOOKUP(F$27,tech_data!$B$2:$O$15,7, FALSE)/100))*8760)/1000</f>
        <v>69382.128415747327</v>
      </c>
      <c r="G34" s="30">
        <f>(G10*(VLOOKUP(G$27,tech_data!$B$2:$O$15,6, FALSE)/100)*(1-(VLOOKUP(G$27,tech_data!$B$2:$O$15,7, FALSE)/100))*8760)/1000</f>
        <v>231.61892884102267</v>
      </c>
      <c r="H34" s="30">
        <f>(H10*(VLOOKUP(H$27,tech_data!$B$2:$O$15,6, FALSE)/100)*(1-(VLOOKUP(H$27,tech_data!$B$2:$O$15,7, FALSE)/100))*8760)/1000</f>
        <v>7818.1140184615379</v>
      </c>
      <c r="I34" s="30">
        <f>(I10*(VLOOKUP(I$27,tech_data!$B$2:$O$15,6, FALSE)/100)*(1-(VLOOKUP(I$27,tech_data!$B$2:$O$15,7, FALSE)/100))*8760)/1000</f>
        <v>20859.5988236177</v>
      </c>
      <c r="J34" s="30">
        <f>(J10*(VLOOKUP(J$27,tech_data!$B$2:$O$15,6, FALSE)/100)*(1-(VLOOKUP(J$27,tech_data!$B$2:$O$15,7, FALSE)/100))*8760)/1000</f>
        <v>102.69577107692311</v>
      </c>
      <c r="K34" s="30">
        <f>(K10*(VLOOKUP(K$27,tech_data!$B$2:$O$15,6, FALSE)/100)*(1-(VLOOKUP(K$27,tech_data!$B$2:$O$15,7, FALSE)/100))*8760)/1000</f>
        <v>9587.7574364298071</v>
      </c>
      <c r="L34" s="30">
        <f>(L10*(VLOOKUP(L$27,tech_data!$B$2:$O$15,6, FALSE)/100)*(1-(VLOOKUP(L$27,tech_data!$B$2:$O$15,7, FALSE)/100))*8760)/1000</f>
        <v>22381.739612596284</v>
      </c>
      <c r="M34" s="30">
        <f>(M10*(VLOOKUP(M$27,tech_data!$B$2:$O$15,6, FALSE)/100)*(1-(VLOOKUP(M$27,tech_data!$B$2:$O$15,7, FALSE)/100))*8760)/1000</f>
        <v>19.980886153846154</v>
      </c>
      <c r="N34" s="30">
        <f>(N10*(VLOOKUP(N$27,tech_data!$B$2:$O$15,6, FALSE)/100)*(1-(VLOOKUP(N$27,tech_data!$B$2:$O$15,7, FALSE)/100))*8760)/1000</f>
        <v>16.769732491592507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71.397953125769291</v>
      </c>
      <c r="Q34" s="34">
        <f t="shared" si="17"/>
        <v>264289.92351290624</v>
      </c>
      <c r="R34" s="34">
        <f>proj_rukn!D48</f>
        <v>264290</v>
      </c>
      <c r="S34" s="35"/>
      <c r="T34" s="19"/>
      <c r="U34" s="20" t="str">
        <f t="shared" si="18"/>
        <v>JAWA</v>
      </c>
      <c r="V34" s="20">
        <f t="shared" si="18"/>
        <v>2025</v>
      </c>
      <c r="W34" s="29">
        <f t="shared" si="19"/>
        <v>0.45117942493515412</v>
      </c>
      <c r="X34" s="29">
        <f t="shared" si="19"/>
        <v>5.5421500699272916E-2</v>
      </c>
      <c r="Y34" s="29">
        <f t="shared" si="19"/>
        <v>0.26252279123444955</v>
      </c>
      <c r="Z34" s="29">
        <f t="shared" si="19"/>
        <v>8.7638198900046927E-4</v>
      </c>
      <c r="AA34" s="29">
        <f t="shared" si="19"/>
        <v>2.9581581902723395E-2</v>
      </c>
      <c r="AB34" s="29">
        <f t="shared" si="19"/>
        <v>7.8926954710776362E-2</v>
      </c>
      <c r="AC34" s="29">
        <f t="shared" si="19"/>
        <v>3.8857240454688807E-4</v>
      </c>
      <c r="AD34" s="29">
        <f t="shared" si="19"/>
        <v>3.6277423327346806E-2</v>
      </c>
      <c r="AE34" s="29">
        <f t="shared" si="19"/>
        <v>8.4686314616543829E-2</v>
      </c>
      <c r="AF34" s="29">
        <f t="shared" si="19"/>
        <v>7.5602148913824982E-5</v>
      </c>
      <c r="AG34" s="29">
        <f t="shared" si="19"/>
        <v>6.3452031271913324E-5</v>
      </c>
      <c r="AH34" s="29">
        <f t="shared" si="19"/>
        <v>0</v>
      </c>
      <c r="AI34" s="29">
        <f t="shared" si="19"/>
        <v>2.7015011460428481E-4</v>
      </c>
      <c r="AJ34" s="29">
        <f t="shared" si="20"/>
        <v>1.0000000000000002</v>
      </c>
      <c r="AM34" s="23"/>
      <c r="AO34" s="20" t="str">
        <f t="shared" si="39"/>
        <v>JAWA</v>
      </c>
      <c r="AP34" s="20">
        <f t="shared" si="40"/>
        <v>2025</v>
      </c>
      <c r="AQ34" s="25">
        <f t="shared" si="21"/>
        <v>0.45117942493515412</v>
      </c>
      <c r="AR34" s="25">
        <f t="shared" si="22"/>
        <v>0.31794429193372248</v>
      </c>
      <c r="AS34" s="25">
        <f t="shared" si="23"/>
        <v>8.7638198900046927E-4</v>
      </c>
      <c r="AT34" s="37">
        <f t="shared" si="24"/>
        <v>0.22999990114212304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8.7638222264721586E-4</v>
      </c>
      <c r="AZ34" s="25">
        <f t="shared" si="33"/>
        <v>0.23</v>
      </c>
      <c r="BA34" s="24">
        <f t="shared" si="34"/>
        <v>0.75087638222264719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JAWA</v>
      </c>
      <c r="BL34" s="20">
        <f t="shared" si="45"/>
        <v>2025</v>
      </c>
      <c r="BM34" s="34">
        <f>proj_rukn!E48</f>
        <v>42022</v>
      </c>
      <c r="BN34" s="30">
        <f t="shared" si="26"/>
        <v>48325.299999999996</v>
      </c>
      <c r="BO34" s="30">
        <f t="shared" si="35"/>
        <v>60538.654027325807</v>
      </c>
      <c r="BQ34" s="30">
        <f t="shared" si="27"/>
        <v>19330.12</v>
      </c>
      <c r="BR34" s="30">
        <f t="shared" si="36"/>
        <v>50873.594025945415</v>
      </c>
      <c r="BS34" s="30"/>
      <c r="BT34" s="30">
        <f t="shared" si="28"/>
        <v>9665.06</v>
      </c>
      <c r="BU34" s="30">
        <f t="shared" si="37"/>
        <v>9665.0600013803851</v>
      </c>
      <c r="BW34" s="30">
        <f t="shared" si="29"/>
        <v>9.2118524205818364</v>
      </c>
      <c r="BX34" s="30">
        <f t="shared" si="38"/>
        <v>5.5649797213790588</v>
      </c>
      <c r="BZ34" s="24">
        <f t="shared" si="46"/>
        <v>6.4835103375000022E-2</v>
      </c>
      <c r="CA34" s="24">
        <f t="shared" si="30"/>
        <v>0.15772799530435458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JAWA</v>
      </c>
      <c r="C35" s="20">
        <f t="shared" si="31"/>
        <v>2026</v>
      </c>
      <c r="D35" s="30">
        <f>(D11*(VLOOKUP(D$27,tech_data!$B$2:$O$15,6, FALSE)/100)*(1-(VLOOKUP(D$27,tech_data!$B$2:$O$15,7, FALSE)/100))*8760)/1000</f>
        <v>119242.17570670891</v>
      </c>
      <c r="E35" s="30">
        <f>(E11*(VLOOKUP(E$27,tech_data!$B$2:$O$15,6, FALSE)/100)*(1-(VLOOKUP(E$27,tech_data!$B$2:$O$15,7, FALSE)/100))*8760)/1000</f>
        <v>16270.234148164996</v>
      </c>
      <c r="F35" s="30">
        <f>(F11*(VLOOKUP(F$27,tech_data!$B$2:$O$15,6, FALSE)/100)*(1-(VLOOKUP(F$27,tech_data!$B$2:$O$15,7, FALSE)/100))*8760)/1000</f>
        <v>80407.947865023933</v>
      </c>
      <c r="G35" s="30">
        <f>(G11*(VLOOKUP(G$27,tech_data!$B$2:$O$15,6, FALSE)/100)*(1-(VLOOKUP(G$27,tech_data!$B$2:$O$15,7, FALSE)/100))*8760)/1000</f>
        <v>242.11277463501054</v>
      </c>
      <c r="H35" s="30">
        <f>(H11*(VLOOKUP(H$27,tech_data!$B$2:$O$15,6, FALSE)/100)*(1-(VLOOKUP(H$27,tech_data!$B$2:$O$15,7, FALSE)/100))*8760)/1000</f>
        <v>7818.1140184615379</v>
      </c>
      <c r="I35" s="30">
        <f>(I11*(VLOOKUP(I$27,tech_data!$B$2:$O$15,6, FALSE)/100)*(1-(VLOOKUP(I$27,tech_data!$B$2:$O$15,7, FALSE)/100))*8760)/1000</f>
        <v>20859.5988236177</v>
      </c>
      <c r="J35" s="30">
        <f>(J11*(VLOOKUP(J$27,tech_data!$B$2:$O$15,6, FALSE)/100)*(1-(VLOOKUP(J$27,tech_data!$B$2:$O$15,7, FALSE)/100))*8760)/1000</f>
        <v>102.69577107692311</v>
      </c>
      <c r="K35" s="30">
        <f>(K11*(VLOOKUP(K$27,tech_data!$B$2:$O$15,6, FALSE)/100)*(1-(VLOOKUP(K$27,tech_data!$B$2:$O$15,7, FALSE)/100))*8760)/1000</f>
        <v>9587.7574364298071</v>
      </c>
      <c r="L35" s="30">
        <f>(L11*(VLOOKUP(L$27,tech_data!$B$2:$O$15,6, FALSE)/100)*(1-(VLOOKUP(L$27,tech_data!$B$2:$O$15,7, FALSE)/100))*8760)/1000</f>
        <v>27334.625991990033</v>
      </c>
      <c r="M35" s="30">
        <f>(M11*(VLOOKUP(M$27,tech_data!$B$2:$O$15,6, FALSE)/100)*(1-(VLOOKUP(M$27,tech_data!$B$2:$O$15,7, FALSE)/100))*8760)/1000</f>
        <v>19.980886153846154</v>
      </c>
      <c r="N35" s="30">
        <f>(N11*(VLOOKUP(N$27,tech_data!$B$2:$O$15,6, FALSE)/100)*(1-(VLOOKUP(N$27,tech_data!$B$2:$O$15,7, FALSE)/100))*8760)/1000</f>
        <v>16.769732491592507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76.717675448334205</v>
      </c>
      <c r="Q35" s="34">
        <f t="shared" si="17"/>
        <v>281902.01315475424</v>
      </c>
      <c r="R35" s="34">
        <f>proj_rukn!D49</f>
        <v>281902</v>
      </c>
      <c r="S35" s="35"/>
      <c r="T35" s="19"/>
      <c r="U35" s="20" t="str">
        <f t="shared" si="18"/>
        <v>JAWA</v>
      </c>
      <c r="V35" s="20">
        <f t="shared" si="18"/>
        <v>2026</v>
      </c>
      <c r="W35" s="29">
        <f t="shared" si="19"/>
        <v>0.42299157204403914</v>
      </c>
      <c r="X35" s="29">
        <f t="shared" si="19"/>
        <v>5.7715920386965144E-2</v>
      </c>
      <c r="Y35" s="29">
        <f t="shared" si="19"/>
        <v>0.28523367735186345</v>
      </c>
      <c r="Z35" s="29">
        <f t="shared" si="19"/>
        <v>8.5885436547804706E-4</v>
      </c>
      <c r="AA35" s="29">
        <f t="shared" si="19"/>
        <v>2.7733445146309293E-2</v>
      </c>
      <c r="AB35" s="29">
        <f t="shared" si="19"/>
        <v>7.3995920036819735E-2</v>
      </c>
      <c r="AC35" s="29">
        <f t="shared" si="19"/>
        <v>3.6429598330164019E-4</v>
      </c>
      <c r="AD35" s="29">
        <f t="shared" si="19"/>
        <v>3.401095766977183E-2</v>
      </c>
      <c r="AE35" s="29">
        <f t="shared" si="19"/>
        <v>9.6964990374099558E-2</v>
      </c>
      <c r="AF35" s="29">
        <f t="shared" si="19"/>
        <v>7.0878834564680297E-5</v>
      </c>
      <c r="AG35" s="29">
        <f t="shared" si="19"/>
        <v>5.9487806787624875E-5</v>
      </c>
      <c r="AH35" s="29">
        <f t="shared" si="19"/>
        <v>0</v>
      </c>
      <c r="AI35" s="29">
        <f t="shared" si="19"/>
        <v>2.7214305634000176E-4</v>
      </c>
      <c r="AJ35" s="29">
        <f t="shared" si="20"/>
        <v>1.0000000000000002</v>
      </c>
      <c r="AM35" s="23"/>
      <c r="AO35" s="20" t="str">
        <f t="shared" si="39"/>
        <v>JAWA</v>
      </c>
      <c r="AP35" s="20">
        <f t="shared" si="40"/>
        <v>2026</v>
      </c>
      <c r="AQ35" s="25">
        <f t="shared" si="21"/>
        <v>0.42299157204403914</v>
      </c>
      <c r="AR35" s="25">
        <f t="shared" si="22"/>
        <v>0.34294959773882855</v>
      </c>
      <c r="AS35" s="25">
        <f t="shared" si="23"/>
        <v>8.5885436547804706E-4</v>
      </c>
      <c r="AT35" s="37">
        <f t="shared" si="24"/>
        <v>0.23319997585165436</v>
      </c>
      <c r="AU35" s="24">
        <f t="shared" si="32"/>
        <v>1.0000000000000002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8.5885457819427158E-4</v>
      </c>
      <c r="AZ35" s="25">
        <f t="shared" ref="AZ35:AZ47" si="47">$BG$30+((AP35-$BC$30)*($BG$31-$BG$30)/($BC$31-$BC$30))</f>
        <v>0.23320000000000002</v>
      </c>
      <c r="BA35" s="24">
        <f t="shared" si="34"/>
        <v>0.75665885457819426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JAWA</v>
      </c>
      <c r="BL35" s="20">
        <f t="shared" si="45"/>
        <v>2026</v>
      </c>
      <c r="BM35" s="34">
        <f>proj_rukn!E49</f>
        <v>44398</v>
      </c>
      <c r="BN35" s="30">
        <f t="shared" si="26"/>
        <v>51057.7</v>
      </c>
      <c r="BO35" s="30">
        <f t="shared" si="35"/>
        <v>65069.189894761061</v>
      </c>
      <c r="BQ35" s="30">
        <f t="shared" si="27"/>
        <v>20423.080000000002</v>
      </c>
      <c r="BR35" s="30">
        <f t="shared" si="36"/>
        <v>54857.649893380672</v>
      </c>
      <c r="BS35" s="30"/>
      <c r="BT35" s="30">
        <f t="shared" si="28"/>
        <v>10211.540000000001</v>
      </c>
      <c r="BU35" s="30">
        <f t="shared" si="37"/>
        <v>10211.540001380386</v>
      </c>
      <c r="BW35" s="30">
        <f t="shared" si="29"/>
        <v>10.01705090560643</v>
      </c>
      <c r="BX35" s="30">
        <f t="shared" si="38"/>
        <v>5.5649797213790588</v>
      </c>
      <c r="BZ35" s="24">
        <f t="shared" si="46"/>
        <v>6.8076858543750021E-2</v>
      </c>
      <c r="CA35" s="24">
        <f t="shared" si="30"/>
        <v>0.14584460202263158</v>
      </c>
      <c r="CF35" s="23"/>
    </row>
    <row r="36" spans="1:84" x14ac:dyDescent="0.25">
      <c r="A36" s="19"/>
      <c r="B36" s="20" t="str">
        <f t="shared" si="31"/>
        <v>JAWA</v>
      </c>
      <c r="C36" s="20">
        <f t="shared" si="31"/>
        <v>2027</v>
      </c>
      <c r="D36" s="30">
        <f>(D12*(VLOOKUP(D$27,tech_data!$B$2:$O$15,6, FALSE)/100)*(1-(VLOOKUP(D$27,tech_data!$B$2:$O$15,7, FALSE)/100))*8760)/1000</f>
        <v>119242.17570670891</v>
      </c>
      <c r="E36" s="30">
        <f>(E12*(VLOOKUP(E$27,tech_data!$B$2:$O$15,6, FALSE)/100)*(1-(VLOOKUP(E$27,tech_data!$B$2:$O$15,7, FALSE)/100))*8760)/1000</f>
        <v>17919.45202564057</v>
      </c>
      <c r="F36" s="30">
        <f>(F12*(VLOOKUP(F$27,tech_data!$B$2:$O$15,6, FALSE)/100)*(1-(VLOOKUP(F$27,tech_data!$B$2:$O$15,7, FALSE)/100))*8760)/1000</f>
        <v>92083.155037476201</v>
      </c>
      <c r="G36" s="30">
        <f>(G12*(VLOOKUP(G$27,tech_data!$B$2:$O$15,6, FALSE)/100)*(1-(VLOOKUP(G$27,tech_data!$B$2:$O$15,7, FALSE)/100))*8760)/1000</f>
        <v>252.96359546492025</v>
      </c>
      <c r="H36" s="30">
        <f>(H12*(VLOOKUP(H$27,tech_data!$B$2:$O$15,6, FALSE)/100)*(1-(VLOOKUP(H$27,tech_data!$B$2:$O$15,7, FALSE)/100))*8760)/1000</f>
        <v>7818.1140184615379</v>
      </c>
      <c r="I36" s="30">
        <f>(I12*(VLOOKUP(I$27,tech_data!$B$2:$O$15,6, FALSE)/100)*(1-(VLOOKUP(I$27,tech_data!$B$2:$O$15,7, FALSE)/100))*8760)/1000</f>
        <v>20859.5988236177</v>
      </c>
      <c r="J36" s="30">
        <f>(J12*(VLOOKUP(J$27,tech_data!$B$2:$O$15,6, FALSE)/100)*(1-(VLOOKUP(J$27,tech_data!$B$2:$O$15,7, FALSE)/100))*8760)/1000</f>
        <v>102.69577107692311</v>
      </c>
      <c r="K36" s="30">
        <f>(K12*(VLOOKUP(K$27,tech_data!$B$2:$O$15,6, FALSE)/100)*(1-(VLOOKUP(K$27,tech_data!$B$2:$O$15,7, FALSE)/100))*8760)/1000</f>
        <v>9587.7574364298071</v>
      </c>
      <c r="L36" s="30">
        <f>(L12*(VLOOKUP(L$27,tech_data!$B$2:$O$15,6, FALSE)/100)*(1-(VLOOKUP(L$27,tech_data!$B$2:$O$15,7, FALSE)/100))*8760)/1000</f>
        <v>32644.348790270367</v>
      </c>
      <c r="M36" s="30">
        <f>(M12*(VLOOKUP(M$27,tech_data!$B$2:$O$15,6, FALSE)/100)*(1-(VLOOKUP(M$27,tech_data!$B$2:$O$15,7, FALSE)/100))*8760)/1000</f>
        <v>19.980886153846154</v>
      </c>
      <c r="N36" s="30">
        <f>(N12*(VLOOKUP(N$27,tech_data!$B$2:$O$15,6, FALSE)/100)*(1-(VLOOKUP(N$27,tech_data!$B$2:$O$15,7, FALSE)/100))*8760)/1000</f>
        <v>16.769732491592507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82.362601836268837</v>
      </c>
      <c r="Q36" s="34">
        <f t="shared" si="17"/>
        <v>300547.01182379236</v>
      </c>
      <c r="R36" s="34">
        <f>proj_rukn!D50</f>
        <v>300547</v>
      </c>
      <c r="S36" s="35"/>
      <c r="T36" s="19"/>
      <c r="U36" s="20" t="str">
        <f t="shared" si="18"/>
        <v>JAWA</v>
      </c>
      <c r="V36" s="20">
        <f t="shared" si="18"/>
        <v>2027</v>
      </c>
      <c r="W36" s="29">
        <f t="shared" si="19"/>
        <v>0.39675049498285936</v>
      </c>
      <c r="X36" s="29">
        <f t="shared" si="19"/>
        <v>5.9622792177839258E-2</v>
      </c>
      <c r="Y36" s="29">
        <f t="shared" si="19"/>
        <v>0.30638519570929429</v>
      </c>
      <c r="Z36" s="29">
        <f t="shared" si="19"/>
        <v>8.4167729344529377E-4</v>
      </c>
      <c r="AA36" s="29">
        <f t="shared" si="19"/>
        <v>2.6012948759727539E-2</v>
      </c>
      <c r="AB36" s="29">
        <f t="shared" si="19"/>
        <v>6.9405444083561446E-2</v>
      </c>
      <c r="AC36" s="29">
        <f t="shared" si="19"/>
        <v>3.4169619738935416E-4</v>
      </c>
      <c r="AD36" s="29">
        <f t="shared" si="19"/>
        <v>3.1901023997041138E-2</v>
      </c>
      <c r="AE36" s="29">
        <f t="shared" si="19"/>
        <v>0.10861644769707247</v>
      </c>
      <c r="AF36" s="29">
        <f t="shared" si="19"/>
        <v>6.6481732866340194E-5</v>
      </c>
      <c r="AG36" s="29">
        <f t="shared" si="19"/>
        <v>5.579736890355253E-5</v>
      </c>
      <c r="AH36" s="29">
        <f t="shared" si="19"/>
        <v>0</v>
      </c>
      <c r="AI36" s="29">
        <f t="shared" si="19"/>
        <v>2.7404232481458571E-4</v>
      </c>
      <c r="AJ36" s="29">
        <f t="shared" si="20"/>
        <v>1</v>
      </c>
      <c r="AM36" s="23"/>
      <c r="AO36" s="20" t="str">
        <f t="shared" si="39"/>
        <v>JAWA</v>
      </c>
      <c r="AP36" s="20">
        <f t="shared" si="40"/>
        <v>2027</v>
      </c>
      <c r="AQ36" s="25">
        <f t="shared" si="21"/>
        <v>0.39675049498285936</v>
      </c>
      <c r="AR36" s="25">
        <f t="shared" si="22"/>
        <v>0.36600798788713351</v>
      </c>
      <c r="AS36" s="25">
        <f t="shared" si="23"/>
        <v>8.4167729344529377E-4</v>
      </c>
      <c r="AT36" s="37">
        <f t="shared" si="24"/>
        <v>0.23639983983656185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8.4167748663038615E-4</v>
      </c>
      <c r="AZ36" s="25">
        <f t="shared" si="47"/>
        <v>0.2364</v>
      </c>
      <c r="BA36" s="24">
        <f t="shared" si="34"/>
        <v>0.76244167748663028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JAWA</v>
      </c>
      <c r="BL36" s="20">
        <f t="shared" si="45"/>
        <v>2027</v>
      </c>
      <c r="BM36" s="34">
        <f>proj_rukn!E50</f>
        <v>46813</v>
      </c>
      <c r="BN36" s="30">
        <f t="shared" si="26"/>
        <v>53834.95</v>
      </c>
      <c r="BO36" s="30">
        <f t="shared" si="35"/>
        <v>69843.344713293394</v>
      </c>
      <c r="BQ36" s="30">
        <f t="shared" si="27"/>
        <v>21533.98</v>
      </c>
      <c r="BR36" s="30">
        <f t="shared" si="36"/>
        <v>59076.354711913009</v>
      </c>
      <c r="BS36" s="30"/>
      <c r="BT36" s="30">
        <f t="shared" si="28"/>
        <v>10766.99</v>
      </c>
      <c r="BU36" s="30">
        <f t="shared" si="37"/>
        <v>10766.990001380387</v>
      </c>
      <c r="BW36" s="30">
        <f t="shared" si="29"/>
        <v>10.880260845342455</v>
      </c>
      <c r="BX36" s="30">
        <f t="shared" si="38"/>
        <v>5.5649797213790588</v>
      </c>
      <c r="BZ36" s="24">
        <f t="shared" si="46"/>
        <v>7.1480701470937519E-2</v>
      </c>
      <c r="CA36" s="24">
        <f t="shared" si="30"/>
        <v>0.13494520139732893</v>
      </c>
      <c r="CF36" s="23"/>
    </row>
    <row r="37" spans="1:84" x14ac:dyDescent="0.25">
      <c r="A37" s="19"/>
      <c r="B37" s="20" t="str">
        <f t="shared" si="31"/>
        <v>JAWA</v>
      </c>
      <c r="C37" s="20">
        <f t="shared" si="31"/>
        <v>2028</v>
      </c>
      <c r="D37" s="30">
        <f>(D13*(VLOOKUP(D$27,tech_data!$B$2:$O$15,6, FALSE)/100)*(1-(VLOOKUP(D$27,tech_data!$B$2:$O$15,7, FALSE)/100))*8760)/1000</f>
        <v>119242.17570670891</v>
      </c>
      <c r="E37" s="30">
        <f>(E13*(VLOOKUP(E$27,tech_data!$B$2:$O$15,6, FALSE)/100)*(1-(VLOOKUP(E$27,tech_data!$B$2:$O$15,7, FALSE)/100))*8760)/1000</f>
        <v>19667.919743348022</v>
      </c>
      <c r="F37" s="30">
        <f>(F13*(VLOOKUP(F$27,tech_data!$B$2:$O$15,6, FALSE)/100)*(1-(VLOOKUP(F$27,tech_data!$B$2:$O$15,7, FALSE)/100))*8760)/1000</f>
        <v>103595.62207145841</v>
      </c>
      <c r="G37" s="30">
        <f>(G13*(VLOOKUP(G$27,tech_data!$B$2:$O$15,6, FALSE)/100)*(1-(VLOOKUP(G$27,tech_data!$B$2:$O$15,7, FALSE)/100))*8760)/1000</f>
        <v>263.3437444583364</v>
      </c>
      <c r="H37" s="30">
        <f>(H13*(VLOOKUP(H$27,tech_data!$B$2:$O$15,6, FALSE)/100)*(1-(VLOOKUP(H$27,tech_data!$B$2:$O$15,7, FALSE)/100))*8760)/1000</f>
        <v>7818.1140184615379</v>
      </c>
      <c r="I37" s="30">
        <f>(I13*(VLOOKUP(I$27,tech_data!$B$2:$O$15,6, FALSE)/100)*(1-(VLOOKUP(I$27,tech_data!$B$2:$O$15,7, FALSE)/100))*8760)/1000</f>
        <v>20859.5988236177</v>
      </c>
      <c r="J37" s="30">
        <f>(J13*(VLOOKUP(J$27,tech_data!$B$2:$O$15,6, FALSE)/100)*(1-(VLOOKUP(J$27,tech_data!$B$2:$O$15,7, FALSE)/100))*8760)/1000</f>
        <v>102.69577107692311</v>
      </c>
      <c r="K37" s="30">
        <f>(K13*(VLOOKUP(K$27,tech_data!$B$2:$O$15,6, FALSE)/100)*(1-(VLOOKUP(K$27,tech_data!$B$2:$O$15,7, FALSE)/100))*8760)/1000</f>
        <v>9587.7574364298071</v>
      </c>
      <c r="L37" s="30">
        <f>(L13*(VLOOKUP(L$27,tech_data!$B$2:$O$15,6, FALSE)/100)*(1-(VLOOKUP(L$27,tech_data!$B$2:$O$15,7, FALSE)/100))*8760)/1000</f>
        <v>38090.955370802367</v>
      </c>
      <c r="M37" s="30">
        <f>(M13*(VLOOKUP(M$27,tech_data!$B$2:$O$15,6, FALSE)/100)*(1-(VLOOKUP(M$27,tech_data!$B$2:$O$15,7, FALSE)/100))*8760)/1000</f>
        <v>19.980886153846154</v>
      </c>
      <c r="N37" s="30">
        <f>(N13*(VLOOKUP(N$27,tech_data!$B$2:$O$15,6, FALSE)/100)*(1-(VLOOKUP(N$27,tech_data!$B$2:$O$15,7, FALSE)/100))*8760)/1000</f>
        <v>16.769732491592507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88.05272854413424</v>
      </c>
      <c r="Q37" s="34">
        <f t="shared" si="17"/>
        <v>319264.93330500741</v>
      </c>
      <c r="R37" s="34">
        <f>proj_rukn!D51</f>
        <v>319265</v>
      </c>
      <c r="S37" s="35"/>
      <c r="T37" s="19"/>
      <c r="U37" s="20" t="str">
        <f t="shared" si="18"/>
        <v>JAWA</v>
      </c>
      <c r="V37" s="20">
        <f t="shared" si="18"/>
        <v>2028</v>
      </c>
      <c r="W37" s="29">
        <f t="shared" si="19"/>
        <v>0.37348973616464093</v>
      </c>
      <c r="X37" s="29">
        <f t="shared" si="19"/>
        <v>6.160375816957768E-2</v>
      </c>
      <c r="Y37" s="29">
        <f t="shared" si="19"/>
        <v>0.32448168046219183</v>
      </c>
      <c r="Z37" s="29">
        <f t="shared" si="19"/>
        <v>8.2484393676505931E-4</v>
      </c>
      <c r="AA37" s="29">
        <f t="shared" si="19"/>
        <v>2.4487856957947085E-2</v>
      </c>
      <c r="AB37" s="29">
        <f t="shared" si="19"/>
        <v>6.5336329322737224E-2</v>
      </c>
      <c r="AC37" s="29">
        <f t="shared" si="19"/>
        <v>3.216631717546426E-4</v>
      </c>
      <c r="AD37" s="29">
        <f t="shared" si="19"/>
        <v>3.0030725069546592E-2</v>
      </c>
      <c r="AE37" s="29">
        <f t="shared" si="19"/>
        <v>0.11930829664406786</v>
      </c>
      <c r="AF37" s="29">
        <f t="shared" si="19"/>
        <v>6.2584029968482512E-5</v>
      </c>
      <c r="AG37" s="29">
        <f t="shared" si="19"/>
        <v>5.2526070802682441E-5</v>
      </c>
      <c r="AH37" s="29">
        <f t="shared" si="19"/>
        <v>0</v>
      </c>
      <c r="AI37" s="29">
        <f t="shared" si="19"/>
        <v>2.7579830842247154E-4</v>
      </c>
      <c r="AJ37" s="29">
        <f t="shared" si="20"/>
        <v>1.0000000000000002</v>
      </c>
      <c r="AM37" s="23"/>
      <c r="AO37" s="20" t="str">
        <f t="shared" si="39"/>
        <v>JAWA</v>
      </c>
      <c r="AP37" s="20">
        <f t="shared" si="40"/>
        <v>2028</v>
      </c>
      <c r="AQ37" s="25">
        <f t="shared" si="21"/>
        <v>0.37348973616464093</v>
      </c>
      <c r="AR37" s="25">
        <f t="shared" si="22"/>
        <v>0.38608543863176953</v>
      </c>
      <c r="AS37" s="25">
        <f t="shared" si="23"/>
        <v>8.2484393676505931E-4</v>
      </c>
      <c r="AT37" s="37">
        <f t="shared" si="24"/>
        <v>0.23959998126682461</v>
      </c>
      <c r="AU37" s="24">
        <f t="shared" si="32"/>
        <v>1.0000000000000002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8.2484393689777845E-4</v>
      </c>
      <c r="AZ37" s="25">
        <f t="shared" si="47"/>
        <v>0.23960000000000001</v>
      </c>
      <c r="BA37" s="24">
        <f t="shared" si="34"/>
        <v>0.76822484393689783</v>
      </c>
      <c r="BJ37" s="19"/>
      <c r="BK37" s="20" t="str">
        <f t="shared" si="44"/>
        <v>JAWA</v>
      </c>
      <c r="BL37" s="20">
        <f t="shared" si="45"/>
        <v>2028</v>
      </c>
      <c r="BM37" s="34">
        <f>proj_rukn!E51</f>
        <v>49372</v>
      </c>
      <c r="BN37" s="30">
        <f t="shared" si="26"/>
        <v>56777.799999999996</v>
      </c>
      <c r="BO37" s="30">
        <f t="shared" si="35"/>
        <v>74591.814504315538</v>
      </c>
      <c r="BQ37" s="30">
        <f t="shared" si="27"/>
        <v>22711.119999999999</v>
      </c>
      <c r="BR37" s="30">
        <f t="shared" si="36"/>
        <v>63236.255211499083</v>
      </c>
      <c r="BS37" s="30"/>
      <c r="BT37" s="30">
        <f t="shared" si="28"/>
        <v>11355.56</v>
      </c>
      <c r="BU37" s="30">
        <f t="shared" si="37"/>
        <v>11355.559292816448</v>
      </c>
      <c r="BW37" s="30">
        <f t="shared" si="29"/>
        <v>11.765724195645708</v>
      </c>
      <c r="BX37" s="30">
        <f t="shared" si="38"/>
        <v>5.5649797213790588</v>
      </c>
      <c r="BZ37" s="24">
        <f t="shared" si="46"/>
        <v>7.5054736544484399E-2</v>
      </c>
      <c r="CA37" s="24">
        <f t="shared" si="30"/>
        <v>0.12533692578257599</v>
      </c>
      <c r="CF37" s="23"/>
    </row>
    <row r="38" spans="1:84" x14ac:dyDescent="0.25">
      <c r="A38" s="19"/>
      <c r="B38" s="20" t="str">
        <f t="shared" si="31"/>
        <v>JAWA</v>
      </c>
      <c r="C38" s="20">
        <f t="shared" si="31"/>
        <v>2029</v>
      </c>
      <c r="D38" s="30">
        <f>(D14*(VLOOKUP(D$27,tech_data!$B$2:$O$15,6, FALSE)/100)*(1-(VLOOKUP(D$27,tech_data!$B$2:$O$15,7, FALSE)/100))*8760)/1000</f>
        <v>119242.17570670891</v>
      </c>
      <c r="E38" s="30">
        <f>(E14*(VLOOKUP(E$27,tech_data!$B$2:$O$15,6, FALSE)/100)*(1-(VLOOKUP(E$27,tech_data!$B$2:$O$15,7, FALSE)/100))*8760)/1000</f>
        <v>21579.493014710231</v>
      </c>
      <c r="F38" s="30">
        <f>(F14*(VLOOKUP(F$27,tech_data!$B$2:$O$15,6, FALSE)/100)*(1-(VLOOKUP(F$27,tech_data!$B$2:$O$15,7, FALSE)/100))*8760)/1000</f>
        <v>115769.74499082789</v>
      </c>
      <c r="G38" s="30">
        <f>(G14*(VLOOKUP(G$27,tech_data!$B$2:$O$15,6, FALSE)/100)*(1-(VLOOKUP(G$27,tech_data!$B$2:$O$15,7, FALSE)/100))*8760)/1000</f>
        <v>274.21625241337699</v>
      </c>
      <c r="H38" s="30">
        <f>(H14*(VLOOKUP(H$27,tech_data!$B$2:$O$15,6, FALSE)/100)*(1-(VLOOKUP(H$27,tech_data!$B$2:$O$15,7, FALSE)/100))*8760)/1000</f>
        <v>7818.1140184615379</v>
      </c>
      <c r="I38" s="30">
        <f>(I14*(VLOOKUP(I$27,tech_data!$B$2:$O$15,6, FALSE)/100)*(1-(VLOOKUP(I$27,tech_data!$B$2:$O$15,7, FALSE)/100))*8760)/1000</f>
        <v>20859.5988236177</v>
      </c>
      <c r="J38" s="30">
        <f>(J14*(VLOOKUP(J$27,tech_data!$B$2:$O$15,6, FALSE)/100)*(1-(VLOOKUP(J$27,tech_data!$B$2:$O$15,7, FALSE)/100))*8760)/1000</f>
        <v>102.69577107692311</v>
      </c>
      <c r="K38" s="30">
        <f>(K14*(VLOOKUP(K$27,tech_data!$B$2:$O$15,6, FALSE)/100)*(1-(VLOOKUP(K$27,tech_data!$B$2:$O$15,7, FALSE)/100))*8760)/1000</f>
        <v>9587.7574364298071</v>
      </c>
      <c r="L38" s="30">
        <f>(L14*(VLOOKUP(L$27,tech_data!$B$2:$O$15,6, FALSE)/100)*(1-(VLOOKUP(L$27,tech_data!$B$2:$O$15,7, FALSE)/100))*8760)/1000</f>
        <v>43960.294463983497</v>
      </c>
      <c r="M38" s="30">
        <f>(M14*(VLOOKUP(M$27,tech_data!$B$2:$O$15,6, FALSE)/100)*(1-(VLOOKUP(M$27,tech_data!$B$2:$O$15,7, FALSE)/100))*8760)/1000</f>
        <v>19.980886153846154</v>
      </c>
      <c r="N38" s="30">
        <f>(N14*(VLOOKUP(N$27,tech_data!$B$2:$O$15,6, FALSE)/100)*(1-(VLOOKUP(N$27,tech_data!$B$2:$O$15,7, FALSE)/100))*8760)/1000</f>
        <v>16.769732491592507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94.134100964663403</v>
      </c>
      <c r="Q38" s="34">
        <f t="shared" si="17"/>
        <v>339230.84109687526</v>
      </c>
      <c r="R38" s="34">
        <f>proj_rukn!D52</f>
        <v>339231</v>
      </c>
      <c r="S38" s="35"/>
      <c r="T38" s="19"/>
      <c r="U38" s="20" t="str">
        <f t="shared" si="18"/>
        <v>JAWA</v>
      </c>
      <c r="V38" s="20">
        <f t="shared" si="18"/>
        <v>2029</v>
      </c>
      <c r="W38" s="29">
        <f t="shared" si="19"/>
        <v>0.35150747296781465</v>
      </c>
      <c r="X38" s="29">
        <f t="shared" si="19"/>
        <v>6.3613004480768023E-2</v>
      </c>
      <c r="Y38" s="29">
        <f t="shared" si="19"/>
        <v>0.34127128481742952</v>
      </c>
      <c r="Z38" s="29">
        <f t="shared" si="19"/>
        <v>8.0834705808800018E-4</v>
      </c>
      <c r="AA38" s="29">
        <f t="shared" si="19"/>
        <v>2.3046589729820273E-2</v>
      </c>
      <c r="AB38" s="29">
        <f t="shared" si="19"/>
        <v>6.1490867859095265E-2</v>
      </c>
      <c r="AC38" s="29">
        <f t="shared" si="19"/>
        <v>3.0273123382551156E-4</v>
      </c>
      <c r="AD38" s="29">
        <f t="shared" si="19"/>
        <v>2.8263224550658706E-2</v>
      </c>
      <c r="AE38" s="29">
        <f t="shared" si="19"/>
        <v>0.12958814216844633</v>
      </c>
      <c r="AF38" s="29">
        <f t="shared" si="19"/>
        <v>5.8900558950476285E-5</v>
      </c>
      <c r="AG38" s="29">
        <f t="shared" si="19"/>
        <v>4.9434575103398451E-5</v>
      </c>
      <c r="AH38" s="29">
        <f t="shared" si="19"/>
        <v>0</v>
      </c>
      <c r="AI38" s="29">
        <f t="shared" si="19"/>
        <v>2.7749275584816661E-4</v>
      </c>
      <c r="AJ38" s="29">
        <f t="shared" si="20"/>
        <v>1</v>
      </c>
      <c r="AM38" s="23"/>
      <c r="AO38" s="20" t="str">
        <f t="shared" si="39"/>
        <v>JAWA</v>
      </c>
      <c r="AP38" s="20">
        <f t="shared" si="40"/>
        <v>2029</v>
      </c>
      <c r="AQ38" s="25">
        <f t="shared" si="21"/>
        <v>0.35150747296781465</v>
      </c>
      <c r="AR38" s="25">
        <f t="shared" si="22"/>
        <v>0.40488428929819753</v>
      </c>
      <c r="AS38" s="25">
        <f t="shared" si="23"/>
        <v>8.0834705808800018E-4</v>
      </c>
      <c r="AT38" s="37">
        <f t="shared" si="24"/>
        <v>0.24279989067589999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8.0834705815982283E-4</v>
      </c>
      <c r="AZ38" s="25">
        <f t="shared" si="47"/>
        <v>0.24280000000000002</v>
      </c>
      <c r="BA38" s="24">
        <f t="shared" si="34"/>
        <v>0.7740083470581598</v>
      </c>
      <c r="BJ38" s="19"/>
      <c r="BK38" s="20" t="str">
        <f t="shared" si="44"/>
        <v>JAWA</v>
      </c>
      <c r="BL38" s="20">
        <f t="shared" si="45"/>
        <v>2029</v>
      </c>
      <c r="BM38" s="34">
        <f>proj_rukn!E52</f>
        <v>52169.133398413025</v>
      </c>
      <c r="BN38" s="30">
        <f t="shared" si="26"/>
        <v>59994.503408174976</v>
      </c>
      <c r="BO38" s="30">
        <f t="shared" si="35"/>
        <v>79634.136330158173</v>
      </c>
      <c r="BQ38" s="30">
        <f t="shared" si="27"/>
        <v>23997.801363269991</v>
      </c>
      <c r="BR38" s="30">
        <f t="shared" si="36"/>
        <v>67635.237624636124</v>
      </c>
      <c r="BS38" s="30"/>
      <c r="BT38" s="30">
        <f t="shared" si="28"/>
        <v>11998.900681634996</v>
      </c>
      <c r="BU38" s="30">
        <f t="shared" si="37"/>
        <v>11998.898705522028</v>
      </c>
      <c r="BW38" s="30">
        <f t="shared" si="29"/>
        <v>12.719911831685026</v>
      </c>
      <c r="BX38" s="30">
        <f t="shared" si="38"/>
        <v>5.5649797213790588</v>
      </c>
      <c r="BZ38" s="24">
        <f t="shared" si="46"/>
        <v>7.8807473371708625E-2</v>
      </c>
      <c r="CA38" s="24">
        <f t="shared" si="30"/>
        <v>0.11640542535657772</v>
      </c>
      <c r="CF38" s="23"/>
    </row>
    <row r="39" spans="1:84" x14ac:dyDescent="0.25">
      <c r="A39" s="19"/>
      <c r="B39" s="20" t="str">
        <f t="shared" si="31"/>
        <v>JAWA</v>
      </c>
      <c r="C39" s="20">
        <f t="shared" si="31"/>
        <v>2030</v>
      </c>
      <c r="D39" s="30">
        <f>(D15*(VLOOKUP(D$27,tech_data!$B$2:$O$15,6, FALSE)/100)*(1-(VLOOKUP(D$27,tech_data!$B$2:$O$15,7, FALSE)/100))*8760)/1000</f>
        <v>119242.17570670891</v>
      </c>
      <c r="E39" s="30">
        <f>(E15*(VLOOKUP(E$27,tech_data!$B$2:$O$15,6, FALSE)/100)*(1-(VLOOKUP(E$27,tech_data!$B$2:$O$15,7, FALSE)/100))*8760)/1000</f>
        <v>23599.782986657403</v>
      </c>
      <c r="F39" s="30">
        <f>(F15*(VLOOKUP(F$27,tech_data!$B$2:$O$15,6, FALSE)/100)*(1-(VLOOKUP(F$27,tech_data!$B$2:$O$15,7, FALSE)/100))*8760)/1000</f>
        <v>128288.74543191583</v>
      </c>
      <c r="G39" s="30">
        <f>(G15*(VLOOKUP(G$27,tech_data!$B$2:$O$15,6, FALSE)/100)*(1-(VLOOKUP(G$27,tech_data!$B$2:$O$15,7, FALSE)/100))*8760)/1000</f>
        <v>285.15945552117557</v>
      </c>
      <c r="H39" s="30">
        <f>(H15*(VLOOKUP(H$27,tech_data!$B$2:$O$15,6, FALSE)/100)*(1-(VLOOKUP(H$27,tech_data!$B$2:$O$15,7, FALSE)/100))*8760)/1000</f>
        <v>7818.1140184615379</v>
      </c>
      <c r="I39" s="30">
        <f>(I15*(VLOOKUP(I$27,tech_data!$B$2:$O$15,6, FALSE)/100)*(1-(VLOOKUP(I$27,tech_data!$B$2:$O$15,7, FALSE)/100))*8760)/1000</f>
        <v>20859.5988236177</v>
      </c>
      <c r="J39" s="30">
        <f>(J15*(VLOOKUP(J$27,tech_data!$B$2:$O$15,6, FALSE)/100)*(1-(VLOOKUP(J$27,tech_data!$B$2:$O$15,7, FALSE)/100))*8760)/1000</f>
        <v>102.69577107692311</v>
      </c>
      <c r="K39" s="30">
        <f>(K15*(VLOOKUP(K$27,tech_data!$B$2:$O$15,6, FALSE)/100)*(1-(VLOOKUP(K$27,tech_data!$B$2:$O$15,7, FALSE)/100))*8760)/1000</f>
        <v>9587.7574364298071</v>
      </c>
      <c r="L39" s="30">
        <f>(L15*(VLOOKUP(L$27,tech_data!$B$2:$O$15,6, FALSE)/100)*(1-(VLOOKUP(L$27,tech_data!$B$2:$O$15,7, FALSE)/100))*8760)/1000</f>
        <v>50147.173274303466</v>
      </c>
      <c r="M39" s="30">
        <f>(M15*(VLOOKUP(M$27,tech_data!$B$2:$O$15,6, FALSE)/100)*(1-(VLOOKUP(M$27,tech_data!$B$2:$O$15,7, FALSE)/100))*8760)/1000</f>
        <v>19.980886153846154</v>
      </c>
      <c r="N39" s="30">
        <f>(N15*(VLOOKUP(N$27,tech_data!$B$2:$O$15,6, FALSE)/100)*(1-(VLOOKUP(N$27,tech_data!$B$2:$O$15,7, FALSE)/100))*8760)/1000</f>
        <v>16.769732491592507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100.46845994052939</v>
      </c>
      <c r="Q39" s="34">
        <f t="shared" si="17"/>
        <v>359967.95352333813</v>
      </c>
      <c r="R39" s="34">
        <f>proj_rukn!D53</f>
        <v>359968</v>
      </c>
      <c r="S39" s="35"/>
      <c r="T39" s="19"/>
      <c r="U39" s="20" t="str">
        <f t="shared" si="18"/>
        <v>JAWA</v>
      </c>
      <c r="V39" s="20">
        <f t="shared" si="18"/>
        <v>2030</v>
      </c>
      <c r="W39" s="29">
        <f t="shared" si="19"/>
        <v>0.33125775375162103</v>
      </c>
      <c r="X39" s="29">
        <f t="shared" si="19"/>
        <v>6.5560788830407196E-2</v>
      </c>
      <c r="Y39" s="29">
        <f t="shared" si="19"/>
        <v>0.35638935126373233</v>
      </c>
      <c r="Z39" s="29">
        <f t="shared" si="19"/>
        <v>7.9218011695223747E-4</v>
      </c>
      <c r="AA39" s="29">
        <f t="shared" si="19"/>
        <v>2.1718916758946039E-2</v>
      </c>
      <c r="AB39" s="29">
        <f t="shared" si="19"/>
        <v>5.7948488523618787E-2</v>
      </c>
      <c r="AC39" s="29">
        <f t="shared" si="19"/>
        <v>2.8529142683881979E-4</v>
      </c>
      <c r="AD39" s="29">
        <f t="shared" si="19"/>
        <v>2.6635030542540215E-2</v>
      </c>
      <c r="AE39" s="29">
        <f t="shared" si="19"/>
        <v>0.13931010464533541</v>
      </c>
      <c r="AF39" s="29">
        <f t="shared" si="19"/>
        <v>5.5507402695920029E-5</v>
      </c>
      <c r="AG39" s="29">
        <f t="shared" si="19"/>
        <v>4.6586737312173702E-5</v>
      </c>
      <c r="AH39" s="29">
        <f t="shared" si="19"/>
        <v>0</v>
      </c>
      <c r="AI39" s="29">
        <f t="shared" si="19"/>
        <v>2.7910390065880025E-4</v>
      </c>
      <c r="AJ39" s="29">
        <f t="shared" si="20"/>
        <v>1.0000000000000002</v>
      </c>
      <c r="AM39" s="23"/>
      <c r="AO39" s="20" t="str">
        <f t="shared" si="39"/>
        <v>JAWA</v>
      </c>
      <c r="AP39" s="20">
        <f t="shared" si="40"/>
        <v>2030</v>
      </c>
      <c r="AQ39" s="25">
        <f t="shared" si="21"/>
        <v>0.33125775375162103</v>
      </c>
      <c r="AR39" s="25">
        <f t="shared" si="22"/>
        <v>0.4219501400941395</v>
      </c>
      <c r="AS39" s="25">
        <f t="shared" si="23"/>
        <v>7.9218011695223747E-4</v>
      </c>
      <c r="AT39" s="37">
        <f t="shared" si="24"/>
        <v>0.24599992603728738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7.9218011699662633E-4</v>
      </c>
      <c r="AZ39" s="25">
        <f t="shared" si="47"/>
        <v>0.246</v>
      </c>
      <c r="BA39" s="24">
        <f t="shared" si="34"/>
        <v>0.77979218011699669</v>
      </c>
      <c r="BJ39" s="19"/>
      <c r="BK39" s="20" t="str">
        <f t="shared" si="44"/>
        <v>JAWA</v>
      </c>
      <c r="BL39" s="20">
        <f t="shared" si="45"/>
        <v>2030</v>
      </c>
      <c r="BM39" s="34">
        <f>proj_rukn!E53</f>
        <v>55124.736278486052</v>
      </c>
      <c r="BN39" s="30">
        <f t="shared" si="26"/>
        <v>63393.446720258959</v>
      </c>
      <c r="BO39" s="30">
        <f t="shared" si="35"/>
        <v>84837.528639356737</v>
      </c>
      <c r="BQ39" s="30">
        <f t="shared" si="27"/>
        <v>25357.378688103585</v>
      </c>
      <c r="BR39" s="30">
        <f t="shared" si="36"/>
        <v>72158.837651935086</v>
      </c>
      <c r="BS39" s="30"/>
      <c r="BT39" s="30">
        <f t="shared" si="28"/>
        <v>12678.689344051792</v>
      </c>
      <c r="BU39" s="30">
        <f t="shared" si="37"/>
        <v>12678.690987421647</v>
      </c>
      <c r="BW39" s="30">
        <f t="shared" si="29"/>
        <v>13.725722396172509</v>
      </c>
      <c r="BX39" s="30">
        <f t="shared" si="38"/>
        <v>5.5649797213790588</v>
      </c>
      <c r="BZ39" s="24">
        <f t="shared" si="46"/>
        <v>8.2747847040294059E-2</v>
      </c>
      <c r="CA39" s="24">
        <f t="shared" si="30"/>
        <v>0.10827251443361416</v>
      </c>
      <c r="CF39" s="23"/>
    </row>
    <row r="40" spans="1:84" x14ac:dyDescent="0.25">
      <c r="A40" s="19"/>
      <c r="B40" s="20" t="str">
        <f t="shared" si="31"/>
        <v>JAWA</v>
      </c>
      <c r="C40" s="20">
        <f t="shared" si="31"/>
        <v>2031</v>
      </c>
      <c r="D40" s="30">
        <f>(D16*(VLOOKUP(D$27,tech_data!$B$2:$O$15,6, FALSE)/100)*(1-(VLOOKUP(D$27,tech_data!$B$2:$O$15,7, FALSE)/100))*8760)/1000</f>
        <v>119242.17570670891</v>
      </c>
      <c r="E40" s="30">
        <f>(E16*(VLOOKUP(E$27,tech_data!$B$2:$O$15,6, FALSE)/100)*(1-(VLOOKUP(E$27,tech_data!$B$2:$O$15,7, FALSE)/100))*8760)/1000</f>
        <v>25733.058313981903</v>
      </c>
      <c r="F40" s="30">
        <f>(F16*(VLOOKUP(F$27,tech_data!$B$2:$O$15,6, FALSE)/100)*(1-(VLOOKUP(F$27,tech_data!$B$2:$O$15,7, FALSE)/100))*8760)/1000</f>
        <v>143126.1252817715</v>
      </c>
      <c r="G40" s="30">
        <f>(G16*(VLOOKUP(G$27,tech_data!$B$2:$O$15,6, FALSE)/100)*(1-(VLOOKUP(G$27,tech_data!$B$2:$O$15,7, FALSE)/100))*8760)/1000</f>
        <v>298.20887300164799</v>
      </c>
      <c r="H40" s="30">
        <f>(H16*(VLOOKUP(H$27,tech_data!$B$2:$O$15,6, FALSE)/100)*(1-(VLOOKUP(H$27,tech_data!$B$2:$O$15,7, FALSE)/100))*8760)/1000</f>
        <v>7818.1140184615379</v>
      </c>
      <c r="I40" s="30">
        <f>(I16*(VLOOKUP(I$27,tech_data!$B$2:$O$15,6, FALSE)/100)*(1-(VLOOKUP(I$27,tech_data!$B$2:$O$15,7, FALSE)/100))*8760)/1000</f>
        <v>20859.5988236177</v>
      </c>
      <c r="J40" s="30">
        <f>(J16*(VLOOKUP(J$27,tech_data!$B$2:$O$15,6, FALSE)/100)*(1-(VLOOKUP(J$27,tech_data!$B$2:$O$15,7, FALSE)/100))*8760)/1000</f>
        <v>102.69577107692311</v>
      </c>
      <c r="K40" s="30">
        <f>(K16*(VLOOKUP(K$27,tech_data!$B$2:$O$15,6, FALSE)/100)*(1-(VLOOKUP(K$27,tech_data!$B$2:$O$15,7, FALSE)/100))*8760)/1000</f>
        <v>9587.7574364298071</v>
      </c>
      <c r="L40" s="30">
        <f>(L16*(VLOOKUP(L$27,tech_data!$B$2:$O$15,6, FALSE)/100)*(1-(VLOOKUP(L$27,tech_data!$B$2:$O$15,7, FALSE)/100))*8760)/1000</f>
        <v>57318.524985542455</v>
      </c>
      <c r="M40" s="30">
        <f>(M16*(VLOOKUP(M$27,tech_data!$B$2:$O$15,6, FALSE)/100)*(1-(VLOOKUP(M$27,tech_data!$B$2:$O$15,7, FALSE)/100))*8760)/1000</f>
        <v>19.980886153846154</v>
      </c>
      <c r="N40" s="30">
        <f>(N16*(VLOOKUP(N$27,tech_data!$B$2:$O$15,6, FALSE)/100)*(1-(VLOOKUP(N$27,tech_data!$B$2:$O$15,7, FALSE)/100))*8760)/1000</f>
        <v>16.769732491592507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107.83984197991582</v>
      </c>
      <c r="Q40" s="34">
        <f t="shared" si="17"/>
        <v>384123.00982923777</v>
      </c>
      <c r="R40" s="34">
        <f>proj_rukn!D54</f>
        <v>384123</v>
      </c>
      <c r="S40" s="35"/>
      <c r="T40" s="19"/>
      <c r="U40" s="20" t="str">
        <f t="shared" si="18"/>
        <v>JAWA</v>
      </c>
      <c r="V40" s="20">
        <f t="shared" si="18"/>
        <v>2031</v>
      </c>
      <c r="W40" s="29">
        <f t="shared" si="19"/>
        <v>0.310427057623333</v>
      </c>
      <c r="X40" s="29">
        <f t="shared" si="19"/>
        <v>6.6991712694903532E-2</v>
      </c>
      <c r="Y40" s="29">
        <f t="shared" si="19"/>
        <v>0.37260492503533788</v>
      </c>
      <c r="Z40" s="29">
        <f t="shared" si="19"/>
        <v>7.7633691648468814E-4</v>
      </c>
      <c r="AA40" s="29">
        <f t="shared" si="19"/>
        <v>2.0353152033087234E-2</v>
      </c>
      <c r="AB40" s="29">
        <f t="shared" si="19"/>
        <v>5.4304476143959335E-2</v>
      </c>
      <c r="AC40" s="29">
        <f t="shared" si="19"/>
        <v>2.6735126105196513E-4</v>
      </c>
      <c r="AD40" s="29">
        <f t="shared" si="19"/>
        <v>2.4960122645847363E-2</v>
      </c>
      <c r="AE40" s="29">
        <f t="shared" si="19"/>
        <v>0.14921919155799457</v>
      </c>
      <c r="AF40" s="29">
        <f t="shared" si="19"/>
        <v>5.2016894699249269E-5</v>
      </c>
      <c r="AG40" s="29">
        <f t="shared" si="19"/>
        <v>4.3657193301300814E-5</v>
      </c>
      <c r="AH40" s="29">
        <f t="shared" si="19"/>
        <v>0</v>
      </c>
      <c r="AI40" s="29">
        <f t="shared" si="19"/>
        <v>2.807429891478152E-4</v>
      </c>
      <c r="AJ40" s="29">
        <f t="shared" si="20"/>
        <v>1</v>
      </c>
      <c r="AM40" s="23"/>
      <c r="AO40" s="20" t="str">
        <f t="shared" si="39"/>
        <v>JAWA</v>
      </c>
      <c r="AP40" s="20">
        <f t="shared" si="40"/>
        <v>2031</v>
      </c>
      <c r="AQ40" s="25">
        <f t="shared" si="21"/>
        <v>0.310427057623333</v>
      </c>
      <c r="AR40" s="25">
        <f t="shared" si="22"/>
        <v>0.43959663773024138</v>
      </c>
      <c r="AS40" s="25">
        <f t="shared" si="23"/>
        <v>7.7633691648468814E-4</v>
      </c>
      <c r="AT40" s="37">
        <f t="shared" si="24"/>
        <v>0.24919996772994102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7.7633651465669376E-4</v>
      </c>
      <c r="AZ40" s="25">
        <f t="shared" si="47"/>
        <v>0.2492</v>
      </c>
      <c r="BA40" s="24">
        <f t="shared" si="34"/>
        <v>0.78557633651465664</v>
      </c>
      <c r="BJ40" s="19"/>
      <c r="BK40" s="20" t="str">
        <f t="shared" si="44"/>
        <v>JAWA</v>
      </c>
      <c r="BL40" s="20">
        <f t="shared" si="45"/>
        <v>2031</v>
      </c>
      <c r="BM40" s="34">
        <f>proj_rukn!E54</f>
        <v>58247.786609103881</v>
      </c>
      <c r="BN40" s="30">
        <f t="shared" si="26"/>
        <v>66984.954600469457</v>
      </c>
      <c r="BO40" s="30">
        <f t="shared" si="35"/>
        <v>90917.149839455684</v>
      </c>
      <c r="BQ40" s="30">
        <f t="shared" si="27"/>
        <v>26793.981840187786</v>
      </c>
      <c r="BR40" s="30">
        <f t="shared" si="36"/>
        <v>77520.158007317965</v>
      </c>
      <c r="BS40" s="30"/>
      <c r="BT40" s="30">
        <f t="shared" si="28"/>
        <v>13396.990920093893</v>
      </c>
      <c r="BU40" s="30">
        <f t="shared" si="37"/>
        <v>13396.991832137708</v>
      </c>
      <c r="BW40" s="30">
        <f t="shared" si="29"/>
        <v>14.891580259880447</v>
      </c>
      <c r="BX40" s="30">
        <f t="shared" si="38"/>
        <v>5.5649797213790588</v>
      </c>
      <c r="BZ40" s="24">
        <f t="shared" si="46"/>
        <v>8.6885239392308772E-2</v>
      </c>
      <c r="CA40" s="24">
        <f t="shared" si="30"/>
        <v>0.10016101877226864</v>
      </c>
      <c r="CF40" s="23"/>
    </row>
    <row r="41" spans="1:84" x14ac:dyDescent="0.25">
      <c r="A41" s="19"/>
      <c r="B41" s="20" t="str">
        <f t="shared" si="31"/>
        <v>JAWA</v>
      </c>
      <c r="C41" s="20">
        <f t="shared" si="31"/>
        <v>2032</v>
      </c>
      <c r="D41" s="30">
        <f>(D17*(VLOOKUP(D$27,tech_data!$B$2:$O$15,6, FALSE)/100)*(1-(VLOOKUP(D$27,tech_data!$B$2:$O$15,7, FALSE)/100))*8760)/1000</f>
        <v>119242.17570670891</v>
      </c>
      <c r="E41" s="30">
        <f>(E17*(VLOOKUP(E$27,tech_data!$B$2:$O$15,6, FALSE)/100)*(1-(VLOOKUP(E$27,tech_data!$B$2:$O$15,7, FALSE)/100))*8760)/1000</f>
        <v>27987.333508644351</v>
      </c>
      <c r="F41" s="30">
        <f>(F17*(VLOOKUP(F$27,tech_data!$B$2:$O$15,6, FALSE)/100)*(1-(VLOOKUP(F$27,tech_data!$B$2:$O$15,7, FALSE)/100))*8760)/1000</f>
        <v>158950.64547656078</v>
      </c>
      <c r="G41" s="30">
        <f>(G17*(VLOOKUP(G$27,tech_data!$B$2:$O$15,6, FALSE)/100)*(1-(VLOOKUP(G$27,tech_data!$B$2:$O$15,7, FALSE)/100))*8760)/1000</f>
        <v>311.9077002301529</v>
      </c>
      <c r="H41" s="30">
        <f>(H17*(VLOOKUP(H$27,tech_data!$B$2:$O$15,6, FALSE)/100)*(1-(VLOOKUP(H$27,tech_data!$B$2:$O$15,7, FALSE)/100))*8760)/1000</f>
        <v>7818.1140184615379</v>
      </c>
      <c r="I41" s="30">
        <f>(I17*(VLOOKUP(I$27,tech_data!$B$2:$O$15,6, FALSE)/100)*(1-(VLOOKUP(I$27,tech_data!$B$2:$O$15,7, FALSE)/100))*8760)/1000</f>
        <v>20859.5988236177</v>
      </c>
      <c r="J41" s="30">
        <f>(J17*(VLOOKUP(J$27,tech_data!$B$2:$O$15,6, FALSE)/100)*(1-(VLOOKUP(J$27,tech_data!$B$2:$O$15,7, FALSE)/100))*8760)/1000</f>
        <v>1157.7621578999763</v>
      </c>
      <c r="K41" s="30">
        <f>(K17*(VLOOKUP(K$27,tech_data!$B$2:$O$15,6, FALSE)/100)*(1-(VLOOKUP(K$27,tech_data!$B$2:$O$15,7, FALSE)/100))*8760)/1000</f>
        <v>9587.7574364298071</v>
      </c>
      <c r="L41" s="30">
        <f>(L17*(VLOOKUP(L$27,tech_data!$B$2:$O$15,6, FALSE)/100)*(1-(VLOOKUP(L$27,tech_data!$B$2:$O$15,7, FALSE)/100))*8760)/1000</f>
        <v>64015.999295232774</v>
      </c>
      <c r="M41" s="30">
        <f>(M17*(VLOOKUP(M$27,tech_data!$B$2:$O$15,6, FALSE)/100)*(1-(VLOOKUP(M$27,tech_data!$B$2:$O$15,7, FALSE)/100))*8760)/1000</f>
        <v>19.980886153846154</v>
      </c>
      <c r="N41" s="30">
        <f>(N17*(VLOOKUP(N$27,tech_data!$B$2:$O$15,6, FALSE)/100)*(1-(VLOOKUP(N$27,tech_data!$B$2:$O$15,7, FALSE)/100))*8760)/1000</f>
        <v>16.769732491592507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115.53268001639918</v>
      </c>
      <c r="Q41" s="34">
        <f t="shared" si="17"/>
        <v>409968.04474243132</v>
      </c>
      <c r="R41" s="34">
        <f>proj_rukn!D55</f>
        <v>409968</v>
      </c>
      <c r="S41" s="35"/>
      <c r="T41" s="19"/>
      <c r="U41" s="20" t="str">
        <f t="shared" si="18"/>
        <v>JAWA</v>
      </c>
      <c r="V41" s="20">
        <f t="shared" si="18"/>
        <v>2032</v>
      </c>
      <c r="W41" s="29">
        <f t="shared" si="19"/>
        <v>0.29085724420698356</v>
      </c>
      <c r="X41" s="29">
        <f t="shared" si="19"/>
        <v>6.8267109760293196E-2</v>
      </c>
      <c r="Y41" s="29">
        <f t="shared" si="19"/>
        <v>0.38771471951289266</v>
      </c>
      <c r="Z41" s="29">
        <f t="shared" si="19"/>
        <v>7.6080978561661721E-4</v>
      </c>
      <c r="AA41" s="29">
        <f t="shared" si="19"/>
        <v>1.9070057090360269E-2</v>
      </c>
      <c r="AB41" s="29">
        <f t="shared" si="19"/>
        <v>5.0881035951772929E-2</v>
      </c>
      <c r="AC41" s="29">
        <f t="shared" si="19"/>
        <v>2.8240302451557121E-3</v>
      </c>
      <c r="AD41" s="29">
        <f t="shared" si="19"/>
        <v>2.3386596978438801E-2</v>
      </c>
      <c r="AE41" s="29">
        <f t="shared" si="19"/>
        <v>0.1561487538265374</v>
      </c>
      <c r="AF41" s="29">
        <f t="shared" si="19"/>
        <v>4.873766726477292E-5</v>
      </c>
      <c r="AG41" s="29">
        <f t="shared" si="19"/>
        <v>4.0904974684376551E-5</v>
      </c>
      <c r="AH41" s="29">
        <f t="shared" si="19"/>
        <v>0</v>
      </c>
      <c r="AI41" s="29">
        <f t="shared" si="19"/>
        <v>2.8180898852490894E-4</v>
      </c>
      <c r="AJ41" s="29">
        <f t="shared" si="20"/>
        <v>1.0000000000000004</v>
      </c>
      <c r="AM41" s="23"/>
      <c r="AO41" s="20" t="str">
        <f t="shared" si="39"/>
        <v>JAWA</v>
      </c>
      <c r="AP41" s="20">
        <f t="shared" si="40"/>
        <v>2032</v>
      </c>
      <c r="AQ41" s="25">
        <f t="shared" si="21"/>
        <v>0.29085724420698356</v>
      </c>
      <c r="AR41" s="25">
        <f t="shared" si="22"/>
        <v>0.45598182927318581</v>
      </c>
      <c r="AS41" s="25">
        <f t="shared" si="23"/>
        <v>7.6080978561661721E-4</v>
      </c>
      <c r="AT41" s="37">
        <f t="shared" si="24"/>
        <v>0.25240011673421425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7.6080978436355987E-4</v>
      </c>
      <c r="AZ41" s="25">
        <f t="shared" si="47"/>
        <v>0.25240000000000001</v>
      </c>
      <c r="BA41" s="24">
        <f t="shared" si="34"/>
        <v>0.79136080978436363</v>
      </c>
      <c r="BJ41" s="19"/>
      <c r="BK41" s="20" t="str">
        <f t="shared" si="44"/>
        <v>JAWA</v>
      </c>
      <c r="BL41" s="20">
        <f t="shared" si="45"/>
        <v>2032</v>
      </c>
      <c r="BM41" s="34">
        <f>proj_rukn!E55</f>
        <v>61547.770999202708</v>
      </c>
      <c r="BN41" s="30">
        <f t="shared" si="26"/>
        <v>70779.936649083116</v>
      </c>
      <c r="BO41" s="30">
        <f t="shared" si="35"/>
        <v>97394.159957542084</v>
      </c>
      <c r="BQ41" s="30">
        <f t="shared" si="27"/>
        <v>28311.974659633248</v>
      </c>
      <c r="BR41" s="30">
        <f t="shared" si="36"/>
        <v>83238.170425481978</v>
      </c>
      <c r="BS41" s="30"/>
      <c r="BT41" s="30">
        <f t="shared" si="28"/>
        <v>14155.987329816624</v>
      </c>
      <c r="BU41" s="30">
        <f t="shared" si="37"/>
        <v>14155.989532060115</v>
      </c>
      <c r="BW41" s="30">
        <f t="shared" si="29"/>
        <v>16.069523552026855</v>
      </c>
      <c r="BX41" s="30">
        <f t="shared" si="38"/>
        <v>5.5649797213790588</v>
      </c>
      <c r="BZ41" s="24">
        <f t="shared" si="46"/>
        <v>9.1229501361924217E-2</v>
      </c>
      <c r="CA41" s="24">
        <f t="shared" si="30"/>
        <v>9.2656838994514684E-2</v>
      </c>
      <c r="CF41" s="23"/>
    </row>
    <row r="42" spans="1:84" x14ac:dyDescent="0.25">
      <c r="A42" s="19"/>
      <c r="B42" s="20" t="str">
        <f t="shared" si="31"/>
        <v>JAWA</v>
      </c>
      <c r="C42" s="20">
        <f t="shared" si="31"/>
        <v>2033</v>
      </c>
      <c r="D42" s="30">
        <f>(D18*(VLOOKUP(D$27,tech_data!$B$2:$O$15,6, FALSE)/100)*(1-(VLOOKUP(D$27,tech_data!$B$2:$O$15,7, FALSE)/100))*8760)/1000</f>
        <v>123560.46194855974</v>
      </c>
      <c r="E42" s="30">
        <f>(E18*(VLOOKUP(E$27,tech_data!$B$2:$O$15,6, FALSE)/100)*(1-(VLOOKUP(E$27,tech_data!$B$2:$O$15,7, FALSE)/100))*8760)/1000</f>
        <v>29704.554869569161</v>
      </c>
      <c r="F42" s="30">
        <f>(F18*(VLOOKUP(F$27,tech_data!$B$2:$O$15,6, FALSE)/100)*(1-(VLOOKUP(F$27,tech_data!$B$2:$O$15,7, FALSE)/100))*8760)/1000</f>
        <v>170278.16334168814</v>
      </c>
      <c r="G42" s="30">
        <f>(G18*(VLOOKUP(G$27,tech_data!$B$2:$O$15,6, FALSE)/100)*(1-(VLOOKUP(G$27,tech_data!$B$2:$O$15,7, FALSE)/100))*8760)/1000</f>
        <v>324.38699271085466</v>
      </c>
      <c r="H42" s="30">
        <f>(H18*(VLOOKUP(H$27,tech_data!$B$2:$O$15,6, FALSE)/100)*(1-(VLOOKUP(H$27,tech_data!$B$2:$O$15,7, FALSE)/100))*8760)/1000</f>
        <v>8004.7709549680721</v>
      </c>
      <c r="I42" s="30">
        <f>(I18*(VLOOKUP(I$27,tech_data!$B$2:$O$15,6, FALSE)/100)*(1-(VLOOKUP(I$27,tech_data!$B$2:$O$15,7, FALSE)/100))*8760)/1000</f>
        <v>21849.890589635328</v>
      </c>
      <c r="J42" s="30">
        <f>(J18*(VLOOKUP(J$27,tech_data!$B$2:$O$15,6, FALSE)/100)*(1-(VLOOKUP(J$27,tech_data!$B$2:$O$15,7, FALSE)/100))*8760)/1000</f>
        <v>3295.917880987517</v>
      </c>
      <c r="K42" s="30">
        <f>(K18*(VLOOKUP(K$27,tech_data!$B$2:$O$15,6, FALSE)/100)*(1-(VLOOKUP(K$27,tech_data!$B$2:$O$15,7, FALSE)/100))*8760)/1000</f>
        <v>10652.382768249308</v>
      </c>
      <c r="L42" s="30">
        <f>(L18*(VLOOKUP(L$27,tech_data!$B$2:$O$15,6, FALSE)/100)*(1-(VLOOKUP(L$27,tech_data!$B$2:$O$15,7, FALSE)/100))*8760)/1000</f>
        <v>67364.736450077937</v>
      </c>
      <c r="M42" s="30">
        <f>(M18*(VLOOKUP(M$27,tech_data!$B$2:$O$15,6, FALSE)/100)*(1-(VLOOKUP(M$27,tech_data!$B$2:$O$15,7, FALSE)/100))*8760)/1000</f>
        <v>19.980886153846154</v>
      </c>
      <c r="N42" s="30">
        <f>(N18*(VLOOKUP(N$27,tech_data!$B$2:$O$15,6, FALSE)/100)*(1-(VLOOKUP(N$27,tech_data!$B$2:$O$15,7, FALSE)/100))*8760)/1000</f>
        <v>16.769732491592507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122.58834433547359</v>
      </c>
      <c r="Q42" s="34">
        <f t="shared" si="17"/>
        <v>435072.01641509152</v>
      </c>
      <c r="R42" s="34">
        <f>proj_rukn!D56</f>
        <v>435072</v>
      </c>
      <c r="S42" s="35"/>
      <c r="T42" s="19"/>
      <c r="U42" s="20" t="str">
        <f t="shared" si="18"/>
        <v>JAWA</v>
      </c>
      <c r="V42" s="20">
        <f t="shared" si="18"/>
        <v>2033</v>
      </c>
      <c r="W42" s="29">
        <f t="shared" si="19"/>
        <v>0.28400002134514146</v>
      </c>
      <c r="X42" s="29">
        <f t="shared" si="19"/>
        <v>6.8275029762495165E-2</v>
      </c>
      <c r="Y42" s="29">
        <f t="shared" si="19"/>
        <v>0.39137925887476505</v>
      </c>
      <c r="Z42" s="29">
        <f t="shared" si="19"/>
        <v>7.4559378786008838E-4</v>
      </c>
      <c r="AA42" s="29">
        <f t="shared" si="19"/>
        <v>1.839872630955634E-2</v>
      </c>
      <c r="AB42" s="29">
        <f t="shared" si="19"/>
        <v>5.0221319150043617E-2</v>
      </c>
      <c r="AC42" s="29">
        <f t="shared" si="19"/>
        <v>7.5755685418364459E-3</v>
      </c>
      <c r="AD42" s="29">
        <f t="shared" si="19"/>
        <v>2.4484182770528114E-2</v>
      </c>
      <c r="AE42" s="29">
        <f t="shared" si="19"/>
        <v>0.15483582926144093</v>
      </c>
      <c r="AF42" s="29">
        <f t="shared" si="19"/>
        <v>4.592546842815761E-5</v>
      </c>
      <c r="AG42" s="29">
        <f t="shared" si="19"/>
        <v>3.8544727904524473E-5</v>
      </c>
      <c r="AH42" s="29">
        <f t="shared" si="19"/>
        <v>0</v>
      </c>
      <c r="AI42" s="29">
        <f t="shared" si="19"/>
        <v>2.8176563812487327E-4</v>
      </c>
      <c r="AJ42" s="29">
        <f t="shared" si="20"/>
        <v>0.99999999999999989</v>
      </c>
      <c r="AM42" s="23"/>
      <c r="AO42" s="20" t="str">
        <f t="shared" si="39"/>
        <v>JAWA</v>
      </c>
      <c r="AP42" s="20">
        <f t="shared" si="40"/>
        <v>2033</v>
      </c>
      <c r="AQ42" s="25">
        <f t="shared" si="21"/>
        <v>0.28400002134514146</v>
      </c>
      <c r="AR42" s="25">
        <f t="shared" si="22"/>
        <v>0.45965428863726027</v>
      </c>
      <c r="AS42" s="25">
        <f t="shared" si="23"/>
        <v>7.4559378786008838E-4</v>
      </c>
      <c r="AT42" s="37">
        <f t="shared" si="24"/>
        <v>0.25560009622973812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7.4559358867628861E-4</v>
      </c>
      <c r="AZ42" s="25">
        <f t="shared" si="47"/>
        <v>0.25559999999999999</v>
      </c>
      <c r="BA42" s="24">
        <f t="shared" si="34"/>
        <v>0.7971455935886762</v>
      </c>
      <c r="BJ42" s="19"/>
      <c r="BK42" s="20" t="str">
        <f t="shared" si="44"/>
        <v>JAWA</v>
      </c>
      <c r="BL42" s="20">
        <f t="shared" si="45"/>
        <v>2033</v>
      </c>
      <c r="BM42" s="34">
        <f>proj_rukn!E56</f>
        <v>65034.713514388372</v>
      </c>
      <c r="BN42" s="30">
        <f t="shared" si="26"/>
        <v>74789.920541546628</v>
      </c>
      <c r="BO42" s="30">
        <f t="shared" si="35"/>
        <v>103208.51540895247</v>
      </c>
      <c r="BQ42" s="30">
        <f t="shared" si="27"/>
        <v>29915.968216618654</v>
      </c>
      <c r="BR42" s="30">
        <f t="shared" si="36"/>
        <v>88250.531120914311</v>
      </c>
      <c r="BS42" s="30"/>
      <c r="BT42" s="30">
        <f t="shared" si="28"/>
        <v>14957.984108309327</v>
      </c>
      <c r="BU42" s="30">
        <f t="shared" si="37"/>
        <v>14957.984288038151</v>
      </c>
      <c r="BW42" s="30">
        <f t="shared" si="29"/>
        <v>17.209831495431182</v>
      </c>
      <c r="BX42" s="30">
        <f t="shared" si="38"/>
        <v>5.5649797213790588</v>
      </c>
      <c r="BZ42" s="24">
        <f t="shared" si="46"/>
        <v>9.5790976430020436E-2</v>
      </c>
      <c r="CA42" s="24">
        <f t="shared" si="30"/>
        <v>9.579097634032685E-2</v>
      </c>
      <c r="CF42" s="23"/>
    </row>
    <row r="43" spans="1:84" x14ac:dyDescent="0.25">
      <c r="A43" s="19"/>
      <c r="B43" s="20" t="str">
        <f t="shared" si="31"/>
        <v>JAWA</v>
      </c>
      <c r="C43" s="20">
        <f t="shared" si="31"/>
        <v>2034</v>
      </c>
      <c r="D43" s="30">
        <f>(D19*(VLOOKUP(D$27,tech_data!$B$2:$O$15,6, FALSE)/100)*(1-(VLOOKUP(D$27,tech_data!$B$2:$O$15,7, FALSE)/100))*8760)/1000</f>
        <v>130958.71545821294</v>
      </c>
      <c r="E43" s="30">
        <f>(E19*(VLOOKUP(E$27,tech_data!$B$2:$O$15,6, FALSE)/100)*(1-(VLOOKUP(E$27,tech_data!$B$2:$O$15,7, FALSE)/100))*8760)/1000</f>
        <v>32222.336737956633</v>
      </c>
      <c r="F43" s="30">
        <f>(F19*(VLOOKUP(F$27,tech_data!$B$2:$O$15,6, FALSE)/100)*(1-(VLOOKUP(F$27,tech_data!$B$2:$O$15,7, FALSE)/100))*8760)/1000</f>
        <v>180687.45785477519</v>
      </c>
      <c r="G43" s="30">
        <f>(G19*(VLOOKUP(G$27,tech_data!$B$2:$O$15,6, FALSE)/100)*(1-(VLOOKUP(G$27,tech_data!$B$2:$O$15,7, FALSE)/100))*8760)/1000</f>
        <v>339.32330292083179</v>
      </c>
      <c r="H43" s="30">
        <f>(H19*(VLOOKUP(H$27,tech_data!$B$2:$O$15,6, FALSE)/100)*(1-(VLOOKUP(H$27,tech_data!$B$2:$O$15,7, FALSE)/100))*8760)/1000</f>
        <v>8004.7709549680721</v>
      </c>
      <c r="I43" s="30">
        <f>(I19*(VLOOKUP(I$27,tech_data!$B$2:$O$15,6, FALSE)/100)*(1-(VLOOKUP(I$27,tech_data!$B$2:$O$15,7, FALSE)/100))*8760)/1000</f>
        <v>21849.890589635328</v>
      </c>
      <c r="J43" s="30">
        <f>(J19*(VLOOKUP(J$27,tech_data!$B$2:$O$15,6, FALSE)/100)*(1-(VLOOKUP(J$27,tech_data!$B$2:$O$15,7, FALSE)/100))*8760)/1000</f>
        <v>9166.1074683481584</v>
      </c>
      <c r="K43" s="30">
        <f>(K19*(VLOOKUP(K$27,tech_data!$B$2:$O$15,6, FALSE)/100)*(1-(VLOOKUP(K$27,tech_data!$B$2:$O$15,7, FALSE)/100))*8760)/1000</f>
        <v>12088.258694583725</v>
      </c>
      <c r="L43" s="30">
        <f>(L19*(VLOOKUP(L$27,tech_data!$B$2:$O$15,6, FALSE)/100)*(1-(VLOOKUP(L$27,tech_data!$B$2:$O$15,7, FALSE)/100))*8760)/1000</f>
        <v>69039.105027500496</v>
      </c>
      <c r="M43" s="30">
        <f>(M19*(VLOOKUP(M$27,tech_data!$B$2:$O$15,6, FALSE)/100)*(1-(VLOOKUP(M$27,tech_data!$B$2:$O$15,7, FALSE)/100))*8760)/1000</f>
        <v>19.980886153846154</v>
      </c>
      <c r="N43" s="30">
        <f>(N19*(VLOOKUP(N$27,tech_data!$B$2:$O$15,6, FALSE)/100)*(1-(VLOOKUP(N$27,tech_data!$B$2:$O$15,7, FALSE)/100))*8760)/1000</f>
        <v>16.769732491592507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130.42204477022807</v>
      </c>
      <c r="Q43" s="34">
        <f t="shared" si="17"/>
        <v>464392.71670754679</v>
      </c>
      <c r="R43" s="34">
        <f>proj_rukn!D57</f>
        <v>464393</v>
      </c>
      <c r="S43" s="35"/>
      <c r="T43" s="19"/>
      <c r="U43" s="20" t="str">
        <f t="shared" si="18"/>
        <v>JAWA</v>
      </c>
      <c r="V43" s="20">
        <f t="shared" si="18"/>
        <v>2034</v>
      </c>
      <c r="W43" s="29">
        <f t="shared" si="19"/>
        <v>0.28199993399268736</v>
      </c>
      <c r="X43" s="29">
        <f t="shared" si="19"/>
        <v>6.9385964892831817E-2</v>
      </c>
      <c r="Y43" s="29">
        <f t="shared" si="19"/>
        <v>0.38908331537973678</v>
      </c>
      <c r="Z43" s="29">
        <f t="shared" si="19"/>
        <v>7.3068179304483375E-4</v>
      </c>
      <c r="AA43" s="29">
        <f t="shared" si="19"/>
        <v>1.7237072561603308E-2</v>
      </c>
      <c r="AB43" s="29">
        <f t="shared" si="19"/>
        <v>4.7050459241795961E-2</v>
      </c>
      <c r="AC43" s="29">
        <f t="shared" si="19"/>
        <v>1.9737836401341653E-2</v>
      </c>
      <c r="AD43" s="29">
        <f t="shared" si="19"/>
        <v>2.6030250388694953E-2</v>
      </c>
      <c r="AE43" s="29">
        <f t="shared" si="19"/>
        <v>0.14866534840807624</v>
      </c>
      <c r="AF43" s="29">
        <f t="shared" si="19"/>
        <v>4.3025838767469728E-5</v>
      </c>
      <c r="AG43" s="29">
        <f t="shared" si="19"/>
        <v>3.6111101419691974E-5</v>
      </c>
      <c r="AH43" s="29">
        <f t="shared" si="19"/>
        <v>0</v>
      </c>
      <c r="AI43" s="29">
        <f t="shared" si="19"/>
        <v>2.8084429423203439E-4</v>
      </c>
      <c r="AJ43" s="29">
        <f t="shared" si="20"/>
        <v>1.0000000000000002</v>
      </c>
      <c r="AM43" s="23"/>
      <c r="AO43" s="20" t="str">
        <f t="shared" si="39"/>
        <v>JAWA</v>
      </c>
      <c r="AP43" s="20">
        <f t="shared" si="40"/>
        <v>2034</v>
      </c>
      <c r="AQ43" s="25">
        <f t="shared" si="21"/>
        <v>0.28199993399268736</v>
      </c>
      <c r="AR43" s="25">
        <f t="shared" si="22"/>
        <v>0.45846928027256856</v>
      </c>
      <c r="AS43" s="25">
        <f t="shared" si="23"/>
        <v>7.3068179304483375E-4</v>
      </c>
      <c r="AT43" s="37">
        <f t="shared" si="24"/>
        <v>0.25880010394169933</v>
      </c>
      <c r="AU43" s="24">
        <f t="shared" si="32"/>
        <v>1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7.306817169027628E-4</v>
      </c>
      <c r="AZ43" s="25">
        <f t="shared" si="47"/>
        <v>0.25880000000000003</v>
      </c>
      <c r="BA43" s="24">
        <f t="shared" si="34"/>
        <v>0.80293068171690274</v>
      </c>
      <c r="BJ43" s="19"/>
      <c r="BK43" s="20" t="str">
        <f t="shared" si="44"/>
        <v>JAWA</v>
      </c>
      <c r="BL43" s="20">
        <f t="shared" si="45"/>
        <v>2034</v>
      </c>
      <c r="BM43" s="34">
        <f>proj_rukn!E57</f>
        <v>68719.206126138321</v>
      </c>
      <c r="BN43" s="30">
        <f t="shared" si="26"/>
        <v>79027.087045059059</v>
      </c>
      <c r="BO43" s="30">
        <f t="shared" si="35"/>
        <v>109342.91088185553</v>
      </c>
      <c r="BQ43" s="30">
        <f t="shared" si="27"/>
        <v>31610.834818023624</v>
      </c>
      <c r="BR43" s="30">
        <f t="shared" si="36"/>
        <v>93537.494166609351</v>
      </c>
      <c r="BS43" s="30"/>
      <c r="BT43" s="30">
        <f t="shared" si="28"/>
        <v>15805.417409011812</v>
      </c>
      <c r="BU43" s="30">
        <f t="shared" si="37"/>
        <v>15805.416715246174</v>
      </c>
      <c r="BW43" s="30">
        <f t="shared" si="29"/>
        <v>18.368176119609956</v>
      </c>
      <c r="BX43" s="30">
        <f t="shared" si="38"/>
        <v>5.5649797213790588</v>
      </c>
      <c r="BZ43" s="24">
        <f t="shared" si="46"/>
        <v>0.10058052525152146</v>
      </c>
      <c r="CA43" s="24">
        <f t="shared" si="30"/>
        <v>0.10058052524800712</v>
      </c>
      <c r="CF43" s="23"/>
    </row>
    <row r="44" spans="1:84" x14ac:dyDescent="0.25">
      <c r="A44" s="19"/>
      <c r="B44" s="20" t="str">
        <f t="shared" si="31"/>
        <v>JAWA</v>
      </c>
      <c r="C44" s="20">
        <f t="shared" si="31"/>
        <v>2035</v>
      </c>
      <c r="D44" s="30">
        <f>(D20*(VLOOKUP(D$27,tech_data!$B$2:$O$15,6, FALSE)/100)*(1-(VLOOKUP(D$27,tech_data!$B$2:$O$15,7, FALSE)/100))*8760)/1000</f>
        <v>138223.4089069347</v>
      </c>
      <c r="E44" s="30">
        <f>(E20*(VLOOKUP(E$27,tech_data!$B$2:$O$15,6, FALSE)/100)*(1-(VLOOKUP(E$27,tech_data!$B$2:$O$15,7, FALSE)/100))*8760)/1000</f>
        <v>33374.979878610866</v>
      </c>
      <c r="F44" s="30">
        <f>(F20*(VLOOKUP(F$27,tech_data!$B$2:$O$15,6, FALSE)/100)*(1-(VLOOKUP(F$27,tech_data!$B$2:$O$15,7, FALSE)/100))*8760)/1000</f>
        <v>192365.54280038603</v>
      </c>
      <c r="G44" s="30">
        <f>(G20*(VLOOKUP(G$27,tech_data!$B$2:$O$15,6, FALSE)/100)*(1-(VLOOKUP(G$27,tech_data!$B$2:$O$15,7, FALSE)/100))*8760)/1000</f>
        <v>353.49066318875322</v>
      </c>
      <c r="H44" s="30">
        <f>(H20*(VLOOKUP(H$27,tech_data!$B$2:$O$15,6, FALSE)/100)*(1-(VLOOKUP(H$27,tech_data!$B$2:$O$15,7, FALSE)/100))*8760)/1000</f>
        <v>8427.5150167647826</v>
      </c>
      <c r="I44" s="30">
        <f>(I20*(VLOOKUP(I$27,tech_data!$B$2:$O$15,6, FALSE)/100)*(1-(VLOOKUP(I$27,tech_data!$B$2:$O$15,7, FALSE)/100))*8760)/1000</f>
        <v>24091.166954529574</v>
      </c>
      <c r="J44" s="30">
        <f>(J20*(VLOOKUP(J$27,tech_data!$B$2:$O$15,6, FALSE)/100)*(1-(VLOOKUP(J$27,tech_data!$B$2:$O$15,7, FALSE)/100))*8760)/1000</f>
        <v>13246.640783743844</v>
      </c>
      <c r="K44" s="30">
        <f>(K20*(VLOOKUP(K$27,tech_data!$B$2:$O$15,6, FALSE)/100)*(1-(VLOOKUP(K$27,tech_data!$B$2:$O$15,7, FALSE)/100))*8760)/1000</f>
        <v>13659.282063227291</v>
      </c>
      <c r="L44" s="30">
        <f>(L20*(VLOOKUP(L$27,tech_data!$B$2:$O$15,6, FALSE)/100)*(1-(VLOOKUP(L$27,tech_data!$B$2:$O$15,7, FALSE)/100))*8760)/1000</f>
        <v>69876.208066324398</v>
      </c>
      <c r="M44" s="30">
        <f>(M20*(VLOOKUP(M$27,tech_data!$B$2:$O$15,6, FALSE)/100)*(1-(VLOOKUP(M$27,tech_data!$B$2:$O$15,7, FALSE)/100))*8760)/1000</f>
        <v>19.980886153846154</v>
      </c>
      <c r="N44" s="30">
        <f>(N20*(VLOOKUP(N$27,tech_data!$B$2:$O$15,6, FALSE)/100)*(1-(VLOOKUP(N$27,tech_data!$B$2:$O$15,7, FALSE)/100))*8760)/1000</f>
        <v>16.769732491592507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138.10155544015873</v>
      </c>
      <c r="Q44" s="34">
        <f t="shared" si="17"/>
        <v>493654.9857523556</v>
      </c>
      <c r="R44" s="34">
        <f>proj_rukn!D58</f>
        <v>493655</v>
      </c>
      <c r="S44" s="35"/>
      <c r="T44" s="19"/>
      <c r="U44" s="20" t="str">
        <f t="shared" si="18"/>
        <v>JAWA</v>
      </c>
      <c r="V44" s="20">
        <f t="shared" si="18"/>
        <v>2035</v>
      </c>
      <c r="W44" s="29">
        <f t="shared" si="19"/>
        <v>0.28000002612406538</v>
      </c>
      <c r="X44" s="29">
        <f t="shared" si="19"/>
        <v>6.7607906011008231E-2</v>
      </c>
      <c r="Y44" s="29">
        <f t="shared" si="19"/>
        <v>0.38967608623907857</v>
      </c>
      <c r="Z44" s="29">
        <f t="shared" si="19"/>
        <v>7.1606825291152532E-4</v>
      </c>
      <c r="AA44" s="29">
        <f t="shared" si="19"/>
        <v>1.7071670012449719E-2</v>
      </c>
      <c r="AB44" s="29">
        <f t="shared" si="19"/>
        <v>4.8801627958468596E-2</v>
      </c>
      <c r="AC44" s="29">
        <f t="shared" si="19"/>
        <v>2.6833803295950271E-2</v>
      </c>
      <c r="AD44" s="29">
        <f t="shared" si="19"/>
        <v>2.7669693323181657E-2</v>
      </c>
      <c r="AE44" s="29">
        <f t="shared" si="19"/>
        <v>0.14154867282425895</v>
      </c>
      <c r="AF44" s="29">
        <f t="shared" si="19"/>
        <v>4.0475406367858832E-5</v>
      </c>
      <c r="AG44" s="29">
        <f t="shared" si="19"/>
        <v>3.3970552259356953E-5</v>
      </c>
      <c r="AH44" s="29">
        <f t="shared" si="19"/>
        <v>0</v>
      </c>
      <c r="AI44" s="29">
        <f t="shared" si="19"/>
        <v>2.7975318679236038E-4</v>
      </c>
      <c r="AJ44" s="29">
        <f t="shared" si="20"/>
        <v>1.0000000000000002</v>
      </c>
      <c r="AM44" s="23"/>
      <c r="AO44" s="20" t="str">
        <f t="shared" si="39"/>
        <v>JAWA</v>
      </c>
      <c r="AP44" s="20">
        <f t="shared" si="40"/>
        <v>2035</v>
      </c>
      <c r="AQ44" s="25">
        <f t="shared" si="21"/>
        <v>0.28000002612406538</v>
      </c>
      <c r="AR44" s="25">
        <f t="shared" si="22"/>
        <v>0.45728399225008681</v>
      </c>
      <c r="AS44" s="25">
        <f t="shared" si="23"/>
        <v>7.1606825291152532E-4</v>
      </c>
      <c r="AT44" s="37">
        <f t="shared" si="24"/>
        <v>0.26199991337293643</v>
      </c>
      <c r="AU44" s="24">
        <f t="shared" si="32"/>
        <v>1.0000000000000002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7.160680825647075E-4</v>
      </c>
      <c r="AZ44" s="25">
        <f t="shared" si="47"/>
        <v>0.26200000000000001</v>
      </c>
      <c r="BA44" s="24">
        <f t="shared" si="34"/>
        <v>0.8087160680825648</v>
      </c>
      <c r="BJ44" s="19"/>
      <c r="BK44" s="20" t="str">
        <f t="shared" si="44"/>
        <v>JAWA</v>
      </c>
      <c r="BL44" s="20">
        <f t="shared" si="45"/>
        <v>2035</v>
      </c>
      <c r="BM44" s="34">
        <f>proj_rukn!E58</f>
        <v>72612.440886080192</v>
      </c>
      <c r="BN44" s="30">
        <f t="shared" si="26"/>
        <v>83504.307018992215</v>
      </c>
      <c r="BO44" s="30">
        <f t="shared" si="35"/>
        <v>116021.38517106723</v>
      </c>
      <c r="BQ44" s="30">
        <f t="shared" si="27"/>
        <v>33401.722807596889</v>
      </c>
      <c r="BR44" s="30">
        <f t="shared" si="36"/>
        <v>99320.523772002402</v>
      </c>
      <c r="BS44" s="30"/>
      <c r="BT44" s="30">
        <f t="shared" si="28"/>
        <v>16700.861403798444</v>
      </c>
      <c r="BU44" s="30">
        <f t="shared" si="37"/>
        <v>16700.861399064826</v>
      </c>
      <c r="BW44" s="30">
        <f t="shared" si="29"/>
        <v>19.560969798513295</v>
      </c>
      <c r="BX44" s="30">
        <f t="shared" si="38"/>
        <v>5.5649797213790588</v>
      </c>
      <c r="BZ44" s="24">
        <f t="shared" si="46"/>
        <v>0.10560955151409754</v>
      </c>
      <c r="CA44" s="24">
        <f t="shared" si="30"/>
        <v>0.10560955141918696</v>
      </c>
      <c r="CF44" s="23"/>
    </row>
    <row r="45" spans="1:84" x14ac:dyDescent="0.25">
      <c r="A45" s="19"/>
      <c r="B45" s="20" t="str">
        <f t="shared" ref="B45:C47" si="50">B21</f>
        <v>JAWA</v>
      </c>
      <c r="C45" s="20">
        <f t="shared" si="50"/>
        <v>2036</v>
      </c>
      <c r="D45" s="30">
        <f>(D21*(VLOOKUP(D$27,tech_data!$B$2:$O$15,6, FALSE)/100)*(1-(VLOOKUP(D$27,tech_data!$B$2:$O$15,7, FALSE)/100))*8760)/1000</f>
        <v>146322.81877937686</v>
      </c>
      <c r="E45" s="30">
        <f>(E21*(VLOOKUP(E$27,tech_data!$B$2:$O$15,6, FALSE)/100)*(1-(VLOOKUP(E$27,tech_data!$B$2:$O$15,7, FALSE)/100))*8760)/1000</f>
        <v>34136.784298758292</v>
      </c>
      <c r="F45" s="30">
        <f>(F21*(VLOOKUP(F$27,tech_data!$B$2:$O$15,6, FALSE)/100)*(1-(VLOOKUP(F$27,tech_data!$B$2:$O$15,7, FALSE)/100))*8760)/1000</f>
        <v>205926.38063137225</v>
      </c>
      <c r="G45" s="30">
        <f>(G21*(VLOOKUP(G$27,tech_data!$B$2:$O$15,6, FALSE)/100)*(1-(VLOOKUP(G$27,tech_data!$B$2:$O$15,7, FALSE)/100))*8760)/1000</f>
        <v>369.35811358272838</v>
      </c>
      <c r="H45" s="30">
        <f>(H21*(VLOOKUP(H$27,tech_data!$B$2:$O$15,6, FALSE)/100)*(1-(VLOOKUP(H$27,tech_data!$B$2:$O$15,7, FALSE)/100))*8760)/1000</f>
        <v>11352.898903724152</v>
      </c>
      <c r="I45" s="30">
        <f>(I21*(VLOOKUP(I$27,tech_data!$B$2:$O$15,6, FALSE)/100)*(1-(VLOOKUP(I$27,tech_data!$B$2:$O$15,7, FALSE)/100))*8760)/1000</f>
        <v>27135.535825264786</v>
      </c>
      <c r="J45" s="30">
        <f>(J21*(VLOOKUP(J$27,tech_data!$B$2:$O$15,6, FALSE)/100)*(1-(VLOOKUP(J$27,tech_data!$B$2:$O$15,7, FALSE)/100))*8760)/1000</f>
        <v>15286.907292794998</v>
      </c>
      <c r="K45" s="30">
        <f>(K21*(VLOOKUP(K$27,tech_data!$B$2:$O$15,6, FALSE)/100)*(1-(VLOOKUP(K$27,tech_data!$B$2:$O$15,7, FALSE)/100))*8760)/1000</f>
        <v>15478.649325355686</v>
      </c>
      <c r="L45" s="30">
        <f>(L21*(VLOOKUP(L$27,tech_data!$B$2:$O$15,6, FALSE)/100)*(1-(VLOOKUP(L$27,tech_data!$B$2:$O$15,7, FALSE)/100))*8760)/1000</f>
        <v>70294.840835623734</v>
      </c>
      <c r="M45" s="30">
        <f>(M21*(VLOOKUP(M$27,tech_data!$B$2:$O$15,6, FALSE)/100)*(1-(VLOOKUP(M$27,tech_data!$B$2:$O$15,7, FALSE)/100))*8760)/1000</f>
        <v>19.980886153846154</v>
      </c>
      <c r="N45" s="30">
        <f>(N21*(VLOOKUP(N$27,tech_data!$B$2:$O$15,6, FALSE)/100)*(1-(VLOOKUP(N$27,tech_data!$B$2:$O$15,7, FALSE)/100))*8760)/1000</f>
        <v>16.769732491592507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146.58958271954339</v>
      </c>
      <c r="Q45" s="34">
        <f t="shared" si="17"/>
        <v>526340.92462449893</v>
      </c>
      <c r="R45" s="34">
        <f>proj_rukn!D59</f>
        <v>526341</v>
      </c>
      <c r="S45" s="35"/>
      <c r="T45" s="19"/>
      <c r="U45" s="20" t="str">
        <f t="shared" si="18"/>
        <v>JAWA</v>
      </c>
      <c r="V45" s="20">
        <f t="shared" si="18"/>
        <v>2036</v>
      </c>
      <c r="W45" s="29">
        <f t="shared" si="19"/>
        <v>0.27800007929036902</v>
      </c>
      <c r="X45" s="29">
        <f t="shared" si="19"/>
        <v>6.4856792815630074E-2</v>
      </c>
      <c r="Y45" s="29">
        <f t="shared" si="19"/>
        <v>0.39124143876572742</v>
      </c>
      <c r="Z45" s="29">
        <f t="shared" si="19"/>
        <v>7.0174690263014429E-4</v>
      </c>
      <c r="AA45" s="29">
        <f t="shared" si="19"/>
        <v>2.1569477828127299E-2</v>
      </c>
      <c r="AB45" s="29">
        <f t="shared" si="19"/>
        <v>5.1555055964199945E-2</v>
      </c>
      <c r="AC45" s="29">
        <f t="shared" si="19"/>
        <v>2.9043736820770591E-2</v>
      </c>
      <c r="AD45" s="29">
        <f t="shared" si="19"/>
        <v>2.9408029285198433E-2</v>
      </c>
      <c r="AE45" s="29">
        <f t="shared" si="19"/>
        <v>0.13355381948643522</v>
      </c>
      <c r="AF45" s="29">
        <f t="shared" si="19"/>
        <v>3.7961870755349069E-5</v>
      </c>
      <c r="AG45" s="29">
        <f t="shared" si="19"/>
        <v>3.1860970156474785E-5</v>
      </c>
      <c r="AH45" s="29">
        <f t="shared" si="19"/>
        <v>0</v>
      </c>
      <c r="AI45" s="29">
        <f t="shared" si="19"/>
        <v>2.7850690657224314E-4</v>
      </c>
      <c r="AJ45" s="29">
        <f t="shared" si="20"/>
        <v>1</v>
      </c>
      <c r="AM45" s="23"/>
      <c r="AO45" s="20" t="str">
        <f t="shared" si="39"/>
        <v>JAWA</v>
      </c>
      <c r="AP45" s="20">
        <f t="shared" si="40"/>
        <v>2036</v>
      </c>
      <c r="AQ45" s="25">
        <f t="shared" si="21"/>
        <v>0.27800007929036902</v>
      </c>
      <c r="AR45" s="25">
        <f t="shared" si="22"/>
        <v>0.45609823158135748</v>
      </c>
      <c r="AS45" s="25">
        <f t="shared" si="23"/>
        <v>7.0174690263014429E-4</v>
      </c>
      <c r="AT45" s="37">
        <f t="shared" si="24"/>
        <v>0.2651999422256433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7.0174672091341333E-4</v>
      </c>
      <c r="AZ45" s="25">
        <f t="shared" si="47"/>
        <v>0.26519999999999999</v>
      </c>
      <c r="BA45" s="24">
        <f t="shared" si="34"/>
        <v>0.81450174672091336</v>
      </c>
      <c r="BJ45" s="19"/>
      <c r="BK45" s="20" t="str">
        <f t="shared" si="44"/>
        <v>JAWA</v>
      </c>
      <c r="BL45" s="20">
        <f t="shared" si="45"/>
        <v>2036</v>
      </c>
      <c r="BM45" s="34">
        <f>proj_rukn!E59</f>
        <v>76726.243923079834</v>
      </c>
      <c r="BN45" s="30">
        <f t="shared" si="26"/>
        <v>88235.180511541796</v>
      </c>
      <c r="BO45" s="30">
        <f t="shared" si="35"/>
        <v>123988.70431967541</v>
      </c>
      <c r="BQ45" s="30">
        <f t="shared" si="27"/>
        <v>35294.072204616721</v>
      </c>
      <c r="BR45" s="30">
        <f t="shared" si="36"/>
        <v>106341.66768746937</v>
      </c>
      <c r="BS45" s="30"/>
      <c r="BT45" s="30">
        <f t="shared" si="28"/>
        <v>17647.036102308361</v>
      </c>
      <c r="BU45" s="30">
        <f t="shared" si="37"/>
        <v>17647.036632206022</v>
      </c>
      <c r="BW45" s="30">
        <f t="shared" si="29"/>
        <v>20.86417009347376</v>
      </c>
      <c r="BX45" s="30">
        <f t="shared" si="38"/>
        <v>5.5649797213790588</v>
      </c>
      <c r="BZ45" s="24">
        <f t="shared" si="46"/>
        <v>0.11089002908980242</v>
      </c>
      <c r="CA45" s="24">
        <f t="shared" si="30"/>
        <v>0.11089002900376516</v>
      </c>
      <c r="CF45" s="23"/>
    </row>
    <row r="46" spans="1:84" x14ac:dyDescent="0.25">
      <c r="A46" s="19"/>
      <c r="B46" s="20" t="str">
        <f t="shared" si="50"/>
        <v>JAWA</v>
      </c>
      <c r="C46" s="20">
        <f t="shared" si="50"/>
        <v>2037</v>
      </c>
      <c r="D46" s="30">
        <f>(D22*(VLOOKUP(D$27,tech_data!$B$2:$O$15,6, FALSE)/100)*(1-(VLOOKUP(D$27,tech_data!$B$2:$O$15,7, FALSE)/100))*8760)/1000</f>
        <v>154583.51229393459</v>
      </c>
      <c r="E46" s="30">
        <f>(E22*(VLOOKUP(E$27,tech_data!$B$2:$O$15,6, FALSE)/100)*(1-(VLOOKUP(E$27,tech_data!$B$2:$O$15,7, FALSE)/100))*8760)/1000</f>
        <v>36083.730032101077</v>
      </c>
      <c r="F46" s="30">
        <f>(F22*(VLOOKUP(F$27,tech_data!$B$2:$O$15,6, FALSE)/100)*(1-(VLOOKUP(F$27,tech_data!$B$2:$O$15,7, FALSE)/100))*8760)/1000</f>
        <v>218705.77752278018</v>
      </c>
      <c r="G46" s="30">
        <f>(G22*(VLOOKUP(G$27,tech_data!$B$2:$O$15,6, FALSE)/100)*(1-(VLOOKUP(G$27,tech_data!$B$2:$O$15,7, FALSE)/100))*8760)/1000</f>
        <v>385.17709904012628</v>
      </c>
      <c r="H46" s="30">
        <f>(H22*(VLOOKUP(H$27,tech_data!$B$2:$O$15,6, FALSE)/100)*(1-(VLOOKUP(H$27,tech_data!$B$2:$O$15,7, FALSE)/100))*8760)/1000</f>
        <v>17317.888601618055</v>
      </c>
      <c r="I46" s="30">
        <f>(I22*(VLOOKUP(I$27,tech_data!$B$2:$O$15,6, FALSE)/100)*(1-(VLOOKUP(I$27,tech_data!$B$2:$O$15,7, FALSE)/100))*8760)/1000</f>
        <v>28657.628298048847</v>
      </c>
      <c r="J46" s="30">
        <f>(J22*(VLOOKUP(J$27,tech_data!$B$2:$O$15,6, FALSE)/100)*(1-(VLOOKUP(J$27,tech_data!$B$2:$O$15,7, FALSE)/100))*8760)/1000</f>
        <v>16307.040547320576</v>
      </c>
      <c r="K46" s="30">
        <f>(K22*(VLOOKUP(K$27,tech_data!$B$2:$O$15,6, FALSE)/100)*(1-(VLOOKUP(K$27,tech_data!$B$2:$O$15,7, FALSE)/100))*8760)/1000</f>
        <v>17503.216551997004</v>
      </c>
      <c r="L46" s="30">
        <f>(L22*(VLOOKUP(L$27,tech_data!$B$2:$O$15,6, FALSE)/100)*(1-(VLOOKUP(L$27,tech_data!$B$2:$O$15,7, FALSE)/100))*8760)/1000</f>
        <v>70504.157220273424</v>
      </c>
      <c r="M46" s="30">
        <f>(M22*(VLOOKUP(M$27,tech_data!$B$2:$O$15,6, FALSE)/100)*(1-(VLOOKUP(M$27,tech_data!$B$2:$O$15,7, FALSE)/100))*8760)/1000</f>
        <v>19.980886153846154</v>
      </c>
      <c r="N46" s="30">
        <f>(N22*(VLOOKUP(N$27,tech_data!$B$2:$O$15,6, FALSE)/100)*(1-(VLOOKUP(N$27,tech_data!$B$2:$O$15,7, FALSE)/100))*8760)/1000</f>
        <v>16.769732491592507</v>
      </c>
      <c r="O46" s="30">
        <f>(O22*(VLOOKUP(O$27,tech_data!$B$2:$O$15,6, FALSE)/100)*(1-(VLOOKUP(O$27,tech_data!$B$2:$O$15,7, FALSE)/100))*8760)/1000</f>
        <v>3.5535819314058796E-15</v>
      </c>
      <c r="P46" s="30">
        <f>(P22*(VLOOKUP(P$27,tech_data!$B$2:$O$15,6, FALSE)/100)*(1-(VLOOKUP(P$27,tech_data!$B$2:$O$15,7, FALSE)/100))*8760)/1000</f>
        <v>155.33711493011856</v>
      </c>
      <c r="Q46" s="34">
        <f t="shared" si="17"/>
        <v>560084.87878575933</v>
      </c>
      <c r="R46" s="34">
        <f>proj_rukn!D60</f>
        <v>560085</v>
      </c>
      <c r="S46" s="35"/>
      <c r="T46" s="19"/>
      <c r="U46" s="20" t="str">
        <f t="shared" si="18"/>
        <v>JAWA</v>
      </c>
      <c r="V46" s="20">
        <f t="shared" si="18"/>
        <v>2037</v>
      </c>
      <c r="W46" s="29">
        <f t="shared" si="19"/>
        <v>0.2760001531001251</v>
      </c>
      <c r="X46" s="29">
        <f t="shared" si="19"/>
        <v>6.4425467279761423E-2</v>
      </c>
      <c r="Y46" s="29">
        <f t="shared" si="19"/>
        <v>0.39048684548835738</v>
      </c>
      <c r="Z46" s="29">
        <f t="shared" si="19"/>
        <v>6.8771201228494893E-4</v>
      </c>
      <c r="AA46" s="29">
        <f t="shared" si="19"/>
        <v>3.0920114535429907E-2</v>
      </c>
      <c r="AB46" s="29">
        <f t="shared" si="19"/>
        <v>5.116658096568754E-2</v>
      </c>
      <c r="AC46" s="29">
        <f t="shared" si="19"/>
        <v>2.9115302278243185E-2</v>
      </c>
      <c r="AD46" s="29">
        <f t="shared" si="19"/>
        <v>3.1251007150814795E-2</v>
      </c>
      <c r="AE46" s="29">
        <f t="shared" si="19"/>
        <v>0.12588120102996442</v>
      </c>
      <c r="AF46" s="29">
        <f t="shared" si="19"/>
        <v>3.5674746651193087E-5</v>
      </c>
      <c r="AG46" s="29">
        <f t="shared" si="19"/>
        <v>2.9941412680071969E-5</v>
      </c>
      <c r="AH46" s="29">
        <f t="shared" si="19"/>
        <v>6.3447203557966023E-21</v>
      </c>
      <c r="AI46" s="29">
        <f t="shared" si="19"/>
        <v>2.7734566815458924E-4</v>
      </c>
      <c r="AJ46" s="29">
        <f t="shared" si="20"/>
        <v>1</v>
      </c>
      <c r="AM46" s="23"/>
      <c r="AO46" s="20" t="str">
        <f t="shared" si="39"/>
        <v>JAWA</v>
      </c>
      <c r="AP46" s="20">
        <f t="shared" si="40"/>
        <v>2037</v>
      </c>
      <c r="AQ46" s="25">
        <f t="shared" si="21"/>
        <v>0.2760001531001251</v>
      </c>
      <c r="AR46" s="25">
        <f t="shared" si="22"/>
        <v>0.45491231276811878</v>
      </c>
      <c r="AS46" s="25">
        <f t="shared" si="23"/>
        <v>6.8771201228494893E-4</v>
      </c>
      <c r="AT46" s="37">
        <f t="shared" si="24"/>
        <v>0.26839982211947111</v>
      </c>
      <c r="AU46" s="24">
        <f t="shared" si="32"/>
        <v>0.99999999999999989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6.8771178649514508E-4</v>
      </c>
      <c r="AZ46" s="25">
        <f t="shared" si="47"/>
        <v>0.26840000000000003</v>
      </c>
      <c r="BA46" s="24">
        <f t="shared" si="34"/>
        <v>0.82028771178649529</v>
      </c>
      <c r="BJ46" s="19"/>
      <c r="BK46" s="20" t="str">
        <f t="shared" si="44"/>
        <v>JAWA</v>
      </c>
      <c r="BL46" s="20">
        <f t="shared" si="45"/>
        <v>2037</v>
      </c>
      <c r="BM46" s="34">
        <f>proj_rukn!E60</f>
        <v>81073.111366408659</v>
      </c>
      <c r="BN46" s="30">
        <f t="shared" si="26"/>
        <v>93234.07807136995</v>
      </c>
      <c r="BO46" s="30">
        <f t="shared" si="35"/>
        <v>132228.93725391143</v>
      </c>
      <c r="BQ46" s="30">
        <f t="shared" si="27"/>
        <v>37293.63122854798</v>
      </c>
      <c r="BR46" s="30">
        <f t="shared" si="36"/>
        <v>113582.12130469276</v>
      </c>
      <c r="BS46" s="30"/>
      <c r="BT46" s="30">
        <f t="shared" si="28"/>
        <v>18646.81561427399</v>
      </c>
      <c r="BU46" s="30">
        <f t="shared" si="37"/>
        <v>18646.815949218675</v>
      </c>
      <c r="BW46" s="30">
        <f t="shared" si="29"/>
        <v>22.165693542248572</v>
      </c>
      <c r="BX46" s="30">
        <f t="shared" si="38"/>
        <v>5.5649797213790588</v>
      </c>
      <c r="BZ46" s="24">
        <f t="shared" si="46"/>
        <v>0.11643453054429254</v>
      </c>
      <c r="CA46" s="24">
        <f t="shared" si="30"/>
        <v>0.11643453003819144</v>
      </c>
      <c r="CF46" s="23"/>
    </row>
    <row r="47" spans="1:84" x14ac:dyDescent="0.25">
      <c r="A47" s="19"/>
      <c r="B47" s="20" t="str">
        <f t="shared" si="50"/>
        <v>JAWA</v>
      </c>
      <c r="C47" s="20">
        <f t="shared" si="50"/>
        <v>2038</v>
      </c>
      <c r="D47" s="30">
        <f>(D23*(VLOOKUP(D$27,tech_data!$B$2:$O$15,6, FALSE)/100)*(1-(VLOOKUP(D$27,tech_data!$B$2:$O$15,7, FALSE)/100))*8760)/1000</f>
        <v>164094.54424240813</v>
      </c>
      <c r="E47" s="30">
        <f>(E23*(VLOOKUP(E$27,tech_data!$B$2:$O$15,6, FALSE)/100)*(1-(VLOOKUP(E$27,tech_data!$B$2:$O$15,7, FALSE)/100))*8760)/1000</f>
        <v>38709.759582208368</v>
      </c>
      <c r="F47" s="30">
        <f>(F23*(VLOOKUP(F$27,tech_data!$B$2:$O$15,6, FALSE)/100)*(1-(VLOOKUP(F$27,tech_data!$B$2:$O$15,7, FALSE)/100))*8760)/1000</f>
        <v>233019.92337795632</v>
      </c>
      <c r="G47" s="30">
        <f>(G23*(VLOOKUP(G$27,tech_data!$B$2:$O$15,6, FALSE)/100)*(1-(VLOOKUP(G$27,tech_data!$B$2:$O$15,7, FALSE)/100))*8760)/1000</f>
        <v>403.62312038918947</v>
      </c>
      <c r="H47" s="30">
        <f>(H23*(VLOOKUP(H$27,tech_data!$B$2:$O$15,6, FALSE)/100)*(1-(VLOOKUP(H$27,tech_data!$B$2:$O$15,7, FALSE)/100))*8760)/1000</f>
        <v>25889.755177293599</v>
      </c>
      <c r="I47" s="30">
        <f>(I23*(VLOOKUP(I$27,tech_data!$B$2:$O$15,6, FALSE)/100)*(1-(VLOOKUP(I$27,tech_data!$B$2:$O$15,7, FALSE)/100))*8760)/1000</f>
        <v>29418.766497024426</v>
      </c>
      <c r="J47" s="30">
        <f>(J23*(VLOOKUP(J$27,tech_data!$B$2:$O$15,6, FALSE)/100)*(1-(VLOOKUP(J$27,tech_data!$B$2:$O$15,7, FALSE)/100))*8760)/1000</f>
        <v>16817.107174583369</v>
      </c>
      <c r="K47" s="30">
        <f>(K23*(VLOOKUP(K$27,tech_data!$B$2:$O$15,6, FALSE)/100)*(1-(VLOOKUP(K$27,tech_data!$B$2:$O$15,7, FALSE)/100))*8760)/1000</f>
        <v>19885.840308768067</v>
      </c>
      <c r="L47" s="30">
        <f>(L23*(VLOOKUP(L$27,tech_data!$B$2:$O$15,6, FALSE)/100)*(1-(VLOOKUP(L$27,tech_data!$B$2:$O$15,7, FALSE)/100))*8760)/1000</f>
        <v>70608.81541259824</v>
      </c>
      <c r="M47" s="30">
        <f>(M23*(VLOOKUP(M$27,tech_data!$B$2:$O$15,6, FALSE)/100)*(1-(VLOOKUP(M$27,tech_data!$B$2:$O$15,7, FALSE)/100))*8760)/1000</f>
        <v>19.980886153846154</v>
      </c>
      <c r="N47" s="30">
        <f>(N23*(VLOOKUP(N$27,tech_data!$B$2:$O$15,6, FALSE)/100)*(1-(VLOOKUP(N$27,tech_data!$B$2:$O$15,7, FALSE)/100))*8760)/1000</f>
        <v>16.769732491592507</v>
      </c>
      <c r="O47" s="30">
        <f>(O23*(VLOOKUP(O$27,tech_data!$B$2:$O$15,6, FALSE)/100)*(1-(VLOOKUP(O$27,tech_data!$B$2:$O$15,7, FALSE)/100))*8760)/1000</f>
        <v>3.5535819314058796E-15</v>
      </c>
      <c r="P47" s="30">
        <f>(P23*(VLOOKUP(P$27,tech_data!$B$2:$O$15,6, FALSE)/100)*(1-(VLOOKUP(P$27,tech_data!$B$2:$O$15,7, FALSE)/100))*8760)/1000</f>
        <v>165.37914794444927</v>
      </c>
      <c r="Q47" s="34">
        <f t="shared" si="17"/>
        <v>598884.88551187515</v>
      </c>
      <c r="R47" s="34">
        <f>proj_rukn!D61</f>
        <v>598885</v>
      </c>
      <c r="S47" s="35"/>
      <c r="T47" s="19"/>
      <c r="U47" s="20" t="str">
        <f t="shared" si="18"/>
        <v>JAWA</v>
      </c>
      <c r="V47" s="20">
        <f t="shared" si="18"/>
        <v>2038</v>
      </c>
      <c r="W47" s="29">
        <f t="shared" si="19"/>
        <v>0.27400014295260477</v>
      </c>
      <c r="X47" s="29">
        <f t="shared" si="19"/>
        <v>6.4636394269864741E-2</v>
      </c>
      <c r="Y47" s="29">
        <f t="shared" si="19"/>
        <v>0.38908967151306711</v>
      </c>
      <c r="Z47" s="29">
        <f t="shared" si="19"/>
        <v>6.7395776743339785E-4</v>
      </c>
      <c r="AA47" s="29">
        <f t="shared" si="19"/>
        <v>4.3229935841785805E-2</v>
      </c>
      <c r="AB47" s="29">
        <f t="shared" si="19"/>
        <v>4.9122572983086393E-2</v>
      </c>
      <c r="AC47" s="29">
        <f t="shared" si="19"/>
        <v>2.8080700617798288E-2</v>
      </c>
      <c r="AD47" s="29">
        <f t="shared" si="19"/>
        <v>3.3204779064963989E-2</v>
      </c>
      <c r="AE47" s="29">
        <f t="shared" ref="AE47:AI47" si="51">L47/$Q47</f>
        <v>0.11790047990983762</v>
      </c>
      <c r="AF47" s="29">
        <f t="shared" si="51"/>
        <v>3.3363483763274833E-5</v>
      </c>
      <c r="AG47" s="29">
        <f t="shared" si="51"/>
        <v>2.8001595794589447E-5</v>
      </c>
      <c r="AH47" s="29">
        <f t="shared" si="51"/>
        <v>5.9336644109302976E-21</v>
      </c>
      <c r="AI47" s="29">
        <f t="shared" si="51"/>
        <v>2.76145135643384E-4</v>
      </c>
      <c r="AJ47" s="29">
        <f t="shared" si="20"/>
        <v>1</v>
      </c>
      <c r="AM47" s="23"/>
      <c r="AO47" s="20" t="str">
        <f t="shared" si="39"/>
        <v>JAWA</v>
      </c>
      <c r="AP47" s="20">
        <f t="shared" si="40"/>
        <v>2038</v>
      </c>
      <c r="AQ47" s="25">
        <f t="shared" si="21"/>
        <v>0.27400014295260477</v>
      </c>
      <c r="AR47" s="25">
        <f t="shared" si="22"/>
        <v>0.45372606578293184</v>
      </c>
      <c r="AS47" s="25">
        <f t="shared" si="23"/>
        <v>6.7395776743339785E-4</v>
      </c>
      <c r="AT47" s="37">
        <f t="shared" si="24"/>
        <v>0.27159983349702999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6.7395755076524221E-4</v>
      </c>
      <c r="AZ47" s="25">
        <f t="shared" si="47"/>
        <v>0.27160000000000001</v>
      </c>
      <c r="BA47" s="24">
        <f t="shared" si="34"/>
        <v>0.8260739575507654</v>
      </c>
      <c r="BJ47" s="19"/>
      <c r="BK47" s="20" t="str">
        <f t="shared" si="44"/>
        <v>JAWA</v>
      </c>
      <c r="BL47" s="20">
        <f t="shared" si="45"/>
        <v>2038</v>
      </c>
      <c r="BM47" s="34">
        <f>proj_rukn!E61</f>
        <v>85666.247304111006</v>
      </c>
      <c r="BN47" s="30">
        <f t="shared" si="26"/>
        <v>98516.184399727645</v>
      </c>
      <c r="BO47" s="30">
        <f t="shared" si="35"/>
        <v>141739.9524599954</v>
      </c>
      <c r="BQ47" s="30">
        <f t="shared" si="27"/>
        <v>39406.473759891058</v>
      </c>
      <c r="BR47" s="30">
        <f t="shared" si="36"/>
        <v>122036.71558004989</v>
      </c>
      <c r="BS47" s="30"/>
      <c r="BT47" s="30">
        <f t="shared" si="28"/>
        <v>19703.236879945529</v>
      </c>
      <c r="BU47" s="30">
        <f t="shared" si="37"/>
        <v>19703.236879945529</v>
      </c>
      <c r="BW47" s="30">
        <f t="shared" si="29"/>
        <v>23.619592957718034</v>
      </c>
      <c r="BX47" s="30">
        <f t="shared" si="38"/>
        <v>5.5649797213790588</v>
      </c>
      <c r="BZ47" s="24">
        <f t="shared" si="46"/>
        <v>0.12225625707150717</v>
      </c>
      <c r="CA47" s="24">
        <f t="shared" si="30"/>
        <v>0.12225625707287885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JAWA</v>
      </c>
      <c r="C52" s="20">
        <f t="shared" si="52"/>
        <v>2019</v>
      </c>
      <c r="D52" s="30">
        <f>(Jawa!D28*3.6/(VLOOKUP(D$51,tech_data!$B$2:$J$15,4,FALSE)/100))/1000</f>
        <v>1040.4178597241378</v>
      </c>
      <c r="E52" s="30">
        <f>(Jawa!E28*3.6/(VLOOKUP(E$51,tech_data!$B$2:$J$15,4,FALSE)/100))/1000</f>
        <v>87.403969179474942</v>
      </c>
      <c r="F52" s="30">
        <f>(Jawa!F28*3.6/(VLOOKUP(F$51,tech_data!$B$2:$J$15,4,FALSE)/100))/1000</f>
        <v>168.41991489528266</v>
      </c>
      <c r="G52" s="30">
        <f>(Jawa!G28*3.6/(VLOOKUP(G$51,tech_data!$B$2:$J$15,4,FALSE)/100))/1000</f>
        <v>1.2956764941270904</v>
      </c>
      <c r="H52" s="30">
        <f>H28*3.6/1000</f>
        <v>28.145210466461535</v>
      </c>
      <c r="I52" s="30">
        <f>(Jawa!I28*3.6/(VLOOKUP(I$51,tech_data!$B$2:$J$15,4,FALSE)/100))/1000</f>
        <v>43.727837517473688</v>
      </c>
      <c r="J52" s="30">
        <f>(Jawa!J28*3.6/(VLOOKUP(J$51,tech_data!$B$2:$J$15,4,FALSE)/100))/1000</f>
        <v>0.46213096984615398</v>
      </c>
      <c r="K52" s="30">
        <f>K28*3.6/1000</f>
        <v>6.6225600000000004E-3</v>
      </c>
      <c r="L52" s="30">
        <f>L28*3.6/1000</f>
        <v>0</v>
      </c>
      <c r="M52" s="30">
        <f>(Jawa!M28*3.6/(VLOOKUP(M$51,tech_data!$B$2:$J$15,4,FALSE)/100))/1000</f>
        <v>0.23203609727047148</v>
      </c>
      <c r="N52" s="30">
        <f>N28*3.6/1000</f>
        <v>0</v>
      </c>
      <c r="O52" s="30">
        <f>(Jawa!O28*3.6/(VLOOKUP(O$51,tech_data!$B$2:$J$15,4,FALSE)/100))/1000</f>
        <v>0</v>
      </c>
      <c r="P52" s="30">
        <v>0</v>
      </c>
      <c r="Q52" s="30">
        <f t="shared" ref="Q52:Q71" si="53">SUM(D52:O52)</f>
        <v>1370.1112579040744</v>
      </c>
      <c r="R52" s="30"/>
      <c r="T52" s="19"/>
      <c r="U52" s="20" t="str">
        <f t="shared" ref="U52:V71" si="54">B52</f>
        <v>JAWA</v>
      </c>
      <c r="V52" s="20">
        <f t="shared" si="54"/>
        <v>2019</v>
      </c>
      <c r="W52" s="30">
        <f>D52*VLOOKUP(W$51,tech_data!$B$2:$K$15,10,FALSE)*1000</f>
        <v>103750468.97169103</v>
      </c>
      <c r="X52" s="30">
        <f>E52*VLOOKUP(X$51,tech_data!$B$2:$K$15,10,FALSE)*1000</f>
        <v>5427786.4860453941</v>
      </c>
      <c r="Y52" s="30">
        <f>F52*VLOOKUP(Y$51,tech_data!$B$2:$K$15,10,FALSE)*1000</f>
        <v>10458876.714997053</v>
      </c>
      <c r="Z52" s="30">
        <f>G52*VLOOKUP(Z$51,tech_data!$B$2:$K$15,10,FALSE)*1000</f>
        <v>97396.002063533393</v>
      </c>
      <c r="AA52" s="30">
        <f>H28*VLOOKUP(AA$51,tech_data!$B$2:$K$15,10,FALSE)/1000</f>
        <v>491.75937176123068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26071.575889310174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119761091.51005806</v>
      </c>
      <c r="AK52" s="25"/>
      <c r="AM52" s="23"/>
      <c r="AO52" s="20" t="str">
        <f t="shared" ref="AO52:AP71" si="56">U52</f>
        <v>JAWA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1066.2289493217263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65.179729584915194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224.83525821330088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0.26257266057359091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59.356487505389453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98.298776404551162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0.87386188694909572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1.0800000000000001E-2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0.34533779840644813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1515.3917733758119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JAWA</v>
      </c>
      <c r="C53" s="20">
        <f t="shared" si="52"/>
        <v>2020</v>
      </c>
      <c r="D53" s="30">
        <f>(Jawa!D29*3.6/(VLOOKUP(D$51,tech_data!$B$2:$J$15,4,FALSE)/100))/1000</f>
        <v>1110.1857738210829</v>
      </c>
      <c r="E53" s="30">
        <f>(Jawa!E29*3.6/(VLOOKUP(E$51,tech_data!$B$2:$J$15,4,FALSE)/100))/1000</f>
        <v>87.403969179474942</v>
      </c>
      <c r="F53" s="30">
        <f>(Jawa!F29*3.6/(VLOOKUP(F$51,tech_data!$B$2:$J$15,4,FALSE)/100))/1000</f>
        <v>185.59764013670659</v>
      </c>
      <c r="G53" s="30">
        <f>(Jawa!G29*3.6/(VLOOKUP(G$51,tech_data!$B$2:$J$15,4,FALSE)/100))/1000</f>
        <v>1.2956764941270904</v>
      </c>
      <c r="H53" s="30">
        <f t="shared" ref="H53:H71" si="57">H29*3.6/1000</f>
        <v>28.145210466461535</v>
      </c>
      <c r="I53" s="30">
        <f>(Jawa!I29*3.6/(VLOOKUP(I$51,tech_data!$B$2:$J$15,4,FALSE)/100))/1000</f>
        <v>79.046900805288132</v>
      </c>
      <c r="J53" s="30">
        <f>(Jawa!J29*3.6/(VLOOKUP(J$51,tech_data!$B$2:$J$15,4,FALSE)/100))/1000</f>
        <v>0.46213096984615398</v>
      </c>
      <c r="K53" s="30">
        <f t="shared" ref="K53:L53" si="58">K29*3.6/1000</f>
        <v>34.515926771147306</v>
      </c>
      <c r="L53" s="30">
        <f t="shared" si="58"/>
        <v>0.24915745646936999</v>
      </c>
      <c r="M53" s="30">
        <f>(Jawa!M29*3.6/(VLOOKUP(M$51,tech_data!$B$2:$J$15,4,FALSE)/100))/1000</f>
        <v>0.23203609727047148</v>
      </c>
      <c r="N53" s="30">
        <f t="shared" ref="N53:N71" si="59">N29*3.6/1000</f>
        <v>6.0371036969733026E-2</v>
      </c>
      <c r="O53" s="30">
        <f>(Jawa!O29*3.6/(VLOOKUP(O$51,tech_data!$B$2:$J$15,4,FALSE)/100))/1000</f>
        <v>0</v>
      </c>
      <c r="P53" s="30">
        <v>0</v>
      </c>
      <c r="Q53" s="30">
        <f t="shared" si="53"/>
        <v>1527.1947932348442</v>
      </c>
      <c r="R53" s="30"/>
      <c r="T53" s="19"/>
      <c r="U53" s="20" t="str">
        <f t="shared" si="54"/>
        <v>JAWA</v>
      </c>
      <c r="V53" s="20">
        <f t="shared" si="54"/>
        <v>2020</v>
      </c>
      <c r="W53" s="30">
        <f>D53*VLOOKUP(W$51,tech_data!$B$2:$K$15,10,FALSE)*1000</f>
        <v>110707725.36543839</v>
      </c>
      <c r="X53" s="30">
        <f>E53*VLOOKUP(X$51,tech_data!$B$2:$K$15,10,FALSE)*1000</f>
        <v>5427786.4860453941</v>
      </c>
      <c r="Y53" s="30">
        <f>F53*VLOOKUP(Y$51,tech_data!$B$2:$K$15,10,FALSE)*1000</f>
        <v>11525613.452489479</v>
      </c>
      <c r="Z53" s="30">
        <f>G53*VLOOKUP(Z$51,tech_data!$B$2:$K$15,10,FALSE)*1000</f>
        <v>97396.002063533393</v>
      </c>
      <c r="AA53" s="30">
        <f>H29*VLOOKUP(AA$51,tech_data!$B$2:$K$15,10,FALSE)/1000</f>
        <v>491.75937176123068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26071.575889310174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127785084.64129785</v>
      </c>
      <c r="AK53" s="25">
        <f>(AJ53-AJ52)/AJ52</f>
        <v>6.7000000000550231E-2</v>
      </c>
      <c r="AL53" s="24">
        <f>sumatera!AL53</f>
        <v>5.2999999999999999E-2</v>
      </c>
      <c r="AM53" s="26"/>
      <c r="AN53" s="24"/>
      <c r="AO53" s="20" t="str">
        <f t="shared" si="56"/>
        <v>JAWA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3423.1170395863319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65.179729584915194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904.86370655432324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0.26257266057359091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59.356487505389453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4537.6571482987329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0.87386188694909572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5887.2525762548348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30.110898805782739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0.34533779840644813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27.640327061201059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12.27569901405333</v>
      </c>
      <c r="BD53" s="30">
        <f>SUM(AQ53:BC53)</f>
        <v>14948.935385011491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JAWA</v>
      </c>
      <c r="C54" s="20">
        <f t="shared" si="52"/>
        <v>2021</v>
      </c>
      <c r="D54" s="30">
        <f>(Jawa!D30*3.6/(VLOOKUP(D$51,tech_data!$B$2:$J$15,4,FALSE)/100))/1000</f>
        <v>1110.1857738210829</v>
      </c>
      <c r="E54" s="30">
        <f>(Jawa!E30*3.6/(VLOOKUP(E$51,tech_data!$B$2:$J$15,4,FALSE)/100))/1000</f>
        <v>90.329809463256211</v>
      </c>
      <c r="F54" s="30">
        <f>(Jawa!F30*3.6/(VLOOKUP(F$51,tech_data!$B$2:$J$15,4,FALSE)/100))/1000</f>
        <v>315.30604948872974</v>
      </c>
      <c r="G54" s="30">
        <f>(Jawa!G30*3.6/(VLOOKUP(G$51,tech_data!$B$2:$J$15,4,FALSE)/100))/1000</f>
        <v>1.6207596145352301</v>
      </c>
      <c r="H54" s="30">
        <f t="shared" si="57"/>
        <v>28.145210466461535</v>
      </c>
      <c r="I54" s="30">
        <f>(Jawa!I30*3.6/(VLOOKUP(I$51,tech_data!$B$2:$J$15,4,FALSE)/100))/1000</f>
        <v>79.046900805288132</v>
      </c>
      <c r="J54" s="30">
        <f>(Jawa!J30*3.6/(VLOOKUP(J$51,tech_data!$B$2:$J$15,4,FALSE)/100))/1000</f>
        <v>0.46213096984615398</v>
      </c>
      <c r="K54" s="30">
        <f t="shared" ref="K54:L54" si="60">K30*3.6/1000</f>
        <v>34.515926771147306</v>
      </c>
      <c r="L54" s="30">
        <f t="shared" si="60"/>
        <v>0.24915745646936999</v>
      </c>
      <c r="M54" s="30">
        <f>(Jawa!M30*3.6/(VLOOKUP(M$51,tech_data!$B$2:$J$15,4,FALSE)/100))/1000</f>
        <v>0.23203609727047148</v>
      </c>
      <c r="N54" s="30">
        <f t="shared" si="59"/>
        <v>6.0371036969733026E-2</v>
      </c>
      <c r="O54" s="30">
        <f>(Jawa!O30*3.6/(VLOOKUP(O$51,tech_data!$B$2:$J$15,4,FALSE)/100))/1000</f>
        <v>0</v>
      </c>
      <c r="P54" s="30">
        <v>0</v>
      </c>
      <c r="Q54" s="30">
        <f t="shared" si="53"/>
        <v>1660.1541259910568</v>
      </c>
      <c r="R54" s="30"/>
      <c r="T54" s="19"/>
      <c r="U54" s="20" t="str">
        <f t="shared" si="54"/>
        <v>JAWA</v>
      </c>
      <c r="V54" s="20">
        <f t="shared" si="54"/>
        <v>2021</v>
      </c>
      <c r="W54" s="30">
        <f>D54*VLOOKUP(W$51,tech_data!$B$2:$K$15,10,FALSE)*1000</f>
        <v>110707725.36543839</v>
      </c>
      <c r="X54" s="30">
        <f>E54*VLOOKUP(X$51,tech_data!$B$2:$K$15,10,FALSE)*1000</f>
        <v>5609481.1676682113</v>
      </c>
      <c r="Y54" s="30">
        <f>F54*VLOOKUP(Y$51,tech_data!$B$2:$K$15,10,FALSE)*1000</f>
        <v>19580505.673250116</v>
      </c>
      <c r="Z54" s="30">
        <f>G54*VLOOKUP(Z$51,tech_data!$B$2:$K$15,10,FALSE)*1000</f>
        <v>121832.50022461325</v>
      </c>
      <c r="AA54" s="30">
        <f>H30*VLOOKUP(AA$51,tech_data!$B$2:$K$15,10,FALSE)/1000</f>
        <v>491.75937176123068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26071.575889310174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136046108.0418424</v>
      </c>
      <c r="AK54" s="25">
        <f t="shared" ref="AK54:AK71" si="61">(AJ54-AJ53)/AJ53</f>
        <v>6.4647790653610759E-2</v>
      </c>
      <c r="AL54" s="24">
        <f>AL53</f>
        <v>5.2999999999999999E-2</v>
      </c>
      <c r="AM54" s="26"/>
      <c r="AN54" s="24"/>
      <c r="AO54" s="20" t="str">
        <f t="shared" si="56"/>
        <v>JAWA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1137.7276928781641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137.82511600796227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5382.6382783775298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6.9228470246232003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59.356487505389453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177.69489800694512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0.87386188694909572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56.288204127767941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1.1566689741048524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0.34533779840644813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0.7429250745356103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1.3950245679596853</v>
      </c>
      <c r="BD54" s="30">
        <f t="shared" ref="BD54:BD71" si="62">SUM(AQ54:BC54)</f>
        <v>6962.9673422303385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JAWA</v>
      </c>
      <c r="C55" s="20">
        <f t="shared" si="52"/>
        <v>2022</v>
      </c>
      <c r="D55" s="30">
        <f>(Jawa!D31*3.6/(VLOOKUP(D$51,tech_data!$B$2:$J$15,4,FALSE)/100))/1000</f>
        <v>1110.1857738210829</v>
      </c>
      <c r="E55" s="30">
        <f>(Jawa!E31*3.6/(VLOOKUP(E$51,tech_data!$B$2:$J$15,4,FALSE)/100))/1000</f>
        <v>104.21563881091795</v>
      </c>
      <c r="F55" s="30">
        <f>(Jawa!F31*3.6/(VLOOKUP(F$51,tech_data!$B$2:$J$15,4,FALSE)/100))/1000</f>
        <v>368.13242140510863</v>
      </c>
      <c r="G55" s="30">
        <f>(Jawa!G31*3.6/(VLOOKUP(G$51,tech_data!$B$2:$J$15,4,FALSE)/100))/1000</f>
        <v>1.6698009416043311</v>
      </c>
      <c r="H55" s="30">
        <f t="shared" si="57"/>
        <v>28.145210466461535</v>
      </c>
      <c r="I55" s="30">
        <f>(Jawa!I31*3.6/(VLOOKUP(I$51,tech_data!$B$2:$J$15,4,FALSE)/100))/1000</f>
        <v>79.046900805288132</v>
      </c>
      <c r="J55" s="30">
        <f>(Jawa!J31*3.6/(VLOOKUP(J$51,tech_data!$B$2:$J$15,4,FALSE)/100))/1000</f>
        <v>0.46213096984615398</v>
      </c>
      <c r="K55" s="30">
        <f t="shared" ref="K55:L55" si="63">K31*3.6/1000</f>
        <v>34.515926771147306</v>
      </c>
      <c r="L55" s="30">
        <f t="shared" si="63"/>
        <v>4.6994094981410175</v>
      </c>
      <c r="M55" s="30">
        <f>(Jawa!M31*3.6/(VLOOKUP(M$51,tech_data!$B$2:$J$15,4,FALSE)/100))/1000</f>
        <v>0.23203609727047148</v>
      </c>
      <c r="N55" s="30">
        <f t="shared" si="59"/>
        <v>6.0371036969733026E-2</v>
      </c>
      <c r="O55" s="30">
        <f>(Jawa!O31*3.6/(VLOOKUP(O$51,tech_data!$B$2:$J$15,4,FALSE)/100))/1000</f>
        <v>0</v>
      </c>
      <c r="P55" s="30">
        <v>0</v>
      </c>
      <c r="Q55" s="30">
        <f t="shared" si="53"/>
        <v>1731.3656206238381</v>
      </c>
      <c r="R55" s="30"/>
      <c r="T55" s="19"/>
      <c r="U55" s="20" t="str">
        <f t="shared" si="54"/>
        <v>JAWA</v>
      </c>
      <c r="V55" s="20">
        <f t="shared" si="54"/>
        <v>2022</v>
      </c>
      <c r="W55" s="30">
        <f>D55*VLOOKUP(W$51,tech_data!$B$2:$K$15,10,FALSE)*1000</f>
        <v>110707725.36543839</v>
      </c>
      <c r="X55" s="30">
        <f>E55*VLOOKUP(X$51,tech_data!$B$2:$K$15,10,FALSE)*1000</f>
        <v>6471791.1701580053</v>
      </c>
      <c r="Y55" s="30">
        <f>F55*VLOOKUP(Y$51,tech_data!$B$2:$K$15,10,FALSE)*1000</f>
        <v>22861023.369257249</v>
      </c>
      <c r="Z55" s="30">
        <f>G55*VLOOKUP(Z$51,tech_data!$B$2:$K$15,10,FALSE)*1000</f>
        <v>125518.93678039756</v>
      </c>
      <c r="AA55" s="30">
        <f>H31*VLOOKUP(AA$51,tech_data!$B$2:$K$15,10,FALSE)/1000</f>
        <v>491.75937176123068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26071.575889310174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140192622.17689511</v>
      </c>
      <c r="AK55" s="25">
        <f t="shared" si="61"/>
        <v>3.0478741323326994E-2</v>
      </c>
      <c r="AL55" s="24">
        <f>AL54</f>
        <v>5.2999999999999999E-2</v>
      </c>
      <c r="AM55" s="26"/>
      <c r="AN55" s="24"/>
      <c r="AO55" s="20" t="str">
        <f t="shared" si="56"/>
        <v>JAWA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1137.7276928781641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412.13143906028716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2512.2037455129662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1.3332061065365628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59.356487505389453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177.69489800694512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0.87386188694909572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56.288204127767941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538.97356109459554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0.34533779840644813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0.7429250745356103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0.85620128483086033</v>
      </c>
      <c r="BD55" s="30">
        <f t="shared" si="62"/>
        <v>4898.5275603373739</v>
      </c>
      <c r="BE55" s="20">
        <v>2022</v>
      </c>
      <c r="BF55" s="23"/>
      <c r="BG55" s="19"/>
      <c r="BH55" s="30"/>
      <c r="BI55" s="30">
        <f>MIN($BD$53)</f>
        <v>14948.935385011491</v>
      </c>
      <c r="BJ55" s="30">
        <f>MIN($BD$54)</f>
        <v>6962.9673422303385</v>
      </c>
      <c r="BK55" s="30">
        <f t="shared" ref="BK55" si="64">MIN($BD$55)</f>
        <v>4898.5275603373739</v>
      </c>
      <c r="BL55" s="30">
        <f>MIN($BD$56)</f>
        <v>5960.8556569104903</v>
      </c>
      <c r="BM55" s="30">
        <f>MIN($BD$57)</f>
        <v>6565.9501083196892</v>
      </c>
      <c r="BN55" s="30">
        <f>MIN($BD$58)</f>
        <v>6633.5362239159285</v>
      </c>
      <c r="BO55" s="30">
        <f>MIN($BD$59)</f>
        <v>7747.740573008954</v>
      </c>
      <c r="BP55" s="30">
        <f>MIN($BD$60)</f>
        <v>8254.2321367278946</v>
      </c>
      <c r="BQ55" s="30">
        <f>MIN($BD$61)</f>
        <v>8496.2037754047251</v>
      </c>
      <c r="BR55" s="30">
        <f>MIN($BD$62)</f>
        <v>9081.8835975923394</v>
      </c>
      <c r="BS55" s="30">
        <f>MIN($BD$63)</f>
        <v>9544.4183972602968</v>
      </c>
      <c r="BT55" s="30">
        <f>MIN($BD$64)</f>
        <v>10789.818686039536</v>
      </c>
      <c r="BU55" s="30">
        <f>MIN($BD$65)</f>
        <v>11579.403637824156</v>
      </c>
      <c r="BV55" s="30">
        <f>MIN($BD$66)</f>
        <v>12231.448775713585</v>
      </c>
      <c r="BW55" s="30">
        <f>MIN($BD$67)</f>
        <v>13978.313758068656</v>
      </c>
      <c r="BX55" s="30">
        <f>MIN($BD$68)</f>
        <v>14416.080633194779</v>
      </c>
      <c r="BY55" s="30">
        <f>MIN($BD$69)</f>
        <v>16253.397051881921</v>
      </c>
      <c r="BZ55" s="30">
        <f>MIN($BD$70)</f>
        <v>17376.467993954033</v>
      </c>
      <c r="CA55" s="30">
        <f>MIN($BD$71)</f>
        <v>19751.872611453244</v>
      </c>
      <c r="CD55" s="23"/>
    </row>
    <row r="56" spans="1:82" x14ac:dyDescent="0.25">
      <c r="A56" s="19"/>
      <c r="B56" s="20" t="str">
        <f t="shared" si="52"/>
        <v>JAWA</v>
      </c>
      <c r="C56" s="20">
        <f t="shared" si="52"/>
        <v>2023</v>
      </c>
      <c r="D56" s="30">
        <f>(Jawa!D32*3.6/(VLOOKUP(D$51,tech_data!$B$2:$J$15,4,FALSE)/100))/1000</f>
        <v>1110.1857738210829</v>
      </c>
      <c r="E56" s="30">
        <f>(Jawa!E32*3.6/(VLOOKUP(E$51,tech_data!$B$2:$J$15,4,FALSE)/100))/1000</f>
        <v>118.10960979508253</v>
      </c>
      <c r="F56" s="30">
        <f>(Jawa!F32*3.6/(VLOOKUP(F$51,tech_data!$B$2:$J$15,4,FALSE)/100))/1000</f>
        <v>387.89683767109619</v>
      </c>
      <c r="G56" s="30">
        <f>(Jawa!G32*3.6/(VLOOKUP(G$51,tech_data!$B$2:$J$15,4,FALSE)/100))/1000</f>
        <v>1.7152250430050304</v>
      </c>
      <c r="H56" s="30">
        <f t="shared" si="57"/>
        <v>28.145210466461535</v>
      </c>
      <c r="I56" s="30">
        <f>(Jawa!I32*3.6/(VLOOKUP(I$51,tech_data!$B$2:$J$15,4,FALSE)/100))/1000</f>
        <v>79.046900805288132</v>
      </c>
      <c r="J56" s="30">
        <f>(Jawa!J32*3.6/(VLOOKUP(J$51,tech_data!$B$2:$J$15,4,FALSE)/100))/1000</f>
        <v>0.46213096984615398</v>
      </c>
      <c r="K56" s="30">
        <f t="shared" ref="K56:L56" si="65">K32*3.6/1000</f>
        <v>34.515926771147306</v>
      </c>
      <c r="L56" s="30">
        <f t="shared" si="65"/>
        <v>27.9269553223725</v>
      </c>
      <c r="M56" s="30">
        <f>(Jawa!M32*3.6/(VLOOKUP(M$51,tech_data!$B$2:$J$15,4,FALSE)/100))/1000</f>
        <v>0.23203609727047148</v>
      </c>
      <c r="N56" s="30">
        <f t="shared" si="59"/>
        <v>6.0371036969733026E-2</v>
      </c>
      <c r="O56" s="30">
        <f>(Jawa!O32*3.6/(VLOOKUP(O$51,tech_data!$B$2:$J$15,4,FALSE)/100))/1000</f>
        <v>0</v>
      </c>
      <c r="P56" s="30">
        <v>0</v>
      </c>
      <c r="Q56" s="30">
        <f t="shared" si="53"/>
        <v>1788.2969777996225</v>
      </c>
      <c r="R56" s="30"/>
      <c r="T56" s="19"/>
      <c r="U56" s="20" t="str">
        <f t="shared" si="54"/>
        <v>JAWA</v>
      </c>
      <c r="V56" s="20">
        <f t="shared" si="54"/>
        <v>2023</v>
      </c>
      <c r="W56" s="30">
        <f>D56*VLOOKUP(W$51,tech_data!$B$2:$K$15,10,FALSE)*1000</f>
        <v>110707725.36543839</v>
      </c>
      <c r="X56" s="30">
        <f>E56*VLOOKUP(X$51,tech_data!$B$2:$K$15,10,FALSE)*1000</f>
        <v>7334606.7682746248</v>
      </c>
      <c r="Y56" s="30">
        <f>F56*VLOOKUP(Y$51,tech_data!$B$2:$K$15,10,FALSE)*1000</f>
        <v>24088393.619375072</v>
      </c>
      <c r="Z56" s="30">
        <f>G56*VLOOKUP(Z$51,tech_data!$B$2:$K$15,10,FALSE)*1000</f>
        <v>128933.46648268815</v>
      </c>
      <c r="AA56" s="30">
        <f>H32*VLOOKUP(AA$51,tech_data!$B$2:$K$15,10,FALSE)/1000</f>
        <v>491.75937176123068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26071.575889310174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142286222.55483186</v>
      </c>
      <c r="AK56" s="25">
        <f t="shared" si="61"/>
        <v>1.493374148673134E-2</v>
      </c>
      <c r="AL56" s="24">
        <f t="shared" ref="AL56:AL70" si="66">AL55</f>
        <v>5.2999999999999999E-2</v>
      </c>
      <c r="AM56" s="26"/>
      <c r="AN56" s="24"/>
      <c r="AO56" s="20" t="str">
        <f t="shared" si="56"/>
        <v>JAWA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1137.7276928781641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422.68866129249511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1273.8750061464527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1.2690350748343704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59.356487505389453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177.69489800694512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0.87386188694909572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56.288204127767941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2828.8856090079648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0.34533779840644813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0.7429250745356103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1.1079381105855688</v>
      </c>
      <c r="BD56" s="30">
        <f t="shared" si="62"/>
        <v>5960.8556569104903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JAWA</v>
      </c>
      <c r="C57" s="20">
        <f t="shared" si="52"/>
        <v>2024</v>
      </c>
      <c r="D57" s="30">
        <f>(Jawa!D33*3.6/(VLOOKUP(D$51,tech_data!$B$2:$J$15,4,FALSE)/100))/1000</f>
        <v>1110.1857738210829</v>
      </c>
      <c r="E57" s="30">
        <f>(Jawa!E33*3.6/(VLOOKUP(E$51,tech_data!$B$2:$J$15,4,FALSE)/100))/1000</f>
        <v>132.59113822546848</v>
      </c>
      <c r="F57" s="30">
        <f>(Jawa!F33*3.6/(VLOOKUP(F$51,tech_data!$B$2:$J$15,4,FALSE)/100))/1000</f>
        <v>411.23176019188196</v>
      </c>
      <c r="G57" s="30">
        <f>(Jawa!G33*3.6/(VLOOKUP(G$51,tech_data!$B$2:$J$15,4,FALSE)/100))/1000</f>
        <v>1.7675220069055761</v>
      </c>
      <c r="H57" s="30">
        <f t="shared" si="57"/>
        <v>28.145210466461535</v>
      </c>
      <c r="I57" s="30">
        <f>(Jawa!I33*3.6/(VLOOKUP(I$51,tech_data!$B$2:$J$15,4,FALSE)/100))/1000</f>
        <v>79.046900805288132</v>
      </c>
      <c r="J57" s="30">
        <f>(Jawa!J33*3.6/(VLOOKUP(J$51,tech_data!$B$2:$J$15,4,FALSE)/100))/1000</f>
        <v>0.46213096984615398</v>
      </c>
      <c r="K57" s="30">
        <f t="shared" ref="K57:L57" si="67">K33*3.6/1000</f>
        <v>34.515926771147306</v>
      </c>
      <c r="L57" s="30">
        <f t="shared" si="67"/>
        <v>53.672550620943483</v>
      </c>
      <c r="M57" s="30">
        <f>(Jawa!M33*3.6/(VLOOKUP(M$51,tech_data!$B$2:$J$15,4,FALSE)/100))/1000</f>
        <v>0.23203609727047148</v>
      </c>
      <c r="N57" s="30">
        <f t="shared" si="59"/>
        <v>6.0371036969733026E-2</v>
      </c>
      <c r="O57" s="30">
        <f>(Jawa!O33*3.6/(VLOOKUP(O$51,tech_data!$B$2:$J$15,4,FALSE)/100))/1000</f>
        <v>0</v>
      </c>
      <c r="P57" s="30">
        <v>0</v>
      </c>
      <c r="Q57" s="30">
        <f t="shared" si="53"/>
        <v>1851.9113210132657</v>
      </c>
      <c r="R57" s="30"/>
      <c r="T57" s="19"/>
      <c r="U57" s="20" t="str">
        <f t="shared" si="54"/>
        <v>JAWA</v>
      </c>
      <c r="V57" s="20">
        <f t="shared" si="54"/>
        <v>2024</v>
      </c>
      <c r="W57" s="30">
        <f>D57*VLOOKUP(W$51,tech_data!$B$2:$K$15,10,FALSE)*1000</f>
        <v>110707725.36543839</v>
      </c>
      <c r="X57" s="30">
        <f>E57*VLOOKUP(X$51,tech_data!$B$2:$K$15,10,FALSE)*1000</f>
        <v>8233909.6838015942</v>
      </c>
      <c r="Y57" s="30">
        <f>F57*VLOOKUP(Y$51,tech_data!$B$2:$K$15,10,FALSE)*1000</f>
        <v>25537492.30791587</v>
      </c>
      <c r="Z57" s="30">
        <f>G57*VLOOKUP(Z$51,tech_data!$B$2:$K$15,10,FALSE)*1000</f>
        <v>132864.62925909218</v>
      </c>
      <c r="AA57" s="30">
        <f>H33*VLOOKUP(AA$51,tech_data!$B$2:$K$15,10,FALSE)/1000</f>
        <v>491.75937176123068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26071.575889310174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144638555.32167602</v>
      </c>
      <c r="AK57" s="25">
        <f t="shared" si="61"/>
        <v>1.6532400148142602E-2</v>
      </c>
      <c r="AL57" s="24">
        <f t="shared" si="66"/>
        <v>5.2999999999999999E-2</v>
      </c>
      <c r="AM57" s="26"/>
      <c r="AN57" s="24"/>
      <c r="AO57" s="20" t="str">
        <f t="shared" si="56"/>
        <v>JAWA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1137.7276928781641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447.63821032089027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1441.6083842715809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1.4190510049662093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59.356487505389453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177.69489800694512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0.87386188694909572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56.288204127767941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3241.0238446617786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0.34533779840644813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0.7429250745356103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1.2312107823153311</v>
      </c>
      <c r="BD57" s="30">
        <f t="shared" si="62"/>
        <v>6565.9501083196892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JAWA</v>
      </c>
      <c r="C58" s="20">
        <f t="shared" si="52"/>
        <v>2025</v>
      </c>
      <c r="D58" s="30">
        <f>(Jawa!D34*3.6/(VLOOKUP(D$51,tech_data!$B$2:$J$15,4,FALSE)/100))/1000</f>
        <v>1110.1857738210829</v>
      </c>
      <c r="E58" s="30">
        <f>(Jawa!E34*3.6/(VLOOKUP(E$51,tech_data!$B$2:$J$15,4,FALSE)/100))/1000</f>
        <v>147.84235247891428</v>
      </c>
      <c r="F58" s="30">
        <f>(Jawa!F34*3.6/(VLOOKUP(F$51,tech_data!$B$2:$J$15,4,FALSE)/100))/1000</f>
        <v>428.18684965146923</v>
      </c>
      <c r="G58" s="30">
        <f>(Jawa!G34*3.6/(VLOOKUP(G$51,tech_data!$B$2:$J$15,4,FALSE)/100))/1000</f>
        <v>1.8126698778862644</v>
      </c>
      <c r="H58" s="30">
        <f t="shared" si="57"/>
        <v>28.145210466461535</v>
      </c>
      <c r="I58" s="30">
        <f>(Jawa!I34*3.6/(VLOOKUP(I$51,tech_data!$B$2:$J$15,4,FALSE)/100))/1000</f>
        <v>79.046900805288132</v>
      </c>
      <c r="J58" s="30">
        <f>(Jawa!J34*3.6/(VLOOKUP(J$51,tech_data!$B$2:$J$15,4,FALSE)/100))/1000</f>
        <v>0.46213096984615398</v>
      </c>
      <c r="K58" s="30">
        <f t="shared" ref="K58:L58" si="68">K34*3.6/1000</f>
        <v>34.515926771147306</v>
      </c>
      <c r="L58" s="30">
        <f t="shared" si="68"/>
        <v>80.574262605346618</v>
      </c>
      <c r="M58" s="30">
        <f>(Jawa!M34*3.6/(VLOOKUP(M$51,tech_data!$B$2:$J$15,4,FALSE)/100))/1000</f>
        <v>0.23203609727047148</v>
      </c>
      <c r="N58" s="30">
        <f t="shared" si="59"/>
        <v>6.0371036969733026E-2</v>
      </c>
      <c r="O58" s="30">
        <f>(Jawa!O34*3.6/(VLOOKUP(O$51,tech_data!$B$2:$J$15,4,FALSE)/100))/1000</f>
        <v>0</v>
      </c>
      <c r="P58" s="30">
        <v>0</v>
      </c>
      <c r="Q58" s="30">
        <f t="shared" si="53"/>
        <v>1911.0644845816826</v>
      </c>
      <c r="R58" s="30"/>
      <c r="T58" s="19"/>
      <c r="U58" s="20" t="str">
        <f t="shared" si="54"/>
        <v>JAWA</v>
      </c>
      <c r="V58" s="20">
        <f t="shared" si="54"/>
        <v>2025</v>
      </c>
      <c r="W58" s="30">
        <f>D58*VLOOKUP(W$51,tech_data!$B$2:$K$15,10,FALSE)*1000</f>
        <v>110707725.36543839</v>
      </c>
      <c r="X58" s="30">
        <f>E58*VLOOKUP(X$51,tech_data!$B$2:$K$15,10,FALSE)*1000</f>
        <v>9181010.0889405776</v>
      </c>
      <c r="Y58" s="30">
        <f>F58*VLOOKUP(Y$51,tech_data!$B$2:$K$15,10,FALSE)*1000</f>
        <v>26590403.36335624</v>
      </c>
      <c r="Z58" s="30">
        <f>G58*VLOOKUP(Z$51,tech_data!$B$2:$K$15,10,FALSE)*1000</f>
        <v>136258.39472071049</v>
      </c>
      <c r="AA58" s="30">
        <f>H34*VLOOKUP(AA$51,tech_data!$B$2:$K$15,10,FALSE)/1000</f>
        <v>491.75937176123068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26071.575889310174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146641960.54771698</v>
      </c>
      <c r="AK58" s="25">
        <f t="shared" si="61"/>
        <v>1.3851114743129091E-2</v>
      </c>
      <c r="AL58" s="24">
        <f t="shared" si="66"/>
        <v>5.2999999999999999E-2</v>
      </c>
      <c r="AM58" s="26"/>
      <c r="AN58" s="24"/>
      <c r="AO58" s="20" t="str">
        <f t="shared" si="56"/>
        <v>JAWA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1137.7276928781641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477.54796501679994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1220.1961763110803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1.2831791522156586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59.356487505389453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177.69489800694512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0.87386188694909572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56.288204127767941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3500.2608940030113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0.34533779840644813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0.7429250745356103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1.2186021546642924</v>
      </c>
      <c r="BD58" s="30">
        <f t="shared" si="62"/>
        <v>6633.5362239159285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0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0</v>
      </c>
      <c r="BX58" s="20" t="b">
        <f>$AK$68&lt;=$AL$68</f>
        <v>0</v>
      </c>
      <c r="BY58" s="20" t="b">
        <f>$AK$69&lt;=$AL$69</f>
        <v>0</v>
      </c>
      <c r="BZ58" s="20" t="b">
        <f>$AK$70&lt;=$AL$70</f>
        <v>0</v>
      </c>
      <c r="CA58" s="20" t="b">
        <f>$AK$71&lt;=$AL$71</f>
        <v>0</v>
      </c>
      <c r="CD58" s="23"/>
    </row>
    <row r="59" spans="1:82" x14ac:dyDescent="0.25">
      <c r="A59" s="19"/>
      <c r="B59" s="20" t="str">
        <f t="shared" si="52"/>
        <v>JAWA</v>
      </c>
      <c r="C59" s="20">
        <f t="shared" si="52"/>
        <v>2026</v>
      </c>
      <c r="D59" s="30">
        <f>(Jawa!D35*3.6/(VLOOKUP(D$51,tech_data!$B$2:$J$15,4,FALSE)/100))/1000</f>
        <v>1110.1857738210829</v>
      </c>
      <c r="E59" s="30">
        <f>(Jawa!E35*3.6/(VLOOKUP(E$51,tech_data!$B$2:$J$15,4,FALSE)/100))/1000</f>
        <v>164.22292411231959</v>
      </c>
      <c r="F59" s="30">
        <f>(Jawa!F35*3.6/(VLOOKUP(F$51,tech_data!$B$2:$J$15,4,FALSE)/100))/1000</f>
        <v>496.2319068241477</v>
      </c>
      <c r="G59" s="30">
        <f>(Jawa!G35*3.6/(VLOOKUP(G$51,tech_data!$B$2:$J$15,4,FALSE)/100))/1000</f>
        <v>1.8947956275783431</v>
      </c>
      <c r="H59" s="30">
        <f t="shared" si="57"/>
        <v>28.145210466461535</v>
      </c>
      <c r="I59" s="30">
        <f>(Jawa!I35*3.6/(VLOOKUP(I$51,tech_data!$B$2:$J$15,4,FALSE)/100))/1000</f>
        <v>79.046900805288132</v>
      </c>
      <c r="J59" s="30">
        <f>(Jawa!J35*3.6/(VLOOKUP(J$51,tech_data!$B$2:$J$15,4,FALSE)/100))/1000</f>
        <v>0.46213096984615398</v>
      </c>
      <c r="K59" s="30">
        <f t="shared" ref="K59:L59" si="69">K35*3.6/1000</f>
        <v>34.515926771147306</v>
      </c>
      <c r="L59" s="30">
        <f t="shared" si="69"/>
        <v>98.404653571164118</v>
      </c>
      <c r="M59" s="30">
        <f>(Jawa!M35*3.6/(VLOOKUP(M$51,tech_data!$B$2:$J$15,4,FALSE)/100))/1000</f>
        <v>0.23203609727047148</v>
      </c>
      <c r="N59" s="30">
        <f t="shared" si="59"/>
        <v>6.0371036969733026E-2</v>
      </c>
      <c r="O59" s="30">
        <f>(Jawa!O35*3.6/(VLOOKUP(O$51,tech_data!$B$2:$J$15,4,FALSE)/100))/1000</f>
        <v>0</v>
      </c>
      <c r="P59" s="30">
        <v>0</v>
      </c>
      <c r="Q59" s="30">
        <f t="shared" si="53"/>
        <v>2013.4026301032759</v>
      </c>
      <c r="R59" s="30"/>
      <c r="T59" s="19"/>
      <c r="U59" s="20" t="str">
        <f t="shared" si="54"/>
        <v>JAWA</v>
      </c>
      <c r="V59" s="20">
        <f t="shared" si="54"/>
        <v>2026</v>
      </c>
      <c r="W59" s="30">
        <f>D59*VLOOKUP(W$51,tech_data!$B$2:$K$15,10,FALSE)*1000</f>
        <v>110707725.36543839</v>
      </c>
      <c r="X59" s="30">
        <f>E59*VLOOKUP(X$51,tech_data!$B$2:$K$15,10,FALSE)*1000</f>
        <v>10198243.587375047</v>
      </c>
      <c r="Y59" s="30">
        <f>F59*VLOOKUP(Y$51,tech_data!$B$2:$K$15,10,FALSE)*1000</f>
        <v>30816001.413779572</v>
      </c>
      <c r="Z59" s="30">
        <f>G59*VLOOKUP(Z$51,tech_data!$B$2:$K$15,10,FALSE)*1000</f>
        <v>142431.78732506404</v>
      </c>
      <c r="AA59" s="30">
        <f>H35*VLOOKUP(AA$51,tech_data!$B$2:$K$15,10,FALSE)/1000</f>
        <v>491.75937176123068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26071.575889310174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151890965.48917913</v>
      </c>
      <c r="AK59" s="25">
        <f t="shared" si="61"/>
        <v>3.579469970161879E-2</v>
      </c>
      <c r="AL59" s="24">
        <f t="shared" si="66"/>
        <v>5.2999999999999999E-2</v>
      </c>
      <c r="AM59" s="26"/>
      <c r="AN59" s="24"/>
      <c r="AO59" s="20" t="str">
        <f t="shared" si="56"/>
        <v>JAWA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1137.7276928781641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516.96194520035397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3265.3703967590291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2.0499280263803286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59.356487505389453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177.69489800694518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0.87386188694909572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56.288204127767941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2528.870123474368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0.34533779840644813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0.7429250745356103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1.4587722706633741</v>
      </c>
      <c r="BD59" s="30">
        <f t="shared" si="62"/>
        <v>7747.740573008954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1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1</v>
      </c>
      <c r="BV59" s="20" t="b">
        <f>$AQ$42&gt;=$AW$42</f>
        <v>1</v>
      </c>
      <c r="BW59" s="20" t="b">
        <f>$AQ$43&gt;=$AW$43</f>
        <v>0</v>
      </c>
      <c r="BX59" s="20" t="b">
        <f>$AQ$44&gt;=$AW$44</f>
        <v>1</v>
      </c>
      <c r="BY59" s="20" t="b">
        <f>$AQ$45&gt;=$AW$45</f>
        <v>1</v>
      </c>
      <c r="BZ59" s="20" t="b">
        <f>$AQ$46&gt;=$AW$46</f>
        <v>1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JAWA</v>
      </c>
      <c r="C60" s="20">
        <f t="shared" si="52"/>
        <v>2027</v>
      </c>
      <c r="D60" s="30">
        <f>(Jawa!D36*3.6/(VLOOKUP(D$51,tech_data!$B$2:$J$15,4,FALSE)/100))/1000</f>
        <v>1110.1857738210829</v>
      </c>
      <c r="E60" s="30">
        <f>(Jawa!E36*3.6/(VLOOKUP(E$51,tech_data!$B$2:$J$15,4,FALSE)/100))/1000</f>
        <v>180.86923539898896</v>
      </c>
      <c r="F60" s="30">
        <f>(Jawa!F36*3.6/(VLOOKUP(F$51,tech_data!$B$2:$J$15,4,FALSE)/100))/1000</f>
        <v>568.28461394556734</v>
      </c>
      <c r="G60" s="30">
        <f>(Jawa!G36*3.6/(VLOOKUP(G$51,tech_data!$B$2:$J$15,4,FALSE)/100))/1000</f>
        <v>1.9797150949428539</v>
      </c>
      <c r="H60" s="30">
        <f t="shared" si="57"/>
        <v>28.145210466461535</v>
      </c>
      <c r="I60" s="30">
        <f>(Jawa!I36*3.6/(VLOOKUP(I$51,tech_data!$B$2:$J$15,4,FALSE)/100))/1000</f>
        <v>79.046900805288132</v>
      </c>
      <c r="J60" s="30">
        <f>(Jawa!J36*3.6/(VLOOKUP(J$51,tech_data!$B$2:$J$15,4,FALSE)/100))/1000</f>
        <v>0.46213096984615398</v>
      </c>
      <c r="K60" s="30">
        <f t="shared" ref="K60:L60" si="70">K36*3.6/1000</f>
        <v>34.515926771147306</v>
      </c>
      <c r="L60" s="30">
        <f t="shared" si="70"/>
        <v>117.51965564497331</v>
      </c>
      <c r="M60" s="30">
        <f>(Jawa!M36*3.6/(VLOOKUP(M$51,tech_data!$B$2:$J$15,4,FALSE)/100))/1000</f>
        <v>0.23203609727047148</v>
      </c>
      <c r="N60" s="30">
        <f t="shared" si="59"/>
        <v>6.0371036969733026E-2</v>
      </c>
      <c r="O60" s="30">
        <f>(Jawa!O36*3.6/(VLOOKUP(O$51,tech_data!$B$2:$J$15,4,FALSE)/100))/1000</f>
        <v>0</v>
      </c>
      <c r="P60" s="30">
        <v>0</v>
      </c>
      <c r="Q60" s="30">
        <f t="shared" si="53"/>
        <v>2121.3015700525384</v>
      </c>
      <c r="R60" s="30"/>
      <c r="T60" s="19"/>
      <c r="U60" s="20" t="str">
        <f t="shared" si="54"/>
        <v>JAWA</v>
      </c>
      <c r="V60" s="20">
        <f t="shared" si="54"/>
        <v>2027</v>
      </c>
      <c r="W60" s="30">
        <f>D60*VLOOKUP(W$51,tech_data!$B$2:$K$15,10,FALSE)*1000</f>
        <v>110707725.36543839</v>
      </c>
      <c r="X60" s="30">
        <f>E60*VLOOKUP(X$51,tech_data!$B$2:$K$15,10,FALSE)*1000</f>
        <v>11231979.518277215</v>
      </c>
      <c r="Y60" s="30">
        <f>F60*VLOOKUP(Y$51,tech_data!$B$2:$K$15,10,FALSE)*1000</f>
        <v>35290474.52601973</v>
      </c>
      <c r="Z60" s="30">
        <f>G60*VLOOKUP(Z$51,tech_data!$B$2:$K$15,10,FALSE)*1000</f>
        <v>148815.18368685435</v>
      </c>
      <c r="AA60" s="30">
        <f>H36*VLOOKUP(AA$51,tech_data!$B$2:$K$15,10,FALSE)/1000</f>
        <v>491.75937176123068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26071.575889310174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157405557.92868325</v>
      </c>
      <c r="AK60" s="25">
        <f t="shared" si="61"/>
        <v>3.6306257068969526E-2</v>
      </c>
      <c r="AL60" s="24">
        <f t="shared" si="66"/>
        <v>5.2999999999999999E-2</v>
      </c>
      <c r="AM60" s="26"/>
      <c r="AN60" s="24"/>
      <c r="AO60" s="20" t="str">
        <f t="shared" si="56"/>
        <v>JAWA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1137.7276928781641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535.77544524477412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3514.8624626732167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2.1238084934525445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59.356487505389453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177.69489800694512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0.87386188694909572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56.288204127767941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2766.8909154033176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0.34533779840644813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0.7429250745356103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1.5500976349757161</v>
      </c>
      <c r="BD60" s="30">
        <f t="shared" si="62"/>
        <v>8254.2321367278946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JAWA</v>
      </c>
      <c r="C61" s="20">
        <f t="shared" si="52"/>
        <v>2028</v>
      </c>
      <c r="D61" s="30">
        <f>(Jawa!D37*3.6/(VLOOKUP(D$51,tech_data!$B$2:$J$15,4,FALSE)/100))/1000</f>
        <v>1110.1857738210829</v>
      </c>
      <c r="E61" s="30">
        <f>(Jawa!E37*3.6/(VLOOKUP(E$51,tech_data!$B$2:$J$15,4,FALSE)/100))/1000</f>
        <v>198.51732077398006</v>
      </c>
      <c r="F61" s="30">
        <f>(Jawa!F37*3.6/(VLOOKUP(F$51,tech_data!$B$2:$J$15,4,FALSE)/100))/1000</f>
        <v>639.33298192671475</v>
      </c>
      <c r="G61" s="30">
        <f>(Jawa!G37*3.6/(VLOOKUP(G$51,tech_data!$B$2:$J$15,4,FALSE)/100))/1000</f>
        <v>2.06095104358698</v>
      </c>
      <c r="H61" s="30">
        <f t="shared" si="57"/>
        <v>28.145210466461535</v>
      </c>
      <c r="I61" s="30">
        <f>(Jawa!I37*3.6/(VLOOKUP(I$51,tech_data!$B$2:$J$15,4,FALSE)/100))/1000</f>
        <v>79.046900805288132</v>
      </c>
      <c r="J61" s="30">
        <f>(Jawa!J37*3.6/(VLOOKUP(J$51,tech_data!$B$2:$J$15,4,FALSE)/100))/1000</f>
        <v>0.46213096984615398</v>
      </c>
      <c r="K61" s="30">
        <f t="shared" ref="K61:L61" si="71">K37*3.6/1000</f>
        <v>34.515926771147306</v>
      </c>
      <c r="L61" s="30">
        <f t="shared" si="71"/>
        <v>137.12743933488852</v>
      </c>
      <c r="M61" s="30">
        <f>(Jawa!M37*3.6/(VLOOKUP(M$51,tech_data!$B$2:$J$15,4,FALSE)/100))/1000</f>
        <v>0.23203609727047148</v>
      </c>
      <c r="N61" s="30">
        <f t="shared" si="59"/>
        <v>6.0371036969733026E-2</v>
      </c>
      <c r="O61" s="30">
        <f>(Jawa!O37*3.6/(VLOOKUP(O$51,tech_data!$B$2:$J$15,4,FALSE)/100))/1000</f>
        <v>0</v>
      </c>
      <c r="P61" s="30">
        <v>0</v>
      </c>
      <c r="Q61" s="30">
        <f t="shared" si="53"/>
        <v>2229.6870430472363</v>
      </c>
      <c r="R61" s="30"/>
      <c r="T61" s="19"/>
      <c r="U61" s="20" t="str">
        <f t="shared" si="54"/>
        <v>JAWA</v>
      </c>
      <c r="V61" s="20">
        <f t="shared" si="54"/>
        <v>2028</v>
      </c>
      <c r="W61" s="30">
        <f>D61*VLOOKUP(W$51,tech_data!$B$2:$K$15,10,FALSE)*1000</f>
        <v>110707725.36543839</v>
      </c>
      <c r="X61" s="30">
        <f>E61*VLOOKUP(X$51,tech_data!$B$2:$K$15,10,FALSE)*1000</f>
        <v>12327925.620064162</v>
      </c>
      <c r="Y61" s="30">
        <f>F61*VLOOKUP(Y$51,tech_data!$B$2:$K$15,10,FALSE)*1000</f>
        <v>39702578.177648991</v>
      </c>
      <c r="Z61" s="30">
        <f>G61*VLOOKUP(Z$51,tech_data!$B$2:$K$15,10,FALSE)*1000</f>
        <v>154921.6899464333</v>
      </c>
      <c r="AA61" s="30">
        <f>H37*VLOOKUP(AA$51,tech_data!$B$2:$K$15,10,FALSE)/1000</f>
        <v>491.75937176123068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26071.575889310174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162919714.18835905</v>
      </c>
      <c r="AK61" s="25">
        <f t="shared" si="61"/>
        <v>3.5031521962992786E-2</v>
      </c>
      <c r="AL61" s="24">
        <f t="shared" si="66"/>
        <v>5.2999999999999999E-2</v>
      </c>
      <c r="AM61" s="26"/>
      <c r="AN61" s="24"/>
      <c r="AO61" s="20" t="str">
        <f t="shared" si="56"/>
        <v>JAWA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1137.7276928781641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573.06203824263969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3571.2909645136765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2.0655500664176043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59.356487505389453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177.69489800694512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0.87386188694909572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56.288204127767941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2915.1819910074919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0.34533779840644813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0.7429250745356103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1.5738242963405236</v>
      </c>
      <c r="BD61" s="30">
        <f t="shared" si="62"/>
        <v>8496.2037754047251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0</v>
      </c>
      <c r="BU61" s="20" t="b">
        <f>$AS$41&lt;=$AY$41</f>
        <v>0</v>
      </c>
      <c r="BV61" s="20" t="b">
        <f>$AS$42&lt;=$AY$42</f>
        <v>0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0</v>
      </c>
      <c r="CD61" s="23"/>
    </row>
    <row r="62" spans="1:82" x14ac:dyDescent="0.25">
      <c r="A62" s="19"/>
      <c r="B62" s="20" t="str">
        <f t="shared" si="52"/>
        <v>JAWA</v>
      </c>
      <c r="C62" s="20">
        <f t="shared" si="52"/>
        <v>2029</v>
      </c>
      <c r="D62" s="30">
        <f>(Jawa!D38*3.6/(VLOOKUP(D$51,tech_data!$B$2:$J$15,4,FALSE)/100))/1000</f>
        <v>1110.1857738210829</v>
      </c>
      <c r="E62" s="30">
        <f>(Jawa!E38*3.6/(VLOOKUP(E$51,tech_data!$B$2:$J$15,4,FALSE)/100))/1000</f>
        <v>217.81170519520606</v>
      </c>
      <c r="F62" s="30">
        <f>(Jawa!F38*3.6/(VLOOKUP(F$51,tech_data!$B$2:$J$15,4,FALSE)/100))/1000</f>
        <v>714.46471194339495</v>
      </c>
      <c r="G62" s="30">
        <f>(Jawa!G38*3.6/(VLOOKUP(G$51,tech_data!$B$2:$J$15,4,FALSE)/100))/1000</f>
        <v>2.1460402362786026</v>
      </c>
      <c r="H62" s="30">
        <f t="shared" si="57"/>
        <v>28.145210466461535</v>
      </c>
      <c r="I62" s="30">
        <f>(Jawa!I38*3.6/(VLOOKUP(I$51,tech_data!$B$2:$J$15,4,FALSE)/100))/1000</f>
        <v>79.046900805288132</v>
      </c>
      <c r="J62" s="30">
        <f>(Jawa!J38*3.6/(VLOOKUP(J$51,tech_data!$B$2:$J$15,4,FALSE)/100))/1000</f>
        <v>0.46213096984615398</v>
      </c>
      <c r="K62" s="30">
        <f t="shared" ref="K62:L62" si="72">K38*3.6/1000</f>
        <v>34.515926771147306</v>
      </c>
      <c r="L62" s="30">
        <f t="shared" si="72"/>
        <v>158.25706007034057</v>
      </c>
      <c r="M62" s="30">
        <f>(Jawa!M38*3.6/(VLOOKUP(M$51,tech_data!$B$2:$J$15,4,FALSE)/100))/1000</f>
        <v>0.23203609727047148</v>
      </c>
      <c r="N62" s="30">
        <f t="shared" si="59"/>
        <v>6.0371036969733026E-2</v>
      </c>
      <c r="O62" s="30">
        <f>(Jawa!O38*3.6/(VLOOKUP(O$51,tech_data!$B$2:$J$15,4,FALSE)/100))/1000</f>
        <v>0</v>
      </c>
      <c r="P62" s="30">
        <v>0</v>
      </c>
      <c r="Q62" s="30">
        <f t="shared" si="53"/>
        <v>2345.3278674132862</v>
      </c>
      <c r="R62" s="30"/>
      <c r="T62" s="19"/>
      <c r="U62" s="20" t="str">
        <f t="shared" si="54"/>
        <v>JAWA</v>
      </c>
      <c r="V62" s="20">
        <f t="shared" si="54"/>
        <v>2029</v>
      </c>
      <c r="W62" s="30">
        <f>D62*VLOOKUP(W$51,tech_data!$B$2:$K$15,10,FALSE)*1000</f>
        <v>110707725.36543839</v>
      </c>
      <c r="X62" s="30">
        <f>E62*VLOOKUP(X$51,tech_data!$B$2:$K$15,10,FALSE)*1000</f>
        <v>13526106.892622296</v>
      </c>
      <c r="Y62" s="30">
        <f>F62*VLOOKUP(Y$51,tech_data!$B$2:$K$15,10,FALSE)*1000</f>
        <v>44368258.611684822</v>
      </c>
      <c r="Z62" s="30">
        <f>G62*VLOOKUP(Z$51,tech_data!$B$2:$K$15,10,FALSE)*1000</f>
        <v>161317.84456106258</v>
      </c>
      <c r="AA62" s="30">
        <f>H38*VLOOKUP(AA$51,tech_data!$B$2:$K$15,10,FALSE)/1000</f>
        <v>491.75937176123068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26071.575889310174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168789972.04956764</v>
      </c>
      <c r="AK62" s="25">
        <f t="shared" si="61"/>
        <v>3.603159930922608E-2</v>
      </c>
      <c r="AL62" s="24">
        <f t="shared" si="66"/>
        <v>5.2999999999999999E-2</v>
      </c>
      <c r="AM62" s="26"/>
      <c r="AN62" s="24"/>
      <c r="AO62" s="20" t="str">
        <f t="shared" si="56"/>
        <v>JAWA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1137.7276928781641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627.09852751766721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3827.7896307208853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2.1609576958201826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59.356487505389453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177.69489800694512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0.87386188694909572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56.288204127767941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3190.1229752864797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0.34533779840644813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0.7429250745356103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1.682099093328997</v>
      </c>
      <c r="BD62" s="30">
        <f t="shared" si="62"/>
        <v>9081.8835975923394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0</v>
      </c>
      <c r="BL62" s="20" t="b">
        <f>$AT$32&gt;=$AZ$32</f>
        <v>1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0</v>
      </c>
      <c r="BT62" s="20" t="b">
        <f>$AT$40&gt;=$AZ$40</f>
        <v>0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0</v>
      </c>
      <c r="CD62" s="23"/>
    </row>
    <row r="63" spans="1:82" x14ac:dyDescent="0.25">
      <c r="A63" s="19"/>
      <c r="B63" s="20" t="str">
        <f t="shared" si="52"/>
        <v>JAWA</v>
      </c>
      <c r="C63" s="20">
        <f t="shared" si="52"/>
        <v>2030</v>
      </c>
      <c r="D63" s="30">
        <f>(Jawa!D39*3.6/(VLOOKUP(D$51,tech_data!$B$2:$J$15,4,FALSE)/100))/1000</f>
        <v>1110.1857738210829</v>
      </c>
      <c r="E63" s="30">
        <f>(Jawa!E39*3.6/(VLOOKUP(E$51,tech_data!$B$2:$J$15,4,FALSE)/100))/1000</f>
        <v>238.20341706158877</v>
      </c>
      <c r="F63" s="30">
        <f>(Jawa!F39*3.6/(VLOOKUP(F$51,tech_data!$B$2:$J$15,4,FALSE)/100))/1000</f>
        <v>791.72482895125188</v>
      </c>
      <c r="G63" s="30">
        <f>(Jawa!G39*3.6/(VLOOKUP(G$51,tech_data!$B$2:$J$15,4,FALSE)/100))/1000</f>
        <v>2.231682695383113</v>
      </c>
      <c r="H63" s="30">
        <f t="shared" si="57"/>
        <v>28.145210466461535</v>
      </c>
      <c r="I63" s="30">
        <f>(Jawa!I39*3.6/(VLOOKUP(I$51,tech_data!$B$2:$J$15,4,FALSE)/100))/1000</f>
        <v>79.046900805288132</v>
      </c>
      <c r="J63" s="30">
        <f>(Jawa!J39*3.6/(VLOOKUP(J$51,tech_data!$B$2:$J$15,4,FALSE)/100))/1000</f>
        <v>0.46213096984615398</v>
      </c>
      <c r="K63" s="30">
        <f t="shared" ref="K63:L63" si="73">K39*3.6/1000</f>
        <v>34.515926771147306</v>
      </c>
      <c r="L63" s="30">
        <f t="shared" si="73"/>
        <v>180.52982378749249</v>
      </c>
      <c r="M63" s="30">
        <f>(Jawa!M39*3.6/(VLOOKUP(M$51,tech_data!$B$2:$J$15,4,FALSE)/100))/1000</f>
        <v>0.23203609727047148</v>
      </c>
      <c r="N63" s="30">
        <f t="shared" si="59"/>
        <v>6.0371036969733026E-2</v>
      </c>
      <c r="O63" s="30">
        <f>(Jawa!O39*3.6/(VLOOKUP(O$51,tech_data!$B$2:$J$15,4,FALSE)/100))/1000</f>
        <v>0</v>
      </c>
      <c r="P63" s="30">
        <v>0</v>
      </c>
      <c r="Q63" s="30">
        <f t="shared" si="53"/>
        <v>2465.338102463782</v>
      </c>
      <c r="R63" s="30"/>
      <c r="T63" s="19"/>
      <c r="U63" s="20" t="str">
        <f t="shared" si="54"/>
        <v>JAWA</v>
      </c>
      <c r="V63" s="20">
        <f t="shared" si="54"/>
        <v>2030</v>
      </c>
      <c r="W63" s="30">
        <f>D63*VLOOKUP(W$51,tech_data!$B$2:$K$15,10,FALSE)*1000</f>
        <v>110707725.36543839</v>
      </c>
      <c r="X63" s="30">
        <f>E63*VLOOKUP(X$51,tech_data!$B$2:$K$15,10,FALSE)*1000</f>
        <v>14792432.199524663</v>
      </c>
      <c r="Y63" s="30">
        <f>F63*VLOOKUP(Y$51,tech_data!$B$2:$K$15,10,FALSE)*1000</f>
        <v>49166111.877872743</v>
      </c>
      <c r="Z63" s="30">
        <f>G63*VLOOKUP(Z$51,tech_data!$B$2:$K$15,10,FALSE)*1000</f>
        <v>167755.58821194861</v>
      </c>
      <c r="AA63" s="30">
        <f>H39*VLOOKUP(AA$51,tech_data!$B$2:$K$15,10,FALSE)/1000</f>
        <v>491.75937176123068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26071.575889310174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174860588.36630881</v>
      </c>
      <c r="AK63" s="25">
        <f t="shared" si="61"/>
        <v>3.5965503418404758E-2</v>
      </c>
      <c r="AL63" s="24">
        <f t="shared" si="66"/>
        <v>5.2999999999999999E-2</v>
      </c>
      <c r="AM63" s="26"/>
      <c r="AN63" s="24"/>
      <c r="AO63" s="20" t="str">
        <f t="shared" si="56"/>
        <v>JAWA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1137.7276928781641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668.73235154858446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4012.3462839596518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2.189536545102226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59.356487505389453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177.69489800694512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0.87386188694909572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56.288204127767941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3426.3633038557291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0.34533779840644813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0.7429250745356103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1.7575140730705359</v>
      </c>
      <c r="BD63" s="30">
        <f t="shared" si="62"/>
        <v>9544.4183972602968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JAWA</v>
      </c>
      <c r="C64" s="20">
        <f t="shared" si="52"/>
        <v>2031</v>
      </c>
      <c r="D64" s="30">
        <f>(Jawa!D40*3.6/(VLOOKUP(D$51,tech_data!$B$2:$J$15,4,FALSE)/100))/1000</f>
        <v>1110.1857738210829</v>
      </c>
      <c r="E64" s="30">
        <f>(Jawa!E40*3.6/(VLOOKUP(E$51,tech_data!$B$2:$J$15,4,FALSE)/100))/1000</f>
        <v>259.73554186075194</v>
      </c>
      <c r="F64" s="30">
        <f>(Jawa!F40*3.6/(VLOOKUP(F$51,tech_data!$B$2:$J$15,4,FALSE)/100))/1000</f>
        <v>883.29265888178975</v>
      </c>
      <c r="G64" s="30">
        <f>(Jawa!G40*3.6/(VLOOKUP(G$51,tech_data!$B$2:$J$15,4,FALSE)/100))/1000</f>
        <v>2.3338085713172454</v>
      </c>
      <c r="H64" s="30">
        <f t="shared" si="57"/>
        <v>28.145210466461535</v>
      </c>
      <c r="I64" s="30">
        <f>(Jawa!I40*3.6/(VLOOKUP(I$51,tech_data!$B$2:$J$15,4,FALSE)/100))/1000</f>
        <v>79.046900805288132</v>
      </c>
      <c r="J64" s="30">
        <f>(Jawa!J40*3.6/(VLOOKUP(J$51,tech_data!$B$2:$J$15,4,FALSE)/100))/1000</f>
        <v>0.46213096984615398</v>
      </c>
      <c r="K64" s="30">
        <f t="shared" ref="K64:L64" si="74">K40*3.6/1000</f>
        <v>34.515926771147306</v>
      </c>
      <c r="L64" s="30">
        <f t="shared" si="74"/>
        <v>206.34668994795283</v>
      </c>
      <c r="M64" s="30">
        <f>(Jawa!M40*3.6/(VLOOKUP(M$51,tech_data!$B$2:$J$15,4,FALSE)/100))/1000</f>
        <v>0.23203609727047148</v>
      </c>
      <c r="N64" s="30">
        <f t="shared" si="59"/>
        <v>6.0371036969733026E-2</v>
      </c>
      <c r="O64" s="30">
        <f>(Jawa!O40*3.6/(VLOOKUP(O$51,tech_data!$B$2:$J$15,4,FALSE)/100))/1000</f>
        <v>0</v>
      </c>
      <c r="P64" s="30">
        <v>0</v>
      </c>
      <c r="Q64" s="30">
        <f t="shared" si="53"/>
        <v>2604.3570492298772</v>
      </c>
      <c r="R64" s="30"/>
      <c r="T64" s="19"/>
      <c r="U64" s="20" t="str">
        <f t="shared" si="54"/>
        <v>JAWA</v>
      </c>
      <c r="V64" s="20">
        <f t="shared" si="54"/>
        <v>2031</v>
      </c>
      <c r="W64" s="30">
        <f>D64*VLOOKUP(W$51,tech_data!$B$2:$K$15,10,FALSE)*1000</f>
        <v>110707725.36543839</v>
      </c>
      <c r="X64" s="30">
        <f>E64*VLOOKUP(X$51,tech_data!$B$2:$K$15,10,FALSE)*1000</f>
        <v>16129577.149552695</v>
      </c>
      <c r="Y64" s="30">
        <f>F64*VLOOKUP(Y$51,tech_data!$B$2:$K$15,10,FALSE)*1000</f>
        <v>54852474.116559148</v>
      </c>
      <c r="Z64" s="30">
        <f>G64*VLOOKUP(Z$51,tech_data!$B$2:$K$15,10,FALSE)*1000</f>
        <v>175432.39030591736</v>
      </c>
      <c r="AA64" s="30">
        <f>H40*VLOOKUP(AA$51,tech_data!$B$2:$K$15,10,FALSE)/1000</f>
        <v>491.75937176123068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26071.575889310174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181891772.35711721</v>
      </c>
      <c r="AK64" s="25">
        <f t="shared" si="61"/>
        <v>4.0210227224439149E-2</v>
      </c>
      <c r="AL64" s="24">
        <f t="shared" si="66"/>
        <v>5.2999999999999999E-2</v>
      </c>
      <c r="AM64" s="26"/>
      <c r="AN64" s="24"/>
      <c r="AO64" s="20" t="str">
        <f t="shared" si="56"/>
        <v>JAWA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1137.7276928781641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712.25425029427356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4681.8970544037593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2.5446030353600504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59.356487505389453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177.69489800694512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0.87386188694909572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56.288204127767941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3958.0685422388851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0.34533779840644813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0.7429250745356103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2.0248287891012056</v>
      </c>
      <c r="BD64" s="30">
        <f t="shared" si="62"/>
        <v>10789.818686039536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JAWA</v>
      </c>
      <c r="C65" s="20">
        <f t="shared" si="52"/>
        <v>2032</v>
      </c>
      <c r="D65" s="30">
        <f>(Jawa!D41*3.6/(VLOOKUP(D$51,tech_data!$B$2:$J$15,4,FALSE)/100))/1000</f>
        <v>1110.1857738210829</v>
      </c>
      <c r="E65" s="30">
        <f>(Jawa!E41*3.6/(VLOOKUP(E$51,tech_data!$B$2:$J$15,4,FALSE)/100))/1000</f>
        <v>282.48897373211128</v>
      </c>
      <c r="F65" s="30">
        <f>(Jawa!F41*3.6/(VLOOKUP(F$51,tech_data!$B$2:$J$15,4,FALSE)/100))/1000</f>
        <v>980.95255494106073</v>
      </c>
      <c r="G65" s="30">
        <f>(Jawa!G41*3.6/(VLOOKUP(G$51,tech_data!$B$2:$J$15,4,FALSE)/100))/1000</f>
        <v>2.4410167844098924</v>
      </c>
      <c r="H65" s="30">
        <f t="shared" si="57"/>
        <v>28.145210466461535</v>
      </c>
      <c r="I65" s="30">
        <f>(Jawa!I41*3.6/(VLOOKUP(I$51,tech_data!$B$2:$J$15,4,FALSE)/100))/1000</f>
        <v>79.046900805288132</v>
      </c>
      <c r="J65" s="30">
        <f>(Jawa!J41*3.6/(VLOOKUP(J$51,tech_data!$B$2:$J$15,4,FALSE)/100))/1000</f>
        <v>5.2099297105498925</v>
      </c>
      <c r="K65" s="30">
        <f t="shared" ref="K65:L65" si="75">K41*3.6/1000</f>
        <v>34.515926771147306</v>
      </c>
      <c r="L65" s="30">
        <f t="shared" si="75"/>
        <v>230.45759746283798</v>
      </c>
      <c r="M65" s="30">
        <f>(Jawa!M41*3.6/(VLOOKUP(M$51,tech_data!$B$2:$J$15,4,FALSE)/100))/1000</f>
        <v>0.23203609727047148</v>
      </c>
      <c r="N65" s="30">
        <f t="shared" si="59"/>
        <v>6.0371036969733026E-2</v>
      </c>
      <c r="O65" s="30">
        <f>(Jawa!O41*3.6/(VLOOKUP(O$51,tech_data!$B$2:$J$15,4,FALSE)/100))/1000</f>
        <v>0</v>
      </c>
      <c r="P65" s="30">
        <v>0</v>
      </c>
      <c r="Q65" s="30">
        <f t="shared" si="53"/>
        <v>2753.7362916291895</v>
      </c>
      <c r="R65" s="30"/>
      <c r="T65" s="19"/>
      <c r="U65" s="20" t="str">
        <f t="shared" si="54"/>
        <v>JAWA</v>
      </c>
      <c r="V65" s="20">
        <f t="shared" si="54"/>
        <v>2032</v>
      </c>
      <c r="W65" s="30">
        <f>D65*VLOOKUP(W$51,tech_data!$B$2:$K$15,10,FALSE)*1000</f>
        <v>110707725.36543839</v>
      </c>
      <c r="X65" s="30">
        <f>E65*VLOOKUP(X$51,tech_data!$B$2:$K$15,10,FALSE)*1000</f>
        <v>17542565.268764112</v>
      </c>
      <c r="Y65" s="30">
        <f>F65*VLOOKUP(Y$51,tech_data!$B$2:$K$15,10,FALSE)*1000</f>
        <v>60917153.661839873</v>
      </c>
      <c r="Z65" s="30">
        <f>G65*VLOOKUP(Z$51,tech_data!$B$2:$K$15,10,FALSE)*1000</f>
        <v>183491.23168409162</v>
      </c>
      <c r="AA65" s="30">
        <f>H41*VLOOKUP(AA$51,tech_data!$B$2:$K$15,10,FALSE)/1000</f>
        <v>491.75937176123068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26071.575889310174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189377498.86298755</v>
      </c>
      <c r="AK65" s="25">
        <f t="shared" si="61"/>
        <v>4.1154838445211485E-2</v>
      </c>
      <c r="AL65" s="24">
        <f t="shared" si="66"/>
        <v>5.2999999999999999E-2</v>
      </c>
      <c r="AM65" s="26"/>
      <c r="AN65" s="24"/>
      <c r="AO65" s="20" t="str">
        <f t="shared" si="56"/>
        <v>JAWA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1137.7276928781641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758.63510099249504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5045.3087404018606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2.6694256216015702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59.356487505389453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177.69489800694512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466.76285074296334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56.288204127767941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3871.7521206792171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0.34533779840644813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0.7429250745356103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2.1198539948085622</v>
      </c>
      <c r="BD65" s="30">
        <f t="shared" si="62"/>
        <v>11579.403637824156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JAWA</v>
      </c>
      <c r="C66" s="20">
        <f t="shared" si="52"/>
        <v>2033</v>
      </c>
      <c r="D66" s="30">
        <f>(Jawa!D42*3.6/(VLOOKUP(D$51,tech_data!$B$2:$J$15,4,FALSE)/100))/1000</f>
        <v>1150.3905077969355</v>
      </c>
      <c r="E66" s="30">
        <f>(Jawa!E42*3.6/(VLOOKUP(E$51,tech_data!$B$2:$J$15,4,FALSE)/100))/1000</f>
        <v>299.82167531901587</v>
      </c>
      <c r="F66" s="30">
        <f>(Jawa!F42*3.6/(VLOOKUP(F$51,tech_data!$B$2:$J$15,4,FALSE)/100))/1000</f>
        <v>1050.8595223372754</v>
      </c>
      <c r="G66" s="30">
        <f>(Jawa!G42*3.6/(VLOOKUP(G$51,tech_data!$B$2:$J$15,4,FALSE)/100))/1000</f>
        <v>2.5386808125197322</v>
      </c>
      <c r="H66" s="30">
        <f t="shared" si="57"/>
        <v>28.817175437885059</v>
      </c>
      <c r="I66" s="30">
        <f>(Jawa!I42*3.6/(VLOOKUP(I$51,tech_data!$B$2:$J$15,4,FALSE)/100))/1000</f>
        <v>82.799585392302291</v>
      </c>
      <c r="J66" s="30">
        <f>(Jawa!J42*3.6/(VLOOKUP(J$51,tech_data!$B$2:$J$15,4,FALSE)/100))/1000</f>
        <v>14.831630464443826</v>
      </c>
      <c r="K66" s="30">
        <f t="shared" ref="K66:L66" si="76">K42*3.6/1000</f>
        <v>38.348577965697515</v>
      </c>
      <c r="L66" s="30">
        <f t="shared" si="76"/>
        <v>242.51305122028057</v>
      </c>
      <c r="M66" s="30">
        <f>(Jawa!M42*3.6/(VLOOKUP(M$51,tech_data!$B$2:$J$15,4,FALSE)/100))/1000</f>
        <v>0.23203609727047148</v>
      </c>
      <c r="N66" s="30">
        <f t="shared" si="59"/>
        <v>6.0371036969733026E-2</v>
      </c>
      <c r="O66" s="30">
        <f>(Jawa!O42*3.6/(VLOOKUP(O$51,tech_data!$B$2:$J$15,4,FALSE)/100))/1000</f>
        <v>0</v>
      </c>
      <c r="P66" s="30">
        <v>0</v>
      </c>
      <c r="Q66" s="30">
        <f t="shared" si="53"/>
        <v>2911.2128138805956</v>
      </c>
      <c r="R66" s="30"/>
      <c r="T66" s="19"/>
      <c r="U66" s="20" t="str">
        <f t="shared" si="54"/>
        <v>JAWA</v>
      </c>
      <c r="V66" s="20">
        <f t="shared" si="54"/>
        <v>2033</v>
      </c>
      <c r="W66" s="30">
        <f>D66*VLOOKUP(W$51,tech_data!$B$2:$K$15,10,FALSE)*1000</f>
        <v>114716941.43751042</v>
      </c>
      <c r="X66" s="30">
        <f>E66*VLOOKUP(X$51,tech_data!$B$2:$K$15,10,FALSE)*1000</f>
        <v>18618926.037310883</v>
      </c>
      <c r="Y66" s="30">
        <f>F66*VLOOKUP(Y$51,tech_data!$B$2:$K$15,10,FALSE)*1000</f>
        <v>65258376.3371448</v>
      </c>
      <c r="Z66" s="30">
        <f>G66*VLOOKUP(Z$51,tech_data!$B$2:$K$15,10,FALSE)*1000</f>
        <v>190832.63667710827</v>
      </c>
      <c r="AA66" s="30">
        <f>H42*VLOOKUP(AA$51,tech_data!$B$2:$K$15,10,FALSE)/1000</f>
        <v>503.50009306749172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26071.575889310174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198811651.5246256</v>
      </c>
      <c r="AK66" s="25">
        <f t="shared" si="61"/>
        <v>4.9816650437777471E-2</v>
      </c>
      <c r="AL66" s="24">
        <f t="shared" si="66"/>
        <v>5.2999999999999999E-2</v>
      </c>
      <c r="AM66" s="26"/>
      <c r="AN66" s="24"/>
      <c r="AO66" s="20" t="str">
        <f t="shared" si="56"/>
        <v>JAWA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2495.9173407480116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641.01225657386169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4077.0040659595552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2.4956112599312292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171.66083434384385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649.38101274564826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954.00382372738795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710.13344216303233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2526.7704603396087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0.34533779840644813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0.7429250745356103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1.9816649797628527</v>
      </c>
      <c r="BD66" s="30">
        <f t="shared" si="62"/>
        <v>12231.448775713585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0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0</v>
      </c>
      <c r="BR66" s="20" t="b">
        <f>$BU$38&gt;=$BT$38</f>
        <v>0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0</v>
      </c>
      <c r="BX66" s="20" t="b">
        <f>$BU$44&gt;=$BT$44</f>
        <v>0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JAWA</v>
      </c>
      <c r="C67" s="20">
        <f t="shared" si="52"/>
        <v>2034</v>
      </c>
      <c r="D67" s="30">
        <f>(Jawa!D43*3.6/(VLOOKUP(D$51,tech_data!$B$2:$J$15,4,FALSE)/100))/1000</f>
        <v>1219.2707990937067</v>
      </c>
      <c r="E67" s="30">
        <f>(Jawa!E43*3.6/(VLOOKUP(E$51,tech_data!$B$2:$J$15,4,FALSE)/100))/1000</f>
        <v>325.23480071956232</v>
      </c>
      <c r="F67" s="30">
        <f>(Jawa!F43*3.6/(VLOOKUP(F$51,tech_data!$B$2:$J$15,4,FALSE)/100))/1000</f>
        <v>1115.0997399037556</v>
      </c>
      <c r="G67" s="30">
        <f>(Jawa!G43*3.6/(VLOOKUP(G$51,tech_data!$B$2:$J$15,4,FALSE)/100))/1000</f>
        <v>2.6555736750325964</v>
      </c>
      <c r="H67" s="30">
        <f t="shared" si="57"/>
        <v>28.817175437885059</v>
      </c>
      <c r="I67" s="30">
        <f>(Jawa!I43*3.6/(VLOOKUP(I$51,tech_data!$B$2:$J$15,4,FALSE)/100))/1000</f>
        <v>82.799585392302291</v>
      </c>
      <c r="J67" s="30">
        <f>(Jawa!J43*3.6/(VLOOKUP(J$51,tech_data!$B$2:$J$15,4,FALSE)/100))/1000</f>
        <v>41.247483607566707</v>
      </c>
      <c r="K67" s="30">
        <f t="shared" ref="K67:L67" si="77">K43*3.6/1000</f>
        <v>43.51773130050141</v>
      </c>
      <c r="L67" s="30">
        <f t="shared" si="77"/>
        <v>248.54077809900178</v>
      </c>
      <c r="M67" s="30">
        <f>(Jawa!M43*3.6/(VLOOKUP(M$51,tech_data!$B$2:$J$15,4,FALSE)/100))/1000</f>
        <v>0.23203609727047148</v>
      </c>
      <c r="N67" s="30">
        <f t="shared" si="59"/>
        <v>6.0371036969733026E-2</v>
      </c>
      <c r="O67" s="30">
        <f>(Jawa!O43*3.6/(VLOOKUP(O$51,tech_data!$B$2:$J$15,4,FALSE)/100))/1000</f>
        <v>0</v>
      </c>
      <c r="P67" s="30">
        <v>0</v>
      </c>
      <c r="Q67" s="30">
        <f t="shared" si="53"/>
        <v>3107.4760743635538</v>
      </c>
      <c r="R67" s="30"/>
      <c r="T67" s="19"/>
      <c r="U67" s="20" t="str">
        <f t="shared" si="54"/>
        <v>JAWA</v>
      </c>
      <c r="V67" s="20">
        <f t="shared" si="54"/>
        <v>2034</v>
      </c>
      <c r="W67" s="30">
        <f>D67*VLOOKUP(W$51,tech_data!$B$2:$K$15,10,FALSE)*1000</f>
        <v>121585684.08562444</v>
      </c>
      <c r="X67" s="30">
        <f>E67*VLOOKUP(X$51,tech_data!$B$2:$K$15,10,FALSE)*1000</f>
        <v>20197081.124684822</v>
      </c>
      <c r="Y67" s="30">
        <f>F67*VLOOKUP(Y$51,tech_data!$B$2:$K$15,10,FALSE)*1000</f>
        <v>69247693.848023221</v>
      </c>
      <c r="Z67" s="30">
        <f>G67*VLOOKUP(Z$51,tech_data!$B$2:$K$15,10,FALSE)*1000</f>
        <v>199619.47315220028</v>
      </c>
      <c r="AA67" s="30">
        <f>H43*VLOOKUP(AA$51,tech_data!$B$2:$K$15,10,FALSE)/1000</f>
        <v>503.50009306749172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26071.575889310174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211256653.60746709</v>
      </c>
      <c r="AK67" s="25">
        <f t="shared" si="61"/>
        <v>6.259694533697889E-2</v>
      </c>
      <c r="AL67" s="24">
        <f t="shared" si="66"/>
        <v>5.2999999999999999E-2</v>
      </c>
      <c r="AM67" s="26"/>
      <c r="AN67" s="24"/>
      <c r="AO67" s="20" t="str">
        <f t="shared" si="56"/>
        <v>JAWA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3505.8324056840502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854.56577458190486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3945.9934649220263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2.9093618302327129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60.77361957757234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186.13081261141883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2620.1638343030081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944.38919084024633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1854.2796301698045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0.34533779840644813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0.7429250745356103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2.1874006754517397</v>
      </c>
      <c r="BD67" s="30">
        <f t="shared" si="62"/>
        <v>13978.313758068656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8">B20</f>
        <v>JAWA</v>
      </c>
      <c r="C68" s="20">
        <f t="shared" si="78"/>
        <v>2035</v>
      </c>
      <c r="D68" s="30">
        <f>(Jawa!D44*3.6/(VLOOKUP(D$51,tech_data!$B$2:$J$15,4,FALSE)/100))/1000</f>
        <v>1286.9076001680128</v>
      </c>
      <c r="E68" s="30">
        <f>(Jawa!E44*3.6/(VLOOKUP(E$51,tech_data!$B$2:$J$15,4,FALSE)/100))/1000</f>
        <v>336.86895578410969</v>
      </c>
      <c r="F68" s="30">
        <f>(Jawa!F44*3.6/(VLOOKUP(F$51,tech_data!$B$2:$J$15,4,FALSE)/100))/1000</f>
        <v>1187.170206996668</v>
      </c>
      <c r="G68" s="30">
        <f>(Jawa!G44*3.6/(VLOOKUP(G$51,tech_data!$B$2:$J$15,4,FALSE)/100))/1000</f>
        <v>2.7664486684337208</v>
      </c>
      <c r="H68" s="30">
        <f t="shared" si="57"/>
        <v>30.339054060353217</v>
      </c>
      <c r="I68" s="30">
        <f>(Jawa!I44*3.6/(VLOOKUP(I$51,tech_data!$B$2:$J$15,4,FALSE)/100))/1000</f>
        <v>91.292843196112059</v>
      </c>
      <c r="J68" s="30">
        <f>(Jawa!J44*3.6/(VLOOKUP(J$51,tech_data!$B$2:$J$15,4,FALSE)/100))/1000</f>
        <v>59.609883526847298</v>
      </c>
      <c r="K68" s="30">
        <f t="shared" ref="K68:L68" si="79">K44*3.6/1000</f>
        <v>49.173415427618245</v>
      </c>
      <c r="L68" s="30">
        <f t="shared" si="79"/>
        <v>251.55434903876784</v>
      </c>
      <c r="M68" s="30">
        <f>(Jawa!M44*3.6/(VLOOKUP(M$51,tech_data!$B$2:$J$15,4,FALSE)/100))/1000</f>
        <v>0.23203609727047148</v>
      </c>
      <c r="N68" s="30">
        <f t="shared" si="59"/>
        <v>6.0371036969733026E-2</v>
      </c>
      <c r="O68" s="30">
        <f>(Jawa!O44*3.6/(VLOOKUP(O$51,tech_data!$B$2:$J$15,4,FALSE)/100))/1000</f>
        <v>0</v>
      </c>
      <c r="P68" s="30">
        <v>0</v>
      </c>
      <c r="Q68" s="30">
        <f t="shared" si="53"/>
        <v>3295.9751640011627</v>
      </c>
      <c r="R68" s="30"/>
      <c r="T68" s="19"/>
      <c r="U68" s="20" t="str">
        <f t="shared" si="54"/>
        <v>JAWA</v>
      </c>
      <c r="V68" s="20">
        <f t="shared" si="54"/>
        <v>2035</v>
      </c>
      <c r="W68" s="30">
        <f>D68*VLOOKUP(W$51,tech_data!$B$2:$K$15,10,FALSE)*1000</f>
        <v>128330425.88875423</v>
      </c>
      <c r="X68" s="30">
        <f>E68*VLOOKUP(X$51,tech_data!$B$2:$K$15,10,FALSE)*1000</f>
        <v>20919562.154193211</v>
      </c>
      <c r="Y68" s="30">
        <f>F68*VLOOKUP(Y$51,tech_data!$B$2:$K$15,10,FALSE)*1000</f>
        <v>73723269.854493082</v>
      </c>
      <c r="Z68" s="30">
        <f>G68*VLOOKUP(Z$51,tech_data!$B$2:$K$15,10,FALSE)*1000</f>
        <v>207953.94640616281</v>
      </c>
      <c r="AA68" s="30">
        <f>H44*VLOOKUP(AA$51,tech_data!$B$2:$K$15,10,FALSE)/1000</f>
        <v>530.09069455450481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26071.575889310174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223207813.51043054</v>
      </c>
      <c r="AK68" s="25">
        <f t="shared" si="61"/>
        <v>5.6571756197415377E-2</v>
      </c>
      <c r="AL68" s="24">
        <f t="shared" si="66"/>
        <v>5.2999999999999999E-2</v>
      </c>
      <c r="AM68" s="26"/>
      <c r="AN68" s="24"/>
      <c r="AO68" s="20" t="str">
        <f t="shared" si="56"/>
        <v>JAWA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3534.4141257145657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531.40046286845472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4341.7345194864629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2.8097569405685552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315.12256919859499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1253.6737094528239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1879.8504657649169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1035.820502171671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1517.9988662504004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0.34533779840644813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0.7429250745356103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2.1673924733789409</v>
      </c>
      <c r="BD68" s="30">
        <f t="shared" si="62"/>
        <v>14416.080633194779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8"/>
        <v>JAWA</v>
      </c>
      <c r="C69" s="20">
        <f t="shared" si="78"/>
        <v>2036</v>
      </c>
      <c r="D69" s="30">
        <f>(Jawa!D45*3.6/(VLOOKUP(D$51,tech_data!$B$2:$J$15,4,FALSE)/100))/1000</f>
        <v>1362.3158989804053</v>
      </c>
      <c r="E69" s="30">
        <f>(Jawa!E45*3.6/(VLOOKUP(E$51,tech_data!$B$2:$J$15,4,FALSE)/100))/1000</f>
        <v>344.5581966603641</v>
      </c>
      <c r="F69" s="30">
        <f>(Jawa!F45*3.6/(VLOOKUP(F$51,tech_data!$B$2:$J$15,4,FALSE)/100))/1000</f>
        <v>1270.8599490393258</v>
      </c>
      <c r="G69" s="30">
        <f>(Jawa!G45*3.6/(VLOOKUP(G$51,tech_data!$B$2:$J$15,4,FALSE)/100))/1000</f>
        <v>2.8906287149952656</v>
      </c>
      <c r="H69" s="30">
        <f t="shared" si="57"/>
        <v>40.870436053406948</v>
      </c>
      <c r="I69" s="30">
        <f>(Jawa!I45*3.6/(VLOOKUP(I$51,tech_data!$B$2:$J$15,4,FALSE)/100))/1000</f>
        <v>102.82939891679288</v>
      </c>
      <c r="J69" s="30">
        <f>(Jawa!J45*3.6/(VLOOKUP(J$51,tech_data!$B$2:$J$15,4,FALSE)/100))/1000</f>
        <v>68.791082817577475</v>
      </c>
      <c r="K69" s="30">
        <f t="shared" ref="K69:L69" si="80">K45*3.6/1000</f>
        <v>55.723137571280468</v>
      </c>
      <c r="L69" s="30">
        <f t="shared" si="80"/>
        <v>253.06142700824546</v>
      </c>
      <c r="M69" s="30">
        <f>(Jawa!M45*3.6/(VLOOKUP(M$51,tech_data!$B$2:$J$15,4,FALSE)/100))/1000</f>
        <v>0.23203609727047148</v>
      </c>
      <c r="N69" s="30">
        <f t="shared" si="59"/>
        <v>6.0371036969733026E-2</v>
      </c>
      <c r="O69" s="30">
        <f>(Jawa!O45*3.6/(VLOOKUP(O$51,tech_data!$B$2:$J$15,4,FALSE)/100))/1000</f>
        <v>0</v>
      </c>
      <c r="P69" s="30">
        <v>0</v>
      </c>
      <c r="Q69" s="30">
        <f t="shared" si="53"/>
        <v>3502.1925628966337</v>
      </c>
      <c r="R69" s="30"/>
      <c r="T69" s="19"/>
      <c r="U69" s="20" t="str">
        <f t="shared" si="54"/>
        <v>JAWA</v>
      </c>
      <c r="V69" s="20">
        <f t="shared" si="54"/>
        <v>2036</v>
      </c>
      <c r="W69" s="30">
        <f>D69*VLOOKUP(W$51,tech_data!$B$2:$K$15,10,FALSE)*1000</f>
        <v>135850141.44632602</v>
      </c>
      <c r="X69" s="30">
        <f>E69*VLOOKUP(X$51,tech_data!$B$2:$K$15,10,FALSE)*1000</f>
        <v>21397064.01260861</v>
      </c>
      <c r="Y69" s="30">
        <f>F69*VLOOKUP(Y$51,tech_data!$B$2:$K$15,10,FALSE)*1000</f>
        <v>78920402.835342124</v>
      </c>
      <c r="Z69" s="30">
        <f>G69*VLOOKUP(Z$51,tech_data!$B$2:$K$15,10,FALSE)*1000</f>
        <v>217288.56050619413</v>
      </c>
      <c r="AA69" s="30">
        <f>H45*VLOOKUP(AA$51,tech_data!$B$2:$K$15,10,FALSE)/1000</f>
        <v>714.09734104424911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26071.575889310174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236411682.52801332</v>
      </c>
      <c r="AK69" s="25">
        <f t="shared" si="61"/>
        <v>5.9155048427396356E-2</v>
      </c>
      <c r="AL69" s="24">
        <f t="shared" si="66"/>
        <v>5.2999999999999999E-2</v>
      </c>
      <c r="AM69" s="26"/>
      <c r="AN69" s="24"/>
      <c r="AO69" s="20" t="str">
        <f t="shared" si="56"/>
        <v>JAWA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3866.2643330352566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442.12852980140542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4897.9279115044337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3.1048188431122079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1824.0748769808133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1655.2874696828505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1013.6456179256677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1197.5654376144355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1349.9278240825959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0.34533779840644813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0.7429250745356103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2.381969538408216</v>
      </c>
      <c r="BD69" s="30">
        <f t="shared" si="62"/>
        <v>16253.397051881921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8"/>
        <v>JAWA</v>
      </c>
      <c r="C70" s="20">
        <f t="shared" si="78"/>
        <v>2037</v>
      </c>
      <c r="D70" s="30">
        <f>(Jawa!D46*3.6/(VLOOKUP(D$51,tech_data!$B$2:$J$15,4,FALSE)/100))/1000</f>
        <v>1439.225804115943</v>
      </c>
      <c r="E70" s="30">
        <f>(Jawa!E46*3.6/(VLOOKUP(E$51,tech_data!$B$2:$J$15,4,FALSE)/100))/1000</f>
        <v>364.20961153896417</v>
      </c>
      <c r="F70" s="30">
        <f>(Jawa!F46*3.6/(VLOOKUP(F$51,tech_data!$B$2:$J$15,4,FALSE)/100))/1000</f>
        <v>1349.7270841405862</v>
      </c>
      <c r="G70" s="30">
        <f>(Jawa!G46*3.6/(VLOOKUP(G$51,tech_data!$B$2:$J$15,4,FALSE)/100))/1000</f>
        <v>3.0144294707488144</v>
      </c>
      <c r="H70" s="30">
        <f t="shared" si="57"/>
        <v>62.344398965825</v>
      </c>
      <c r="I70" s="30">
        <f>(Jawa!I46*3.6/(VLOOKUP(I$51,tech_data!$B$2:$J$15,4,FALSE)/100))/1000</f>
        <v>108.597328287343</v>
      </c>
      <c r="J70" s="30">
        <f>(Jawa!J46*3.6/(VLOOKUP(J$51,tech_data!$B$2:$J$15,4,FALSE)/100))/1000</f>
        <v>73.381682462942578</v>
      </c>
      <c r="K70" s="30">
        <f t="shared" ref="K70:L70" si="81">K46*3.6/1000</f>
        <v>63.011579587189217</v>
      </c>
      <c r="L70" s="30">
        <f t="shared" si="81"/>
        <v>253.81496599298433</v>
      </c>
      <c r="M70" s="30">
        <f>(Jawa!M46*3.6/(VLOOKUP(M$51,tech_data!$B$2:$J$15,4,FALSE)/100))/1000</f>
        <v>0.23203609727047148</v>
      </c>
      <c r="N70" s="30">
        <f t="shared" si="59"/>
        <v>6.0371036969733026E-2</v>
      </c>
      <c r="O70" s="30">
        <f>(Jawa!O46*3.6/(VLOOKUP(O$51,tech_data!$B$2:$J$15,4,FALSE)/100))/1000</f>
        <v>4.4626377743236628E-17</v>
      </c>
      <c r="P70" s="30">
        <v>0</v>
      </c>
      <c r="Q70" s="30">
        <f t="shared" si="53"/>
        <v>3717.6192916967661</v>
      </c>
      <c r="R70" s="30"/>
      <c r="T70" s="19"/>
      <c r="U70" s="20" t="str">
        <f t="shared" si="54"/>
        <v>JAWA</v>
      </c>
      <c r="V70" s="20">
        <f t="shared" si="54"/>
        <v>2037</v>
      </c>
      <c r="W70" s="30">
        <f>D70*VLOOKUP(W$51,tech_data!$B$2:$K$15,10,FALSE)*1000</f>
        <v>143519597.18644184</v>
      </c>
      <c r="X70" s="30">
        <f>E70*VLOOKUP(X$51,tech_data!$B$2:$K$15,10,FALSE)*1000</f>
        <v>22617416.876569673</v>
      </c>
      <c r="Y70" s="30">
        <f>F70*VLOOKUP(Y$51,tech_data!$B$2:$K$15,10,FALSE)*1000</f>
        <v>83818051.925130412</v>
      </c>
      <c r="Z70" s="30">
        <f>G70*VLOOKUP(Z$51,tech_data!$B$2:$K$15,10,FALSE)*1000</f>
        <v>226594.66331618838</v>
      </c>
      <c r="AA70" s="30">
        <f>H46*VLOOKUP(AA$51,tech_data!$B$2:$K$15,10,FALSE)/1000</f>
        <v>1089.2951930417755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26071.575889310174</v>
      </c>
      <c r="AG70" s="30">
        <f>N70*VLOOKUP(AG$51,tech_data!$B$2:$K$15,10,FALSE)*1000</f>
        <v>0</v>
      </c>
      <c r="AH70" s="30">
        <f>O70*VLOOKUP(AH$51,tech_data!$B$2:$K$15,10,FALSE)*1000</f>
        <v>1.2392745099296813E-12</v>
      </c>
      <c r="AI70" s="30"/>
      <c r="AJ70" s="30">
        <f t="shared" si="55"/>
        <v>250208821.52254051</v>
      </c>
      <c r="AK70" s="25">
        <f t="shared" si="61"/>
        <v>5.8360648031394624E-2</v>
      </c>
      <c r="AL70" s="24">
        <f t="shared" si="66"/>
        <v>5.2999999999999999E-2</v>
      </c>
      <c r="AM70" s="26"/>
      <c r="AN70" s="24"/>
      <c r="AO70" s="20" t="str">
        <f t="shared" si="56"/>
        <v>JAWA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3994.2704056504017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744.87020821371243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4818.7346431878923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3.1222134188745216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3675.0995805869147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956.14543129732442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580.54325837956105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1334.271290157207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1265.8583120412979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0.34533779840644813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0.7429250745356103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8.0069853382839187E-15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2.4643881479008054</v>
      </c>
      <c r="BD70" s="30">
        <f t="shared" si="62"/>
        <v>17376.467993954033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8"/>
        <v>JAWA</v>
      </c>
      <c r="C71" s="20">
        <f t="shared" si="78"/>
        <v>2038</v>
      </c>
      <c r="D71" s="30">
        <f>(Jawa!D47*3.6/(VLOOKUP(D$51,tech_data!$B$2:$J$15,4,FALSE)/100))/1000</f>
        <v>1527.7767912224208</v>
      </c>
      <c r="E71" s="30">
        <f>(Jawa!E47*3.6/(VLOOKUP(E$51,tech_data!$B$2:$J$15,4,FALSE)/100))/1000</f>
        <v>390.71533036247706</v>
      </c>
      <c r="F71" s="30">
        <f>(Jawa!F47*3.6/(VLOOKUP(F$51,tech_data!$B$2:$J$15,4,FALSE)/100))/1000</f>
        <v>1438.0658128468162</v>
      </c>
      <c r="G71" s="30">
        <f>(Jawa!G47*3.6/(VLOOKUP(G$51,tech_data!$B$2:$J$15,4,FALSE)/100))/1000</f>
        <v>3.158789637828439</v>
      </c>
      <c r="H71" s="30">
        <f t="shared" si="57"/>
        <v>93.203118638256953</v>
      </c>
      <c r="I71" s="30">
        <f>(Jawa!I47*3.6/(VLOOKUP(I$51,tech_data!$B$2:$J$15,4,FALSE)/100))/1000</f>
        <v>111.48164146240838</v>
      </c>
      <c r="J71" s="30">
        <f>(Jawa!J47*3.6/(VLOOKUP(J$51,tech_data!$B$2:$J$15,4,FALSE)/100))/1000</f>
        <v>75.676982285625158</v>
      </c>
      <c r="K71" s="30">
        <f t="shared" ref="K71:L71" si="82">K47*3.6/1000</f>
        <v>71.58902511156505</v>
      </c>
      <c r="L71" s="30">
        <f t="shared" si="82"/>
        <v>254.19173548535369</v>
      </c>
      <c r="M71" s="30">
        <f>(Jawa!M47*3.6/(VLOOKUP(M$51,tech_data!$B$2:$J$15,4,FALSE)/100))/1000</f>
        <v>0.23203609727047148</v>
      </c>
      <c r="N71" s="30">
        <f t="shared" si="59"/>
        <v>6.0371036969733026E-2</v>
      </c>
      <c r="O71" s="30">
        <f>(Jawa!O47*3.6/(VLOOKUP(O$51,tech_data!$B$2:$J$15,4,FALSE)/100))/1000</f>
        <v>4.4626377743236628E-17</v>
      </c>
      <c r="P71" s="30">
        <v>0</v>
      </c>
      <c r="Q71" s="30">
        <f t="shared" si="53"/>
        <v>3966.151634186991</v>
      </c>
      <c r="R71" s="30"/>
      <c r="T71" s="19"/>
      <c r="U71" s="20" t="str">
        <f t="shared" si="54"/>
        <v>JAWA</v>
      </c>
      <c r="V71" s="20">
        <f t="shared" si="54"/>
        <v>2038</v>
      </c>
      <c r="W71" s="30">
        <f>D71*VLOOKUP(W$51,tech_data!$B$2:$K$15,10,FALSE)*1000</f>
        <v>152349901.62069979</v>
      </c>
      <c r="X71" s="30">
        <f>E71*VLOOKUP(X$51,tech_data!$B$2:$K$15,10,FALSE)*1000</f>
        <v>24263422.015509825</v>
      </c>
      <c r="Y71" s="30">
        <f>F71*VLOOKUP(Y$51,tech_data!$B$2:$K$15,10,FALSE)*1000</f>
        <v>89303886.977787286</v>
      </c>
      <c r="Z71" s="30">
        <f>G71*VLOOKUP(Z$51,tech_data!$B$2:$K$15,10,FALSE)*1000</f>
        <v>237446.21707556376</v>
      </c>
      <c r="AA71" s="30">
        <f>H47*VLOOKUP(AA$51,tech_data!$B$2:$K$15,10,FALSE)/1000</f>
        <v>1628.4656006517673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26071.575889310174</v>
      </c>
      <c r="AG71" s="30">
        <f>N71*VLOOKUP(AG$51,tech_data!$B$2:$K$15,10,FALSE)*1000</f>
        <v>0</v>
      </c>
      <c r="AH71" s="30">
        <f>O71*VLOOKUP(AH$51,tech_data!$B$2:$K$15,10,FALSE)*1000</f>
        <v>1.2392745099296813E-12</v>
      </c>
      <c r="AI71" s="30"/>
      <c r="AJ71" s="30">
        <f t="shared" si="55"/>
        <v>266182356.87256241</v>
      </c>
      <c r="AK71" s="25">
        <f t="shared" si="61"/>
        <v>6.3840816054452715E-2</v>
      </c>
      <c r="AL71" s="24">
        <f>AL70</f>
        <v>5.2999999999999999E-2</v>
      </c>
      <c r="AM71" s="26"/>
      <c r="AN71" s="24"/>
      <c r="AO71" s="20" t="str">
        <f t="shared" si="56"/>
        <v>JAWA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4466.3454198693162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929.70965575661558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5298.9793803041184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3.5685214169822244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5288.8450373388987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606.66123415227912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363.99207860650779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1566.0595016098696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1223.8235560206492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0.34533779840644813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0.7429250745356103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2.7376530284770269E-16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2.7999635050612435</v>
      </c>
      <c r="BD71" s="30">
        <f t="shared" si="62"/>
        <v>19751.872611453244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3">B28</f>
        <v>JAWA</v>
      </c>
      <c r="C76" s="20">
        <f t="shared" si="83"/>
        <v>2019</v>
      </c>
      <c r="D76" s="30">
        <f>D28*3.6/1000</f>
        <v>402.29490575999995</v>
      </c>
      <c r="E76" s="30">
        <f t="shared" ref="E76:O76" si="84">E28*3.6/1000</f>
        <v>31.174082340679391</v>
      </c>
      <c r="F76" s="30">
        <f t="shared" si="84"/>
        <v>98.244950355581551</v>
      </c>
      <c r="G76" s="30">
        <f t="shared" si="84"/>
        <v>0.59601118729846159</v>
      </c>
      <c r="H76" s="30">
        <f t="shared" si="84"/>
        <v>28.145210466461535</v>
      </c>
      <c r="I76" s="30">
        <f t="shared" si="84"/>
        <v>41.541445641600006</v>
      </c>
      <c r="J76" s="30">
        <f t="shared" si="84"/>
        <v>0.36970477587692319</v>
      </c>
      <c r="K76" s="30">
        <f t="shared" si="84"/>
        <v>6.6225600000000004E-3</v>
      </c>
      <c r="L76" s="30">
        <f t="shared" si="84"/>
        <v>0</v>
      </c>
      <c r="M76" s="30">
        <f t="shared" si="84"/>
        <v>7.1931190153846164E-2</v>
      </c>
      <c r="N76" s="30">
        <f t="shared" si="84"/>
        <v>0</v>
      </c>
      <c r="O76" s="30">
        <f t="shared" si="84"/>
        <v>0</v>
      </c>
      <c r="P76" s="30">
        <f>(Jawa!P52*3.6/(VLOOKUP(P$51,tech_data!$B$2:$J$15,4,FALSE)/100))/1000</f>
        <v>0</v>
      </c>
      <c r="Q76" s="30">
        <f t="shared" ref="Q76:Q95" si="85">SUM(D76:O76)</f>
        <v>602.44486427765162</v>
      </c>
      <c r="R76" s="30"/>
      <c r="S76" s="23"/>
      <c r="T76" s="19"/>
      <c r="U76" s="20" t="str">
        <f t="shared" ref="U76:V91" si="86">U28</f>
        <v>JAWA</v>
      </c>
      <c r="V76" s="20">
        <f t="shared" si="86"/>
        <v>2019</v>
      </c>
      <c r="W76" s="30">
        <f>D52*(1-(VLOOKUP(W$75,tech_data!$B$2:$O$15,4,FALSE)/100))</f>
        <v>638.12295396413776</v>
      </c>
      <c r="X76" s="30">
        <f>E52*(1-(VLOOKUP(X$75,tech_data!$B$2:$O$15,4,FALSE)/100))</f>
        <v>56.229886838795544</v>
      </c>
      <c r="Y76" s="30">
        <f>F52*(1-(VLOOKUP(Y$75,tech_data!$B$2:$O$15,4,FALSE)/100))</f>
        <v>70.174964539701108</v>
      </c>
      <c r="Z76" s="30">
        <f>G52*(1-(VLOOKUP(Z$75,tech_data!$B$2:$O$15,4,FALSE)/100))</f>
        <v>0.69966530682862882</v>
      </c>
      <c r="AA76" s="30">
        <f>H52*(1-(VLOOKUP(AA$75,tech_data!$B$2:$O$15,4,FALSE)/100))</f>
        <v>24.345607053489228</v>
      </c>
      <c r="AB76" s="30">
        <f>I52*(1-(VLOOKUP(AB$75,tech_data!$B$2:$O$15,4,FALSE)/100))</f>
        <v>2.1863918758736864</v>
      </c>
      <c r="AC76" s="30">
        <f>J52*(1-(VLOOKUP(AC$75,tech_data!$B$2:$O$15,4,FALSE)/100))</f>
        <v>9.2426193969230783E-2</v>
      </c>
      <c r="AD76" s="30">
        <f>K52*(1-(VLOOKUP(AD$75,tech_data!$B$2:$O$15,4,FALSE)/100))</f>
        <v>5.5629503999999998E-3</v>
      </c>
      <c r="AE76" s="30">
        <f>L52*(1-(VLOOKUP(AE$75,tech_data!$B$2:$O$15,4,FALSE)/100))</f>
        <v>0</v>
      </c>
      <c r="AF76" s="30">
        <f>M52*(1-(VLOOKUP(AF$75,tech_data!$B$2:$O$15,4,FALSE)/100))</f>
        <v>0.16010490711662531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(Jawa!AI52*3.6/(VLOOKUP(AI$51,tech_data!$B$2:$J$15,4,FALSE)/100))/1000</f>
        <v>0</v>
      </c>
      <c r="AJ76" s="30">
        <f t="shared" ref="AJ76:AJ95" si="87">SUM(W76:AH76)</f>
        <v>792.01756363031177</v>
      </c>
      <c r="AK76" s="30"/>
      <c r="AL76" s="23"/>
      <c r="AR76" s="30"/>
      <c r="AS76" s="30"/>
    </row>
    <row r="77" spans="1:82" x14ac:dyDescent="0.25">
      <c r="A77" s="19"/>
      <c r="B77" s="20" t="str">
        <f t="shared" si="83"/>
        <v>JAWA</v>
      </c>
      <c r="C77" s="20">
        <f t="shared" si="83"/>
        <v>2020</v>
      </c>
      <c r="D77" s="30">
        <f t="shared" ref="D77:O92" si="88">D29*3.6/1000</f>
        <v>429.27183254415206</v>
      </c>
      <c r="E77" s="30">
        <f t="shared" si="88"/>
        <v>31.174082340679391</v>
      </c>
      <c r="F77" s="30">
        <f t="shared" si="88"/>
        <v>108.26529007974553</v>
      </c>
      <c r="G77" s="30">
        <f t="shared" si="88"/>
        <v>0.59601118729846159</v>
      </c>
      <c r="H77" s="30">
        <f t="shared" si="88"/>
        <v>28.145210466461535</v>
      </c>
      <c r="I77" s="30">
        <f t="shared" si="88"/>
        <v>75.094555765023713</v>
      </c>
      <c r="J77" s="30">
        <f t="shared" si="88"/>
        <v>0.36970477587692319</v>
      </c>
      <c r="K77" s="30">
        <f t="shared" si="88"/>
        <v>34.515926771147306</v>
      </c>
      <c r="L77" s="30">
        <f t="shared" si="88"/>
        <v>0.24915745646936999</v>
      </c>
      <c r="M77" s="30">
        <f t="shared" si="88"/>
        <v>7.1931190153846164E-2</v>
      </c>
      <c r="N77" s="30">
        <f t="shared" si="88"/>
        <v>6.0371036969733026E-2</v>
      </c>
      <c r="O77" s="30">
        <f t="shared" si="88"/>
        <v>0</v>
      </c>
      <c r="P77" s="30">
        <f>(Jawa!P53*3.6/(VLOOKUP(P$51,tech_data!$B$2:$J$15,4,FALSE)/100))/1000</f>
        <v>0</v>
      </c>
      <c r="Q77" s="30">
        <f t="shared" si="85"/>
        <v>707.81407361397783</v>
      </c>
      <c r="R77" s="30"/>
      <c r="S77" s="23"/>
      <c r="T77" s="19"/>
      <c r="U77" s="20" t="str">
        <f t="shared" si="86"/>
        <v>JAWA</v>
      </c>
      <c r="V77" s="20">
        <f t="shared" si="86"/>
        <v>2020</v>
      </c>
      <c r="W77" s="30">
        <f>D53*(1-(VLOOKUP(W$75,tech_data!$B$2:$O$15,4,FALSE)/100))</f>
        <v>680.91394127693081</v>
      </c>
      <c r="X77" s="30">
        <f>E53*(1-(VLOOKUP(X$75,tech_data!$B$2:$O$15,4,FALSE)/100))</f>
        <v>56.229886838795544</v>
      </c>
      <c r="Y77" s="30">
        <f>F53*(1-(VLOOKUP(Y$75,tech_data!$B$2:$O$15,4,FALSE)/100))</f>
        <v>77.332350056961076</v>
      </c>
      <c r="Z77" s="30">
        <f>G53*(1-(VLOOKUP(Z$75,tech_data!$B$2:$O$15,4,FALSE)/100))</f>
        <v>0.69966530682862882</v>
      </c>
      <c r="AA77" s="30">
        <f>H53*(1-(VLOOKUP(AA$75,tech_data!$B$2:$O$15,4,FALSE)/100))</f>
        <v>24.345607053489228</v>
      </c>
      <c r="AB77" s="30">
        <f>I53*(1-(VLOOKUP(AB$75,tech_data!$B$2:$O$15,4,FALSE)/100))</f>
        <v>3.9523450402644102</v>
      </c>
      <c r="AC77" s="30">
        <f>J53*(1-(VLOOKUP(AC$75,tech_data!$B$2:$O$15,4,FALSE)/100))</f>
        <v>9.2426193969230783E-2</v>
      </c>
      <c r="AD77" s="30">
        <f>K53*(1-(VLOOKUP(AD$75,tech_data!$B$2:$O$15,4,FALSE)/100))</f>
        <v>28.993378487763735</v>
      </c>
      <c r="AE77" s="30">
        <f>L53*(1-(VLOOKUP(AE$75,tech_data!$B$2:$O$15,4,FALSE)/100))</f>
        <v>0.10140708478303359</v>
      </c>
      <c r="AF77" s="30">
        <f>M53*(1-(VLOOKUP(AF$75,tech_data!$B$2:$O$15,4,FALSE)/100))</f>
        <v>0.16010490711662531</v>
      </c>
      <c r="AG77" s="30">
        <f>N53*(1-(VLOOKUP(AG$75,tech_data!$B$2:$O$15,4,FALSE)/100))</f>
        <v>5.3327749323264194E-3</v>
      </c>
      <c r="AH77" s="30">
        <f>O53*(1-(VLOOKUP(AH$75,tech_data!$B$2:$O$15,4,FALSE)/100))</f>
        <v>0</v>
      </c>
      <c r="AI77" s="30">
        <f>(Jawa!AI53*3.6/(VLOOKUP(AI$51,tech_data!$B$2:$J$15,4,FALSE)/100))/1000</f>
        <v>0</v>
      </c>
      <c r="AJ77" s="30">
        <f t="shared" si="87"/>
        <v>872.8264450218345</v>
      </c>
      <c r="AK77" s="30"/>
      <c r="AL77" s="23"/>
      <c r="AR77" s="30"/>
      <c r="AS77" s="30"/>
    </row>
    <row r="78" spans="1:82" x14ac:dyDescent="0.25">
      <c r="A78" s="19"/>
      <c r="B78" s="20" t="str">
        <f t="shared" si="83"/>
        <v>JAWA</v>
      </c>
      <c r="C78" s="20">
        <f t="shared" si="83"/>
        <v>2021</v>
      </c>
      <c r="D78" s="30">
        <f t="shared" si="88"/>
        <v>429.27183254415206</v>
      </c>
      <c r="E78" s="30">
        <f t="shared" si="88"/>
        <v>32.217632041894717</v>
      </c>
      <c r="F78" s="30">
        <f t="shared" si="88"/>
        <v>183.9285288684257</v>
      </c>
      <c r="G78" s="30">
        <f t="shared" si="88"/>
        <v>0.74554942268620594</v>
      </c>
      <c r="H78" s="30">
        <f t="shared" si="88"/>
        <v>28.145210466461535</v>
      </c>
      <c r="I78" s="30">
        <f t="shared" si="88"/>
        <v>75.094555765023713</v>
      </c>
      <c r="J78" s="30">
        <f t="shared" si="88"/>
        <v>0.36970477587692319</v>
      </c>
      <c r="K78" s="30">
        <f t="shared" si="88"/>
        <v>34.515926771147306</v>
      </c>
      <c r="L78" s="30">
        <f t="shared" si="88"/>
        <v>0.24915745646936999</v>
      </c>
      <c r="M78" s="30">
        <f t="shared" si="88"/>
        <v>7.1931190153846164E-2</v>
      </c>
      <c r="N78" s="30">
        <f t="shared" si="88"/>
        <v>6.0371036969733026E-2</v>
      </c>
      <c r="O78" s="30">
        <f t="shared" si="88"/>
        <v>0</v>
      </c>
      <c r="P78" s="30">
        <f>(Jawa!P54*3.6/(VLOOKUP(P$51,tech_data!$B$2:$J$15,4,FALSE)/100))/1000</f>
        <v>0</v>
      </c>
      <c r="Q78" s="30">
        <f t="shared" si="85"/>
        <v>784.67040033926105</v>
      </c>
      <c r="R78" s="30"/>
      <c r="S78" s="23"/>
      <c r="T78" s="19"/>
      <c r="U78" s="20" t="str">
        <f t="shared" si="86"/>
        <v>JAWA</v>
      </c>
      <c r="V78" s="20">
        <f t="shared" si="86"/>
        <v>2021</v>
      </c>
      <c r="W78" s="30">
        <f>D54*(1-(VLOOKUP(W$75,tech_data!$B$2:$O$15,4,FALSE)/100))</f>
        <v>680.91394127693081</v>
      </c>
      <c r="X78" s="30">
        <f>E54*(1-(VLOOKUP(X$75,tech_data!$B$2:$O$15,4,FALSE)/100))</f>
        <v>58.112177421361494</v>
      </c>
      <c r="Y78" s="30">
        <f>F54*(1-(VLOOKUP(Y$75,tech_data!$B$2:$O$15,4,FALSE)/100))</f>
        <v>131.37752062030404</v>
      </c>
      <c r="Z78" s="30">
        <f>G54*(1-(VLOOKUP(Z$75,tech_data!$B$2:$O$15,4,FALSE)/100))</f>
        <v>0.87521019184902427</v>
      </c>
      <c r="AA78" s="30">
        <f>H54*(1-(VLOOKUP(AA$75,tech_data!$B$2:$O$15,4,FALSE)/100))</f>
        <v>24.345607053489228</v>
      </c>
      <c r="AB78" s="30">
        <f>I54*(1-(VLOOKUP(AB$75,tech_data!$B$2:$O$15,4,FALSE)/100))</f>
        <v>3.9523450402644102</v>
      </c>
      <c r="AC78" s="30">
        <f>J54*(1-(VLOOKUP(AC$75,tech_data!$B$2:$O$15,4,FALSE)/100))</f>
        <v>9.2426193969230783E-2</v>
      </c>
      <c r="AD78" s="30">
        <f>K54*(1-(VLOOKUP(AD$75,tech_data!$B$2:$O$15,4,FALSE)/100))</f>
        <v>28.993378487763735</v>
      </c>
      <c r="AE78" s="30">
        <f>L54*(1-(VLOOKUP(AE$75,tech_data!$B$2:$O$15,4,FALSE)/100))</f>
        <v>0.10140708478303359</v>
      </c>
      <c r="AF78" s="30">
        <f>M54*(1-(VLOOKUP(AF$75,tech_data!$B$2:$O$15,4,FALSE)/100))</f>
        <v>0.16010490711662531</v>
      </c>
      <c r="AG78" s="30">
        <f>N54*(1-(VLOOKUP(AG$75,tech_data!$B$2:$O$15,4,FALSE)/100))</f>
        <v>5.3327749323264194E-3</v>
      </c>
      <c r="AH78" s="30">
        <f>O54*(1-(VLOOKUP(AH$75,tech_data!$B$2:$O$15,4,FALSE)/100))</f>
        <v>0</v>
      </c>
      <c r="AI78" s="30">
        <f>(Jawa!AI54*3.6/(VLOOKUP(AI$51,tech_data!$B$2:$J$15,4,FALSE)/100))/1000</f>
        <v>0</v>
      </c>
      <c r="AJ78" s="30">
        <f t="shared" si="87"/>
        <v>928.92945105276385</v>
      </c>
      <c r="AK78" s="30"/>
      <c r="AL78" s="23"/>
      <c r="AR78" s="30"/>
      <c r="AS78" s="30"/>
    </row>
    <row r="79" spans="1:82" x14ac:dyDescent="0.25">
      <c r="A79" s="19"/>
      <c r="B79" s="20" t="str">
        <f t="shared" si="83"/>
        <v>JAWA</v>
      </c>
      <c r="C79" s="20">
        <f t="shared" si="83"/>
        <v>2022</v>
      </c>
      <c r="D79" s="30">
        <f t="shared" si="88"/>
        <v>429.27183254415206</v>
      </c>
      <c r="E79" s="30">
        <f t="shared" si="88"/>
        <v>37.170244509227402</v>
      </c>
      <c r="F79" s="30">
        <f t="shared" si="88"/>
        <v>214.74391248631338</v>
      </c>
      <c r="G79" s="30">
        <f t="shared" si="88"/>
        <v>0.76810843313799237</v>
      </c>
      <c r="H79" s="30">
        <f t="shared" si="88"/>
        <v>28.145210466461535</v>
      </c>
      <c r="I79" s="30">
        <f t="shared" si="88"/>
        <v>75.094555765023713</v>
      </c>
      <c r="J79" s="30">
        <f t="shared" si="88"/>
        <v>0.36970477587692319</v>
      </c>
      <c r="K79" s="30">
        <f t="shared" si="88"/>
        <v>34.515926771147306</v>
      </c>
      <c r="L79" s="30">
        <f t="shared" si="88"/>
        <v>4.6994094981410175</v>
      </c>
      <c r="M79" s="30">
        <f t="shared" si="88"/>
        <v>7.1931190153846164E-2</v>
      </c>
      <c r="N79" s="30">
        <f t="shared" si="88"/>
        <v>6.0371036969733026E-2</v>
      </c>
      <c r="O79" s="30">
        <f t="shared" si="88"/>
        <v>0</v>
      </c>
      <c r="P79" s="30">
        <f>(Jawa!P55*3.6/(VLOOKUP(P$51,tech_data!$B$2:$J$15,4,FALSE)/100))/1000</f>
        <v>0</v>
      </c>
      <c r="Q79" s="30">
        <f t="shared" si="85"/>
        <v>824.91120747660489</v>
      </c>
      <c r="R79" s="30"/>
      <c r="S79" s="23"/>
      <c r="T79" s="19"/>
      <c r="U79" s="20" t="str">
        <f t="shared" si="86"/>
        <v>JAWA</v>
      </c>
      <c r="V79" s="20">
        <f t="shared" si="86"/>
        <v>2022</v>
      </c>
      <c r="W79" s="30">
        <f>D55*(1-(VLOOKUP(W$75,tech_data!$B$2:$O$15,4,FALSE)/100))</f>
        <v>680.91394127693081</v>
      </c>
      <c r="X79" s="30">
        <f>E55*(1-(VLOOKUP(X$75,tech_data!$B$2:$O$15,4,FALSE)/100))</f>
        <v>67.04539430169055</v>
      </c>
      <c r="Y79" s="30">
        <f>F55*(1-(VLOOKUP(Y$75,tech_data!$B$2:$O$15,4,FALSE)/100))</f>
        <v>153.38850891879525</v>
      </c>
      <c r="Z79" s="30">
        <f>G55*(1-(VLOOKUP(Z$75,tech_data!$B$2:$O$15,4,FALSE)/100))</f>
        <v>0.90169250846633886</v>
      </c>
      <c r="AA79" s="30">
        <f>H55*(1-(VLOOKUP(AA$75,tech_data!$B$2:$O$15,4,FALSE)/100))</f>
        <v>24.345607053489228</v>
      </c>
      <c r="AB79" s="30">
        <f>I55*(1-(VLOOKUP(AB$75,tech_data!$B$2:$O$15,4,FALSE)/100))</f>
        <v>3.9523450402644102</v>
      </c>
      <c r="AC79" s="30">
        <f>J55*(1-(VLOOKUP(AC$75,tech_data!$B$2:$O$15,4,FALSE)/100))</f>
        <v>9.2426193969230783E-2</v>
      </c>
      <c r="AD79" s="30">
        <f>K55*(1-(VLOOKUP(AD$75,tech_data!$B$2:$O$15,4,FALSE)/100))</f>
        <v>28.993378487763735</v>
      </c>
      <c r="AE79" s="30">
        <f>L55*(1-(VLOOKUP(AE$75,tech_data!$B$2:$O$15,4,FALSE)/100))</f>
        <v>1.9126596657433943</v>
      </c>
      <c r="AF79" s="30">
        <f>M55*(1-(VLOOKUP(AF$75,tech_data!$B$2:$O$15,4,FALSE)/100))</f>
        <v>0.16010490711662531</v>
      </c>
      <c r="AG79" s="30">
        <f>N55*(1-(VLOOKUP(AG$75,tech_data!$B$2:$O$15,4,FALSE)/100))</f>
        <v>5.3327749323264194E-3</v>
      </c>
      <c r="AH79" s="30">
        <f>O55*(1-(VLOOKUP(AH$75,tech_data!$B$2:$O$15,4,FALSE)/100))</f>
        <v>0</v>
      </c>
      <c r="AI79" s="30">
        <f>(Jawa!AI55*3.6/(VLOOKUP(AI$51,tech_data!$B$2:$J$15,4,FALSE)/100))/1000</f>
        <v>0</v>
      </c>
      <c r="AJ79" s="30">
        <f t="shared" si="87"/>
        <v>961.71139112916183</v>
      </c>
      <c r="AK79" s="30"/>
      <c r="AL79" s="23"/>
      <c r="AR79" s="30"/>
      <c r="AS79" s="30"/>
    </row>
    <row r="80" spans="1:82" x14ac:dyDescent="0.25">
      <c r="A80" s="19"/>
      <c r="B80" s="20" t="str">
        <f t="shared" si="83"/>
        <v>JAWA</v>
      </c>
      <c r="C80" s="20">
        <f t="shared" si="83"/>
        <v>2023</v>
      </c>
      <c r="D80" s="30">
        <f t="shared" si="88"/>
        <v>429.27183254415206</v>
      </c>
      <c r="E80" s="30">
        <f t="shared" si="88"/>
        <v>42.125760826912767</v>
      </c>
      <c r="F80" s="30">
        <f t="shared" si="88"/>
        <v>226.27315530813948</v>
      </c>
      <c r="G80" s="30">
        <f t="shared" si="88"/>
        <v>0.78900351978231398</v>
      </c>
      <c r="H80" s="30">
        <f t="shared" si="88"/>
        <v>28.145210466461535</v>
      </c>
      <c r="I80" s="30">
        <f t="shared" si="88"/>
        <v>75.094555765023713</v>
      </c>
      <c r="J80" s="30">
        <f t="shared" si="88"/>
        <v>0.36970477587692319</v>
      </c>
      <c r="K80" s="30">
        <f t="shared" si="88"/>
        <v>34.515926771147306</v>
      </c>
      <c r="L80" s="30">
        <f t="shared" si="88"/>
        <v>27.9269553223725</v>
      </c>
      <c r="M80" s="30">
        <f t="shared" si="88"/>
        <v>7.1931190153846164E-2</v>
      </c>
      <c r="N80" s="30">
        <f t="shared" si="88"/>
        <v>6.0371036969733026E-2</v>
      </c>
      <c r="O80" s="30">
        <f t="shared" si="88"/>
        <v>0</v>
      </c>
      <c r="P80" s="30">
        <f>(Jawa!P56*3.6/(VLOOKUP(P$51,tech_data!$B$2:$J$15,4,FALSE)/100))/1000</f>
        <v>0</v>
      </c>
      <c r="Q80" s="30">
        <f t="shared" si="85"/>
        <v>864.64440752699215</v>
      </c>
      <c r="R80" s="30"/>
      <c r="S80" s="23"/>
      <c r="T80" s="19"/>
      <c r="U80" s="20" t="str">
        <f t="shared" si="86"/>
        <v>JAWA</v>
      </c>
      <c r="V80" s="20">
        <f t="shared" si="86"/>
        <v>2023</v>
      </c>
      <c r="W80" s="30">
        <f>D56*(1-(VLOOKUP(W$75,tech_data!$B$2:$O$15,4,FALSE)/100))</f>
        <v>680.91394127693081</v>
      </c>
      <c r="X80" s="30">
        <f>E56*(1-(VLOOKUP(X$75,tech_data!$B$2:$O$15,4,FALSE)/100))</f>
        <v>75.983848968169767</v>
      </c>
      <c r="Y80" s="30">
        <f>F56*(1-(VLOOKUP(Y$75,tech_data!$B$2:$O$15,4,FALSE)/100))</f>
        <v>161.62368236295674</v>
      </c>
      <c r="Z80" s="30">
        <f>G56*(1-(VLOOKUP(Z$75,tech_data!$B$2:$O$15,4,FALSE)/100))</f>
        <v>0.92622152322271645</v>
      </c>
      <c r="AA80" s="30">
        <f>H56*(1-(VLOOKUP(AA$75,tech_data!$B$2:$O$15,4,FALSE)/100))</f>
        <v>24.345607053489228</v>
      </c>
      <c r="AB80" s="30">
        <f>I56*(1-(VLOOKUP(AB$75,tech_data!$B$2:$O$15,4,FALSE)/100))</f>
        <v>3.9523450402644102</v>
      </c>
      <c r="AC80" s="30">
        <f>J56*(1-(VLOOKUP(AC$75,tech_data!$B$2:$O$15,4,FALSE)/100))</f>
        <v>9.2426193969230783E-2</v>
      </c>
      <c r="AD80" s="30">
        <f>K56*(1-(VLOOKUP(AD$75,tech_data!$B$2:$O$15,4,FALSE)/100))</f>
        <v>28.993378487763735</v>
      </c>
      <c r="AE80" s="30">
        <f>L56*(1-(VLOOKUP(AE$75,tech_data!$B$2:$O$15,4,FALSE)/100))</f>
        <v>11.366270816205608</v>
      </c>
      <c r="AF80" s="30">
        <f>M56*(1-(VLOOKUP(AF$75,tech_data!$B$2:$O$15,4,FALSE)/100))</f>
        <v>0.16010490711662531</v>
      </c>
      <c r="AG80" s="30">
        <f>N56*(1-(VLOOKUP(AG$75,tech_data!$B$2:$O$15,4,FALSE)/100))</f>
        <v>5.3327749323264194E-3</v>
      </c>
      <c r="AH80" s="30">
        <f>O56*(1-(VLOOKUP(AH$75,tech_data!$B$2:$O$15,4,FALSE)/100))</f>
        <v>0</v>
      </c>
      <c r="AI80" s="30">
        <f>(Jawa!AI56*3.6/(VLOOKUP(AI$51,tech_data!$B$2:$J$15,4,FALSE)/100))/1000</f>
        <v>0</v>
      </c>
      <c r="AJ80" s="30">
        <f t="shared" si="87"/>
        <v>988.36315940502118</v>
      </c>
      <c r="AK80" s="30"/>
      <c r="AL80" s="23"/>
      <c r="AR80" s="30"/>
      <c r="AS80" s="30"/>
    </row>
    <row r="81" spans="1:38" x14ac:dyDescent="0.25">
      <c r="A81" s="19"/>
      <c r="B81" s="20" t="str">
        <f t="shared" si="83"/>
        <v>JAWA</v>
      </c>
      <c r="C81" s="20">
        <f t="shared" si="83"/>
        <v>2024</v>
      </c>
      <c r="D81" s="30">
        <f t="shared" si="88"/>
        <v>429.27183254415206</v>
      </c>
      <c r="E81" s="30">
        <f t="shared" si="88"/>
        <v>47.290839300417083</v>
      </c>
      <c r="F81" s="30">
        <f t="shared" si="88"/>
        <v>239.88519344526452</v>
      </c>
      <c r="G81" s="30">
        <f t="shared" si="88"/>
        <v>0.81306012317656506</v>
      </c>
      <c r="H81" s="30">
        <f t="shared" si="88"/>
        <v>28.145210466461535</v>
      </c>
      <c r="I81" s="30">
        <f t="shared" si="88"/>
        <v>75.094555765023713</v>
      </c>
      <c r="J81" s="30">
        <f t="shared" si="88"/>
        <v>0.36970477587692319</v>
      </c>
      <c r="K81" s="30">
        <f t="shared" si="88"/>
        <v>34.515926771147306</v>
      </c>
      <c r="L81" s="30">
        <f t="shared" si="88"/>
        <v>53.672550620943483</v>
      </c>
      <c r="M81" s="30">
        <f t="shared" si="88"/>
        <v>7.1931190153846164E-2</v>
      </c>
      <c r="N81" s="30">
        <f t="shared" si="88"/>
        <v>6.0371036969733026E-2</v>
      </c>
      <c r="O81" s="30">
        <f t="shared" si="88"/>
        <v>0</v>
      </c>
      <c r="P81" s="30">
        <f>(Jawa!P57*3.6/(VLOOKUP(P$51,tech_data!$B$2:$J$15,4,FALSE)/100))/1000</f>
        <v>0</v>
      </c>
      <c r="Q81" s="30">
        <f t="shared" si="85"/>
        <v>909.19117603958682</v>
      </c>
      <c r="R81" s="30"/>
      <c r="S81" s="23"/>
      <c r="T81" s="19"/>
      <c r="U81" s="20" t="str">
        <f t="shared" si="86"/>
        <v>JAWA</v>
      </c>
      <c r="V81" s="20">
        <f t="shared" si="86"/>
        <v>2024</v>
      </c>
      <c r="W81" s="30">
        <f>D57*(1-(VLOOKUP(W$75,tech_data!$B$2:$O$15,4,FALSE)/100))</f>
        <v>680.91394127693081</v>
      </c>
      <c r="X81" s="30">
        <f>E57*(1-(VLOOKUP(X$75,tech_data!$B$2:$O$15,4,FALSE)/100))</f>
        <v>85.300298925051393</v>
      </c>
      <c r="Y81" s="30">
        <f>F57*(1-(VLOOKUP(Y$75,tech_data!$B$2:$O$15,4,FALSE)/100))</f>
        <v>171.34656674661747</v>
      </c>
      <c r="Z81" s="30">
        <f>G57*(1-(VLOOKUP(Z$75,tech_data!$B$2:$O$15,4,FALSE)/100))</f>
        <v>0.9544618837290112</v>
      </c>
      <c r="AA81" s="30">
        <f>H57*(1-(VLOOKUP(AA$75,tech_data!$B$2:$O$15,4,FALSE)/100))</f>
        <v>24.345607053489228</v>
      </c>
      <c r="AB81" s="30">
        <f>I57*(1-(VLOOKUP(AB$75,tech_data!$B$2:$O$15,4,FALSE)/100))</f>
        <v>3.9523450402644102</v>
      </c>
      <c r="AC81" s="30">
        <f>J57*(1-(VLOOKUP(AC$75,tech_data!$B$2:$O$15,4,FALSE)/100))</f>
        <v>9.2426193969230783E-2</v>
      </c>
      <c r="AD81" s="30">
        <f>K57*(1-(VLOOKUP(AD$75,tech_data!$B$2:$O$15,4,FALSE)/100))</f>
        <v>28.993378487763735</v>
      </c>
      <c r="AE81" s="30">
        <f>L57*(1-(VLOOKUP(AE$75,tech_data!$B$2:$O$15,4,FALSE)/100))</f>
        <v>21.844728102723998</v>
      </c>
      <c r="AF81" s="30">
        <f>M57*(1-(VLOOKUP(AF$75,tech_data!$B$2:$O$15,4,FALSE)/100))</f>
        <v>0.16010490711662531</v>
      </c>
      <c r="AG81" s="30">
        <f>N57*(1-(VLOOKUP(AG$75,tech_data!$B$2:$O$15,4,FALSE)/100))</f>
        <v>5.3327749323264194E-3</v>
      </c>
      <c r="AH81" s="30">
        <f>O57*(1-(VLOOKUP(AH$75,tech_data!$B$2:$O$15,4,FALSE)/100))</f>
        <v>0</v>
      </c>
      <c r="AI81" s="30">
        <f>(Jawa!AI57*3.6/(VLOOKUP(AI$51,tech_data!$B$2:$J$15,4,FALSE)/100))/1000</f>
        <v>0</v>
      </c>
      <c r="AJ81" s="30">
        <f t="shared" si="87"/>
        <v>1017.9091913925881</v>
      </c>
      <c r="AK81" s="30"/>
      <c r="AL81" s="23"/>
    </row>
    <row r="82" spans="1:38" x14ac:dyDescent="0.25">
      <c r="A82" s="19"/>
      <c r="B82" s="20" t="str">
        <f t="shared" si="83"/>
        <v>JAWA</v>
      </c>
      <c r="C82" s="20">
        <f t="shared" si="83"/>
        <v>2025</v>
      </c>
      <c r="D82" s="30">
        <f t="shared" si="88"/>
        <v>429.27183254415206</v>
      </c>
      <c r="E82" s="30">
        <f t="shared" si="88"/>
        <v>52.730439050812755</v>
      </c>
      <c r="F82" s="30">
        <f t="shared" si="88"/>
        <v>249.7756622966904</v>
      </c>
      <c r="G82" s="30">
        <f t="shared" si="88"/>
        <v>0.83382814382768167</v>
      </c>
      <c r="H82" s="30">
        <f t="shared" si="88"/>
        <v>28.145210466461535</v>
      </c>
      <c r="I82" s="30">
        <f t="shared" si="88"/>
        <v>75.094555765023713</v>
      </c>
      <c r="J82" s="30">
        <f t="shared" si="88"/>
        <v>0.36970477587692319</v>
      </c>
      <c r="K82" s="30">
        <f t="shared" si="88"/>
        <v>34.515926771147306</v>
      </c>
      <c r="L82" s="30">
        <f t="shared" si="88"/>
        <v>80.574262605346618</v>
      </c>
      <c r="M82" s="30">
        <f t="shared" si="88"/>
        <v>7.1931190153846164E-2</v>
      </c>
      <c r="N82" s="30">
        <f t="shared" si="88"/>
        <v>6.0371036969733026E-2</v>
      </c>
      <c r="O82" s="30">
        <f t="shared" si="88"/>
        <v>0</v>
      </c>
      <c r="P82" s="30">
        <f>(Jawa!P58*3.6/(VLOOKUP(P$51,tech_data!$B$2:$J$15,4,FALSE)/100))/1000</f>
        <v>0</v>
      </c>
      <c r="Q82" s="30">
        <f t="shared" si="85"/>
        <v>951.44372464646256</v>
      </c>
      <c r="R82" s="30"/>
      <c r="S82" s="23"/>
      <c r="T82" s="19"/>
      <c r="U82" s="20" t="str">
        <f t="shared" si="86"/>
        <v>JAWA</v>
      </c>
      <c r="V82" s="20">
        <f t="shared" si="86"/>
        <v>2025</v>
      </c>
      <c r="W82" s="30">
        <f>D58*(1-(VLOOKUP(W$75,tech_data!$B$2:$O$15,4,FALSE)/100))</f>
        <v>680.91394127693081</v>
      </c>
      <c r="X82" s="30">
        <f>E58*(1-(VLOOKUP(X$75,tech_data!$B$2:$O$15,4,FALSE)/100))</f>
        <v>95.111913428101516</v>
      </c>
      <c r="Y82" s="30">
        <f>F58*(1-(VLOOKUP(Y$75,tech_data!$B$2:$O$15,4,FALSE)/100))</f>
        <v>178.41118735477883</v>
      </c>
      <c r="Z82" s="30">
        <f>G58*(1-(VLOOKUP(Z$75,tech_data!$B$2:$O$15,4,FALSE)/100))</f>
        <v>0.97884173405858288</v>
      </c>
      <c r="AA82" s="30">
        <f>H58*(1-(VLOOKUP(AA$75,tech_data!$B$2:$O$15,4,FALSE)/100))</f>
        <v>24.345607053489228</v>
      </c>
      <c r="AB82" s="30">
        <f>I58*(1-(VLOOKUP(AB$75,tech_data!$B$2:$O$15,4,FALSE)/100))</f>
        <v>3.9523450402644102</v>
      </c>
      <c r="AC82" s="30">
        <f>J58*(1-(VLOOKUP(AC$75,tech_data!$B$2:$O$15,4,FALSE)/100))</f>
        <v>9.2426193969230783E-2</v>
      </c>
      <c r="AD82" s="30">
        <f>K58*(1-(VLOOKUP(AD$75,tech_data!$B$2:$O$15,4,FALSE)/100))</f>
        <v>28.993378487763735</v>
      </c>
      <c r="AE82" s="30">
        <f>L58*(1-(VLOOKUP(AE$75,tech_data!$B$2:$O$15,4,FALSE)/100))</f>
        <v>32.793724880376075</v>
      </c>
      <c r="AF82" s="30">
        <f>M58*(1-(VLOOKUP(AF$75,tech_data!$B$2:$O$15,4,FALSE)/100))</f>
        <v>0.16010490711662531</v>
      </c>
      <c r="AG82" s="30">
        <f>N58*(1-(VLOOKUP(AG$75,tech_data!$B$2:$O$15,4,FALSE)/100))</f>
        <v>5.3327749323264194E-3</v>
      </c>
      <c r="AH82" s="30">
        <f>O58*(1-(VLOOKUP(AH$75,tech_data!$B$2:$O$15,4,FALSE)/100))</f>
        <v>0</v>
      </c>
      <c r="AI82" s="30">
        <f>(Jawa!AI58*3.6/(VLOOKUP(AI$51,tech_data!$B$2:$J$15,4,FALSE)/100))/1000</f>
        <v>0</v>
      </c>
      <c r="AJ82" s="30">
        <f t="shared" si="87"/>
        <v>1045.7588031317814</v>
      </c>
      <c r="AK82" s="30"/>
      <c r="AL82" s="23"/>
    </row>
    <row r="83" spans="1:38" x14ac:dyDescent="0.25">
      <c r="A83" s="19"/>
      <c r="B83" s="20" t="str">
        <f t="shared" si="83"/>
        <v>JAWA</v>
      </c>
      <c r="C83" s="20">
        <f t="shared" si="83"/>
        <v>2026</v>
      </c>
      <c r="D83" s="30">
        <f t="shared" si="88"/>
        <v>429.27183254415206</v>
      </c>
      <c r="E83" s="30">
        <f t="shared" si="88"/>
        <v>58.572842933393986</v>
      </c>
      <c r="F83" s="30">
        <f t="shared" si="88"/>
        <v>289.46861231408616</v>
      </c>
      <c r="G83" s="30">
        <f t="shared" si="88"/>
        <v>0.87160598868603789</v>
      </c>
      <c r="H83" s="30">
        <f t="shared" si="88"/>
        <v>28.145210466461535</v>
      </c>
      <c r="I83" s="30">
        <f t="shared" si="88"/>
        <v>75.094555765023713</v>
      </c>
      <c r="J83" s="30">
        <f t="shared" si="88"/>
        <v>0.36970477587692319</v>
      </c>
      <c r="K83" s="30">
        <f t="shared" si="88"/>
        <v>34.515926771147306</v>
      </c>
      <c r="L83" s="30">
        <f t="shared" si="88"/>
        <v>98.404653571164118</v>
      </c>
      <c r="M83" s="30">
        <f t="shared" si="88"/>
        <v>7.1931190153846164E-2</v>
      </c>
      <c r="N83" s="30">
        <f t="shared" si="88"/>
        <v>6.0371036969733026E-2</v>
      </c>
      <c r="O83" s="30">
        <f t="shared" si="88"/>
        <v>0</v>
      </c>
      <c r="P83" s="30">
        <f>(Jawa!P59*3.6/(VLOOKUP(P$51,tech_data!$B$2:$J$15,4,FALSE)/100))/1000</f>
        <v>0</v>
      </c>
      <c r="Q83" s="30">
        <f t="shared" si="85"/>
        <v>1014.8472473571154</v>
      </c>
      <c r="R83" s="30"/>
      <c r="S83" s="23"/>
      <c r="T83" s="19"/>
      <c r="U83" s="20" t="str">
        <f t="shared" si="86"/>
        <v>JAWA</v>
      </c>
      <c r="V83" s="20">
        <f t="shared" si="86"/>
        <v>2026</v>
      </c>
      <c r="W83" s="30">
        <f>D59*(1-(VLOOKUP(W$75,tech_data!$B$2:$O$15,4,FALSE)/100))</f>
        <v>680.91394127693081</v>
      </c>
      <c r="X83" s="30">
        <f>E59*(1-(VLOOKUP(X$75,tech_data!$B$2:$O$15,4,FALSE)/100))</f>
        <v>105.6500811789256</v>
      </c>
      <c r="Y83" s="30">
        <f>F59*(1-(VLOOKUP(Y$75,tech_data!$B$2:$O$15,4,FALSE)/100))</f>
        <v>206.76329451006151</v>
      </c>
      <c r="Z83" s="30">
        <f>G59*(1-(VLOOKUP(Z$75,tech_data!$B$2:$O$15,4,FALSE)/100))</f>
        <v>1.0231896388923054</v>
      </c>
      <c r="AA83" s="30">
        <f>H59*(1-(VLOOKUP(AA$75,tech_data!$B$2:$O$15,4,FALSE)/100))</f>
        <v>24.345607053489228</v>
      </c>
      <c r="AB83" s="30">
        <f>I59*(1-(VLOOKUP(AB$75,tech_data!$B$2:$O$15,4,FALSE)/100))</f>
        <v>3.9523450402644102</v>
      </c>
      <c r="AC83" s="30">
        <f>J59*(1-(VLOOKUP(AC$75,tech_data!$B$2:$O$15,4,FALSE)/100))</f>
        <v>9.2426193969230783E-2</v>
      </c>
      <c r="AD83" s="30">
        <f>K59*(1-(VLOOKUP(AD$75,tech_data!$B$2:$O$15,4,FALSE)/100))</f>
        <v>28.993378487763735</v>
      </c>
      <c r="AE83" s="30">
        <f>L59*(1-(VLOOKUP(AE$75,tech_data!$B$2:$O$15,4,FALSE)/100))</f>
        <v>40.050694003463796</v>
      </c>
      <c r="AF83" s="30">
        <f>M59*(1-(VLOOKUP(AF$75,tech_data!$B$2:$O$15,4,FALSE)/100))</f>
        <v>0.16010490711662531</v>
      </c>
      <c r="AG83" s="30">
        <f>N59*(1-(VLOOKUP(AG$75,tech_data!$B$2:$O$15,4,FALSE)/100))</f>
        <v>5.3327749323264194E-3</v>
      </c>
      <c r="AH83" s="30">
        <f>O59*(1-(VLOOKUP(AH$75,tech_data!$B$2:$O$15,4,FALSE)/100))</f>
        <v>0</v>
      </c>
      <c r="AI83" s="30">
        <f>(Jawa!AI59*3.6/(VLOOKUP(AI$51,tech_data!$B$2:$J$15,4,FALSE)/100))/1000</f>
        <v>0</v>
      </c>
      <c r="AJ83" s="30">
        <f t="shared" si="87"/>
        <v>1091.9503950658097</v>
      </c>
      <c r="AK83" s="30"/>
      <c r="AL83" s="23"/>
    </row>
    <row r="84" spans="1:38" x14ac:dyDescent="0.25">
      <c r="A84" s="19"/>
      <c r="B84" s="20" t="str">
        <f t="shared" si="83"/>
        <v>JAWA</v>
      </c>
      <c r="C84" s="20">
        <f t="shared" si="83"/>
        <v>2027</v>
      </c>
      <c r="D84" s="30">
        <f t="shared" si="88"/>
        <v>429.27183254415206</v>
      </c>
      <c r="E84" s="30">
        <f t="shared" si="88"/>
        <v>64.510027292306049</v>
      </c>
      <c r="F84" s="30">
        <f t="shared" si="88"/>
        <v>331.4993581349143</v>
      </c>
      <c r="G84" s="30">
        <f t="shared" si="88"/>
        <v>0.91066894367371287</v>
      </c>
      <c r="H84" s="30">
        <f t="shared" si="88"/>
        <v>28.145210466461535</v>
      </c>
      <c r="I84" s="30">
        <f t="shared" si="88"/>
        <v>75.094555765023713</v>
      </c>
      <c r="J84" s="30">
        <f t="shared" si="88"/>
        <v>0.36970477587692319</v>
      </c>
      <c r="K84" s="30">
        <f t="shared" si="88"/>
        <v>34.515926771147306</v>
      </c>
      <c r="L84" s="30">
        <f t="shared" si="88"/>
        <v>117.51965564497331</v>
      </c>
      <c r="M84" s="30">
        <f t="shared" si="88"/>
        <v>7.1931190153846164E-2</v>
      </c>
      <c r="N84" s="30">
        <f t="shared" si="88"/>
        <v>6.0371036969733026E-2</v>
      </c>
      <c r="O84" s="30">
        <f t="shared" si="88"/>
        <v>0</v>
      </c>
      <c r="P84" s="30">
        <f>(Jawa!P60*3.6/(VLOOKUP(P$51,tech_data!$B$2:$J$15,4,FALSE)/100))/1000</f>
        <v>0</v>
      </c>
      <c r="Q84" s="30">
        <f t="shared" si="85"/>
        <v>1081.9692425656524</v>
      </c>
      <c r="R84" s="30"/>
      <c r="S84" s="23"/>
      <c r="T84" s="19"/>
      <c r="U84" s="20" t="str">
        <f t="shared" si="86"/>
        <v>JAWA</v>
      </c>
      <c r="V84" s="20">
        <f t="shared" si="86"/>
        <v>2027</v>
      </c>
      <c r="W84" s="30">
        <f>D60*(1-(VLOOKUP(W$75,tech_data!$B$2:$O$15,4,FALSE)/100))</f>
        <v>680.91394127693081</v>
      </c>
      <c r="X84" s="30">
        <f>E60*(1-(VLOOKUP(X$75,tech_data!$B$2:$O$15,4,FALSE)/100))</f>
        <v>116.3592081066829</v>
      </c>
      <c r="Y84" s="30">
        <f>F60*(1-(VLOOKUP(Y$75,tech_data!$B$2:$O$15,4,FALSE)/100))</f>
        <v>236.78525581065304</v>
      </c>
      <c r="Z84" s="30">
        <f>G60*(1-(VLOOKUP(Z$75,tech_data!$B$2:$O$15,4,FALSE)/100))</f>
        <v>1.0690461512691412</v>
      </c>
      <c r="AA84" s="30">
        <f>H60*(1-(VLOOKUP(AA$75,tech_data!$B$2:$O$15,4,FALSE)/100))</f>
        <v>24.345607053489228</v>
      </c>
      <c r="AB84" s="30">
        <f>I60*(1-(VLOOKUP(AB$75,tech_data!$B$2:$O$15,4,FALSE)/100))</f>
        <v>3.9523450402644102</v>
      </c>
      <c r="AC84" s="30">
        <f>J60*(1-(VLOOKUP(AC$75,tech_data!$B$2:$O$15,4,FALSE)/100))</f>
        <v>9.2426193969230783E-2</v>
      </c>
      <c r="AD84" s="30">
        <f>K60*(1-(VLOOKUP(AD$75,tech_data!$B$2:$O$15,4,FALSE)/100))</f>
        <v>28.993378487763735</v>
      </c>
      <c r="AE84" s="30">
        <f>L60*(1-(VLOOKUP(AE$75,tech_data!$B$2:$O$15,4,FALSE)/100))</f>
        <v>47.830499847504143</v>
      </c>
      <c r="AF84" s="30">
        <f>M60*(1-(VLOOKUP(AF$75,tech_data!$B$2:$O$15,4,FALSE)/100))</f>
        <v>0.16010490711662531</v>
      </c>
      <c r="AG84" s="30">
        <f>N60*(1-(VLOOKUP(AG$75,tech_data!$B$2:$O$15,4,FALSE)/100))</f>
        <v>5.3327749323264194E-3</v>
      </c>
      <c r="AH84" s="30">
        <f>O60*(1-(VLOOKUP(AH$75,tech_data!$B$2:$O$15,4,FALSE)/100))</f>
        <v>0</v>
      </c>
      <c r="AI84" s="30">
        <f>(Jawa!AI60*3.6/(VLOOKUP(AI$51,tech_data!$B$2:$J$15,4,FALSE)/100))/1000</f>
        <v>0</v>
      </c>
      <c r="AJ84" s="30">
        <f t="shared" si="87"/>
        <v>1140.5071456505755</v>
      </c>
      <c r="AK84" s="30"/>
      <c r="AL84" s="23"/>
    </row>
    <row r="85" spans="1:38" x14ac:dyDescent="0.25">
      <c r="A85" s="19"/>
      <c r="B85" s="20" t="str">
        <f t="shared" si="83"/>
        <v>JAWA</v>
      </c>
      <c r="C85" s="20">
        <f t="shared" si="83"/>
        <v>2028</v>
      </c>
      <c r="D85" s="30">
        <f t="shared" si="88"/>
        <v>429.27183254415206</v>
      </c>
      <c r="E85" s="30">
        <f t="shared" si="88"/>
        <v>70.804511076052876</v>
      </c>
      <c r="F85" s="30">
        <f t="shared" si="88"/>
        <v>372.94423945725026</v>
      </c>
      <c r="G85" s="30">
        <f t="shared" si="88"/>
        <v>0.94803748005001098</v>
      </c>
      <c r="H85" s="30">
        <f t="shared" si="88"/>
        <v>28.145210466461535</v>
      </c>
      <c r="I85" s="30">
        <f t="shared" si="88"/>
        <v>75.094555765023713</v>
      </c>
      <c r="J85" s="30">
        <f t="shared" si="88"/>
        <v>0.36970477587692319</v>
      </c>
      <c r="K85" s="30">
        <f t="shared" si="88"/>
        <v>34.515926771147306</v>
      </c>
      <c r="L85" s="30">
        <f t="shared" si="88"/>
        <v>137.12743933488852</v>
      </c>
      <c r="M85" s="30">
        <f t="shared" si="88"/>
        <v>7.1931190153846164E-2</v>
      </c>
      <c r="N85" s="30">
        <f t="shared" si="88"/>
        <v>6.0371036969733026E-2</v>
      </c>
      <c r="O85" s="30">
        <f t="shared" si="88"/>
        <v>0</v>
      </c>
      <c r="P85" s="30">
        <f>(Jawa!P61*3.6/(VLOOKUP(P$51,tech_data!$B$2:$J$15,4,FALSE)/100))/1000</f>
        <v>0</v>
      </c>
      <c r="Q85" s="30">
        <f t="shared" si="85"/>
        <v>1149.353759898027</v>
      </c>
      <c r="R85" s="30"/>
      <c r="S85" s="23"/>
      <c r="T85" s="19"/>
      <c r="U85" s="20" t="str">
        <f t="shared" si="86"/>
        <v>JAWA</v>
      </c>
      <c r="V85" s="20">
        <f t="shared" si="86"/>
        <v>2028</v>
      </c>
      <c r="W85" s="30">
        <f>D61*(1-(VLOOKUP(W$75,tech_data!$B$2:$O$15,4,FALSE)/100))</f>
        <v>680.91394127693081</v>
      </c>
      <c r="X85" s="30">
        <f>E61*(1-(VLOOKUP(X$75,tech_data!$B$2:$O$15,4,FALSE)/100))</f>
        <v>127.71280969792717</v>
      </c>
      <c r="Y85" s="30">
        <f>F61*(1-(VLOOKUP(Y$75,tech_data!$B$2:$O$15,4,FALSE)/100))</f>
        <v>266.38874246946443</v>
      </c>
      <c r="Z85" s="30">
        <f>G61*(1-(VLOOKUP(Z$75,tech_data!$B$2:$O$15,4,FALSE)/100))</f>
        <v>1.1129135635369694</v>
      </c>
      <c r="AA85" s="30">
        <f>H61*(1-(VLOOKUP(AA$75,tech_data!$B$2:$O$15,4,FALSE)/100))</f>
        <v>24.345607053489228</v>
      </c>
      <c r="AB85" s="30">
        <f>I61*(1-(VLOOKUP(AB$75,tech_data!$B$2:$O$15,4,FALSE)/100))</f>
        <v>3.9523450402644102</v>
      </c>
      <c r="AC85" s="30">
        <f>J61*(1-(VLOOKUP(AC$75,tech_data!$B$2:$O$15,4,FALSE)/100))</f>
        <v>9.2426193969230783E-2</v>
      </c>
      <c r="AD85" s="30">
        <f>K61*(1-(VLOOKUP(AD$75,tech_data!$B$2:$O$15,4,FALSE)/100))</f>
        <v>28.993378487763735</v>
      </c>
      <c r="AE85" s="30">
        <f>L61*(1-(VLOOKUP(AE$75,tech_data!$B$2:$O$15,4,FALSE)/100))</f>
        <v>55.81086780929963</v>
      </c>
      <c r="AF85" s="30">
        <f>M61*(1-(VLOOKUP(AF$75,tech_data!$B$2:$O$15,4,FALSE)/100))</f>
        <v>0.16010490711662531</v>
      </c>
      <c r="AG85" s="30">
        <f>N61*(1-(VLOOKUP(AG$75,tech_data!$B$2:$O$15,4,FALSE)/100))</f>
        <v>5.3327749323264194E-3</v>
      </c>
      <c r="AH85" s="30">
        <f>O61*(1-(VLOOKUP(AH$75,tech_data!$B$2:$O$15,4,FALSE)/100))</f>
        <v>0</v>
      </c>
      <c r="AI85" s="30">
        <f>(Jawa!AI61*3.6/(VLOOKUP(AI$51,tech_data!$B$2:$J$15,4,FALSE)/100))/1000</f>
        <v>0</v>
      </c>
      <c r="AJ85" s="30">
        <f t="shared" si="87"/>
        <v>1189.4884692746946</v>
      </c>
      <c r="AK85" s="30"/>
      <c r="AL85" s="23"/>
    </row>
    <row r="86" spans="1:38" x14ac:dyDescent="0.25">
      <c r="A86" s="19"/>
      <c r="B86" s="20" t="str">
        <f t="shared" si="83"/>
        <v>JAWA</v>
      </c>
      <c r="C86" s="20">
        <f t="shared" si="83"/>
        <v>2029</v>
      </c>
      <c r="D86" s="30">
        <f t="shared" si="88"/>
        <v>429.27183254415206</v>
      </c>
      <c r="E86" s="30">
        <f t="shared" si="88"/>
        <v>77.686174852956825</v>
      </c>
      <c r="F86" s="30">
        <f t="shared" si="88"/>
        <v>416.77108196698043</v>
      </c>
      <c r="G86" s="30">
        <f t="shared" si="88"/>
        <v>0.98717850868815715</v>
      </c>
      <c r="H86" s="30">
        <f t="shared" si="88"/>
        <v>28.145210466461535</v>
      </c>
      <c r="I86" s="30">
        <f t="shared" si="88"/>
        <v>75.094555765023713</v>
      </c>
      <c r="J86" s="30">
        <f t="shared" si="88"/>
        <v>0.36970477587692319</v>
      </c>
      <c r="K86" s="30">
        <f t="shared" si="88"/>
        <v>34.515926771147306</v>
      </c>
      <c r="L86" s="30">
        <f t="shared" si="88"/>
        <v>158.25706007034057</v>
      </c>
      <c r="M86" s="30">
        <f t="shared" si="88"/>
        <v>7.1931190153846164E-2</v>
      </c>
      <c r="N86" s="30">
        <f t="shared" si="88"/>
        <v>6.0371036969733026E-2</v>
      </c>
      <c r="O86" s="30">
        <f t="shared" si="88"/>
        <v>0</v>
      </c>
      <c r="P86" s="30">
        <f>(Jawa!P62*3.6/(VLOOKUP(P$51,tech_data!$B$2:$J$15,4,FALSE)/100))/1000</f>
        <v>0</v>
      </c>
      <c r="Q86" s="30">
        <f t="shared" si="85"/>
        <v>1221.231027948751</v>
      </c>
      <c r="R86" s="30"/>
      <c r="S86" s="23"/>
      <c r="T86" s="19"/>
      <c r="U86" s="20" t="str">
        <f t="shared" si="86"/>
        <v>JAWA</v>
      </c>
      <c r="V86" s="20">
        <f t="shared" si="86"/>
        <v>2029</v>
      </c>
      <c r="W86" s="30">
        <f>D62*(1-(VLOOKUP(W$75,tech_data!$B$2:$O$15,4,FALSE)/100))</f>
        <v>680.91394127693081</v>
      </c>
      <c r="X86" s="30">
        <f>E62*(1-(VLOOKUP(X$75,tech_data!$B$2:$O$15,4,FALSE)/100))</f>
        <v>140.12553034224922</v>
      </c>
      <c r="Y86" s="30">
        <f>F62*(1-(VLOOKUP(Y$75,tech_data!$B$2:$O$15,4,FALSE)/100))</f>
        <v>297.69362997641451</v>
      </c>
      <c r="Z86" s="30">
        <f>G62*(1-(VLOOKUP(Z$75,tech_data!$B$2:$O$15,4,FALSE)/100))</f>
        <v>1.1588617275904456</v>
      </c>
      <c r="AA86" s="30">
        <f>H62*(1-(VLOOKUP(AA$75,tech_data!$B$2:$O$15,4,FALSE)/100))</f>
        <v>24.345607053489228</v>
      </c>
      <c r="AB86" s="30">
        <f>I62*(1-(VLOOKUP(AB$75,tech_data!$B$2:$O$15,4,FALSE)/100))</f>
        <v>3.9523450402644102</v>
      </c>
      <c r="AC86" s="30">
        <f>J62*(1-(VLOOKUP(AC$75,tech_data!$B$2:$O$15,4,FALSE)/100))</f>
        <v>9.2426193969230783E-2</v>
      </c>
      <c r="AD86" s="30">
        <f>K62*(1-(VLOOKUP(AD$75,tech_data!$B$2:$O$15,4,FALSE)/100))</f>
        <v>28.993378487763735</v>
      </c>
      <c r="AE86" s="30">
        <f>L62*(1-(VLOOKUP(AE$75,tech_data!$B$2:$O$15,4,FALSE)/100))</f>
        <v>64.410623448628613</v>
      </c>
      <c r="AF86" s="30">
        <f>M62*(1-(VLOOKUP(AF$75,tech_data!$B$2:$O$15,4,FALSE)/100))</f>
        <v>0.16010490711662531</v>
      </c>
      <c r="AG86" s="30">
        <f>N62*(1-(VLOOKUP(AG$75,tech_data!$B$2:$O$15,4,FALSE)/100))</f>
        <v>5.3327749323264194E-3</v>
      </c>
      <c r="AH86" s="30">
        <f>O62*(1-(VLOOKUP(AH$75,tech_data!$B$2:$O$15,4,FALSE)/100))</f>
        <v>0</v>
      </c>
      <c r="AI86" s="30">
        <f>(Jawa!AI62*3.6/(VLOOKUP(AI$51,tech_data!$B$2:$J$15,4,FALSE)/100))/1000</f>
        <v>0</v>
      </c>
      <c r="AJ86" s="30">
        <f t="shared" si="87"/>
        <v>1241.8517812293494</v>
      </c>
      <c r="AK86" s="30"/>
      <c r="AL86" s="23"/>
    </row>
    <row r="87" spans="1:38" x14ac:dyDescent="0.25">
      <c r="A87" s="19"/>
      <c r="B87" s="20" t="str">
        <f t="shared" si="83"/>
        <v>JAWA</v>
      </c>
      <c r="C87" s="20">
        <f t="shared" si="83"/>
        <v>2030</v>
      </c>
      <c r="D87" s="30">
        <f t="shared" si="88"/>
        <v>429.27183254415206</v>
      </c>
      <c r="E87" s="30">
        <f t="shared" si="88"/>
        <v>84.959218751966645</v>
      </c>
      <c r="F87" s="30">
        <f t="shared" si="88"/>
        <v>461.83948355489701</v>
      </c>
      <c r="G87" s="30">
        <f t="shared" si="88"/>
        <v>1.026574039876232</v>
      </c>
      <c r="H87" s="30">
        <f t="shared" si="88"/>
        <v>28.145210466461535</v>
      </c>
      <c r="I87" s="30">
        <f t="shared" si="88"/>
        <v>75.094555765023713</v>
      </c>
      <c r="J87" s="30">
        <f t="shared" si="88"/>
        <v>0.36970477587692319</v>
      </c>
      <c r="K87" s="30">
        <f t="shared" si="88"/>
        <v>34.515926771147306</v>
      </c>
      <c r="L87" s="30">
        <f t="shared" si="88"/>
        <v>180.52982378749249</v>
      </c>
      <c r="M87" s="30">
        <f t="shared" si="88"/>
        <v>7.1931190153846164E-2</v>
      </c>
      <c r="N87" s="30">
        <f t="shared" si="88"/>
        <v>6.0371036969733026E-2</v>
      </c>
      <c r="O87" s="30">
        <f t="shared" si="88"/>
        <v>0</v>
      </c>
      <c r="P87" s="30">
        <f>(Jawa!P63*3.6/(VLOOKUP(P$51,tech_data!$B$2:$J$15,4,FALSE)/100))/1000</f>
        <v>0</v>
      </c>
      <c r="Q87" s="30">
        <f t="shared" si="85"/>
        <v>1295.8846326840176</v>
      </c>
      <c r="R87" s="30"/>
      <c r="S87" s="23"/>
      <c r="T87" s="19"/>
      <c r="U87" s="20" t="str">
        <f t="shared" si="86"/>
        <v>JAWA</v>
      </c>
      <c r="V87" s="20">
        <f t="shared" si="86"/>
        <v>2030</v>
      </c>
      <c r="W87" s="30">
        <f>D63*(1-(VLOOKUP(W$75,tech_data!$B$2:$O$15,4,FALSE)/100))</f>
        <v>680.91394127693081</v>
      </c>
      <c r="X87" s="30">
        <f>E63*(1-(VLOOKUP(X$75,tech_data!$B$2:$O$15,4,FALSE)/100))</f>
        <v>153.24419830962211</v>
      </c>
      <c r="Y87" s="30">
        <f>F63*(1-(VLOOKUP(Y$75,tech_data!$B$2:$O$15,4,FALSE)/100))</f>
        <v>329.88534539635492</v>
      </c>
      <c r="Z87" s="30">
        <f>G63*(1-(VLOOKUP(Z$75,tech_data!$B$2:$O$15,4,FALSE)/100))</f>
        <v>1.2051086555068811</v>
      </c>
      <c r="AA87" s="30">
        <f>H63*(1-(VLOOKUP(AA$75,tech_data!$B$2:$O$15,4,FALSE)/100))</f>
        <v>24.345607053489228</v>
      </c>
      <c r="AB87" s="30">
        <f>I63*(1-(VLOOKUP(AB$75,tech_data!$B$2:$O$15,4,FALSE)/100))</f>
        <v>3.9523450402644102</v>
      </c>
      <c r="AC87" s="30">
        <f>J63*(1-(VLOOKUP(AC$75,tech_data!$B$2:$O$15,4,FALSE)/100))</f>
        <v>9.2426193969230783E-2</v>
      </c>
      <c r="AD87" s="30">
        <f>K63*(1-(VLOOKUP(AD$75,tech_data!$B$2:$O$15,4,FALSE)/100))</f>
        <v>28.993378487763735</v>
      </c>
      <c r="AE87" s="30">
        <f>L63*(1-(VLOOKUP(AE$75,tech_data!$B$2:$O$15,4,FALSE)/100))</f>
        <v>73.475638281509447</v>
      </c>
      <c r="AF87" s="30">
        <f>M63*(1-(VLOOKUP(AF$75,tech_data!$B$2:$O$15,4,FALSE)/100))</f>
        <v>0.16010490711662531</v>
      </c>
      <c r="AG87" s="30">
        <f>N63*(1-(VLOOKUP(AG$75,tech_data!$B$2:$O$15,4,FALSE)/100))</f>
        <v>5.3327749323264194E-3</v>
      </c>
      <c r="AH87" s="30">
        <f>O63*(1-(VLOOKUP(AH$75,tech_data!$B$2:$O$15,4,FALSE)/100))</f>
        <v>0</v>
      </c>
      <c r="AI87" s="30">
        <f>(Jawa!AI63*3.6/(VLOOKUP(AI$51,tech_data!$B$2:$J$15,4,FALSE)/100))/1000</f>
        <v>0</v>
      </c>
      <c r="AJ87" s="30">
        <f t="shared" si="87"/>
        <v>1296.2734263774596</v>
      </c>
      <c r="AK87" s="30"/>
      <c r="AL87" s="23"/>
    </row>
    <row r="88" spans="1:38" x14ac:dyDescent="0.25">
      <c r="A88" s="19"/>
      <c r="B88" s="20" t="str">
        <f t="shared" si="83"/>
        <v>JAWA</v>
      </c>
      <c r="C88" s="20">
        <f t="shared" si="83"/>
        <v>2031</v>
      </c>
      <c r="D88" s="30">
        <f t="shared" si="88"/>
        <v>429.27183254415206</v>
      </c>
      <c r="E88" s="30">
        <f t="shared" si="88"/>
        <v>92.639009930334851</v>
      </c>
      <c r="F88" s="30">
        <f t="shared" si="88"/>
        <v>515.25405101437741</v>
      </c>
      <c r="G88" s="30">
        <f t="shared" si="88"/>
        <v>1.0735519428059328</v>
      </c>
      <c r="H88" s="30">
        <f t="shared" si="88"/>
        <v>28.145210466461535</v>
      </c>
      <c r="I88" s="30">
        <f t="shared" si="88"/>
        <v>75.094555765023713</v>
      </c>
      <c r="J88" s="30">
        <f t="shared" si="88"/>
        <v>0.36970477587692319</v>
      </c>
      <c r="K88" s="30">
        <f t="shared" si="88"/>
        <v>34.515926771147306</v>
      </c>
      <c r="L88" s="30">
        <f t="shared" si="88"/>
        <v>206.34668994795283</v>
      </c>
      <c r="M88" s="30">
        <f t="shared" si="88"/>
        <v>7.1931190153846164E-2</v>
      </c>
      <c r="N88" s="30">
        <f t="shared" si="88"/>
        <v>6.0371036969733026E-2</v>
      </c>
      <c r="O88" s="30">
        <f t="shared" si="88"/>
        <v>0</v>
      </c>
      <c r="P88" s="30">
        <f>(Jawa!P64*3.6/(VLOOKUP(P$51,tech_data!$B$2:$J$15,4,FALSE)/100))/1000</f>
        <v>0</v>
      </c>
      <c r="Q88" s="30">
        <f t="shared" si="85"/>
        <v>1382.8428353852564</v>
      </c>
      <c r="R88" s="30"/>
      <c r="S88" s="23"/>
      <c r="T88" s="19"/>
      <c r="U88" s="20" t="str">
        <f t="shared" si="86"/>
        <v>JAWA</v>
      </c>
      <c r="V88" s="20">
        <f t="shared" si="86"/>
        <v>2031</v>
      </c>
      <c r="W88" s="30">
        <f>D64*(1-(VLOOKUP(W$75,tech_data!$B$2:$O$15,4,FALSE)/100))</f>
        <v>680.91394127693081</v>
      </c>
      <c r="X88" s="30">
        <f>E64*(1-(VLOOKUP(X$75,tech_data!$B$2:$O$15,4,FALSE)/100))</f>
        <v>167.09653193041709</v>
      </c>
      <c r="Y88" s="30">
        <f>F64*(1-(VLOOKUP(Y$75,tech_data!$B$2:$O$15,4,FALSE)/100))</f>
        <v>368.03860786741234</v>
      </c>
      <c r="Z88" s="30">
        <f>G64*(1-(VLOOKUP(Z$75,tech_data!$B$2:$O$15,4,FALSE)/100))</f>
        <v>1.2602566285113126</v>
      </c>
      <c r="AA88" s="30">
        <f>H64*(1-(VLOOKUP(AA$75,tech_data!$B$2:$O$15,4,FALSE)/100))</f>
        <v>24.345607053489228</v>
      </c>
      <c r="AB88" s="30">
        <f>I64*(1-(VLOOKUP(AB$75,tech_data!$B$2:$O$15,4,FALSE)/100))</f>
        <v>3.9523450402644102</v>
      </c>
      <c r="AC88" s="30">
        <f>J64*(1-(VLOOKUP(AC$75,tech_data!$B$2:$O$15,4,FALSE)/100))</f>
        <v>9.2426193969230783E-2</v>
      </c>
      <c r="AD88" s="30">
        <f>K64*(1-(VLOOKUP(AD$75,tech_data!$B$2:$O$15,4,FALSE)/100))</f>
        <v>28.993378487763735</v>
      </c>
      <c r="AE88" s="30">
        <f>L64*(1-(VLOOKUP(AE$75,tech_data!$B$2:$O$15,4,FALSE)/100))</f>
        <v>83.98310280881681</v>
      </c>
      <c r="AF88" s="30">
        <f>M64*(1-(VLOOKUP(AF$75,tech_data!$B$2:$O$15,4,FALSE)/100))</f>
        <v>0.16010490711662531</v>
      </c>
      <c r="AG88" s="30">
        <f>N64*(1-(VLOOKUP(AG$75,tech_data!$B$2:$O$15,4,FALSE)/100))</f>
        <v>5.3327749323264194E-3</v>
      </c>
      <c r="AH88" s="30">
        <f>O64*(1-(VLOOKUP(AH$75,tech_data!$B$2:$O$15,4,FALSE)/100))</f>
        <v>0</v>
      </c>
      <c r="AI88" s="30">
        <f>(Jawa!AI64*3.6/(VLOOKUP(AI$51,tech_data!$B$2:$J$15,4,FALSE)/100))/1000</f>
        <v>0</v>
      </c>
      <c r="AJ88" s="30">
        <f t="shared" si="87"/>
        <v>1358.8416349696238</v>
      </c>
      <c r="AK88" s="30"/>
      <c r="AL88" s="23"/>
    </row>
    <row r="89" spans="1:38" x14ac:dyDescent="0.25">
      <c r="A89" s="19"/>
      <c r="B89" s="20" t="str">
        <f t="shared" si="83"/>
        <v>JAWA</v>
      </c>
      <c r="C89" s="20">
        <f t="shared" si="83"/>
        <v>2032</v>
      </c>
      <c r="D89" s="30">
        <f t="shared" si="88"/>
        <v>429.27183254415206</v>
      </c>
      <c r="E89" s="30">
        <f t="shared" si="88"/>
        <v>100.75440063111967</v>
      </c>
      <c r="F89" s="30">
        <f t="shared" si="88"/>
        <v>572.22232371561881</v>
      </c>
      <c r="G89" s="30">
        <f t="shared" si="88"/>
        <v>1.1228677208285505</v>
      </c>
      <c r="H89" s="30">
        <f t="shared" si="88"/>
        <v>28.145210466461535</v>
      </c>
      <c r="I89" s="30">
        <f t="shared" si="88"/>
        <v>75.094555765023713</v>
      </c>
      <c r="J89" s="30">
        <f t="shared" si="88"/>
        <v>4.1679437684399145</v>
      </c>
      <c r="K89" s="30">
        <f t="shared" si="88"/>
        <v>34.515926771147306</v>
      </c>
      <c r="L89" s="30">
        <f t="shared" si="88"/>
        <v>230.45759746283798</v>
      </c>
      <c r="M89" s="30">
        <f t="shared" si="88"/>
        <v>7.1931190153846164E-2</v>
      </c>
      <c r="N89" s="30">
        <f t="shared" si="88"/>
        <v>6.0371036969733026E-2</v>
      </c>
      <c r="O89" s="30">
        <f t="shared" si="88"/>
        <v>0</v>
      </c>
      <c r="P89" s="30">
        <f>(Jawa!P65*3.6/(VLOOKUP(P$51,tech_data!$B$2:$J$15,4,FALSE)/100))/1000</f>
        <v>0</v>
      </c>
      <c r="Q89" s="30">
        <f t="shared" si="85"/>
        <v>1475.8849610727532</v>
      </c>
      <c r="R89" s="30"/>
      <c r="S89" s="23"/>
      <c r="T89" s="19"/>
      <c r="U89" s="20" t="str">
        <f t="shared" si="86"/>
        <v>JAWA</v>
      </c>
      <c r="V89" s="20">
        <f t="shared" si="86"/>
        <v>2032</v>
      </c>
      <c r="W89" s="30">
        <f>D65*(1-(VLOOKUP(W$75,tech_data!$B$2:$O$15,4,FALSE)/100))</f>
        <v>680.91394127693081</v>
      </c>
      <c r="X89" s="30">
        <f>E65*(1-(VLOOKUP(X$75,tech_data!$B$2:$O$15,4,FALSE)/100))</f>
        <v>181.73457310099158</v>
      </c>
      <c r="Y89" s="30">
        <f>F65*(1-(VLOOKUP(Y$75,tech_data!$B$2:$O$15,4,FALSE)/100))</f>
        <v>408.73023122544191</v>
      </c>
      <c r="Z89" s="30">
        <f>G65*(1-(VLOOKUP(Z$75,tech_data!$B$2:$O$15,4,FALSE)/100))</f>
        <v>1.318149063581342</v>
      </c>
      <c r="AA89" s="30">
        <f>H65*(1-(VLOOKUP(AA$75,tech_data!$B$2:$O$15,4,FALSE)/100))</f>
        <v>24.345607053489228</v>
      </c>
      <c r="AB89" s="30">
        <f>I65*(1-(VLOOKUP(AB$75,tech_data!$B$2:$O$15,4,FALSE)/100))</f>
        <v>3.9523450402644102</v>
      </c>
      <c r="AC89" s="30">
        <f>J65*(1-(VLOOKUP(AC$75,tech_data!$B$2:$O$15,4,FALSE)/100))</f>
        <v>1.0419859421099782</v>
      </c>
      <c r="AD89" s="30">
        <f>K65*(1-(VLOOKUP(AD$75,tech_data!$B$2:$O$15,4,FALSE)/100))</f>
        <v>28.993378487763735</v>
      </c>
      <c r="AE89" s="30">
        <f>L65*(1-(VLOOKUP(AE$75,tech_data!$B$2:$O$15,4,FALSE)/100))</f>
        <v>93.79624216737507</v>
      </c>
      <c r="AF89" s="30">
        <f>M65*(1-(VLOOKUP(AF$75,tech_data!$B$2:$O$15,4,FALSE)/100))</f>
        <v>0.16010490711662531</v>
      </c>
      <c r="AG89" s="30">
        <f>N65*(1-(VLOOKUP(AG$75,tech_data!$B$2:$O$15,4,FALSE)/100))</f>
        <v>5.3327749323264194E-3</v>
      </c>
      <c r="AH89" s="30">
        <f>O65*(1-(VLOOKUP(AH$75,tech_data!$B$2:$O$15,4,FALSE)/100))</f>
        <v>0</v>
      </c>
      <c r="AI89" s="30">
        <f>(Jawa!AI65*3.6/(VLOOKUP(AI$51,tech_data!$B$2:$J$15,4,FALSE)/100))/1000</f>
        <v>0</v>
      </c>
      <c r="AJ89" s="30">
        <f t="shared" si="87"/>
        <v>1424.991891039997</v>
      </c>
      <c r="AK89" s="30"/>
      <c r="AL89" s="23"/>
    </row>
    <row r="90" spans="1:38" x14ac:dyDescent="0.25">
      <c r="A90" s="19"/>
      <c r="B90" s="20" t="str">
        <f t="shared" si="83"/>
        <v>JAWA</v>
      </c>
      <c r="C90" s="20">
        <f t="shared" si="83"/>
        <v>2033</v>
      </c>
      <c r="D90" s="30">
        <f t="shared" si="88"/>
        <v>444.81766301481508</v>
      </c>
      <c r="E90" s="30">
        <f t="shared" si="88"/>
        <v>106.93639753044899</v>
      </c>
      <c r="F90" s="30">
        <f t="shared" si="88"/>
        <v>613.00138803007735</v>
      </c>
      <c r="G90" s="30">
        <f t="shared" si="88"/>
        <v>1.1677931737590768</v>
      </c>
      <c r="H90" s="30">
        <f t="shared" si="88"/>
        <v>28.817175437885059</v>
      </c>
      <c r="I90" s="30">
        <f t="shared" si="88"/>
        <v>78.65960612268718</v>
      </c>
      <c r="J90" s="30">
        <f t="shared" si="88"/>
        <v>11.865304371555061</v>
      </c>
      <c r="K90" s="30">
        <f t="shared" si="88"/>
        <v>38.348577965697515</v>
      </c>
      <c r="L90" s="30">
        <f t="shared" si="88"/>
        <v>242.51305122028057</v>
      </c>
      <c r="M90" s="30">
        <f t="shared" si="88"/>
        <v>7.1931190153846164E-2</v>
      </c>
      <c r="N90" s="30">
        <f t="shared" si="88"/>
        <v>6.0371036969733026E-2</v>
      </c>
      <c r="O90" s="30">
        <f t="shared" si="88"/>
        <v>0</v>
      </c>
      <c r="P90" s="30">
        <f>(Jawa!P66*3.6/(VLOOKUP(P$51,tech_data!$B$2:$J$15,4,FALSE)/100))/1000</f>
        <v>0</v>
      </c>
      <c r="Q90" s="30">
        <f t="shared" si="85"/>
        <v>1566.2592590943295</v>
      </c>
      <c r="R90" s="30"/>
      <c r="S90" s="23"/>
      <c r="T90" s="19"/>
      <c r="U90" s="20" t="str">
        <f t="shared" si="86"/>
        <v>JAWA</v>
      </c>
      <c r="V90" s="20">
        <f t="shared" si="86"/>
        <v>2033</v>
      </c>
      <c r="W90" s="30">
        <f>D66*(1-(VLOOKUP(W$75,tech_data!$B$2:$O$15,4,FALSE)/100))</f>
        <v>705.57284478212034</v>
      </c>
      <c r="X90" s="30">
        <f>E66*(1-(VLOOKUP(X$75,tech_data!$B$2:$O$15,4,FALSE)/100))</f>
        <v>192.88527778856687</v>
      </c>
      <c r="Y90" s="30">
        <f>F66*(1-(VLOOKUP(Y$75,tech_data!$B$2:$O$15,4,FALSE)/100))</f>
        <v>437.85813430719804</v>
      </c>
      <c r="Z90" s="30">
        <f>G66*(1-(VLOOKUP(Z$75,tech_data!$B$2:$O$15,4,FALSE)/100))</f>
        <v>1.3708876387606554</v>
      </c>
      <c r="AA90" s="30">
        <f>H66*(1-(VLOOKUP(AA$75,tech_data!$B$2:$O$15,4,FALSE)/100))</f>
        <v>24.926856753770576</v>
      </c>
      <c r="AB90" s="30">
        <f>I66*(1-(VLOOKUP(AB$75,tech_data!$B$2:$O$15,4,FALSE)/100))</f>
        <v>4.1399792696151181</v>
      </c>
      <c r="AC90" s="30">
        <f>J66*(1-(VLOOKUP(AC$75,tech_data!$B$2:$O$15,4,FALSE)/100))</f>
        <v>2.9663260928887647</v>
      </c>
      <c r="AD90" s="30">
        <f>K66*(1-(VLOOKUP(AD$75,tech_data!$B$2:$O$15,4,FALSE)/100))</f>
        <v>32.212805491185911</v>
      </c>
      <c r="AE90" s="30">
        <f>L66*(1-(VLOOKUP(AE$75,tech_data!$B$2:$O$15,4,FALSE)/100))</f>
        <v>98.7028118466542</v>
      </c>
      <c r="AF90" s="30">
        <f>M66*(1-(VLOOKUP(AF$75,tech_data!$B$2:$O$15,4,FALSE)/100))</f>
        <v>0.16010490711662531</v>
      </c>
      <c r="AG90" s="30">
        <f>N66*(1-(VLOOKUP(AG$75,tech_data!$B$2:$O$15,4,FALSE)/100))</f>
        <v>5.3327749323264194E-3</v>
      </c>
      <c r="AH90" s="30">
        <f>O66*(1-(VLOOKUP(AH$75,tech_data!$B$2:$O$15,4,FALSE)/100))</f>
        <v>0</v>
      </c>
      <c r="AI90" s="30">
        <f>(Jawa!AI66*3.6/(VLOOKUP(AI$51,tech_data!$B$2:$J$15,4,FALSE)/100))/1000</f>
        <v>0</v>
      </c>
      <c r="AJ90" s="30">
        <f t="shared" si="87"/>
        <v>1500.8013616528096</v>
      </c>
      <c r="AK90" s="30"/>
      <c r="AL90" s="23"/>
    </row>
    <row r="91" spans="1:38" x14ac:dyDescent="0.25">
      <c r="A91" s="19"/>
      <c r="B91" s="20" t="str">
        <f t="shared" si="83"/>
        <v>JAWA</v>
      </c>
      <c r="C91" s="20">
        <f t="shared" si="83"/>
        <v>2034</v>
      </c>
      <c r="D91" s="30">
        <f t="shared" si="88"/>
        <v>471.45137564956661</v>
      </c>
      <c r="E91" s="30">
        <f t="shared" si="88"/>
        <v>116.00041225664388</v>
      </c>
      <c r="F91" s="30">
        <f t="shared" si="88"/>
        <v>650.47484827719074</v>
      </c>
      <c r="G91" s="30">
        <f t="shared" si="88"/>
        <v>1.2215638905149944</v>
      </c>
      <c r="H91" s="30">
        <f t="shared" si="88"/>
        <v>28.817175437885059</v>
      </c>
      <c r="I91" s="30">
        <f t="shared" si="88"/>
        <v>78.65960612268718</v>
      </c>
      <c r="J91" s="30">
        <f t="shared" si="88"/>
        <v>32.997986886053368</v>
      </c>
      <c r="K91" s="30">
        <f t="shared" si="88"/>
        <v>43.51773130050141</v>
      </c>
      <c r="L91" s="30">
        <f t="shared" si="88"/>
        <v>248.54077809900178</v>
      </c>
      <c r="M91" s="30">
        <f t="shared" si="88"/>
        <v>7.1931190153846164E-2</v>
      </c>
      <c r="N91" s="30">
        <f t="shared" si="88"/>
        <v>6.0371036969733026E-2</v>
      </c>
      <c r="O91" s="30">
        <f t="shared" si="88"/>
        <v>0</v>
      </c>
      <c r="P91" s="30">
        <f>(Jawa!P67*3.6/(VLOOKUP(P$51,tech_data!$B$2:$J$15,4,FALSE)/100))/1000</f>
        <v>0</v>
      </c>
      <c r="Q91" s="30">
        <f t="shared" si="85"/>
        <v>1671.8137801471685</v>
      </c>
      <c r="R91" s="30"/>
      <c r="S91" s="23"/>
      <c r="T91" s="19"/>
      <c r="U91" s="20" t="str">
        <f t="shared" si="86"/>
        <v>JAWA</v>
      </c>
      <c r="V91" s="20">
        <f t="shared" si="86"/>
        <v>2034</v>
      </c>
      <c r="W91" s="30">
        <f>D67*(1-(VLOOKUP(W$75,tech_data!$B$2:$O$15,4,FALSE)/100))</f>
        <v>747.81942344414006</v>
      </c>
      <c r="X91" s="30">
        <f>E67*(1-(VLOOKUP(X$75,tech_data!$B$2:$O$15,4,FALSE)/100))</f>
        <v>209.23438846291842</v>
      </c>
      <c r="Y91" s="30">
        <f>F67*(1-(VLOOKUP(Y$75,tech_data!$B$2:$O$15,4,FALSE)/100))</f>
        <v>464.62489162656476</v>
      </c>
      <c r="Z91" s="30">
        <f>G67*(1-(VLOOKUP(Z$75,tech_data!$B$2:$O$15,4,FALSE)/100))</f>
        <v>1.4340097845176021</v>
      </c>
      <c r="AA91" s="30">
        <f>H67*(1-(VLOOKUP(AA$75,tech_data!$B$2:$O$15,4,FALSE)/100))</f>
        <v>24.926856753770576</v>
      </c>
      <c r="AB91" s="30">
        <f>I67*(1-(VLOOKUP(AB$75,tech_data!$B$2:$O$15,4,FALSE)/100))</f>
        <v>4.1399792696151181</v>
      </c>
      <c r="AC91" s="30">
        <f>J67*(1-(VLOOKUP(AC$75,tech_data!$B$2:$O$15,4,FALSE)/100))</f>
        <v>8.2494967215133403</v>
      </c>
      <c r="AD91" s="30">
        <f>K67*(1-(VLOOKUP(AD$75,tech_data!$B$2:$O$15,4,FALSE)/100))</f>
        <v>36.554894292421181</v>
      </c>
      <c r="AE91" s="30">
        <f>L67*(1-(VLOOKUP(AE$75,tech_data!$B$2:$O$15,4,FALSE)/100))</f>
        <v>101.15609668629374</v>
      </c>
      <c r="AF91" s="30">
        <f>M67*(1-(VLOOKUP(AF$75,tech_data!$B$2:$O$15,4,FALSE)/100))</f>
        <v>0.16010490711662531</v>
      </c>
      <c r="AG91" s="30">
        <f>N67*(1-(VLOOKUP(AG$75,tech_data!$B$2:$O$15,4,FALSE)/100))</f>
        <v>5.3327749323264194E-3</v>
      </c>
      <c r="AH91" s="30">
        <f>O67*(1-(VLOOKUP(AH$75,tech_data!$B$2:$O$15,4,FALSE)/100))</f>
        <v>0</v>
      </c>
      <c r="AI91" s="30">
        <f>(Jawa!AI67*3.6/(VLOOKUP(AI$51,tech_data!$B$2:$J$15,4,FALSE)/100))/1000</f>
        <v>0</v>
      </c>
      <c r="AJ91" s="30">
        <f t="shared" si="87"/>
        <v>1598.3054747238043</v>
      </c>
      <c r="AK91" s="30"/>
      <c r="AL91" s="23"/>
    </row>
    <row r="92" spans="1:38" x14ac:dyDescent="0.25">
      <c r="A92" s="19"/>
      <c r="B92" s="20" t="str">
        <f t="shared" ref="B92:C95" si="89">B44</f>
        <v>JAWA</v>
      </c>
      <c r="C92" s="20">
        <f t="shared" si="89"/>
        <v>2035</v>
      </c>
      <c r="D92" s="30">
        <f t="shared" si="88"/>
        <v>497.6042720649649</v>
      </c>
      <c r="E92" s="30">
        <f t="shared" si="88"/>
        <v>120.14992756299911</v>
      </c>
      <c r="F92" s="30">
        <f t="shared" si="88"/>
        <v>692.51595408138974</v>
      </c>
      <c r="G92" s="30">
        <f t="shared" si="88"/>
        <v>1.2725663874795117</v>
      </c>
      <c r="H92" s="30">
        <f t="shared" si="88"/>
        <v>30.339054060353217</v>
      </c>
      <c r="I92" s="30">
        <f t="shared" si="88"/>
        <v>86.728201036306459</v>
      </c>
      <c r="J92" s="30">
        <f t="shared" si="88"/>
        <v>47.687906821477839</v>
      </c>
      <c r="K92" s="30">
        <f t="shared" si="88"/>
        <v>49.173415427618245</v>
      </c>
      <c r="L92" s="30">
        <f t="shared" si="88"/>
        <v>251.55434903876784</v>
      </c>
      <c r="M92" s="30">
        <f t="shared" si="88"/>
        <v>7.1931190153846164E-2</v>
      </c>
      <c r="N92" s="30">
        <f t="shared" si="88"/>
        <v>6.0371036969733026E-2</v>
      </c>
      <c r="O92" s="30">
        <f t="shared" si="88"/>
        <v>0</v>
      </c>
      <c r="P92" s="30">
        <f>(Jawa!P68*3.6/(VLOOKUP(P$51,tech_data!$B$2:$J$15,4,FALSE)/100))/1000</f>
        <v>0</v>
      </c>
      <c r="Q92" s="30">
        <f t="shared" si="85"/>
        <v>1777.1579487084803</v>
      </c>
      <c r="R92" s="30"/>
      <c r="S92" s="23"/>
      <c r="T92" s="19"/>
      <c r="U92" s="20" t="str">
        <f t="shared" ref="U92:V95" si="90">U44</f>
        <v>JAWA</v>
      </c>
      <c r="V92" s="20">
        <f t="shared" si="90"/>
        <v>2035</v>
      </c>
      <c r="W92" s="30">
        <f>D68*(1-(VLOOKUP(W$75,tech_data!$B$2:$O$15,4,FALSE)/100))</f>
        <v>789.30332810304776</v>
      </c>
      <c r="X92" s="30">
        <f>E68*(1-(VLOOKUP(X$75,tech_data!$B$2:$O$15,4,FALSE)/100))</f>
        <v>216.71902822111056</v>
      </c>
      <c r="Y92" s="30">
        <f>F68*(1-(VLOOKUP(Y$75,tech_data!$B$2:$O$15,4,FALSE)/100))</f>
        <v>494.65425291527828</v>
      </c>
      <c r="Z92" s="30">
        <f>G68*(1-(VLOOKUP(Z$75,tech_data!$B$2:$O$15,4,FALSE)/100))</f>
        <v>1.4938822809542094</v>
      </c>
      <c r="AA92" s="30">
        <f>H68*(1-(VLOOKUP(AA$75,tech_data!$B$2:$O$15,4,FALSE)/100))</f>
        <v>26.24328176220553</v>
      </c>
      <c r="AB92" s="30">
        <f>I68*(1-(VLOOKUP(AB$75,tech_data!$B$2:$O$15,4,FALSE)/100))</f>
        <v>4.5646421598056071</v>
      </c>
      <c r="AC92" s="30">
        <f>J68*(1-(VLOOKUP(AC$75,tech_data!$B$2:$O$15,4,FALSE)/100))</f>
        <v>11.921976705369458</v>
      </c>
      <c r="AD92" s="30">
        <f>K68*(1-(VLOOKUP(AD$75,tech_data!$B$2:$O$15,4,FALSE)/100))</f>
        <v>41.305668959199323</v>
      </c>
      <c r="AE92" s="30">
        <f>L68*(1-(VLOOKUP(AE$75,tech_data!$B$2:$O$15,4,FALSE)/100))</f>
        <v>102.38262005877851</v>
      </c>
      <c r="AF92" s="30">
        <f>M68*(1-(VLOOKUP(AF$75,tech_data!$B$2:$O$15,4,FALSE)/100))</f>
        <v>0.16010490711662531</v>
      </c>
      <c r="AG92" s="30">
        <f>N68*(1-(VLOOKUP(AG$75,tech_data!$B$2:$O$15,4,FALSE)/100))</f>
        <v>5.3327749323264194E-3</v>
      </c>
      <c r="AH92" s="30">
        <f>O68*(1-(VLOOKUP(AH$75,tech_data!$B$2:$O$15,4,FALSE)/100))</f>
        <v>0</v>
      </c>
      <c r="AI92" s="30">
        <f>(Jawa!AI68*3.6/(VLOOKUP(AI$51,tech_data!$B$2:$J$15,4,FALSE)/100))/1000</f>
        <v>0</v>
      </c>
      <c r="AJ92" s="30">
        <f t="shared" si="87"/>
        <v>1688.7541188477981</v>
      </c>
      <c r="AK92" s="30"/>
      <c r="AL92" s="23"/>
    </row>
    <row r="93" spans="1:38" x14ac:dyDescent="0.25">
      <c r="A93" s="19"/>
      <c r="B93" s="20" t="str">
        <f t="shared" si="89"/>
        <v>JAWA</v>
      </c>
      <c r="C93" s="20">
        <f t="shared" si="89"/>
        <v>2036</v>
      </c>
      <c r="D93" s="30">
        <f t="shared" ref="D93:O95" si="91">D45*3.6/1000</f>
        <v>526.76214760575681</v>
      </c>
      <c r="E93" s="30">
        <f t="shared" si="91"/>
        <v>122.89242347552985</v>
      </c>
      <c r="F93" s="30">
        <f t="shared" si="91"/>
        <v>741.33497027294015</v>
      </c>
      <c r="G93" s="30">
        <f t="shared" si="91"/>
        <v>1.3296892088978223</v>
      </c>
      <c r="H93" s="30">
        <f t="shared" si="91"/>
        <v>40.870436053406948</v>
      </c>
      <c r="I93" s="30">
        <f t="shared" si="91"/>
        <v>97.687928970953237</v>
      </c>
      <c r="J93" s="30">
        <f t="shared" si="91"/>
        <v>55.032866254061993</v>
      </c>
      <c r="K93" s="30">
        <f t="shared" si="91"/>
        <v>55.723137571280468</v>
      </c>
      <c r="L93" s="30">
        <f t="shared" si="91"/>
        <v>253.06142700824546</v>
      </c>
      <c r="M93" s="30">
        <f t="shared" si="91"/>
        <v>7.1931190153846164E-2</v>
      </c>
      <c r="N93" s="30">
        <f t="shared" si="91"/>
        <v>6.0371036969733026E-2</v>
      </c>
      <c r="O93" s="30">
        <f t="shared" si="91"/>
        <v>0</v>
      </c>
      <c r="P93" s="30">
        <f>(Jawa!P69*3.6/(VLOOKUP(P$51,tech_data!$B$2:$J$15,4,FALSE)/100))/1000</f>
        <v>0</v>
      </c>
      <c r="Q93" s="30">
        <f t="shared" si="85"/>
        <v>1894.8273286481963</v>
      </c>
      <c r="R93" s="30"/>
      <c r="S93" s="23"/>
      <c r="T93" s="19"/>
      <c r="U93" s="20" t="str">
        <f t="shared" si="90"/>
        <v>JAWA</v>
      </c>
      <c r="V93" s="20">
        <f t="shared" si="90"/>
        <v>2036</v>
      </c>
      <c r="W93" s="30">
        <f>D69*(1-(VLOOKUP(W$75,tech_data!$B$2:$O$15,4,FALSE)/100))</f>
        <v>835.55375137464853</v>
      </c>
      <c r="X93" s="30">
        <f>E69*(1-(VLOOKUP(X$75,tech_data!$B$2:$O$15,4,FALSE)/100))</f>
        <v>221.66577318483422</v>
      </c>
      <c r="Y93" s="30">
        <f>F69*(1-(VLOOKUP(Y$75,tech_data!$B$2:$O$15,4,FALSE)/100))</f>
        <v>529.52497876638574</v>
      </c>
      <c r="Z93" s="30">
        <f>G69*(1-(VLOOKUP(Z$75,tech_data!$B$2:$O$15,4,FALSE)/100))</f>
        <v>1.5609395060974436</v>
      </c>
      <c r="AA93" s="30">
        <f>H69*(1-(VLOOKUP(AA$75,tech_data!$B$2:$O$15,4,FALSE)/100))</f>
        <v>35.352927186197007</v>
      </c>
      <c r="AB93" s="30">
        <f>I69*(1-(VLOOKUP(AB$75,tech_data!$B$2:$O$15,4,FALSE)/100))</f>
        <v>5.1414699458396491</v>
      </c>
      <c r="AC93" s="30">
        <f>J69*(1-(VLOOKUP(AC$75,tech_data!$B$2:$O$15,4,FALSE)/100))</f>
        <v>13.758216563515491</v>
      </c>
      <c r="AD93" s="30">
        <f>K69*(1-(VLOOKUP(AD$75,tech_data!$B$2:$O$15,4,FALSE)/100))</f>
        <v>46.807435559875593</v>
      </c>
      <c r="AE93" s="30">
        <f>L69*(1-(VLOOKUP(AE$75,tech_data!$B$2:$O$15,4,FALSE)/100))</f>
        <v>102.99600079235591</v>
      </c>
      <c r="AF93" s="30">
        <f>M69*(1-(VLOOKUP(AF$75,tech_data!$B$2:$O$15,4,FALSE)/100))</f>
        <v>0.16010490711662531</v>
      </c>
      <c r="AG93" s="30">
        <f>N69*(1-(VLOOKUP(AG$75,tech_data!$B$2:$O$15,4,FALSE)/100))</f>
        <v>5.3327749323264194E-3</v>
      </c>
      <c r="AH93" s="30">
        <f>O69*(1-(VLOOKUP(AH$75,tech_data!$B$2:$O$15,4,FALSE)/100))</f>
        <v>0</v>
      </c>
      <c r="AI93" s="30">
        <f>(Jawa!AI69*3.6/(VLOOKUP(AI$51,tech_data!$B$2:$J$15,4,FALSE)/100))/1000</f>
        <v>0</v>
      </c>
      <c r="AJ93" s="30">
        <f t="shared" si="87"/>
        <v>1792.526930561799</v>
      </c>
      <c r="AK93" s="30"/>
      <c r="AL93" s="23"/>
    </row>
    <row r="94" spans="1:38" x14ac:dyDescent="0.25">
      <c r="A94" s="19"/>
      <c r="B94" s="20" t="str">
        <f t="shared" si="89"/>
        <v>JAWA</v>
      </c>
      <c r="C94" s="20">
        <f t="shared" si="89"/>
        <v>2037</v>
      </c>
      <c r="D94" s="30">
        <f t="shared" si="91"/>
        <v>556.50064425816458</v>
      </c>
      <c r="E94" s="30">
        <f t="shared" si="91"/>
        <v>129.90142811556387</v>
      </c>
      <c r="F94" s="30">
        <f t="shared" si="91"/>
        <v>787.34079908200863</v>
      </c>
      <c r="G94" s="30">
        <f t="shared" si="91"/>
        <v>1.3866375565444546</v>
      </c>
      <c r="H94" s="30">
        <f t="shared" si="91"/>
        <v>62.344398965825</v>
      </c>
      <c r="I94" s="30">
        <f t="shared" si="91"/>
        <v>103.16746187297585</v>
      </c>
      <c r="J94" s="30">
        <f t="shared" si="91"/>
        <v>58.705345970354074</v>
      </c>
      <c r="K94" s="30">
        <f t="shared" si="91"/>
        <v>63.011579587189217</v>
      </c>
      <c r="L94" s="30">
        <f t="shared" si="91"/>
        <v>253.81496599298433</v>
      </c>
      <c r="M94" s="30">
        <f t="shared" si="91"/>
        <v>7.1931190153846164E-2</v>
      </c>
      <c r="N94" s="30">
        <f t="shared" si="91"/>
        <v>6.0371036969733026E-2</v>
      </c>
      <c r="O94" s="30">
        <f t="shared" si="91"/>
        <v>1.2792894953061166E-17</v>
      </c>
      <c r="P94" s="30">
        <f>(Jawa!P70*3.6/(VLOOKUP(P$51,tech_data!$B$2:$J$15,4,FALSE)/100))/1000</f>
        <v>0</v>
      </c>
      <c r="Q94" s="30">
        <f t="shared" si="85"/>
        <v>2016.3055636287336</v>
      </c>
      <c r="R94" s="30"/>
      <c r="S94" s="23"/>
      <c r="T94" s="19"/>
      <c r="U94" s="20" t="str">
        <f t="shared" si="90"/>
        <v>JAWA</v>
      </c>
      <c r="V94" s="20">
        <f t="shared" si="90"/>
        <v>2037</v>
      </c>
      <c r="W94" s="30">
        <f>D70*(1-(VLOOKUP(W$75,tech_data!$B$2:$O$15,4,FALSE)/100))</f>
        <v>882.72515985777829</v>
      </c>
      <c r="X94" s="30">
        <f>E70*(1-(VLOOKUP(X$75,tech_data!$B$2:$O$15,4,FALSE)/100))</f>
        <v>234.30818342340027</v>
      </c>
      <c r="Y94" s="30">
        <f>F70*(1-(VLOOKUP(Y$75,tech_data!$B$2:$O$15,4,FALSE)/100))</f>
        <v>562.38628505857753</v>
      </c>
      <c r="Z94" s="30">
        <f>G70*(1-(VLOOKUP(Z$75,tech_data!$B$2:$O$15,4,FALSE)/100))</f>
        <v>1.62779191420436</v>
      </c>
      <c r="AA94" s="30">
        <f>H70*(1-(VLOOKUP(AA$75,tech_data!$B$2:$O$15,4,FALSE)/100))</f>
        <v>53.927905105438626</v>
      </c>
      <c r="AB94" s="30">
        <f>I70*(1-(VLOOKUP(AB$75,tech_data!$B$2:$O$15,4,FALSE)/100))</f>
        <v>5.4298664143671553</v>
      </c>
      <c r="AC94" s="30">
        <f>J70*(1-(VLOOKUP(AC$75,tech_data!$B$2:$O$15,4,FALSE)/100))</f>
        <v>14.676336492588513</v>
      </c>
      <c r="AD94" s="30">
        <f>K70*(1-(VLOOKUP(AD$75,tech_data!$B$2:$O$15,4,FALSE)/100))</f>
        <v>52.92972685323894</v>
      </c>
      <c r="AE94" s="30">
        <f>L70*(1-(VLOOKUP(AE$75,tech_data!$B$2:$O$15,4,FALSE)/100))</f>
        <v>103.30269115914463</v>
      </c>
      <c r="AF94" s="30">
        <f>M70*(1-(VLOOKUP(AF$75,tech_data!$B$2:$O$15,4,FALSE)/100))</f>
        <v>0.16010490711662531</v>
      </c>
      <c r="AG94" s="30">
        <f>N70*(1-(VLOOKUP(AG$75,tech_data!$B$2:$O$15,4,FALSE)/100))</f>
        <v>5.3327749323264194E-3</v>
      </c>
      <c r="AH94" s="30">
        <f>O70*(1-(VLOOKUP(AH$75,tech_data!$B$2:$O$15,4,FALSE)/100))</f>
        <v>3.1833482790175464E-17</v>
      </c>
      <c r="AI94" s="30">
        <f>(Jawa!AI70*3.6/(VLOOKUP(AI$51,tech_data!$B$2:$J$15,4,FALSE)/100))/1000</f>
        <v>0</v>
      </c>
      <c r="AJ94" s="30">
        <f t="shared" si="87"/>
        <v>1911.4793839607871</v>
      </c>
      <c r="AK94" s="30"/>
      <c r="AL94" s="23"/>
    </row>
    <row r="95" spans="1:38" x14ac:dyDescent="0.25">
      <c r="A95" s="19"/>
      <c r="B95" s="20" t="str">
        <f t="shared" si="89"/>
        <v>JAWA</v>
      </c>
      <c r="C95" s="20">
        <f t="shared" si="89"/>
        <v>2038</v>
      </c>
      <c r="D95" s="30">
        <f t="shared" si="91"/>
        <v>590.74035927266925</v>
      </c>
      <c r="E95" s="30">
        <f t="shared" si="91"/>
        <v>139.35513449595013</v>
      </c>
      <c r="F95" s="30">
        <f t="shared" si="91"/>
        <v>838.87172416064288</v>
      </c>
      <c r="G95" s="30">
        <f t="shared" si="91"/>
        <v>1.4530432334010821</v>
      </c>
      <c r="H95" s="30">
        <f t="shared" si="91"/>
        <v>93.203118638256953</v>
      </c>
      <c r="I95" s="30">
        <f t="shared" si="91"/>
        <v>105.90755938928794</v>
      </c>
      <c r="J95" s="30">
        <f t="shared" si="91"/>
        <v>60.541585828500132</v>
      </c>
      <c r="K95" s="30">
        <f t="shared" si="91"/>
        <v>71.58902511156505</v>
      </c>
      <c r="L95" s="30">
        <f t="shared" si="91"/>
        <v>254.19173548535369</v>
      </c>
      <c r="M95" s="30">
        <f t="shared" si="91"/>
        <v>7.1931190153846164E-2</v>
      </c>
      <c r="N95" s="30">
        <f t="shared" si="91"/>
        <v>6.0371036969733026E-2</v>
      </c>
      <c r="O95" s="30">
        <f t="shared" si="91"/>
        <v>1.2792894953061166E-17</v>
      </c>
      <c r="P95" s="30">
        <f>(Jawa!P71*3.6/(VLOOKUP(P$51,tech_data!$B$2:$J$15,4,FALSE)/100))/1000</f>
        <v>0</v>
      </c>
      <c r="Q95" s="30">
        <f t="shared" si="85"/>
        <v>2155.9855878427506</v>
      </c>
      <c r="R95" s="30"/>
      <c r="S95" s="23"/>
      <c r="T95" s="19"/>
      <c r="U95" s="20" t="str">
        <f t="shared" si="90"/>
        <v>JAWA</v>
      </c>
      <c r="V95" s="20">
        <f t="shared" si="90"/>
        <v>2038</v>
      </c>
      <c r="W95" s="30">
        <f>D71*(1-(VLOOKUP(W$75,tech_data!$B$2:$O$15,4,FALSE)/100))</f>
        <v>937.03643194975132</v>
      </c>
      <c r="X95" s="30">
        <f>E71*(1-(VLOOKUP(X$75,tech_data!$B$2:$O$15,4,FALSE)/100))</f>
        <v>251.36019586652691</v>
      </c>
      <c r="Y95" s="30">
        <f>F71*(1-(VLOOKUP(Y$75,tech_data!$B$2:$O$15,4,FALSE)/100))</f>
        <v>599.19408868617336</v>
      </c>
      <c r="Z95" s="30">
        <f>G71*(1-(VLOOKUP(Z$75,tech_data!$B$2:$O$15,4,FALSE)/100))</f>
        <v>1.7057464044273571</v>
      </c>
      <c r="AA95" s="30">
        <f>H71*(1-(VLOOKUP(AA$75,tech_data!$B$2:$O$15,4,FALSE)/100))</f>
        <v>80.620697622092266</v>
      </c>
      <c r="AB95" s="30">
        <f>I71*(1-(VLOOKUP(AB$75,tech_data!$B$2:$O$15,4,FALSE)/100))</f>
        <v>5.5740820731204241</v>
      </c>
      <c r="AC95" s="30">
        <f>J71*(1-(VLOOKUP(AC$75,tech_data!$B$2:$O$15,4,FALSE)/100))</f>
        <v>15.135396457125028</v>
      </c>
      <c r="AD95" s="30">
        <f>K71*(1-(VLOOKUP(AD$75,tech_data!$B$2:$O$15,4,FALSE)/100))</f>
        <v>60.134781093714636</v>
      </c>
      <c r="AE95" s="30">
        <f>L71*(1-(VLOOKUP(AE$75,tech_data!$B$2:$O$15,4,FALSE)/100))</f>
        <v>103.45603634253897</v>
      </c>
      <c r="AF95" s="30">
        <f>M71*(1-(VLOOKUP(AF$75,tech_data!$B$2:$O$15,4,FALSE)/100))</f>
        <v>0.16010490711662531</v>
      </c>
      <c r="AG95" s="30">
        <f>N71*(1-(VLOOKUP(AG$75,tech_data!$B$2:$O$15,4,FALSE)/100))</f>
        <v>5.3327749323264194E-3</v>
      </c>
      <c r="AH95" s="30">
        <f>O71*(1-(VLOOKUP(AH$75,tech_data!$B$2:$O$15,4,FALSE)/100))</f>
        <v>3.1833482790175464E-17</v>
      </c>
      <c r="AI95" s="30">
        <f>(Jawa!AI71*3.6/(VLOOKUP(AI$51,tech_data!$B$2:$J$15,4,FALSE)/100))/1000</f>
        <v>0</v>
      </c>
      <c r="AJ95" s="30">
        <f t="shared" si="87"/>
        <v>2054.3828941775191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323850</xdr:colOff>
                    <xdr:row>0</xdr:row>
                    <xdr:rowOff>66675</xdr:rowOff>
                  </from>
                  <to>
                    <xdr:col>3</xdr:col>
                    <xdr:colOff>657225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01B88-9F63-4AAC-9B3D-4AA12B557E3A}">
  <sheetPr codeName="Sheet10"/>
  <dimension ref="A1:CF96"/>
  <sheetViews>
    <sheetView topLeftCell="AK1" zoomScale="85" zoomScaleNormal="85" workbookViewId="0">
      <selection activeCell="BC4" sqref="BC4:BC23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proj_rukn!A62</f>
        <v>BALI_NT</v>
      </c>
      <c r="C4" s="20">
        <f>proj_rukn!B62</f>
        <v>2019</v>
      </c>
      <c r="D4" s="30">
        <f>existing_capacity!C5</f>
        <v>519.33999999999992</v>
      </c>
      <c r="E4" s="30">
        <f>existing_capacity!D5</f>
        <v>660.53</v>
      </c>
      <c r="F4" s="30">
        <f>existing_capacity!E5</f>
        <v>0</v>
      </c>
      <c r="G4" s="30">
        <f>existing_capacity!F5</f>
        <v>582.04999999999995</v>
      </c>
      <c r="H4" s="30">
        <f>existing_capacity!G5</f>
        <v>24.6</v>
      </c>
      <c r="I4" s="30">
        <f>existing_capacity!H5</f>
        <v>7.3000000000000007</v>
      </c>
      <c r="J4" s="30">
        <f>existing_capacity!I5</f>
        <v>16</v>
      </c>
      <c r="K4" s="30">
        <f>existing_capacity!J5</f>
        <v>4.13</v>
      </c>
      <c r="L4" s="30">
        <f>existing_capacity!K5</f>
        <v>0</v>
      </c>
      <c r="M4" s="30">
        <f>existing_capacity!L5</f>
        <v>0</v>
      </c>
      <c r="N4" s="30">
        <f>existing_capacity!M5</f>
        <v>0</v>
      </c>
      <c r="O4" s="30">
        <f>existing_capacity!N5</f>
        <v>0</v>
      </c>
      <c r="P4" s="30">
        <v>0</v>
      </c>
      <c r="Q4" s="30">
        <f>SUM(D4:O4)</f>
        <v>1813.9499999999998</v>
      </c>
      <c r="R4" s="30"/>
      <c r="S4" s="36"/>
      <c r="T4" s="19"/>
      <c r="U4" s="20" t="str">
        <f t="shared" ref="U4:V23" si="0">B4</f>
        <v>BALI_NT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BALI_NT</v>
      </c>
      <c r="AP4" s="20">
        <f t="shared" si="2"/>
        <v>2019</v>
      </c>
      <c r="AQ4" s="30">
        <v>99999</v>
      </c>
      <c r="AR4" s="30">
        <v>99999</v>
      </c>
      <c r="AS4" s="30">
        <v>99999</v>
      </c>
      <c r="AT4" s="30">
        <v>99999</v>
      </c>
      <c r="AU4" s="30">
        <f>potential!G5</f>
        <v>1698.8</v>
      </c>
      <c r="AV4" s="30">
        <f>potential!H5</f>
        <v>624</v>
      </c>
      <c r="AW4" s="30">
        <f>potential!I5</f>
        <v>141</v>
      </c>
      <c r="AX4" s="30">
        <f>potential!J5</f>
        <v>18457</v>
      </c>
      <c r="AY4" s="30">
        <f>potential!K5</f>
        <v>13812</v>
      </c>
      <c r="AZ4" s="30">
        <f>potential!L5</f>
        <v>635</v>
      </c>
      <c r="BA4" s="30">
        <f>potential!M5</f>
        <v>9297</v>
      </c>
      <c r="BB4" s="30">
        <v>99999</v>
      </c>
      <c r="BC4" s="30">
        <v>99999</v>
      </c>
      <c r="BD4" s="30">
        <f t="shared" ref="BD4:BD23" si="3">SUM(AU4:BA4)</f>
        <v>44664.800000000003</v>
      </c>
      <c r="BF4" s="23"/>
      <c r="BG4" s="19"/>
      <c r="BH4" s="20" t="str">
        <f>AO4</f>
        <v>BALI_NT</v>
      </c>
      <c r="BI4" s="20">
        <f>AP4</f>
        <v>2019</v>
      </c>
      <c r="BJ4" s="25">
        <f t="shared" ref="BJ4:BJ22" si="4">SUM(K28:L28,N28)/Q28</f>
        <v>9.8721750920653531E-4</v>
      </c>
      <c r="BK4" s="43">
        <f t="shared" ref="BK4:BK23" si="5">$BO$5+((BJ4-$BN$5)*($BO$6-$BO$5)/($BN$6-$BN$5))</f>
        <v>2.7290752386410077E-4</v>
      </c>
      <c r="BL4" s="34">
        <f>BK4*Q28*1000</f>
        <v>2100.2747548360899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BALI_NT</v>
      </c>
      <c r="C5" s="20">
        <f>C4+1</f>
        <v>2020</v>
      </c>
      <c r="D5" s="30">
        <f>D4+W5</f>
        <v>598.00789764981778</v>
      </c>
      <c r="E5" s="30">
        <f t="shared" ref="E5:O20" si="6">E4+X5</f>
        <v>660.53</v>
      </c>
      <c r="F5" s="30">
        <f t="shared" si="6"/>
        <v>0</v>
      </c>
      <c r="G5" s="30">
        <f t="shared" si="6"/>
        <v>582.04999999999995</v>
      </c>
      <c r="H5" s="30">
        <f t="shared" si="6"/>
        <v>156.41990597825298</v>
      </c>
      <c r="I5" s="30">
        <f t="shared" si="6"/>
        <v>7.3000000000000007</v>
      </c>
      <c r="J5" s="30">
        <f t="shared" si="6"/>
        <v>16</v>
      </c>
      <c r="K5" s="30">
        <f t="shared" si="6"/>
        <v>33.227875978394074</v>
      </c>
      <c r="L5" s="30">
        <f t="shared" si="6"/>
        <v>0</v>
      </c>
      <c r="M5" s="30">
        <f t="shared" si="6"/>
        <v>-4.0038264259578682E-7</v>
      </c>
      <c r="N5" s="30">
        <f t="shared" si="6"/>
        <v>-3.3184666029320575E-7</v>
      </c>
      <c r="O5" s="30">
        <f t="shared" si="6"/>
        <v>0</v>
      </c>
      <c r="P5" s="30">
        <f>BL5/((VLOOKUP(P$3,tech_data!$B$2:$G$15,6,FALSE)/100)*24*365)</f>
        <v>0.62505484098472719</v>
      </c>
      <c r="Q5" s="30">
        <f t="shared" ref="Q5:Q23" si="7">SUM(D5:O5)</f>
        <v>2053.5356788742351</v>
      </c>
      <c r="R5" s="30"/>
      <c r="S5" s="36"/>
      <c r="T5" s="19"/>
      <c r="U5" s="20" t="str">
        <f t="shared" si="0"/>
        <v>BALI_NT</v>
      </c>
      <c r="V5" s="20">
        <f t="shared" si="0"/>
        <v>2020</v>
      </c>
      <c r="W5" s="30">
        <v>78.667897649817888</v>
      </c>
      <c r="X5" s="30">
        <v>0</v>
      </c>
      <c r="Y5" s="30">
        <v>0</v>
      </c>
      <c r="Z5" s="30">
        <v>0</v>
      </c>
      <c r="AA5" s="30">
        <v>131.81990597825299</v>
      </c>
      <c r="AB5" s="30">
        <v>0</v>
      </c>
      <c r="AC5" s="30">
        <v>0</v>
      </c>
      <c r="AD5" s="30">
        <v>29.097875978394075</v>
      </c>
      <c r="AE5" s="30">
        <v>0</v>
      </c>
      <c r="AF5" s="30">
        <v>-4.0038264259578682E-7</v>
      </c>
      <c r="AG5" s="30">
        <v>-3.3184666029320575E-7</v>
      </c>
      <c r="AH5" s="30">
        <v>0</v>
      </c>
      <c r="AI5" s="30">
        <f t="shared" ref="AI5:AI23" si="8">IF(P5&gt;=P4, P5-P4, 0)</f>
        <v>0.62505484098472719</v>
      </c>
      <c r="AJ5" s="34">
        <f t="shared" si="1"/>
        <v>240.21073371522039</v>
      </c>
      <c r="AM5" s="23"/>
      <c r="AO5" s="20" t="str">
        <f t="shared" si="2"/>
        <v>BALI_NT</v>
      </c>
      <c r="AP5" s="20">
        <f t="shared" si="2"/>
        <v>2020</v>
      </c>
      <c r="AQ5" s="30">
        <v>99999</v>
      </c>
      <c r="AR5" s="30">
        <v>99999</v>
      </c>
      <c r="AS5" s="30">
        <v>99999</v>
      </c>
      <c r="AT5" s="30">
        <v>99999</v>
      </c>
      <c r="AU5" s="30">
        <f t="shared" ref="AU5:BA20" si="9">AU4-AA5</f>
        <v>1566.9800940217469</v>
      </c>
      <c r="AV5" s="30">
        <f t="shared" si="9"/>
        <v>624</v>
      </c>
      <c r="AW5" s="30">
        <f t="shared" si="9"/>
        <v>141</v>
      </c>
      <c r="AX5" s="30">
        <f t="shared" si="9"/>
        <v>18427.902124021606</v>
      </c>
      <c r="AY5" s="30">
        <f t="shared" si="9"/>
        <v>13812</v>
      </c>
      <c r="AZ5" s="30">
        <f t="shared" si="9"/>
        <v>635.00000040038265</v>
      </c>
      <c r="BA5" s="30">
        <f t="shared" si="9"/>
        <v>9297.0000003318473</v>
      </c>
      <c r="BB5" s="30">
        <v>99999</v>
      </c>
      <c r="BC5" s="30">
        <v>99999</v>
      </c>
      <c r="BD5" s="30">
        <f t="shared" si="3"/>
        <v>44503.88221877558</v>
      </c>
      <c r="BF5" s="23"/>
      <c r="BG5" s="19"/>
      <c r="BH5" s="20" t="str">
        <f t="shared" ref="BH5:BI23" si="10">AO5</f>
        <v>BALI_NT</v>
      </c>
      <c r="BI5" s="20">
        <f t="shared" si="10"/>
        <v>2020</v>
      </c>
      <c r="BJ5" s="25">
        <f t="shared" si="4"/>
        <v>6.8021174970794391E-3</v>
      </c>
      <c r="BK5" s="43">
        <f t="shared" si="5"/>
        <v>2.7419081213728651E-4</v>
      </c>
      <c r="BL5" s="34">
        <f t="shared" ref="BL5:BL23" si="11">BK5*Q29*1000</f>
        <v>2463.966183161795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BALI_NT</v>
      </c>
      <c r="C6" s="20">
        <f t="shared" ref="C6:C23" si="13">C5+1</f>
        <v>2021</v>
      </c>
      <c r="D6" s="30">
        <f t="shared" ref="D6:O21" si="14">D5+W6</f>
        <v>673.80380656909597</v>
      </c>
      <c r="E6" s="30">
        <f t="shared" si="6"/>
        <v>660.53</v>
      </c>
      <c r="F6" s="30">
        <f t="shared" si="6"/>
        <v>34.617891598102879</v>
      </c>
      <c r="G6" s="30">
        <f t="shared" si="6"/>
        <v>582.04999899999996</v>
      </c>
      <c r="H6" s="30">
        <f t="shared" si="6"/>
        <v>156.41990497825299</v>
      </c>
      <c r="I6" s="30">
        <f t="shared" si="6"/>
        <v>181.49054873618044</v>
      </c>
      <c r="J6" s="30">
        <f t="shared" si="6"/>
        <v>16</v>
      </c>
      <c r="K6" s="30">
        <f t="shared" si="6"/>
        <v>58.667961747596863</v>
      </c>
      <c r="L6" s="30">
        <f t="shared" si="6"/>
        <v>0</v>
      </c>
      <c r="M6" s="30">
        <f t="shared" si="6"/>
        <v>0</v>
      </c>
      <c r="N6" s="30">
        <f t="shared" si="6"/>
        <v>1.1703509342293799E-14</v>
      </c>
      <c r="O6" s="30">
        <f t="shared" si="6"/>
        <v>0</v>
      </c>
      <c r="P6" s="30">
        <f>BL6/((VLOOKUP(P$3,tech_data!$B$2:$G$15,6,FALSE)/100)*24*365)</f>
        <v>0.71645697215852067</v>
      </c>
      <c r="Q6" s="30">
        <f t="shared" si="7"/>
        <v>2363.580112629229</v>
      </c>
      <c r="R6" s="30"/>
      <c r="S6" s="36"/>
      <c r="T6" s="19"/>
      <c r="U6" s="20" t="str">
        <f t="shared" si="0"/>
        <v>BALI_NT</v>
      </c>
      <c r="V6" s="20">
        <f t="shared" si="0"/>
        <v>2021</v>
      </c>
      <c r="W6" s="30">
        <v>75.795908919278176</v>
      </c>
      <c r="X6" s="30">
        <v>0</v>
      </c>
      <c r="Y6" s="30">
        <v>34.617891598102879</v>
      </c>
      <c r="Z6" s="30">
        <v>-9.9999999997324451E-7</v>
      </c>
      <c r="AA6" s="30">
        <v>-9.9999999747524271E-7</v>
      </c>
      <c r="AB6" s="30">
        <v>174.19054873618043</v>
      </c>
      <c r="AC6" s="30">
        <v>0</v>
      </c>
      <c r="AD6" s="30">
        <v>25.440085769202792</v>
      </c>
      <c r="AE6" s="30">
        <v>0</v>
      </c>
      <c r="AF6" s="30">
        <v>4.0038264259578671E-7</v>
      </c>
      <c r="AG6" s="30">
        <v>3.318466719967151E-7</v>
      </c>
      <c r="AH6" s="30">
        <v>0</v>
      </c>
      <c r="AI6" s="30">
        <f t="shared" si="8"/>
        <v>9.1402131173793477E-2</v>
      </c>
      <c r="AJ6" s="34">
        <f t="shared" si="1"/>
        <v>310.13583588616734</v>
      </c>
      <c r="AM6" s="23"/>
      <c r="AO6" s="20" t="str">
        <f t="shared" si="2"/>
        <v>BALI_NT</v>
      </c>
      <c r="AP6" s="20">
        <f t="shared" si="2"/>
        <v>2021</v>
      </c>
      <c r="AQ6" s="30">
        <v>99999</v>
      </c>
      <c r="AR6" s="30">
        <v>99999</v>
      </c>
      <c r="AS6" s="30">
        <v>99999</v>
      </c>
      <c r="AT6" s="30">
        <v>99999</v>
      </c>
      <c r="AU6" s="30">
        <f t="shared" si="9"/>
        <v>1566.9800950217468</v>
      </c>
      <c r="AV6" s="30">
        <f t="shared" si="9"/>
        <v>449.8094512638196</v>
      </c>
      <c r="AW6" s="30">
        <f t="shared" si="9"/>
        <v>141</v>
      </c>
      <c r="AX6" s="30">
        <f t="shared" si="9"/>
        <v>18402.462038252404</v>
      </c>
      <c r="AY6" s="30">
        <f t="shared" si="9"/>
        <v>13812</v>
      </c>
      <c r="AZ6" s="30">
        <f t="shared" si="9"/>
        <v>635</v>
      </c>
      <c r="BA6" s="30">
        <f t="shared" si="9"/>
        <v>9297</v>
      </c>
      <c r="BB6" s="30">
        <v>99999</v>
      </c>
      <c r="BC6" s="30">
        <v>99999</v>
      </c>
      <c r="BD6" s="30">
        <f t="shared" si="3"/>
        <v>44304.251584537968</v>
      </c>
      <c r="BF6" s="23"/>
      <c r="BG6" s="19"/>
      <c r="BH6" s="20" t="str">
        <f t="shared" si="10"/>
        <v>BALI_NT</v>
      </c>
      <c r="BI6" s="20">
        <f t="shared" si="10"/>
        <v>2021</v>
      </c>
      <c r="BJ6" s="25">
        <f t="shared" si="4"/>
        <v>1.0509073148932653E-2</v>
      </c>
      <c r="BK6" s="43">
        <f t="shared" si="5"/>
        <v>2.7500889890183343E-4</v>
      </c>
      <c r="BL6" s="34">
        <f t="shared" si="11"/>
        <v>2824.2733842488888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BALI_NT</v>
      </c>
      <c r="C7" s="20">
        <f t="shared" si="13"/>
        <v>2022</v>
      </c>
      <c r="D7" s="30">
        <f t="shared" si="14"/>
        <v>739.04326812202021</v>
      </c>
      <c r="E7" s="30">
        <f t="shared" si="6"/>
        <v>660.52999899999998</v>
      </c>
      <c r="F7" s="30">
        <f t="shared" si="6"/>
        <v>137.92065287783515</v>
      </c>
      <c r="G7" s="30">
        <f t="shared" si="6"/>
        <v>582.04999899999996</v>
      </c>
      <c r="H7" s="30">
        <f t="shared" si="6"/>
        <v>156.41990497825299</v>
      </c>
      <c r="I7" s="30">
        <f t="shared" si="6"/>
        <v>298.31775236583223</v>
      </c>
      <c r="J7" s="30">
        <f t="shared" si="6"/>
        <v>16</v>
      </c>
      <c r="K7" s="30">
        <f t="shared" si="6"/>
        <v>78.502028453607167</v>
      </c>
      <c r="L7" s="30">
        <f t="shared" si="6"/>
        <v>0</v>
      </c>
      <c r="M7" s="30">
        <f t="shared" si="6"/>
        <v>0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0.79856071672308826</v>
      </c>
      <c r="Q7" s="30">
        <f t="shared" si="7"/>
        <v>2668.7836047975479</v>
      </c>
      <c r="R7" s="30"/>
      <c r="S7" s="36"/>
      <c r="T7" s="19"/>
      <c r="U7" s="20" t="str">
        <f t="shared" si="0"/>
        <v>BALI_NT</v>
      </c>
      <c r="V7" s="20">
        <f t="shared" si="0"/>
        <v>2022</v>
      </c>
      <c r="W7" s="30">
        <v>65.239461552924254</v>
      </c>
      <c r="X7" s="30">
        <v>-9.9999999925159955E-7</v>
      </c>
      <c r="Y7" s="30">
        <v>103.30276127973227</v>
      </c>
      <c r="Z7" s="30">
        <v>0</v>
      </c>
      <c r="AA7" s="30">
        <v>0</v>
      </c>
      <c r="AB7" s="30">
        <v>116.82720362965181</v>
      </c>
      <c r="AC7" s="30">
        <v>0</v>
      </c>
      <c r="AD7" s="30">
        <v>19.834066706010304</v>
      </c>
      <c r="AE7" s="30">
        <v>0</v>
      </c>
      <c r="AF7" s="30">
        <v>0</v>
      </c>
      <c r="AG7" s="30">
        <v>-1.1703509342293799E-14</v>
      </c>
      <c r="AH7" s="30">
        <v>0</v>
      </c>
      <c r="AI7" s="30">
        <f t="shared" si="8"/>
        <v>8.2103744564567593E-2</v>
      </c>
      <c r="AJ7" s="34">
        <f t="shared" si="1"/>
        <v>305.28559591288325</v>
      </c>
      <c r="AM7" s="23"/>
      <c r="AO7" s="20" t="str">
        <f t="shared" si="2"/>
        <v>BALI_NT</v>
      </c>
      <c r="AP7" s="20">
        <f t="shared" si="2"/>
        <v>2022</v>
      </c>
      <c r="AQ7" s="30">
        <v>99999</v>
      </c>
      <c r="AR7" s="30">
        <v>99999</v>
      </c>
      <c r="AS7" s="30">
        <v>99999</v>
      </c>
      <c r="AT7" s="30">
        <v>99999</v>
      </c>
      <c r="AU7" s="30">
        <f t="shared" si="9"/>
        <v>1566.9800950217468</v>
      </c>
      <c r="AV7" s="30">
        <f t="shared" si="9"/>
        <v>332.98224763416778</v>
      </c>
      <c r="AW7" s="30">
        <f t="shared" si="9"/>
        <v>141</v>
      </c>
      <c r="AX7" s="30">
        <f t="shared" si="9"/>
        <v>18382.627971546393</v>
      </c>
      <c r="AY7" s="30">
        <f t="shared" si="9"/>
        <v>13812</v>
      </c>
      <c r="AZ7" s="30">
        <f t="shared" si="9"/>
        <v>635</v>
      </c>
      <c r="BA7" s="30">
        <f t="shared" si="9"/>
        <v>9297</v>
      </c>
      <c r="BB7" s="30">
        <v>99999</v>
      </c>
      <c r="BC7" s="30">
        <v>99999</v>
      </c>
      <c r="BD7" s="30">
        <f t="shared" si="3"/>
        <v>44167.590314202309</v>
      </c>
      <c r="BF7" s="23"/>
      <c r="BG7" s="19"/>
      <c r="BH7" s="20" t="str">
        <f t="shared" si="10"/>
        <v>BALI_NT</v>
      </c>
      <c r="BI7" s="20">
        <f t="shared" si="10"/>
        <v>2022</v>
      </c>
      <c r="BJ7" s="25">
        <f t="shared" si="4"/>
        <v>1.2637689571398629E-2</v>
      </c>
      <c r="BK7" s="43">
        <f t="shared" si="5"/>
        <v>2.754786625261018E-4</v>
      </c>
      <c r="BL7" s="34">
        <f t="shared" si="11"/>
        <v>3147.9263453224144</v>
      </c>
      <c r="BP7" s="23"/>
    </row>
    <row r="8" spans="1:68" x14ac:dyDescent="0.25">
      <c r="A8" s="19"/>
      <c r="B8" s="20" t="str">
        <f t="shared" si="12"/>
        <v>BALI_NT</v>
      </c>
      <c r="C8" s="20">
        <f t="shared" si="13"/>
        <v>2023</v>
      </c>
      <c r="D8" s="30">
        <f t="shared" si="14"/>
        <v>793.60852633289858</v>
      </c>
      <c r="E8" s="30">
        <f t="shared" si="6"/>
        <v>660.52999899999998</v>
      </c>
      <c r="F8" s="30">
        <f t="shared" si="6"/>
        <v>312.00778628017622</v>
      </c>
      <c r="G8" s="30">
        <f t="shared" si="6"/>
        <v>582.04999899999996</v>
      </c>
      <c r="H8" s="30">
        <f t="shared" si="6"/>
        <v>156.41990397825299</v>
      </c>
      <c r="I8" s="30">
        <f t="shared" si="6"/>
        <v>355.52642006775699</v>
      </c>
      <c r="J8" s="30">
        <f t="shared" si="6"/>
        <v>16</v>
      </c>
      <c r="K8" s="30">
        <f t="shared" si="6"/>
        <v>91.298305025412702</v>
      </c>
      <c r="L8" s="30">
        <f t="shared" si="6"/>
        <v>0</v>
      </c>
      <c r="M8" s="30">
        <f t="shared" si="6"/>
        <v>0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0.87070630302875796</v>
      </c>
      <c r="Q8" s="30">
        <f t="shared" si="7"/>
        <v>2967.4409396844976</v>
      </c>
      <c r="R8" s="30"/>
      <c r="S8" s="36"/>
      <c r="T8" s="19"/>
      <c r="U8" s="20" t="str">
        <f t="shared" si="0"/>
        <v>BALI_NT</v>
      </c>
      <c r="V8" s="20">
        <f t="shared" si="0"/>
        <v>2023</v>
      </c>
      <c r="W8" s="30">
        <v>54.565258210878334</v>
      </c>
      <c r="X8" s="30">
        <v>0</v>
      </c>
      <c r="Y8" s="30">
        <v>174.08713340234104</v>
      </c>
      <c r="Z8" s="30">
        <v>0</v>
      </c>
      <c r="AA8" s="30">
        <v>-9.9999999991773336E-7</v>
      </c>
      <c r="AB8" s="30">
        <v>57.208667701924739</v>
      </c>
      <c r="AC8" s="30">
        <v>0</v>
      </c>
      <c r="AD8" s="30">
        <v>12.796276571805532</v>
      </c>
      <c r="AE8" s="30">
        <v>0</v>
      </c>
      <c r="AF8" s="30">
        <v>0</v>
      </c>
      <c r="AG8" s="30">
        <v>0</v>
      </c>
      <c r="AH8" s="30">
        <v>0</v>
      </c>
      <c r="AI8" s="30">
        <f t="shared" si="8"/>
        <v>7.2145586305669696E-2</v>
      </c>
      <c r="AJ8" s="34">
        <f t="shared" si="1"/>
        <v>298.72948047325536</v>
      </c>
      <c r="AM8" s="23"/>
      <c r="AO8" s="20" t="str">
        <f t="shared" si="2"/>
        <v>BALI_NT</v>
      </c>
      <c r="AP8" s="20">
        <f t="shared" si="2"/>
        <v>2023</v>
      </c>
      <c r="AQ8" s="30">
        <v>99999</v>
      </c>
      <c r="AR8" s="30">
        <v>99999</v>
      </c>
      <c r="AS8" s="30">
        <v>99999</v>
      </c>
      <c r="AT8" s="30">
        <v>99999</v>
      </c>
      <c r="AU8" s="30">
        <f t="shared" si="9"/>
        <v>1566.9800960217469</v>
      </c>
      <c r="AV8" s="30">
        <f t="shared" si="9"/>
        <v>275.77357993224302</v>
      </c>
      <c r="AW8" s="30">
        <f t="shared" si="9"/>
        <v>141</v>
      </c>
      <c r="AX8" s="30">
        <f t="shared" si="9"/>
        <v>18369.831694974589</v>
      </c>
      <c r="AY8" s="30">
        <f t="shared" si="9"/>
        <v>13812</v>
      </c>
      <c r="AZ8" s="30">
        <f t="shared" si="9"/>
        <v>635</v>
      </c>
      <c r="BA8" s="30">
        <f t="shared" si="9"/>
        <v>9297</v>
      </c>
      <c r="BB8" s="30">
        <v>99999</v>
      </c>
      <c r="BC8" s="30">
        <v>99999</v>
      </c>
      <c r="BD8" s="30">
        <f t="shared" si="3"/>
        <v>44097.58537092858</v>
      </c>
      <c r="BF8" s="23"/>
      <c r="BG8" s="19"/>
      <c r="BH8" s="20" t="str">
        <f t="shared" si="10"/>
        <v>BALI_NT</v>
      </c>
      <c r="BI8" s="20">
        <f t="shared" si="10"/>
        <v>2023</v>
      </c>
      <c r="BJ8" s="25">
        <f t="shared" si="4"/>
        <v>1.3489066088499577E-2</v>
      </c>
      <c r="BK8" s="43">
        <f t="shared" si="5"/>
        <v>2.7566655251608268E-4</v>
      </c>
      <c r="BL8" s="34">
        <f t="shared" si="11"/>
        <v>3432.3242465393641</v>
      </c>
      <c r="BP8" s="23"/>
    </row>
    <row r="9" spans="1:68" x14ac:dyDescent="0.25">
      <c r="A9" s="19"/>
      <c r="B9" s="20" t="str">
        <f t="shared" si="12"/>
        <v>BALI_NT</v>
      </c>
      <c r="C9" s="20">
        <f t="shared" si="13"/>
        <v>2024</v>
      </c>
      <c r="D9" s="30">
        <f t="shared" si="14"/>
        <v>809.77603043550687</v>
      </c>
      <c r="E9" s="30">
        <f t="shared" si="6"/>
        <v>660.52999799999998</v>
      </c>
      <c r="F9" s="30">
        <f t="shared" si="6"/>
        <v>333.08619804347637</v>
      </c>
      <c r="G9" s="30">
        <f t="shared" si="6"/>
        <v>582.04999899999996</v>
      </c>
      <c r="H9" s="30">
        <f t="shared" si="6"/>
        <v>156.41990397825299</v>
      </c>
      <c r="I9" s="30">
        <f t="shared" si="6"/>
        <v>355.52642006775699</v>
      </c>
      <c r="J9" s="30">
        <f t="shared" si="6"/>
        <v>16</v>
      </c>
      <c r="K9" s="30">
        <f t="shared" si="6"/>
        <v>106.14335058477116</v>
      </c>
      <c r="L9" s="30">
        <f t="shared" si="6"/>
        <v>0</v>
      </c>
      <c r="M9" s="30">
        <f t="shared" si="6"/>
        <v>111.6900361428942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0.90287989934674495</v>
      </c>
      <c r="Q9" s="30">
        <f t="shared" si="7"/>
        <v>3131.2219362526589</v>
      </c>
      <c r="R9" s="30"/>
      <c r="S9" s="36"/>
      <c r="T9" s="19"/>
      <c r="U9" s="20" t="str">
        <f t="shared" si="0"/>
        <v>BALI_NT</v>
      </c>
      <c r="V9" s="20">
        <f t="shared" si="0"/>
        <v>2024</v>
      </c>
      <c r="W9" s="30">
        <v>16.167504102608273</v>
      </c>
      <c r="X9" s="30">
        <v>-9.9999999991773336E-7</v>
      </c>
      <c r="Y9" s="30">
        <v>21.078411763300171</v>
      </c>
      <c r="Z9" s="30">
        <v>0</v>
      </c>
      <c r="AA9" s="30">
        <v>0</v>
      </c>
      <c r="AB9" s="30">
        <v>0</v>
      </c>
      <c r="AC9" s="30">
        <v>0</v>
      </c>
      <c r="AD9" s="30">
        <v>14.845045559358446</v>
      </c>
      <c r="AE9" s="30">
        <v>0</v>
      </c>
      <c r="AF9" s="30">
        <v>111.6900361428942</v>
      </c>
      <c r="AG9" s="30">
        <v>0</v>
      </c>
      <c r="AH9" s="30">
        <v>0</v>
      </c>
      <c r="AI9" s="30">
        <f t="shared" si="8"/>
        <v>3.2173596317986997E-2</v>
      </c>
      <c r="AJ9" s="34">
        <f t="shared" si="1"/>
        <v>163.81317016447909</v>
      </c>
      <c r="AM9" s="23"/>
      <c r="AO9" s="20" t="str">
        <f t="shared" si="2"/>
        <v>BALI_NT</v>
      </c>
      <c r="AP9" s="20">
        <f t="shared" si="2"/>
        <v>2024</v>
      </c>
      <c r="AQ9" s="30">
        <v>99999</v>
      </c>
      <c r="AR9" s="30">
        <v>99999</v>
      </c>
      <c r="AS9" s="30">
        <v>99999</v>
      </c>
      <c r="AT9" s="30">
        <v>99999</v>
      </c>
      <c r="AU9" s="30">
        <f t="shared" si="9"/>
        <v>1566.9800960217469</v>
      </c>
      <c r="AV9" s="30">
        <f t="shared" si="9"/>
        <v>275.77357993224302</v>
      </c>
      <c r="AW9" s="30">
        <f t="shared" si="9"/>
        <v>141</v>
      </c>
      <c r="AX9" s="30">
        <f t="shared" si="9"/>
        <v>18354.98664941523</v>
      </c>
      <c r="AY9" s="30">
        <f t="shared" si="9"/>
        <v>13812</v>
      </c>
      <c r="AZ9" s="30">
        <f t="shared" si="9"/>
        <v>523.3099638571058</v>
      </c>
      <c r="BA9" s="30">
        <f t="shared" si="9"/>
        <v>9297</v>
      </c>
      <c r="BB9" s="30">
        <v>99999</v>
      </c>
      <c r="BC9" s="30">
        <v>99999</v>
      </c>
      <c r="BD9" s="30">
        <f t="shared" si="3"/>
        <v>43971.050289226325</v>
      </c>
      <c r="BF9" s="23"/>
      <c r="BG9" s="19"/>
      <c r="BH9" s="20" t="str">
        <f t="shared" si="10"/>
        <v>BALI_NT</v>
      </c>
      <c r="BI9" s="20">
        <f t="shared" si="10"/>
        <v>2024</v>
      </c>
      <c r="BJ9" s="25">
        <f t="shared" si="4"/>
        <v>1.5143579013856068E-2</v>
      </c>
      <c r="BK9" s="43">
        <f t="shared" si="5"/>
        <v>2.7603168640305791E-4</v>
      </c>
      <c r="BL9" s="34">
        <f t="shared" si="11"/>
        <v>3559.152563224869</v>
      </c>
      <c r="BN9" s="38"/>
      <c r="BP9" s="23"/>
    </row>
    <row r="10" spans="1:68" x14ac:dyDescent="0.25">
      <c r="A10" s="19"/>
      <c r="B10" s="20" t="str">
        <f t="shared" si="12"/>
        <v>BALI_NT</v>
      </c>
      <c r="C10" s="20">
        <f t="shared" si="13"/>
        <v>2025</v>
      </c>
      <c r="D10" s="30">
        <f t="shared" si="14"/>
        <v>833.58996496983241</v>
      </c>
      <c r="E10" s="30">
        <f t="shared" si="6"/>
        <v>660.52999699999998</v>
      </c>
      <c r="F10" s="30">
        <f t="shared" si="6"/>
        <v>407.08484390268524</v>
      </c>
      <c r="G10" s="30">
        <f t="shared" si="6"/>
        <v>582.04999899999996</v>
      </c>
      <c r="H10" s="30">
        <f t="shared" si="6"/>
        <v>156.41990397825299</v>
      </c>
      <c r="I10" s="30">
        <f t="shared" si="6"/>
        <v>355.52641906775699</v>
      </c>
      <c r="J10" s="30">
        <f t="shared" si="6"/>
        <v>16</v>
      </c>
      <c r="K10" s="30">
        <f t="shared" si="6"/>
        <v>120.60454971647296</v>
      </c>
      <c r="L10" s="30">
        <f t="shared" si="6"/>
        <v>0</v>
      </c>
      <c r="M10" s="30">
        <f t="shared" si="6"/>
        <v>205.03112188900764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0.94449100255268292</v>
      </c>
      <c r="Q10" s="30">
        <f t="shared" si="7"/>
        <v>3336.8367995240078</v>
      </c>
      <c r="R10" s="30"/>
      <c r="S10" s="36"/>
      <c r="T10" s="19"/>
      <c r="U10" s="20" t="str">
        <f t="shared" si="0"/>
        <v>BALI_NT</v>
      </c>
      <c r="V10" s="20">
        <f t="shared" si="0"/>
        <v>2025</v>
      </c>
      <c r="W10" s="30">
        <v>23.813934534325529</v>
      </c>
      <c r="X10" s="30">
        <v>-9.9999999747524271E-7</v>
      </c>
      <c r="Y10" s="30">
        <v>73.99864585920885</v>
      </c>
      <c r="Z10" s="30">
        <v>0</v>
      </c>
      <c r="AA10" s="30">
        <v>0</v>
      </c>
      <c r="AB10" s="30">
        <v>-9.9999999997324451E-7</v>
      </c>
      <c r="AC10" s="30">
        <v>0</v>
      </c>
      <c r="AD10" s="30">
        <v>14.461199131701798</v>
      </c>
      <c r="AE10" s="30">
        <v>0</v>
      </c>
      <c r="AF10" s="30">
        <v>93.341085746113421</v>
      </c>
      <c r="AG10" s="30">
        <v>0</v>
      </c>
      <c r="AH10" s="30">
        <v>0</v>
      </c>
      <c r="AI10" s="30">
        <f t="shared" si="8"/>
        <v>4.1611103205937972E-2</v>
      </c>
      <c r="AJ10" s="34">
        <f t="shared" si="1"/>
        <v>205.65647437455556</v>
      </c>
      <c r="AM10" s="23"/>
      <c r="AO10" s="20" t="str">
        <f t="shared" si="2"/>
        <v>BALI_NT</v>
      </c>
      <c r="AP10" s="20">
        <f t="shared" si="2"/>
        <v>2025</v>
      </c>
      <c r="AQ10" s="30">
        <v>99999</v>
      </c>
      <c r="AR10" s="30">
        <v>99999</v>
      </c>
      <c r="AS10" s="30">
        <v>99999</v>
      </c>
      <c r="AT10" s="30">
        <v>99999</v>
      </c>
      <c r="AU10" s="30">
        <f t="shared" si="9"/>
        <v>1566.9800960217469</v>
      </c>
      <c r="AV10" s="30">
        <f t="shared" si="9"/>
        <v>275.77358093224302</v>
      </c>
      <c r="AW10" s="30">
        <f t="shared" si="9"/>
        <v>141</v>
      </c>
      <c r="AX10" s="30">
        <f t="shared" si="9"/>
        <v>18340.525450283527</v>
      </c>
      <c r="AY10" s="30">
        <f t="shared" si="9"/>
        <v>13812</v>
      </c>
      <c r="AZ10" s="30">
        <f t="shared" si="9"/>
        <v>429.96887811099236</v>
      </c>
      <c r="BA10" s="30">
        <f t="shared" si="9"/>
        <v>9297</v>
      </c>
      <c r="BB10" s="30">
        <v>99999</v>
      </c>
      <c r="BC10" s="30">
        <v>99999</v>
      </c>
      <c r="BD10" s="30">
        <f t="shared" si="3"/>
        <v>43863.248005348512</v>
      </c>
      <c r="BF10" s="23"/>
      <c r="BG10" s="19"/>
      <c r="BH10" s="20" t="str">
        <f t="shared" si="10"/>
        <v>BALI_NT</v>
      </c>
      <c r="BI10" s="20">
        <f t="shared" si="10"/>
        <v>2025</v>
      </c>
      <c r="BJ10" s="25">
        <f t="shared" si="4"/>
        <v>1.6466092449043783E-2</v>
      </c>
      <c r="BK10" s="43">
        <f t="shared" si="5"/>
        <v>2.7632355143703035E-4</v>
      </c>
      <c r="BL10" s="34">
        <f t="shared" si="11"/>
        <v>3723.1835320626765</v>
      </c>
      <c r="BP10" s="23"/>
    </row>
    <row r="11" spans="1:68" x14ac:dyDescent="0.25">
      <c r="A11" s="19"/>
      <c r="B11" s="20" t="str">
        <f t="shared" si="12"/>
        <v>BALI_NT</v>
      </c>
      <c r="C11" s="20">
        <f t="shared" si="13"/>
        <v>2026</v>
      </c>
      <c r="D11" s="30">
        <f t="shared" si="14"/>
        <v>870.25167301466172</v>
      </c>
      <c r="E11" s="30">
        <f t="shared" si="6"/>
        <v>660.52999699999998</v>
      </c>
      <c r="F11" s="30">
        <f t="shared" si="6"/>
        <v>514.29444920744379</v>
      </c>
      <c r="G11" s="30">
        <f t="shared" si="6"/>
        <v>582.04999899999996</v>
      </c>
      <c r="H11" s="30">
        <f t="shared" si="6"/>
        <v>156.41990297825299</v>
      </c>
      <c r="I11" s="30">
        <f t="shared" si="6"/>
        <v>355.52641906775699</v>
      </c>
      <c r="J11" s="30">
        <f t="shared" si="6"/>
        <v>16</v>
      </c>
      <c r="K11" s="30">
        <f t="shared" si="6"/>
        <v>134.4993959568553</v>
      </c>
      <c r="L11" s="30">
        <f t="shared" si="6"/>
        <v>0</v>
      </c>
      <c r="M11" s="30">
        <f t="shared" si="6"/>
        <v>279.88664252854488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0.99344555193255335</v>
      </c>
      <c r="Q11" s="30">
        <f t="shared" si="7"/>
        <v>3569.4584787535159</v>
      </c>
      <c r="R11" s="30"/>
      <c r="S11" s="36"/>
      <c r="T11" s="19"/>
      <c r="U11" s="20" t="str">
        <f t="shared" si="0"/>
        <v>BALI_NT</v>
      </c>
      <c r="V11" s="20">
        <f t="shared" si="0"/>
        <v>2026</v>
      </c>
      <c r="W11" s="30">
        <v>36.661708044829368</v>
      </c>
      <c r="X11" s="30">
        <v>0</v>
      </c>
      <c r="Y11" s="30">
        <v>107.20960530475855</v>
      </c>
      <c r="Z11" s="30">
        <v>0</v>
      </c>
      <c r="AA11" s="30">
        <v>-9.999999999999972E-7</v>
      </c>
      <c r="AB11" s="30">
        <v>0</v>
      </c>
      <c r="AC11" s="30">
        <v>0</v>
      </c>
      <c r="AD11" s="30">
        <v>13.894846240382339</v>
      </c>
      <c r="AE11" s="30">
        <v>0</v>
      </c>
      <c r="AF11" s="30">
        <v>74.855520639537247</v>
      </c>
      <c r="AG11" s="30">
        <v>0</v>
      </c>
      <c r="AH11" s="30">
        <v>0</v>
      </c>
      <c r="AI11" s="30">
        <f t="shared" si="8"/>
        <v>4.8954549379870427E-2</v>
      </c>
      <c r="AJ11" s="34">
        <f t="shared" si="1"/>
        <v>232.67063377888738</v>
      </c>
      <c r="AM11" s="23"/>
      <c r="AO11" s="20" t="str">
        <f t="shared" si="2"/>
        <v>BALI_NT</v>
      </c>
      <c r="AP11" s="20">
        <f t="shared" si="2"/>
        <v>2026</v>
      </c>
      <c r="AQ11" s="30">
        <v>99999</v>
      </c>
      <c r="AR11" s="30">
        <v>99999</v>
      </c>
      <c r="AS11" s="30">
        <v>99999</v>
      </c>
      <c r="AT11" s="30">
        <v>99999</v>
      </c>
      <c r="AU11" s="30">
        <f t="shared" si="9"/>
        <v>1566.980097021747</v>
      </c>
      <c r="AV11" s="30">
        <f t="shared" si="9"/>
        <v>275.77358093224302</v>
      </c>
      <c r="AW11" s="30">
        <f t="shared" si="9"/>
        <v>141</v>
      </c>
      <c r="AX11" s="30">
        <f t="shared" si="9"/>
        <v>18326.630604043145</v>
      </c>
      <c r="AY11" s="30">
        <f t="shared" si="9"/>
        <v>13812</v>
      </c>
      <c r="AZ11" s="30">
        <f t="shared" si="9"/>
        <v>355.11335747145512</v>
      </c>
      <c r="BA11" s="30">
        <f t="shared" si="9"/>
        <v>9297</v>
      </c>
      <c r="BB11" s="30">
        <v>99999</v>
      </c>
      <c r="BC11" s="30">
        <v>99999</v>
      </c>
      <c r="BD11" s="30">
        <f t="shared" si="3"/>
        <v>43774.497639468587</v>
      </c>
      <c r="BF11" s="23"/>
      <c r="BG11" s="19"/>
      <c r="BH11" s="20" t="str">
        <f t="shared" si="10"/>
        <v>BALI_NT</v>
      </c>
      <c r="BI11" s="20">
        <f t="shared" si="10"/>
        <v>2026</v>
      </c>
      <c r="BJ11" s="25">
        <f t="shared" si="4"/>
        <v>1.7472289295911016E-2</v>
      </c>
      <c r="BK11" s="43">
        <f t="shared" si="5"/>
        <v>2.7654560867220108E-4</v>
      </c>
      <c r="BL11" s="34">
        <f t="shared" si="11"/>
        <v>3916.1623657181258</v>
      </c>
      <c r="BP11" s="23"/>
    </row>
    <row r="12" spans="1:68" x14ac:dyDescent="0.25">
      <c r="A12" s="19"/>
      <c r="B12" s="20" t="str">
        <f t="shared" si="12"/>
        <v>BALI_NT</v>
      </c>
      <c r="C12" s="20">
        <f t="shared" si="13"/>
        <v>2027</v>
      </c>
      <c r="D12" s="30">
        <f t="shared" si="14"/>
        <v>903.78293346993348</v>
      </c>
      <c r="E12" s="30">
        <f t="shared" si="6"/>
        <v>752.93676305779638</v>
      </c>
      <c r="F12" s="30">
        <f t="shared" si="6"/>
        <v>514.29444820744379</v>
      </c>
      <c r="G12" s="30">
        <f t="shared" si="6"/>
        <v>582.04999899999996</v>
      </c>
      <c r="H12" s="30">
        <f t="shared" si="6"/>
        <v>156.41990297825299</v>
      </c>
      <c r="I12" s="30">
        <f t="shared" si="6"/>
        <v>355.52641806775699</v>
      </c>
      <c r="J12" s="30">
        <f t="shared" si="6"/>
        <v>16</v>
      </c>
      <c r="K12" s="30">
        <f t="shared" si="6"/>
        <v>149.23511795705778</v>
      </c>
      <c r="L12" s="30">
        <f t="shared" si="6"/>
        <v>0</v>
      </c>
      <c r="M12" s="30">
        <f t="shared" si="6"/>
        <v>351.5771127732786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1.0395813320746885</v>
      </c>
      <c r="Q12" s="30">
        <f t="shared" si="7"/>
        <v>3781.8226955115197</v>
      </c>
      <c r="R12" s="30"/>
      <c r="S12" s="36"/>
      <c r="T12" s="19"/>
      <c r="U12" s="20" t="str">
        <f t="shared" si="0"/>
        <v>BALI_NT</v>
      </c>
      <c r="V12" s="20">
        <f t="shared" si="0"/>
        <v>2027</v>
      </c>
      <c r="W12" s="30">
        <v>33.531260455271735</v>
      </c>
      <c r="X12" s="30">
        <v>92.406766057796403</v>
      </c>
      <c r="Y12" s="30">
        <v>-9.9999999925159955E-7</v>
      </c>
      <c r="Z12" s="30">
        <v>0</v>
      </c>
      <c r="AA12" s="30">
        <v>0</v>
      </c>
      <c r="AB12" s="30">
        <v>-9.9999999997324451E-7</v>
      </c>
      <c r="AC12" s="30">
        <v>0</v>
      </c>
      <c r="AD12" s="30">
        <v>14.735722000202482</v>
      </c>
      <c r="AE12" s="30">
        <v>0</v>
      </c>
      <c r="AF12" s="30">
        <v>71.690470244733731</v>
      </c>
      <c r="AG12" s="30">
        <v>0</v>
      </c>
      <c r="AH12" s="30">
        <v>0</v>
      </c>
      <c r="AI12" s="30">
        <f t="shared" si="8"/>
        <v>4.6135780142135152E-2</v>
      </c>
      <c r="AJ12" s="34">
        <f t="shared" si="1"/>
        <v>212.4103525381465</v>
      </c>
      <c r="AM12" s="23"/>
      <c r="AO12" s="20" t="str">
        <f t="shared" si="2"/>
        <v>BALI_NT</v>
      </c>
      <c r="AP12" s="20">
        <f t="shared" si="2"/>
        <v>2027</v>
      </c>
      <c r="AQ12" s="30">
        <v>99999</v>
      </c>
      <c r="AR12" s="30">
        <v>99999</v>
      </c>
      <c r="AS12" s="30">
        <v>99999</v>
      </c>
      <c r="AT12" s="30">
        <v>99999</v>
      </c>
      <c r="AU12" s="30">
        <f t="shared" si="9"/>
        <v>1566.980097021747</v>
      </c>
      <c r="AV12" s="30">
        <f t="shared" si="9"/>
        <v>275.77358193224302</v>
      </c>
      <c r="AW12" s="30">
        <f t="shared" si="9"/>
        <v>141</v>
      </c>
      <c r="AX12" s="30">
        <f t="shared" si="9"/>
        <v>18311.894882042943</v>
      </c>
      <c r="AY12" s="30">
        <f t="shared" si="9"/>
        <v>13812</v>
      </c>
      <c r="AZ12" s="30">
        <f t="shared" si="9"/>
        <v>283.4228872267214</v>
      </c>
      <c r="BA12" s="30">
        <f t="shared" si="9"/>
        <v>9297</v>
      </c>
      <c r="BB12" s="30">
        <v>99999</v>
      </c>
      <c r="BC12" s="30">
        <v>99999</v>
      </c>
      <c r="BD12" s="30">
        <f t="shared" si="3"/>
        <v>43688.071448223651</v>
      </c>
      <c r="BF12" s="23"/>
      <c r="BG12" s="19"/>
      <c r="BH12" s="20" t="str">
        <f t="shared" si="10"/>
        <v>BALI_NT</v>
      </c>
      <c r="BI12" s="20">
        <f t="shared" si="10"/>
        <v>2027</v>
      </c>
      <c r="BJ12" s="25">
        <f t="shared" si="4"/>
        <v>1.8542004792883305E-2</v>
      </c>
      <c r="BK12" s="43">
        <f t="shared" si="5"/>
        <v>2.7678168381636045E-4</v>
      </c>
      <c r="BL12" s="34">
        <f t="shared" si="11"/>
        <v>4098.0296110384224</v>
      </c>
      <c r="BP12" s="23"/>
    </row>
    <row r="13" spans="1:68" x14ac:dyDescent="0.25">
      <c r="A13" s="19"/>
      <c r="B13" s="20" t="str">
        <f t="shared" si="12"/>
        <v>BALI_NT</v>
      </c>
      <c r="C13" s="20">
        <f t="shared" si="13"/>
        <v>2028</v>
      </c>
      <c r="D13" s="30">
        <f t="shared" si="14"/>
        <v>942.3600307786935</v>
      </c>
      <c r="E13" s="30">
        <f t="shared" si="6"/>
        <v>882.32504131379346</v>
      </c>
      <c r="F13" s="30">
        <f t="shared" si="6"/>
        <v>514.2944472074438</v>
      </c>
      <c r="G13" s="30">
        <f t="shared" si="6"/>
        <v>582.04999899999996</v>
      </c>
      <c r="H13" s="30">
        <f t="shared" si="6"/>
        <v>156.41990197825299</v>
      </c>
      <c r="I13" s="30">
        <f t="shared" si="6"/>
        <v>355.52641806775699</v>
      </c>
      <c r="J13" s="30">
        <f t="shared" si="6"/>
        <v>16</v>
      </c>
      <c r="K13" s="30">
        <f t="shared" si="6"/>
        <v>163.35306091554972</v>
      </c>
      <c r="L13" s="30">
        <f t="shared" si="6"/>
        <v>0</v>
      </c>
      <c r="M13" s="30">
        <f t="shared" si="6"/>
        <v>406.49817193894125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1.0920176303696145</v>
      </c>
      <c r="Q13" s="30">
        <f t="shared" si="7"/>
        <v>4018.8270712004314</v>
      </c>
      <c r="R13" s="30"/>
      <c r="S13" s="36"/>
      <c r="T13" s="19"/>
      <c r="U13" s="20" t="str">
        <f t="shared" si="0"/>
        <v>BALI_NT</v>
      </c>
      <c r="V13" s="20">
        <f t="shared" si="0"/>
        <v>2028</v>
      </c>
      <c r="W13" s="30">
        <v>38.577097308759996</v>
      </c>
      <c r="X13" s="30">
        <v>129.38827825599714</v>
      </c>
      <c r="Y13" s="30">
        <v>-9.9999999925159955E-7</v>
      </c>
      <c r="Z13" s="30">
        <v>0</v>
      </c>
      <c r="AA13" s="30">
        <v>-9.999999999999972E-7</v>
      </c>
      <c r="AB13" s="30">
        <v>0</v>
      </c>
      <c r="AC13" s="30">
        <v>0</v>
      </c>
      <c r="AD13" s="30">
        <v>14.117942958491932</v>
      </c>
      <c r="AE13" s="30">
        <v>0</v>
      </c>
      <c r="AF13" s="30">
        <v>54.921059165662626</v>
      </c>
      <c r="AG13" s="30">
        <v>0</v>
      </c>
      <c r="AH13" s="30">
        <v>0</v>
      </c>
      <c r="AI13" s="30">
        <f t="shared" si="8"/>
        <v>5.243629829492602E-2</v>
      </c>
      <c r="AJ13" s="34">
        <f t="shared" si="1"/>
        <v>237.05681198720663</v>
      </c>
      <c r="AM13" s="23"/>
      <c r="AO13" s="20" t="str">
        <f t="shared" si="2"/>
        <v>BALI_NT</v>
      </c>
      <c r="AP13" s="20">
        <f t="shared" si="2"/>
        <v>2028</v>
      </c>
      <c r="AQ13" s="30">
        <v>99999</v>
      </c>
      <c r="AR13" s="30">
        <v>99999</v>
      </c>
      <c r="AS13" s="30">
        <v>99999</v>
      </c>
      <c r="AT13" s="30">
        <v>99999</v>
      </c>
      <c r="AU13" s="30">
        <f t="shared" si="9"/>
        <v>1566.9800980217472</v>
      </c>
      <c r="AV13" s="30">
        <f t="shared" si="9"/>
        <v>275.77358193224302</v>
      </c>
      <c r="AW13" s="30">
        <f t="shared" si="9"/>
        <v>141</v>
      </c>
      <c r="AX13" s="30">
        <f t="shared" si="9"/>
        <v>18297.776939084451</v>
      </c>
      <c r="AY13" s="30">
        <f t="shared" si="9"/>
        <v>13812</v>
      </c>
      <c r="AZ13" s="30">
        <f t="shared" si="9"/>
        <v>228.50182806105877</v>
      </c>
      <c r="BA13" s="30">
        <f t="shared" si="9"/>
        <v>9297</v>
      </c>
      <c r="BB13" s="30">
        <v>99999</v>
      </c>
      <c r="BC13" s="30">
        <v>99999</v>
      </c>
      <c r="BD13" s="30">
        <f t="shared" si="3"/>
        <v>43619.032447099504</v>
      </c>
      <c r="BF13" s="23"/>
      <c r="BG13" s="19"/>
      <c r="BH13" s="20" t="str">
        <f t="shared" si="10"/>
        <v>BALI_NT</v>
      </c>
      <c r="BI13" s="20">
        <f t="shared" si="10"/>
        <v>2028</v>
      </c>
      <c r="BJ13" s="25">
        <f t="shared" si="4"/>
        <v>1.9333738071345058E-2</v>
      </c>
      <c r="BK13" s="43">
        <f t="shared" si="5"/>
        <v>2.7695641116057273E-4</v>
      </c>
      <c r="BL13" s="34">
        <f t="shared" si="11"/>
        <v>4304.7334989170213</v>
      </c>
      <c r="BP13" s="23"/>
    </row>
    <row r="14" spans="1:68" x14ac:dyDescent="0.25">
      <c r="A14" s="19"/>
      <c r="B14" s="20" t="str">
        <f t="shared" si="12"/>
        <v>BALI_NT</v>
      </c>
      <c r="C14" s="20">
        <f t="shared" si="13"/>
        <v>2029</v>
      </c>
      <c r="D14" s="30">
        <f t="shared" si="14"/>
        <v>981.35286963797387</v>
      </c>
      <c r="E14" s="30">
        <f t="shared" si="6"/>
        <v>882.32504131379346</v>
      </c>
      <c r="F14" s="30">
        <f t="shared" si="6"/>
        <v>602.55467490584203</v>
      </c>
      <c r="G14" s="30">
        <f t="shared" si="6"/>
        <v>582.04999899999996</v>
      </c>
      <c r="H14" s="30">
        <f t="shared" si="6"/>
        <v>156.419900978253</v>
      </c>
      <c r="I14" s="30">
        <f t="shared" si="6"/>
        <v>355.526417067757</v>
      </c>
      <c r="J14" s="30">
        <f t="shared" si="6"/>
        <v>16</v>
      </c>
      <c r="K14" s="30">
        <f t="shared" si="6"/>
        <v>185.25756881410683</v>
      </c>
      <c r="L14" s="30">
        <f t="shared" si="6"/>
        <v>0</v>
      </c>
      <c r="M14" s="30">
        <f t="shared" si="6"/>
        <v>518.75085803558079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1.1464318376451301</v>
      </c>
      <c r="Q14" s="30">
        <f t="shared" si="7"/>
        <v>4280.2373297533068</v>
      </c>
      <c r="R14" s="30"/>
      <c r="S14" s="36"/>
      <c r="T14" s="19"/>
      <c r="U14" s="20" t="str">
        <f t="shared" si="0"/>
        <v>BALI_NT</v>
      </c>
      <c r="V14" s="20">
        <f t="shared" si="0"/>
        <v>2029</v>
      </c>
      <c r="W14" s="30">
        <v>38.992838859280326</v>
      </c>
      <c r="X14" s="30">
        <v>0</v>
      </c>
      <c r="Y14" s="30">
        <v>88.260227698398239</v>
      </c>
      <c r="Z14" s="30">
        <v>0</v>
      </c>
      <c r="AA14" s="30">
        <v>-9.999999999999972E-7</v>
      </c>
      <c r="AB14" s="30">
        <v>-9.9999999991773336E-7</v>
      </c>
      <c r="AC14" s="30">
        <v>0</v>
      </c>
      <c r="AD14" s="30">
        <v>21.904507898557128</v>
      </c>
      <c r="AE14" s="30">
        <v>0</v>
      </c>
      <c r="AF14" s="30">
        <v>112.25268609663954</v>
      </c>
      <c r="AG14" s="30">
        <v>0</v>
      </c>
      <c r="AH14" s="30">
        <v>0</v>
      </c>
      <c r="AI14" s="30">
        <f t="shared" si="8"/>
        <v>5.4414207275515603E-2</v>
      </c>
      <c r="AJ14" s="34">
        <f t="shared" si="1"/>
        <v>261.46467276015073</v>
      </c>
      <c r="AM14" s="23"/>
      <c r="AO14" s="20" t="str">
        <f t="shared" si="2"/>
        <v>BALI_NT</v>
      </c>
      <c r="AP14" s="20">
        <f t="shared" si="2"/>
        <v>2029</v>
      </c>
      <c r="AQ14" s="30">
        <v>99999</v>
      </c>
      <c r="AR14" s="30">
        <v>99999</v>
      </c>
      <c r="AS14" s="30">
        <v>99999</v>
      </c>
      <c r="AT14" s="30">
        <v>99999</v>
      </c>
      <c r="AU14" s="30">
        <f t="shared" si="9"/>
        <v>1566.9800990217473</v>
      </c>
      <c r="AV14" s="30">
        <f t="shared" si="9"/>
        <v>275.77358293224302</v>
      </c>
      <c r="AW14" s="30">
        <f t="shared" si="9"/>
        <v>141</v>
      </c>
      <c r="AX14" s="30">
        <f t="shared" si="9"/>
        <v>18275.872431185893</v>
      </c>
      <c r="AY14" s="30">
        <f t="shared" si="9"/>
        <v>13812</v>
      </c>
      <c r="AZ14" s="30">
        <f t="shared" si="9"/>
        <v>116.24914196441924</v>
      </c>
      <c r="BA14" s="30">
        <f t="shared" si="9"/>
        <v>9297</v>
      </c>
      <c r="BB14" s="30">
        <v>99999</v>
      </c>
      <c r="BC14" s="30">
        <v>99999</v>
      </c>
      <c r="BD14" s="30">
        <f t="shared" si="3"/>
        <v>43484.8752551043</v>
      </c>
      <c r="BF14" s="23"/>
      <c r="BG14" s="19"/>
      <c r="BH14" s="20" t="str">
        <f t="shared" si="10"/>
        <v>BALI_NT</v>
      </c>
      <c r="BI14" s="20">
        <f t="shared" si="10"/>
        <v>2029</v>
      </c>
      <c r="BJ14" s="25">
        <f t="shared" si="4"/>
        <v>2.0911813446403516E-2</v>
      </c>
      <c r="BK14" s="43">
        <f t="shared" si="5"/>
        <v>2.7730467607093044E-4</v>
      </c>
      <c r="BL14" s="34">
        <f t="shared" si="11"/>
        <v>4519.2343039971038</v>
      </c>
      <c r="BP14" s="23"/>
    </row>
    <row r="15" spans="1:68" x14ac:dyDescent="0.25">
      <c r="A15" s="19"/>
      <c r="B15" s="20" t="str">
        <f t="shared" si="12"/>
        <v>BALI_NT</v>
      </c>
      <c r="C15" s="20">
        <f t="shared" si="13"/>
        <v>2030</v>
      </c>
      <c r="D15" s="30">
        <f t="shared" si="14"/>
        <v>1023.1923964936215</v>
      </c>
      <c r="E15" s="30">
        <f t="shared" si="6"/>
        <v>1079.869704777373</v>
      </c>
      <c r="F15" s="30">
        <f t="shared" si="6"/>
        <v>602.55467490584203</v>
      </c>
      <c r="G15" s="30">
        <f t="shared" si="6"/>
        <v>582.04999899999996</v>
      </c>
      <c r="H15" s="30">
        <f t="shared" si="6"/>
        <v>156.419899978253</v>
      </c>
      <c r="I15" s="30">
        <f t="shared" si="6"/>
        <v>355.526417067757</v>
      </c>
      <c r="J15" s="30">
        <f t="shared" si="6"/>
        <v>16</v>
      </c>
      <c r="K15" s="30">
        <f t="shared" si="6"/>
        <v>195.35608323032514</v>
      </c>
      <c r="L15" s="30">
        <f t="shared" si="6"/>
        <v>0</v>
      </c>
      <c r="M15" s="30">
        <f t="shared" si="6"/>
        <v>518.75085703558079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1.2036423414884667</v>
      </c>
      <c r="Q15" s="30">
        <f t="shared" si="7"/>
        <v>4529.7200324887526</v>
      </c>
      <c r="R15" s="30"/>
      <c r="S15" s="36"/>
      <c r="T15" s="19"/>
      <c r="U15" s="20" t="str">
        <f t="shared" si="0"/>
        <v>BALI_NT</v>
      </c>
      <c r="V15" s="20">
        <f t="shared" si="0"/>
        <v>2030</v>
      </c>
      <c r="W15" s="30">
        <v>41.839526855647598</v>
      </c>
      <c r="X15" s="30">
        <v>197.54466346357964</v>
      </c>
      <c r="Y15" s="30">
        <v>0</v>
      </c>
      <c r="Z15" s="30">
        <v>0</v>
      </c>
      <c r="AA15" s="30">
        <v>-9.999999999999972E-7</v>
      </c>
      <c r="AB15" s="30">
        <v>0</v>
      </c>
      <c r="AC15" s="30">
        <v>0</v>
      </c>
      <c r="AD15" s="30">
        <v>10.098514416218315</v>
      </c>
      <c r="AE15" s="30">
        <v>0</v>
      </c>
      <c r="AF15" s="30">
        <v>-9.9999999925159955E-7</v>
      </c>
      <c r="AG15" s="30">
        <v>0</v>
      </c>
      <c r="AH15" s="30">
        <v>0</v>
      </c>
      <c r="AI15" s="30">
        <f t="shared" si="8"/>
        <v>5.7210503843336591E-2</v>
      </c>
      <c r="AJ15" s="34">
        <f t="shared" si="1"/>
        <v>249.53991323928889</v>
      </c>
      <c r="AM15" s="23"/>
      <c r="AO15" s="20" t="str">
        <f t="shared" si="2"/>
        <v>BALI_NT</v>
      </c>
      <c r="AP15" s="20">
        <f t="shared" si="2"/>
        <v>2030</v>
      </c>
      <c r="AQ15" s="30">
        <v>99999</v>
      </c>
      <c r="AR15" s="30">
        <v>99999</v>
      </c>
      <c r="AS15" s="30">
        <v>99999</v>
      </c>
      <c r="AT15" s="30">
        <v>99999</v>
      </c>
      <c r="AU15" s="30">
        <f t="shared" si="9"/>
        <v>1566.9801000217474</v>
      </c>
      <c r="AV15" s="30">
        <f t="shared" si="9"/>
        <v>275.77358293224302</v>
      </c>
      <c r="AW15" s="30">
        <f t="shared" si="9"/>
        <v>141</v>
      </c>
      <c r="AX15" s="30">
        <f t="shared" si="9"/>
        <v>18265.773916769675</v>
      </c>
      <c r="AY15" s="30">
        <f t="shared" si="9"/>
        <v>13812</v>
      </c>
      <c r="AZ15" s="30">
        <f t="shared" si="9"/>
        <v>116.24914296441924</v>
      </c>
      <c r="BA15" s="30">
        <f t="shared" si="9"/>
        <v>9297</v>
      </c>
      <c r="BB15" s="30">
        <v>99999</v>
      </c>
      <c r="BC15" s="30">
        <v>99999</v>
      </c>
      <c r="BD15" s="30">
        <f t="shared" si="3"/>
        <v>43474.776742688082</v>
      </c>
      <c r="BF15" s="23"/>
      <c r="BG15" s="19"/>
      <c r="BH15" s="20" t="str">
        <f t="shared" si="10"/>
        <v>BALI_NT</v>
      </c>
      <c r="BI15" s="20">
        <f t="shared" si="10"/>
        <v>2030</v>
      </c>
      <c r="BJ15" s="25">
        <f t="shared" si="4"/>
        <v>2.1005146444870334E-2</v>
      </c>
      <c r="BK15" s="43">
        <f t="shared" si="5"/>
        <v>2.773252736981783E-4</v>
      </c>
      <c r="BL15" s="34">
        <f t="shared" si="11"/>
        <v>4744.7581101475362</v>
      </c>
      <c r="BP15" s="23"/>
    </row>
    <row r="16" spans="1:68" x14ac:dyDescent="0.25">
      <c r="A16" s="19"/>
      <c r="B16" s="20" t="str">
        <f t="shared" si="12"/>
        <v>BALI_NT</v>
      </c>
      <c r="C16" s="20">
        <f t="shared" si="13"/>
        <v>2031</v>
      </c>
      <c r="D16" s="30">
        <f t="shared" si="14"/>
        <v>1075.2902228844641</v>
      </c>
      <c r="E16" s="30">
        <f t="shared" si="6"/>
        <v>1193.2864397196058</v>
      </c>
      <c r="F16" s="30">
        <f t="shared" si="6"/>
        <v>687.68461453011378</v>
      </c>
      <c r="G16" s="30">
        <f t="shared" si="6"/>
        <v>582.04999899999996</v>
      </c>
      <c r="H16" s="30">
        <f t="shared" si="6"/>
        <v>156.419899978253</v>
      </c>
      <c r="I16" s="30">
        <f t="shared" si="6"/>
        <v>355.526417067757</v>
      </c>
      <c r="J16" s="30">
        <f t="shared" si="6"/>
        <v>16</v>
      </c>
      <c r="K16" s="30">
        <f t="shared" si="6"/>
        <v>213.09299249399848</v>
      </c>
      <c r="L16" s="30">
        <f t="shared" si="6"/>
        <v>0</v>
      </c>
      <c r="M16" s="30">
        <f t="shared" si="6"/>
        <v>573.24257621523395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1.2743677947614627</v>
      </c>
      <c r="Q16" s="30">
        <f t="shared" si="7"/>
        <v>4852.5931618894265</v>
      </c>
      <c r="R16" s="30"/>
      <c r="S16" s="36"/>
      <c r="T16" s="19"/>
      <c r="U16" s="20" t="str">
        <f t="shared" si="0"/>
        <v>BALI_NT</v>
      </c>
      <c r="V16" s="20">
        <f t="shared" si="0"/>
        <v>2031</v>
      </c>
      <c r="W16" s="30">
        <v>52.097826390842563</v>
      </c>
      <c r="X16" s="30">
        <v>113.41673494223282</v>
      </c>
      <c r="Y16" s="30">
        <v>85.129939624271742</v>
      </c>
      <c r="Z16" s="30">
        <v>0</v>
      </c>
      <c r="AA16" s="30">
        <v>0</v>
      </c>
      <c r="AB16" s="30">
        <v>0</v>
      </c>
      <c r="AC16" s="30">
        <v>0</v>
      </c>
      <c r="AD16" s="30">
        <v>17.736909263673336</v>
      </c>
      <c r="AE16" s="30">
        <v>0</v>
      </c>
      <c r="AF16" s="30">
        <v>54.491719179653181</v>
      </c>
      <c r="AG16" s="30">
        <v>0</v>
      </c>
      <c r="AH16" s="30">
        <v>0</v>
      </c>
      <c r="AI16" s="30">
        <f t="shared" si="8"/>
        <v>7.0725453272995953E-2</v>
      </c>
      <c r="AJ16" s="34">
        <f t="shared" si="1"/>
        <v>322.94385485394662</v>
      </c>
      <c r="AM16" s="23"/>
      <c r="AO16" s="20" t="str">
        <f t="shared" si="2"/>
        <v>BALI_NT</v>
      </c>
      <c r="AP16" s="20">
        <f t="shared" si="2"/>
        <v>2031</v>
      </c>
      <c r="AQ16" s="30">
        <v>99999</v>
      </c>
      <c r="AR16" s="30">
        <v>99999</v>
      </c>
      <c r="AS16" s="30">
        <v>99999</v>
      </c>
      <c r="AT16" s="30">
        <v>99999</v>
      </c>
      <c r="AU16" s="30">
        <f t="shared" si="9"/>
        <v>1566.9801000217474</v>
      </c>
      <c r="AV16" s="30">
        <f t="shared" si="9"/>
        <v>275.77358293224302</v>
      </c>
      <c r="AW16" s="30">
        <f t="shared" si="9"/>
        <v>141</v>
      </c>
      <c r="AX16" s="30">
        <f t="shared" si="9"/>
        <v>18248.037007506002</v>
      </c>
      <c r="AY16" s="30">
        <f t="shared" si="9"/>
        <v>13812</v>
      </c>
      <c r="AZ16" s="30">
        <f t="shared" si="9"/>
        <v>61.757423784766054</v>
      </c>
      <c r="BA16" s="30">
        <f t="shared" si="9"/>
        <v>9297</v>
      </c>
      <c r="BB16" s="30">
        <v>99999</v>
      </c>
      <c r="BC16" s="30">
        <v>99999</v>
      </c>
      <c r="BD16" s="30">
        <f t="shared" si="3"/>
        <v>43402.548114244761</v>
      </c>
      <c r="BF16" s="23"/>
      <c r="BG16" s="19"/>
      <c r="BH16" s="20" t="str">
        <f t="shared" si="10"/>
        <v>BALI_NT</v>
      </c>
      <c r="BI16" s="20">
        <f t="shared" si="10"/>
        <v>2031</v>
      </c>
      <c r="BJ16" s="25">
        <f t="shared" si="4"/>
        <v>2.1651801656557886E-2</v>
      </c>
      <c r="BK16" s="43">
        <f t="shared" si="5"/>
        <v>2.774679838138611E-4</v>
      </c>
      <c r="BL16" s="34">
        <f t="shared" si="11"/>
        <v>5023.5578469496868</v>
      </c>
      <c r="BP16" s="23"/>
    </row>
    <row r="17" spans="1:84" x14ac:dyDescent="0.25">
      <c r="A17" s="19"/>
      <c r="B17" s="20" t="str">
        <f t="shared" si="12"/>
        <v>BALI_NT</v>
      </c>
      <c r="C17" s="20">
        <f t="shared" si="13"/>
        <v>2032</v>
      </c>
      <c r="D17" s="30">
        <f t="shared" si="14"/>
        <v>1130.4001253706699</v>
      </c>
      <c r="E17" s="30">
        <f t="shared" si="6"/>
        <v>1349.8510201272695</v>
      </c>
      <c r="F17" s="30">
        <f t="shared" si="6"/>
        <v>687.68461453011378</v>
      </c>
      <c r="G17" s="30">
        <f t="shared" si="6"/>
        <v>582.04999899999996</v>
      </c>
      <c r="H17" s="30">
        <f t="shared" si="6"/>
        <v>156.419899978253</v>
      </c>
      <c r="I17" s="30">
        <f t="shared" si="6"/>
        <v>400.41925268726283</v>
      </c>
      <c r="J17" s="30">
        <f t="shared" si="6"/>
        <v>16</v>
      </c>
      <c r="K17" s="30">
        <f t="shared" si="6"/>
        <v>239.90137344515784</v>
      </c>
      <c r="L17" s="30">
        <f t="shared" si="6"/>
        <v>0</v>
      </c>
      <c r="M17" s="30">
        <f t="shared" si="6"/>
        <v>604.12128810761703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1.3505239107563358</v>
      </c>
      <c r="Q17" s="30">
        <f t="shared" si="7"/>
        <v>5166.8475732463439</v>
      </c>
      <c r="R17" s="30"/>
      <c r="S17" s="36"/>
      <c r="T17" s="19"/>
      <c r="U17" s="20" t="str">
        <f t="shared" si="0"/>
        <v>BALI_NT</v>
      </c>
      <c r="V17" s="20">
        <f t="shared" si="0"/>
        <v>2032</v>
      </c>
      <c r="W17" s="30">
        <v>55.109902486205705</v>
      </c>
      <c r="X17" s="30">
        <v>156.56458040766367</v>
      </c>
      <c r="Y17" s="30">
        <v>0</v>
      </c>
      <c r="Z17" s="30">
        <v>0</v>
      </c>
      <c r="AA17" s="30">
        <v>0</v>
      </c>
      <c r="AB17" s="30">
        <v>44.892835619505824</v>
      </c>
      <c r="AC17" s="30">
        <v>0</v>
      </c>
      <c r="AD17" s="30">
        <v>26.808380951159357</v>
      </c>
      <c r="AE17" s="30">
        <v>0</v>
      </c>
      <c r="AF17" s="30">
        <v>30.878711892383027</v>
      </c>
      <c r="AG17" s="30">
        <v>0</v>
      </c>
      <c r="AH17" s="30">
        <v>0</v>
      </c>
      <c r="AI17" s="30">
        <f t="shared" si="8"/>
        <v>7.6156115994873153E-2</v>
      </c>
      <c r="AJ17" s="34">
        <f t="shared" si="1"/>
        <v>314.33056747291243</v>
      </c>
      <c r="AM17" s="23"/>
      <c r="AO17" s="20" t="str">
        <f t="shared" si="2"/>
        <v>BALI_NT</v>
      </c>
      <c r="AP17" s="20">
        <f t="shared" si="2"/>
        <v>2032</v>
      </c>
      <c r="AQ17" s="30">
        <v>99999</v>
      </c>
      <c r="AR17" s="30">
        <v>99999</v>
      </c>
      <c r="AS17" s="30">
        <v>99999</v>
      </c>
      <c r="AT17" s="30">
        <v>99999</v>
      </c>
      <c r="AU17" s="30">
        <f t="shared" si="9"/>
        <v>1566.9801000217474</v>
      </c>
      <c r="AV17" s="30">
        <f t="shared" si="9"/>
        <v>230.88074731273718</v>
      </c>
      <c r="AW17" s="30">
        <f t="shared" si="9"/>
        <v>141</v>
      </c>
      <c r="AX17" s="30">
        <f t="shared" si="9"/>
        <v>18221.228626554843</v>
      </c>
      <c r="AY17" s="30">
        <f t="shared" si="9"/>
        <v>13812</v>
      </c>
      <c r="AZ17" s="30">
        <f t="shared" si="9"/>
        <v>30.878711892383027</v>
      </c>
      <c r="BA17" s="30">
        <f t="shared" si="9"/>
        <v>9297</v>
      </c>
      <c r="BB17" s="30">
        <v>99999</v>
      </c>
      <c r="BC17" s="30">
        <v>99999</v>
      </c>
      <c r="BD17" s="30">
        <f t="shared" si="3"/>
        <v>43299.968185781712</v>
      </c>
      <c r="BF17" s="23"/>
      <c r="BG17" s="19"/>
      <c r="BH17" s="20" t="str">
        <f t="shared" si="10"/>
        <v>BALI_NT</v>
      </c>
      <c r="BI17" s="20">
        <f t="shared" si="10"/>
        <v>2032</v>
      </c>
      <c r="BJ17" s="25">
        <f t="shared" si="4"/>
        <v>2.3026326128510383E-2</v>
      </c>
      <c r="BK17" s="43">
        <f t="shared" si="5"/>
        <v>2.7777132714560228E-4</v>
      </c>
      <c r="BL17" s="34">
        <f t="shared" si="11"/>
        <v>5323.7652562014764</v>
      </c>
      <c r="BP17" s="23"/>
    </row>
    <row r="18" spans="1:84" x14ac:dyDescent="0.25">
      <c r="A18" s="19"/>
      <c r="B18" s="20" t="str">
        <f t="shared" si="12"/>
        <v>BALI_NT</v>
      </c>
      <c r="C18" s="20">
        <f t="shared" si="13"/>
        <v>2033</v>
      </c>
      <c r="D18" s="30">
        <f t="shared" si="14"/>
        <v>1177.4896476630938</v>
      </c>
      <c r="E18" s="30">
        <f t="shared" si="6"/>
        <v>1349.8510201272695</v>
      </c>
      <c r="F18" s="30">
        <f t="shared" si="6"/>
        <v>835.58649326727641</v>
      </c>
      <c r="G18" s="30">
        <f t="shared" si="6"/>
        <v>582.04999799999996</v>
      </c>
      <c r="H18" s="30">
        <f t="shared" si="6"/>
        <v>156.419898978253</v>
      </c>
      <c r="I18" s="30">
        <f t="shared" si="6"/>
        <v>448.13993793483792</v>
      </c>
      <c r="J18" s="30">
        <f t="shared" si="6"/>
        <v>16</v>
      </c>
      <c r="K18" s="30">
        <f t="shared" si="6"/>
        <v>267.58768739709365</v>
      </c>
      <c r="L18" s="30">
        <f t="shared" si="6"/>
        <v>0</v>
      </c>
      <c r="M18" s="30">
        <f t="shared" si="6"/>
        <v>619.56064405380857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1.4183310378270124</v>
      </c>
      <c r="Q18" s="30">
        <f t="shared" si="7"/>
        <v>5452.6853274216328</v>
      </c>
      <c r="R18" s="30"/>
      <c r="S18" s="36"/>
      <c r="T18" s="19"/>
      <c r="U18" s="20" t="str">
        <f t="shared" si="0"/>
        <v>BALI_NT</v>
      </c>
      <c r="V18" s="20">
        <f t="shared" si="0"/>
        <v>2033</v>
      </c>
      <c r="W18" s="30">
        <v>47.089522292423808</v>
      </c>
      <c r="X18" s="30">
        <v>0</v>
      </c>
      <c r="Y18" s="30">
        <v>147.90187873716258</v>
      </c>
      <c r="Z18" s="30">
        <v>-9.9999999991773336E-7</v>
      </c>
      <c r="AA18" s="30">
        <v>-9.9999999991773336E-7</v>
      </c>
      <c r="AB18" s="30">
        <v>47.720685247575062</v>
      </c>
      <c r="AC18" s="30">
        <v>0</v>
      </c>
      <c r="AD18" s="30">
        <v>27.686313951935805</v>
      </c>
      <c r="AE18" s="30">
        <v>0</v>
      </c>
      <c r="AF18" s="30">
        <v>15.439355946191514</v>
      </c>
      <c r="AG18" s="30">
        <v>0</v>
      </c>
      <c r="AH18" s="30">
        <v>0</v>
      </c>
      <c r="AI18" s="30">
        <f t="shared" si="8"/>
        <v>6.7807127070676598E-2</v>
      </c>
      <c r="AJ18" s="34">
        <f t="shared" si="1"/>
        <v>285.9055613023595</v>
      </c>
      <c r="AM18" s="23"/>
      <c r="AO18" s="20" t="str">
        <f t="shared" si="2"/>
        <v>BALI_NT</v>
      </c>
      <c r="AP18" s="20">
        <f t="shared" si="2"/>
        <v>2033</v>
      </c>
      <c r="AQ18" s="30">
        <v>99999</v>
      </c>
      <c r="AR18" s="30">
        <v>99999</v>
      </c>
      <c r="AS18" s="30">
        <v>99999</v>
      </c>
      <c r="AT18" s="30">
        <v>99999</v>
      </c>
      <c r="AU18" s="30">
        <f t="shared" si="9"/>
        <v>1566.9801010217475</v>
      </c>
      <c r="AV18" s="30">
        <f t="shared" si="9"/>
        <v>183.16006206516212</v>
      </c>
      <c r="AW18" s="30">
        <f t="shared" si="9"/>
        <v>141</v>
      </c>
      <c r="AX18" s="30">
        <f t="shared" si="9"/>
        <v>18193.542312602905</v>
      </c>
      <c r="AY18" s="30">
        <f t="shared" si="9"/>
        <v>13812</v>
      </c>
      <c r="AZ18" s="30">
        <f t="shared" si="9"/>
        <v>15.439355946191514</v>
      </c>
      <c r="BA18" s="30">
        <f t="shared" si="9"/>
        <v>9297</v>
      </c>
      <c r="BB18" s="30">
        <v>99999</v>
      </c>
      <c r="BC18" s="30">
        <v>99999</v>
      </c>
      <c r="BD18" s="30">
        <f t="shared" si="3"/>
        <v>43209.121831636003</v>
      </c>
      <c r="BF18" s="23"/>
      <c r="BG18" s="19"/>
      <c r="BH18" s="20" t="str">
        <f t="shared" si="10"/>
        <v>BALI_NT</v>
      </c>
      <c r="BI18" s="20">
        <f t="shared" si="10"/>
        <v>2033</v>
      </c>
      <c r="BJ18" s="25">
        <f t="shared" si="4"/>
        <v>2.4484173575513225E-2</v>
      </c>
      <c r="BK18" s="43">
        <f t="shared" si="5"/>
        <v>2.7809305899597535E-4</v>
      </c>
      <c r="BL18" s="34">
        <f t="shared" si="11"/>
        <v>5591.0609511140838</v>
      </c>
      <c r="BP18" s="23"/>
    </row>
    <row r="19" spans="1:84" x14ac:dyDescent="0.25">
      <c r="A19" s="19"/>
      <c r="B19" s="20" t="str">
        <f t="shared" si="12"/>
        <v>BALI_NT</v>
      </c>
      <c r="C19" s="20">
        <f t="shared" si="13"/>
        <v>2034</v>
      </c>
      <c r="D19" s="30">
        <f t="shared" si="14"/>
        <v>1238.2850860132191</v>
      </c>
      <c r="E19" s="30">
        <f t="shared" si="6"/>
        <v>1524.2694424826354</v>
      </c>
      <c r="F19" s="30">
        <f t="shared" si="6"/>
        <v>835.58649326727641</v>
      </c>
      <c r="G19" s="30">
        <f t="shared" si="6"/>
        <v>582.04999799999996</v>
      </c>
      <c r="H19" s="30">
        <f t="shared" si="6"/>
        <v>156.419897978253</v>
      </c>
      <c r="I19" s="30">
        <f t="shared" si="6"/>
        <v>513.57867042759131</v>
      </c>
      <c r="J19" s="30">
        <f t="shared" si="6"/>
        <v>16</v>
      </c>
      <c r="K19" s="30">
        <f t="shared" si="6"/>
        <v>301.29479162533596</v>
      </c>
      <c r="L19" s="30">
        <f t="shared" si="6"/>
        <v>0</v>
      </c>
      <c r="M19" s="30">
        <f t="shared" si="6"/>
        <v>627.28032202690429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1.5039829249330738</v>
      </c>
      <c r="Q19" s="30">
        <f t="shared" si="7"/>
        <v>5794.7647018212165</v>
      </c>
      <c r="R19" s="30"/>
      <c r="S19" s="36"/>
      <c r="T19" s="19"/>
      <c r="U19" s="20" t="str">
        <f t="shared" si="0"/>
        <v>BALI_NT</v>
      </c>
      <c r="V19" s="20">
        <f t="shared" si="0"/>
        <v>2034</v>
      </c>
      <c r="W19" s="30">
        <v>60.795438350125387</v>
      </c>
      <c r="X19" s="30">
        <v>174.41842235536581</v>
      </c>
      <c r="Y19" s="30">
        <v>0</v>
      </c>
      <c r="Z19" s="30">
        <v>0</v>
      </c>
      <c r="AA19" s="30">
        <v>-9.9999999925159955E-7</v>
      </c>
      <c r="AB19" s="30">
        <v>65.438732492753374</v>
      </c>
      <c r="AC19" s="30">
        <v>0</v>
      </c>
      <c r="AD19" s="30">
        <v>33.707104228242294</v>
      </c>
      <c r="AE19" s="30">
        <v>0</v>
      </c>
      <c r="AF19" s="30">
        <v>7.7196779730957568</v>
      </c>
      <c r="AG19" s="30">
        <v>0</v>
      </c>
      <c r="AH19" s="30">
        <v>0</v>
      </c>
      <c r="AI19" s="30">
        <f t="shared" si="8"/>
        <v>8.565188710606142E-2</v>
      </c>
      <c r="AJ19" s="34">
        <f t="shared" si="1"/>
        <v>342.16502628668871</v>
      </c>
      <c r="AM19" s="23"/>
      <c r="AO19" s="20" t="str">
        <f t="shared" si="2"/>
        <v>BALI_NT</v>
      </c>
      <c r="AP19" s="20">
        <f t="shared" si="2"/>
        <v>2034</v>
      </c>
      <c r="AQ19" s="30">
        <v>99999</v>
      </c>
      <c r="AR19" s="30">
        <v>99999</v>
      </c>
      <c r="AS19" s="30">
        <v>99999</v>
      </c>
      <c r="AT19" s="30">
        <v>99999</v>
      </c>
      <c r="AU19" s="30">
        <f t="shared" si="9"/>
        <v>1566.9801020217476</v>
      </c>
      <c r="AV19" s="30">
        <f t="shared" si="9"/>
        <v>117.72132957240875</v>
      </c>
      <c r="AW19" s="30">
        <f t="shared" si="9"/>
        <v>141</v>
      </c>
      <c r="AX19" s="30">
        <f t="shared" si="9"/>
        <v>18159.835208374665</v>
      </c>
      <c r="AY19" s="30">
        <f t="shared" si="9"/>
        <v>13812</v>
      </c>
      <c r="AZ19" s="30">
        <f t="shared" si="9"/>
        <v>7.7196779730957568</v>
      </c>
      <c r="BA19" s="30">
        <f t="shared" si="9"/>
        <v>9297</v>
      </c>
      <c r="BB19" s="30">
        <v>99999</v>
      </c>
      <c r="BC19" s="30">
        <v>99999</v>
      </c>
      <c r="BD19" s="30">
        <f t="shared" si="3"/>
        <v>43102.256317941916</v>
      </c>
      <c r="BF19" s="23"/>
      <c r="BG19" s="19"/>
      <c r="BH19" s="20" t="str">
        <f t="shared" si="10"/>
        <v>BALI_NT</v>
      </c>
      <c r="BI19" s="20">
        <f t="shared" si="10"/>
        <v>2034</v>
      </c>
      <c r="BJ19" s="25">
        <f t="shared" si="4"/>
        <v>2.603023994418598E-2</v>
      </c>
      <c r="BK19" s="43">
        <f t="shared" si="5"/>
        <v>2.784342598497514E-4</v>
      </c>
      <c r="BL19" s="34">
        <f t="shared" si="11"/>
        <v>5928.7006900861779</v>
      </c>
      <c r="BP19" s="23"/>
    </row>
    <row r="20" spans="1:84" x14ac:dyDescent="0.25">
      <c r="A20" s="19"/>
      <c r="B20" s="20" t="str">
        <f t="shared" si="12"/>
        <v>BALI_NT</v>
      </c>
      <c r="C20" s="20">
        <f t="shared" si="13"/>
        <v>2035</v>
      </c>
      <c r="D20" s="30">
        <f t="shared" si="14"/>
        <v>1296.0795844449428</v>
      </c>
      <c r="E20" s="30">
        <f t="shared" si="6"/>
        <v>1524.2694414826356</v>
      </c>
      <c r="F20" s="30">
        <f t="shared" si="6"/>
        <v>1017.1673170346018</v>
      </c>
      <c r="G20" s="30">
        <f t="shared" si="6"/>
        <v>582.04999799999996</v>
      </c>
      <c r="H20" s="30">
        <f t="shared" si="6"/>
        <v>161.42378744794678</v>
      </c>
      <c r="I20" s="30">
        <f t="shared" si="6"/>
        <v>572.43933521379563</v>
      </c>
      <c r="J20" s="30">
        <f t="shared" si="6"/>
        <v>16</v>
      </c>
      <c r="K20" s="30">
        <f t="shared" si="6"/>
        <v>337.61368932595559</v>
      </c>
      <c r="L20" s="30">
        <f t="shared" si="6"/>
        <v>0</v>
      </c>
      <c r="M20" s="30">
        <f t="shared" si="6"/>
        <v>631.14016101345214</v>
      </c>
      <c r="N20" s="30">
        <f t="shared" si="6"/>
        <v>-3.3184666028973631E-7</v>
      </c>
      <c r="O20" s="30">
        <f t="shared" si="6"/>
        <v>0</v>
      </c>
      <c r="P20" s="30">
        <f>BL20/((VLOOKUP(P$3,tech_data!$B$2:$G$15,6,FALSE)/100)*24*365)</f>
        <v>1.5874826583235335</v>
      </c>
      <c r="Q20" s="30">
        <f t="shared" si="7"/>
        <v>6138.1833136314845</v>
      </c>
      <c r="R20" s="30"/>
      <c r="S20" s="36"/>
      <c r="T20" s="19"/>
      <c r="U20" s="20" t="str">
        <f t="shared" si="0"/>
        <v>BALI_NT</v>
      </c>
      <c r="V20" s="20">
        <f t="shared" si="0"/>
        <v>2035</v>
      </c>
      <c r="W20" s="30">
        <v>57.794498431723653</v>
      </c>
      <c r="X20" s="30">
        <v>-9.9999999747524271E-7</v>
      </c>
      <c r="Y20" s="30">
        <v>181.58082376732534</v>
      </c>
      <c r="Z20" s="30">
        <v>0</v>
      </c>
      <c r="AA20" s="30">
        <v>5.0038894696937657</v>
      </c>
      <c r="AB20" s="30">
        <v>58.860664786204374</v>
      </c>
      <c r="AC20" s="30">
        <v>0</v>
      </c>
      <c r="AD20" s="30">
        <v>36.318897700619644</v>
      </c>
      <c r="AE20" s="30">
        <v>0</v>
      </c>
      <c r="AF20" s="30">
        <v>3.8598389865478784</v>
      </c>
      <c r="AG20" s="30">
        <v>-3.3184666028973631E-7</v>
      </c>
      <c r="AH20" s="30">
        <v>0</v>
      </c>
      <c r="AI20" s="30">
        <f t="shared" si="8"/>
        <v>8.3499733390459685E-2</v>
      </c>
      <c r="AJ20" s="34">
        <f t="shared" si="1"/>
        <v>343.50211154365843</v>
      </c>
      <c r="AM20" s="23"/>
      <c r="AO20" s="20" t="str">
        <f t="shared" si="2"/>
        <v>BALI_NT</v>
      </c>
      <c r="AP20" s="20">
        <f t="shared" si="2"/>
        <v>2035</v>
      </c>
      <c r="AQ20" s="30">
        <v>99999</v>
      </c>
      <c r="AR20" s="30">
        <v>99999</v>
      </c>
      <c r="AS20" s="30">
        <v>99999</v>
      </c>
      <c r="AT20" s="30">
        <v>99999</v>
      </c>
      <c r="AU20" s="30">
        <f t="shared" si="9"/>
        <v>1561.9762125520538</v>
      </c>
      <c r="AV20" s="30">
        <f t="shared" si="9"/>
        <v>58.860664786204374</v>
      </c>
      <c r="AW20" s="30">
        <f t="shared" si="9"/>
        <v>141</v>
      </c>
      <c r="AX20" s="30">
        <f t="shared" si="9"/>
        <v>18123.516310674044</v>
      </c>
      <c r="AY20" s="30">
        <f t="shared" si="9"/>
        <v>13812</v>
      </c>
      <c r="AZ20" s="30">
        <f t="shared" si="9"/>
        <v>3.8598389865478784</v>
      </c>
      <c r="BA20" s="30">
        <f t="shared" si="9"/>
        <v>9297.0000003318473</v>
      </c>
      <c r="BB20" s="30">
        <v>99999</v>
      </c>
      <c r="BC20" s="30">
        <v>99999</v>
      </c>
      <c r="BD20" s="30">
        <f t="shared" si="3"/>
        <v>42998.213027330705</v>
      </c>
      <c r="BF20" s="23"/>
      <c r="BG20" s="19"/>
      <c r="BH20" s="20" t="str">
        <f t="shared" si="10"/>
        <v>BALI_NT</v>
      </c>
      <c r="BI20" s="20">
        <f t="shared" si="10"/>
        <v>2035</v>
      </c>
      <c r="BJ20" s="25">
        <f t="shared" si="4"/>
        <v>2.7669702476719842E-2</v>
      </c>
      <c r="BK20" s="43">
        <f t="shared" si="5"/>
        <v>2.7879607227072439E-4</v>
      </c>
      <c r="BL20" s="34">
        <f t="shared" si="11"/>
        <v>6257.85663911137</v>
      </c>
      <c r="BP20" s="23"/>
    </row>
    <row r="21" spans="1:84" x14ac:dyDescent="0.25">
      <c r="A21" s="19"/>
      <c r="B21" s="20" t="str">
        <f t="shared" si="12"/>
        <v>BALI_NT</v>
      </c>
      <c r="C21" s="20">
        <f t="shared" si="13"/>
        <v>2036</v>
      </c>
      <c r="D21" s="30">
        <f t="shared" si="14"/>
        <v>1357.3373734861589</v>
      </c>
      <c r="E21" s="30">
        <f t="shared" si="14"/>
        <v>1703.2122775898345</v>
      </c>
      <c r="F21" s="30">
        <f t="shared" si="14"/>
        <v>1017.1673170346018</v>
      </c>
      <c r="G21" s="30">
        <f t="shared" si="14"/>
        <v>582.04999799999996</v>
      </c>
      <c r="H21" s="30">
        <f t="shared" si="14"/>
        <v>190.29702867347694</v>
      </c>
      <c r="I21" s="30">
        <f t="shared" si="14"/>
        <v>601.86966760689779</v>
      </c>
      <c r="J21" s="30">
        <f t="shared" si="14"/>
        <v>16</v>
      </c>
      <c r="K21" s="30">
        <f t="shared" si="14"/>
        <v>378.48698250681201</v>
      </c>
      <c r="L21" s="30">
        <f t="shared" si="14"/>
        <v>0</v>
      </c>
      <c r="M21" s="30">
        <f t="shared" si="14"/>
        <v>633.07008050672607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1.6767779501938889</v>
      </c>
      <c r="Q21" s="30">
        <f t="shared" si="7"/>
        <v>6479.4907254045074</v>
      </c>
      <c r="R21" s="30"/>
      <c r="S21" s="36"/>
      <c r="T21" s="19"/>
      <c r="U21" s="20" t="str">
        <f t="shared" si="0"/>
        <v>BALI_NT</v>
      </c>
      <c r="V21" s="20">
        <f t="shared" si="0"/>
        <v>2036</v>
      </c>
      <c r="W21" s="30">
        <v>61.257789041215958</v>
      </c>
      <c r="X21" s="30">
        <v>178.94283610719887</v>
      </c>
      <c r="Y21" s="30">
        <v>0</v>
      </c>
      <c r="Z21" s="30">
        <v>0</v>
      </c>
      <c r="AA21" s="30">
        <v>28.873241225530165</v>
      </c>
      <c r="AB21" s="30">
        <v>29.430332393102187</v>
      </c>
      <c r="AC21" s="30">
        <v>0</v>
      </c>
      <c r="AD21" s="30">
        <v>40.873293180856436</v>
      </c>
      <c r="AE21" s="30">
        <v>0</v>
      </c>
      <c r="AF21" s="30">
        <v>1.9299194932739392</v>
      </c>
      <c r="AG21" s="30">
        <v>3.3184666028973599E-7</v>
      </c>
      <c r="AH21" s="30">
        <v>0</v>
      </c>
      <c r="AI21" s="30">
        <f t="shared" si="8"/>
        <v>8.9295291870355342E-2</v>
      </c>
      <c r="AJ21" s="34">
        <f t="shared" si="1"/>
        <v>341.39670706489449</v>
      </c>
      <c r="AM21" s="23"/>
      <c r="AO21" s="20" t="str">
        <f t="shared" si="2"/>
        <v>BALI_NT</v>
      </c>
      <c r="AP21" s="20">
        <f t="shared" si="2"/>
        <v>2036</v>
      </c>
      <c r="AQ21" s="30">
        <v>99999</v>
      </c>
      <c r="AR21" s="30">
        <v>99999</v>
      </c>
      <c r="AS21" s="30">
        <v>99999</v>
      </c>
      <c r="AT21" s="30">
        <v>99999</v>
      </c>
      <c r="AU21" s="30">
        <f t="shared" ref="AU21:BA23" si="15">AU20-AA21</f>
        <v>1533.1029713265236</v>
      </c>
      <c r="AV21" s="30">
        <f t="shared" si="15"/>
        <v>29.430332393102187</v>
      </c>
      <c r="AW21" s="30">
        <f t="shared" si="15"/>
        <v>141</v>
      </c>
      <c r="AX21" s="30">
        <f t="shared" si="15"/>
        <v>18082.643017493188</v>
      </c>
      <c r="AY21" s="30">
        <f t="shared" si="15"/>
        <v>13812</v>
      </c>
      <c r="AZ21" s="30">
        <f t="shared" si="15"/>
        <v>1.9299194932739392</v>
      </c>
      <c r="BA21" s="30">
        <f t="shared" si="15"/>
        <v>9297</v>
      </c>
      <c r="BB21" s="30">
        <v>99999</v>
      </c>
      <c r="BC21" s="30">
        <v>99999</v>
      </c>
      <c r="BD21" s="30">
        <f t="shared" si="3"/>
        <v>42897.106240706089</v>
      </c>
      <c r="BF21" s="23"/>
      <c r="BG21" s="19"/>
      <c r="BH21" s="20" t="str">
        <f t="shared" si="10"/>
        <v>BALI_NT</v>
      </c>
      <c r="BI21" s="20">
        <f t="shared" si="10"/>
        <v>2036</v>
      </c>
      <c r="BJ21" s="25">
        <f t="shared" si="4"/>
        <v>2.9408035701822509E-2</v>
      </c>
      <c r="BK21" s="43">
        <f t="shared" si="5"/>
        <v>2.7917970443074708E-4</v>
      </c>
      <c r="BL21" s="34">
        <f t="shared" si="11"/>
        <v>6609.8586796643103</v>
      </c>
      <c r="BP21" s="23"/>
    </row>
    <row r="22" spans="1:84" x14ac:dyDescent="0.25">
      <c r="A22" s="19"/>
      <c r="B22" s="20" t="str">
        <f t="shared" si="12"/>
        <v>BALI_NT</v>
      </c>
      <c r="C22" s="20">
        <f t="shared" si="13"/>
        <v>2037</v>
      </c>
      <c r="D22" s="30">
        <f t="shared" ref="D22:O23" si="16">D21+W22</f>
        <v>1421.7355081031437</v>
      </c>
      <c r="E22" s="30">
        <f t="shared" si="16"/>
        <v>1703.2122775898345</v>
      </c>
      <c r="F22" s="30">
        <f t="shared" si="16"/>
        <v>1221.4088479559823</v>
      </c>
      <c r="G22" s="30">
        <f t="shared" si="16"/>
        <v>582.04999699999996</v>
      </c>
      <c r="H22" s="30">
        <f t="shared" si="16"/>
        <v>232.4287419679988</v>
      </c>
      <c r="I22" s="30">
        <f t="shared" si="16"/>
        <v>616.58483380344887</v>
      </c>
      <c r="J22" s="30">
        <f t="shared" si="16"/>
        <v>16</v>
      </c>
      <c r="K22" s="30">
        <f t="shared" si="16"/>
        <v>424.34193757569187</v>
      </c>
      <c r="L22" s="30">
        <f t="shared" si="16"/>
        <v>0</v>
      </c>
      <c r="M22" s="30">
        <f t="shared" si="16"/>
        <v>634.03504025336304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1.7716361057885122</v>
      </c>
      <c r="Q22" s="30">
        <f t="shared" si="7"/>
        <v>6851.7971842494626</v>
      </c>
      <c r="R22" s="30"/>
      <c r="S22" s="36"/>
      <c r="T22" s="19"/>
      <c r="U22" s="20" t="str">
        <f t="shared" si="0"/>
        <v>BALI_NT</v>
      </c>
      <c r="V22" s="20">
        <f t="shared" si="0"/>
        <v>2037</v>
      </c>
      <c r="W22" s="30">
        <v>64.398134616984748</v>
      </c>
      <c r="X22" s="30">
        <v>0</v>
      </c>
      <c r="Y22" s="30">
        <v>204.24153092138056</v>
      </c>
      <c r="Z22" s="30">
        <v>-9.9999999925159955E-7</v>
      </c>
      <c r="AA22" s="30">
        <v>42.131713294521845</v>
      </c>
      <c r="AB22" s="30">
        <v>14.715166196551094</v>
      </c>
      <c r="AC22" s="30">
        <v>0</v>
      </c>
      <c r="AD22" s="30">
        <v>45.85495506887986</v>
      </c>
      <c r="AE22" s="30">
        <v>0</v>
      </c>
      <c r="AF22" s="30">
        <v>0.9649597466369696</v>
      </c>
      <c r="AG22" s="30">
        <v>0</v>
      </c>
      <c r="AH22" s="30">
        <v>0</v>
      </c>
      <c r="AI22" s="30">
        <f t="shared" si="8"/>
        <v>9.4858155594623295E-2</v>
      </c>
      <c r="AJ22" s="34">
        <f t="shared" si="1"/>
        <v>372.40131700054968</v>
      </c>
      <c r="AM22" s="23"/>
      <c r="AO22" s="20" t="str">
        <f t="shared" si="2"/>
        <v>BALI_NT</v>
      </c>
      <c r="AP22" s="20">
        <f t="shared" si="2"/>
        <v>2037</v>
      </c>
      <c r="AQ22" s="30">
        <v>99999</v>
      </c>
      <c r="AR22" s="30">
        <v>99999</v>
      </c>
      <c r="AS22" s="30">
        <v>99999</v>
      </c>
      <c r="AT22" s="30">
        <v>99999</v>
      </c>
      <c r="AU22" s="30">
        <f t="shared" si="15"/>
        <v>1490.9712580320017</v>
      </c>
      <c r="AV22" s="30">
        <f t="shared" si="15"/>
        <v>14.715166196551094</v>
      </c>
      <c r="AW22" s="30">
        <f t="shared" si="15"/>
        <v>141</v>
      </c>
      <c r="AX22" s="30">
        <f t="shared" si="15"/>
        <v>18036.788062424308</v>
      </c>
      <c r="AY22" s="30">
        <f t="shared" si="15"/>
        <v>13812</v>
      </c>
      <c r="AZ22" s="30">
        <f t="shared" si="15"/>
        <v>0.9649597466369696</v>
      </c>
      <c r="BA22" s="30">
        <f t="shared" si="15"/>
        <v>9297</v>
      </c>
      <c r="BB22" s="30">
        <v>99999</v>
      </c>
      <c r="BC22" s="30">
        <v>99999</v>
      </c>
      <c r="BD22" s="30">
        <f t="shared" si="3"/>
        <v>42793.439446399498</v>
      </c>
      <c r="BF22" s="23"/>
      <c r="BG22" s="19"/>
      <c r="BH22" s="20" t="str">
        <f t="shared" si="10"/>
        <v>BALI_NT</v>
      </c>
      <c r="BI22" s="20">
        <f t="shared" si="10"/>
        <v>2037</v>
      </c>
      <c r="BJ22" s="25">
        <f t="shared" si="4"/>
        <v>3.1251027998088106E-2</v>
      </c>
      <c r="BK22" s="43">
        <f t="shared" si="5"/>
        <v>2.7958643376509531E-4</v>
      </c>
      <c r="BL22" s="34">
        <f t="shared" si="11"/>
        <v>6983.789529018316</v>
      </c>
      <c r="BP22" s="23"/>
    </row>
    <row r="23" spans="1:84" x14ac:dyDescent="0.25">
      <c r="A23" s="19"/>
      <c r="B23" s="20" t="str">
        <f t="shared" si="12"/>
        <v>BALI_NT</v>
      </c>
      <c r="C23" s="20">
        <f t="shared" si="13"/>
        <v>2038</v>
      </c>
      <c r="D23" s="30">
        <f t="shared" si="16"/>
        <v>1497.6028772072616</v>
      </c>
      <c r="E23" s="30">
        <f t="shared" si="16"/>
        <v>1924.9921737949403</v>
      </c>
      <c r="F23" s="30">
        <f t="shared" si="16"/>
        <v>1221.4088479559823</v>
      </c>
      <c r="G23" s="30">
        <f t="shared" si="16"/>
        <v>582.04999599999996</v>
      </c>
      <c r="H23" s="30">
        <f t="shared" si="16"/>
        <v>288.03160395072808</v>
      </c>
      <c r="I23" s="30">
        <f t="shared" si="16"/>
        <v>623.94241690172441</v>
      </c>
      <c r="J23" s="30">
        <f t="shared" si="16"/>
        <v>16</v>
      </c>
      <c r="K23" s="30">
        <f t="shared" si="16"/>
        <v>478.39747980221154</v>
      </c>
      <c r="L23" s="30">
        <f t="shared" si="16"/>
        <v>0</v>
      </c>
      <c r="M23" s="30">
        <f t="shared" si="16"/>
        <v>634.51752012668157</v>
      </c>
      <c r="N23" s="30">
        <f t="shared" si="16"/>
        <v>1.1703509342293799E-14</v>
      </c>
      <c r="O23" s="30">
        <f t="shared" si="16"/>
        <v>0</v>
      </c>
      <c r="P23" s="30">
        <f>BL23/((VLOOKUP(P$3,tech_data!$B$2:$G$15,6,FALSE)/100)*24*365)</f>
        <v>1.8826957786578016</v>
      </c>
      <c r="Q23" s="30">
        <f t="shared" si="7"/>
        <v>7266.9429157395298</v>
      </c>
      <c r="R23" s="30"/>
      <c r="S23" s="36"/>
      <c r="T23" s="19"/>
      <c r="U23" s="20" t="str">
        <f t="shared" si="0"/>
        <v>BALI_NT</v>
      </c>
      <c r="V23" s="20">
        <f t="shared" si="0"/>
        <v>2038</v>
      </c>
      <c r="W23" s="30">
        <v>75.867369104117856</v>
      </c>
      <c r="X23" s="30">
        <v>221.77989620510587</v>
      </c>
      <c r="Y23" s="30">
        <v>0</v>
      </c>
      <c r="Z23" s="30">
        <v>-9.9999999925159955E-7</v>
      </c>
      <c r="AA23" s="30">
        <v>55.602861982729273</v>
      </c>
      <c r="AB23" s="30">
        <v>7.3575830982755468</v>
      </c>
      <c r="AC23" s="30">
        <v>0</v>
      </c>
      <c r="AD23" s="30">
        <v>54.055542226519641</v>
      </c>
      <c r="AE23" s="30">
        <v>0</v>
      </c>
      <c r="AF23" s="30">
        <v>0.4824798733184848</v>
      </c>
      <c r="AG23" s="30">
        <v>1.1703509342293799E-14</v>
      </c>
      <c r="AH23" s="30">
        <v>0</v>
      </c>
      <c r="AI23" s="30">
        <f t="shared" si="8"/>
        <v>0.11105967286928942</v>
      </c>
      <c r="AJ23" s="34">
        <f t="shared" si="1"/>
        <v>415.256791162936</v>
      </c>
      <c r="AM23" s="23"/>
      <c r="AO23" s="20" t="str">
        <f t="shared" si="2"/>
        <v>BALI_NT</v>
      </c>
      <c r="AP23" s="20">
        <f t="shared" si="2"/>
        <v>2038</v>
      </c>
      <c r="AQ23" s="30">
        <v>99999</v>
      </c>
      <c r="AR23" s="30">
        <v>99999</v>
      </c>
      <c r="AS23" s="30">
        <v>99999</v>
      </c>
      <c r="AT23" s="30">
        <v>99999</v>
      </c>
      <c r="AU23" s="30">
        <f t="shared" si="15"/>
        <v>1435.3683960492724</v>
      </c>
      <c r="AV23" s="30">
        <f t="shared" si="15"/>
        <v>7.3575830982755468</v>
      </c>
      <c r="AW23" s="30">
        <f t="shared" si="15"/>
        <v>141</v>
      </c>
      <c r="AX23" s="30">
        <f t="shared" si="15"/>
        <v>17982.732520197787</v>
      </c>
      <c r="AY23" s="30">
        <f t="shared" si="15"/>
        <v>13812</v>
      </c>
      <c r="AZ23" s="30">
        <f t="shared" si="15"/>
        <v>0.4824798733184848</v>
      </c>
      <c r="BA23" s="30">
        <f t="shared" si="15"/>
        <v>9297</v>
      </c>
      <c r="BB23" s="30">
        <v>99999</v>
      </c>
      <c r="BC23" s="30">
        <v>99999</v>
      </c>
      <c r="BD23" s="30">
        <f t="shared" si="3"/>
        <v>42675.940979218649</v>
      </c>
      <c r="BF23" s="23"/>
      <c r="BG23" s="19"/>
      <c r="BH23" s="20" t="str">
        <f t="shared" si="10"/>
        <v>BALI_NT</v>
      </c>
      <c r="BI23" s="20">
        <f t="shared" si="10"/>
        <v>2038</v>
      </c>
      <c r="BJ23" s="25">
        <f>SUM(K47:L47,N47)/Q47</f>
        <v>3.320479942062135E-2</v>
      </c>
      <c r="BK23" s="43">
        <f t="shared" si="5"/>
        <v>2.8001761090661991E-4</v>
      </c>
      <c r="BL23" s="34">
        <f t="shared" si="11"/>
        <v>7421.5867594690544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BALI_NT</v>
      </c>
      <c r="C28" s="20">
        <f>C4</f>
        <v>2019</v>
      </c>
      <c r="D28" s="30">
        <f>(D4*(VLOOKUP(D$27,tech_data!$B$2:$O$15,6, FALSE)/100)*(1-(VLOOKUP(D$27,tech_data!$B$2:$O$15,7, FALSE)/100))*8760)/1000</f>
        <v>2518.3558298666662</v>
      </c>
      <c r="E28" s="30">
        <f>(E4*(VLOOKUP(E$27,tech_data!$B$2:$O$15,6, FALSE)/100)*(1-(VLOOKUP(E$27,tech_data!$B$2:$O$15,7, FALSE)/100))*8760)/1000</f>
        <v>1974.5776102799998</v>
      </c>
      <c r="F28" s="30">
        <f>(F4*(VLOOKUP(F$27,tech_data!$B$2:$O$15,6, FALSE)/100)*(1-(VLOOKUP(F$27,tech_data!$B$2:$O$15,7, FALSE)/100))*8760)/1000</f>
        <v>0</v>
      </c>
      <c r="G28" s="30">
        <f>(G4*(VLOOKUP(G$27,tech_data!$B$2:$O$15,6, FALSE)/100)*(1-(VLOOKUP(G$27,tech_data!$B$2:$O$15,7, FALSE)/100))*8760)/1000</f>
        <v>2908.6453329230771</v>
      </c>
      <c r="H28" s="30">
        <f>(H4*(VLOOKUP(H$27,tech_data!$B$2:$O$15,6, FALSE)/100)*(1-(VLOOKUP(H$27,tech_data!$B$2:$O$15,7, FALSE)/100))*8760)/1000</f>
        <v>159.63280615384616</v>
      </c>
      <c r="I28" s="30">
        <f>(I4*(VLOOKUP(I$27,tech_data!$B$2:$O$15,6, FALSE)/100)*(1-(VLOOKUP(I$27,tech_data!$B$2:$O$15,7, FALSE)/100))*8760)/1000</f>
        <v>32.406878769230765</v>
      </c>
      <c r="J28" s="30">
        <f>(J4*(VLOOKUP(J$27,tech_data!$B$2:$O$15,6, FALSE)/100)*(1-(VLOOKUP(J$27,tech_data!$B$2:$O$15,7, FALSE)/100))*8760)/1000</f>
        <v>94.705033846153867</v>
      </c>
      <c r="K28" s="30">
        <f>(K4*(VLOOKUP(K$27,tech_data!$B$2:$O$15,6, FALSE)/100)*(1-(VLOOKUP(K$27,tech_data!$B$2:$O$15,7, FALSE)/100))*8760)/1000</f>
        <v>7.5975479999999997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0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7695.9210398389732</v>
      </c>
      <c r="R28" s="34">
        <f>proj_rukn!D62</f>
        <v>8627</v>
      </c>
      <c r="S28" s="35"/>
      <c r="T28" s="19"/>
      <c r="U28" s="20" t="str">
        <f t="shared" ref="U28:V47" si="18">B28</f>
        <v>BALI_NT</v>
      </c>
      <c r="V28" s="20">
        <f t="shared" si="18"/>
        <v>2019</v>
      </c>
      <c r="W28" s="29">
        <f t="shared" ref="W28:AI47" si="19">D28/$Q28</f>
        <v>0.32723254524442985</v>
      </c>
      <c r="X28" s="29">
        <f t="shared" si="19"/>
        <v>0.25657456723611538</v>
      </c>
      <c r="Y28" s="29">
        <f t="shared" si="19"/>
        <v>0</v>
      </c>
      <c r="Z28" s="29">
        <f t="shared" si="19"/>
        <v>0.37794635857957509</v>
      </c>
      <c r="AA28" s="29">
        <f t="shared" si="19"/>
        <v>2.0742521308039077E-2</v>
      </c>
      <c r="AB28" s="29">
        <f t="shared" si="19"/>
        <v>4.2109162245132434E-3</v>
      </c>
      <c r="AC28" s="29">
        <f t="shared" si="19"/>
        <v>1.2305873898120899E-2</v>
      </c>
      <c r="AD28" s="29">
        <f t="shared" si="19"/>
        <v>9.8721750920653531E-4</v>
      </c>
      <c r="AE28" s="29">
        <f t="shared" si="19"/>
        <v>0</v>
      </c>
      <c r="AF28" s="29">
        <f t="shared" si="19"/>
        <v>0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BALI_NT</v>
      </c>
      <c r="AP28" s="20">
        <f>C28</f>
        <v>2019</v>
      </c>
      <c r="AQ28" s="25">
        <f t="shared" ref="AQ28:AQ47" si="21">D28/Q28</f>
        <v>0.32723254524442985</v>
      </c>
      <c r="AR28" s="25">
        <f t="shared" ref="AR28:AR47" si="22">SUM(E28:F28)/Q28</f>
        <v>0.25657456723611538</v>
      </c>
      <c r="AS28" s="25">
        <f t="shared" ref="AS28:AS47" si="23">G28/Q28</f>
        <v>0.37794635857957509</v>
      </c>
      <c r="AT28" s="37">
        <f t="shared" ref="AT28:AT47" si="24">SUM(H28:N28)/Q28</f>
        <v>3.8246528939879752E-2</v>
      </c>
      <c r="AU28" s="24">
        <f>SUM(AQ28:AT28)</f>
        <v>1</v>
      </c>
      <c r="AW28" s="24">
        <f>$BD$29+((AP28-$BC$29)*($BD$30-$BD$29)/($BC$30-$BC$29))</f>
        <v>0.32723254524442985</v>
      </c>
      <c r="AX28" s="24">
        <f t="shared" ref="AX28:AX47" si="25">$BE$29+((AP28-$BC$29)*($BE$30-$BE$29)/($BC$30-$BC$29))</f>
        <v>0.19239999999999999</v>
      </c>
      <c r="AY28" s="24">
        <f>BF29</f>
        <v>0.37794635857957509</v>
      </c>
      <c r="AZ28" s="25">
        <f>$BG$29+((AP28-$BC$29)*($BG$30-$BG$29)/($BC$30-$BC$29))</f>
        <v>0.1166</v>
      </c>
      <c r="BA28" s="24">
        <f>SUM(AW28:AZ28)</f>
        <v>1.014178903824005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BALI_NT</v>
      </c>
      <c r="BL28" s="20">
        <f>C4</f>
        <v>2019</v>
      </c>
      <c r="BM28" s="34">
        <f>proj_rukn!E42</f>
        <v>30067</v>
      </c>
      <c r="BN28" s="30">
        <f t="shared" ref="BN28:BN47" si="26">(1+$CD$28)*BM28*$CD$29</f>
        <v>34577.049999999996</v>
      </c>
      <c r="BO28" s="30">
        <f>SUM(D4:I4,M4,O4:P4)</f>
        <v>1793.8199999999997</v>
      </c>
      <c r="BQ28" s="30">
        <f t="shared" ref="BQ28:BQ47" si="27">BN28*$CD$30</f>
        <v>13830.82</v>
      </c>
      <c r="BR28" s="30">
        <f>SUM(D4,F4,H4,M4)</f>
        <v>543.93999999999994</v>
      </c>
      <c r="BS28" s="30"/>
      <c r="BT28" s="30">
        <f t="shared" ref="BT28:BT47" si="28">BN28*$CD$31</f>
        <v>6915.41</v>
      </c>
      <c r="BU28" s="30">
        <f>SUM(E4,G4,P4,I4)</f>
        <v>1249.8799999999999</v>
      </c>
      <c r="BW28" s="30">
        <f t="shared" ref="BW28:BW47" si="29">$CD$32*SUM(H4:O4)</f>
        <v>2.6015000000000003E-2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2.5811950432374036E-2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BALI_NT</v>
      </c>
      <c r="C29" s="20">
        <f t="shared" si="31"/>
        <v>2020</v>
      </c>
      <c r="D29" s="30">
        <f>(D5*(VLOOKUP(D$27,tech_data!$B$2:$O$15,6, FALSE)/100)*(1-(VLOOKUP(D$27,tech_data!$B$2:$O$15,7, FALSE)/100))*8760)/1000</f>
        <v>2899.8280035289549</v>
      </c>
      <c r="E29" s="30">
        <f>(E5*(VLOOKUP(E$27,tech_data!$B$2:$O$15,6, FALSE)/100)*(1-(VLOOKUP(E$27,tech_data!$B$2:$O$15,7, FALSE)/100))*8760)/1000</f>
        <v>1974.5776102799998</v>
      </c>
      <c r="F29" s="30">
        <f>(F5*(VLOOKUP(F$27,tech_data!$B$2:$O$15,6, FALSE)/100)*(1-(VLOOKUP(F$27,tech_data!$B$2:$O$15,7, FALSE)/100))*8760)/1000</f>
        <v>0</v>
      </c>
      <c r="G29" s="30">
        <f>(G5*(VLOOKUP(G$27,tech_data!$B$2:$O$15,6, FALSE)/100)*(1-(VLOOKUP(G$27,tech_data!$B$2:$O$15,7, FALSE)/100))*8760)/1000</f>
        <v>2908.6453329230771</v>
      </c>
      <c r="H29" s="30">
        <f>(H5*(VLOOKUP(H$27,tech_data!$B$2:$O$15,6, FALSE)/100)*(1-(VLOOKUP(H$27,tech_data!$B$2:$O$15,7, FALSE)/100))*8760)/1000</f>
        <v>1015.0304280337114</v>
      </c>
      <c r="I29" s="30">
        <f>(I5*(VLOOKUP(I$27,tech_data!$B$2:$O$15,6, FALSE)/100)*(1-(VLOOKUP(I$27,tech_data!$B$2:$O$15,7, FALSE)/100))*8760)/1000</f>
        <v>32.406878769230765</v>
      </c>
      <c r="J29" s="30">
        <f>(J5*(VLOOKUP(J$27,tech_data!$B$2:$O$15,6, FALSE)/100)*(1-(VLOOKUP(J$27,tech_data!$B$2:$O$15,7, FALSE)/100))*8760)/1000</f>
        <v>94.705033846153867</v>
      </c>
      <c r="K29" s="30">
        <f>(K5*(VLOOKUP(K$27,tech_data!$B$2:$O$15,6, FALSE)/100)*(1-(VLOOKUP(K$27,tech_data!$B$2:$O$15,7, FALSE)/100))*8760)/1000</f>
        <v>61.126000649853744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-9.9999999996031138E-7</v>
      </c>
      <c r="N29" s="30">
        <f>(N5*(VLOOKUP(N$27,tech_data!$B$2:$O$15,6, FALSE)/100)*(1-(VLOOKUP(N$27,tech_data!$B$2:$O$15,7, FALSE)/100))*8760)/1000</f>
        <v>-9.9999999999395786E-7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2.223255640652912</v>
      </c>
      <c r="Q29" s="34">
        <f t="shared" si="17"/>
        <v>8986.3192860309809</v>
      </c>
      <c r="R29" s="34">
        <f>proj_rukn!D63</f>
        <v>9253</v>
      </c>
      <c r="S29" s="35"/>
      <c r="T29" s="19"/>
      <c r="U29" s="20" t="str">
        <f t="shared" si="18"/>
        <v>BALI_NT</v>
      </c>
      <c r="V29" s="20">
        <f t="shared" si="18"/>
        <v>2020</v>
      </c>
      <c r="W29" s="29">
        <f t="shared" si="19"/>
        <v>0.32269363142222962</v>
      </c>
      <c r="X29" s="29">
        <f t="shared" si="19"/>
        <v>0.21973152159743908</v>
      </c>
      <c r="Y29" s="29">
        <f t="shared" si="19"/>
        <v>0</v>
      </c>
      <c r="Z29" s="29">
        <f t="shared" si="19"/>
        <v>0.32367482618211629</v>
      </c>
      <c r="AA29" s="29">
        <f t="shared" si="19"/>
        <v>0.1129528559720276</v>
      </c>
      <c r="AB29" s="29">
        <f t="shared" si="19"/>
        <v>3.6062460878289165E-3</v>
      </c>
      <c r="AC29" s="29">
        <f t="shared" si="19"/>
        <v>1.0538801352559394E-2</v>
      </c>
      <c r="AD29" s="29">
        <f t="shared" si="19"/>
        <v>6.8021176083597045E-3</v>
      </c>
      <c r="AE29" s="29">
        <f t="shared" si="19"/>
        <v>0</v>
      </c>
      <c r="AF29" s="29">
        <f t="shared" si="19"/>
        <v>-1.1128026593877958E-10</v>
      </c>
      <c r="AG29" s="29">
        <f t="shared" si="19"/>
        <v>-1.1128026594252377E-10</v>
      </c>
      <c r="AH29" s="29">
        <f t="shared" si="19"/>
        <v>0</v>
      </c>
      <c r="AI29" s="29">
        <f t="shared" si="19"/>
        <v>2.4740447895156694E-4</v>
      </c>
      <c r="AJ29" s="29">
        <f t="shared" si="20"/>
        <v>1</v>
      </c>
      <c r="AM29" s="23"/>
      <c r="AO29" s="20" t="str">
        <f>AO28</f>
        <v>BALI_NT</v>
      </c>
      <c r="AP29" s="20">
        <f>AP28+1</f>
        <v>2020</v>
      </c>
      <c r="AQ29" s="25">
        <f t="shared" si="21"/>
        <v>0.32269363142222962</v>
      </c>
      <c r="AR29" s="25">
        <f t="shared" si="22"/>
        <v>0.21973152159743908</v>
      </c>
      <c r="AS29" s="25">
        <f t="shared" si="23"/>
        <v>0.32367482618211629</v>
      </c>
      <c r="AT29" s="37">
        <f t="shared" si="24"/>
        <v>0.13390002079821506</v>
      </c>
      <c r="AU29" s="24">
        <f t="shared" ref="AU29:AU47" si="32">SUM(AQ29:AT29)</f>
        <v>1</v>
      </c>
      <c r="AW29" s="24">
        <f>$BD$29+((AP29-$BC$29)*($BD$30-$BD$29)/($BC$30-$BC$29))</f>
        <v>0.32269378770369156</v>
      </c>
      <c r="AX29" s="24">
        <f t="shared" si="25"/>
        <v>0.19699999999999998</v>
      </c>
      <c r="AY29" s="24">
        <f>AY28*0.98</f>
        <v>0.37038743140798358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1.0255812191116751</v>
      </c>
      <c r="BC29" s="20">
        <v>2019</v>
      </c>
      <c r="BD29" s="25">
        <f>AQ28</f>
        <v>0.32723254524442985</v>
      </c>
      <c r="BE29" s="25">
        <v>0.19239999999999999</v>
      </c>
      <c r="BF29" s="25">
        <f>AS28</f>
        <v>0.37794635857957509</v>
      </c>
      <c r="BG29" s="25">
        <v>0.1166</v>
      </c>
      <c r="BH29" s="24">
        <f>SUM(BD29:BG29)</f>
        <v>1.014178903824005</v>
      </c>
      <c r="BJ29" s="19"/>
      <c r="BK29" s="20" t="str">
        <f>BK28</f>
        <v>BALI_NT</v>
      </c>
      <c r="BL29" s="20">
        <f>BL28+1</f>
        <v>2020</v>
      </c>
      <c r="BM29" s="34">
        <f>proj_rukn!E43</f>
        <v>31834</v>
      </c>
      <c r="BN29" s="30">
        <f t="shared" si="26"/>
        <v>36609.1</v>
      </c>
      <c r="BO29" s="30">
        <f t="shared" ref="BO29:BO47" si="35">SUM(D5:I5,M5,O5:P5)</f>
        <v>2004.9328580686729</v>
      </c>
      <c r="BQ29" s="30">
        <f t="shared" si="27"/>
        <v>14643.64</v>
      </c>
      <c r="BR29" s="30">
        <f t="shared" ref="BR29:BR47" si="36">SUM(D5,F5,H5,M5)</f>
        <v>754.42780322768806</v>
      </c>
      <c r="BS29" s="30"/>
      <c r="BT29" s="30">
        <f t="shared" si="28"/>
        <v>7321.82</v>
      </c>
      <c r="BU29" s="30">
        <f t="shared" ref="BU29:BU47" si="37">SUM(E5,G5,P5,I5)</f>
        <v>1250.5050548409847</v>
      </c>
      <c r="BW29" s="30">
        <f t="shared" si="29"/>
        <v>0.1064738906122089</v>
      </c>
      <c r="BX29" s="30">
        <f t="shared" ref="BX29:BX47" si="38">N5</f>
        <v>-3.3184666029320575E-7</v>
      </c>
      <c r="BZ29" s="24">
        <f>BZ28+$CD$34</f>
        <v>5.0800000000000005E-2</v>
      </c>
      <c r="CA29" s="24">
        <f t="shared" si="30"/>
        <v>5.0799974248027742E-2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BALI_NT</v>
      </c>
      <c r="C30" s="20">
        <f t="shared" si="31"/>
        <v>2021</v>
      </c>
      <c r="D30" s="30">
        <f>(D6*(VLOOKUP(D$27,tech_data!$B$2:$O$15,6, FALSE)/100)*(1-(VLOOKUP(D$27,tech_data!$B$2:$O$15,7, FALSE)/100))*8760)/1000</f>
        <v>3267.373482611843</v>
      </c>
      <c r="E30" s="30">
        <f>(E6*(VLOOKUP(E$27,tech_data!$B$2:$O$15,6, FALSE)/100)*(1-(VLOOKUP(E$27,tech_data!$B$2:$O$15,7, FALSE)/100))*8760)/1000</f>
        <v>1974.5776102799998</v>
      </c>
      <c r="F30" s="30">
        <f>(F6*(VLOOKUP(F$27,tech_data!$B$2:$O$15,6, FALSE)/100)*(1-(VLOOKUP(F$27,tech_data!$B$2:$O$15,7, FALSE)/100))*8760)/1000</f>
        <v>95.804535673096822</v>
      </c>
      <c r="G30" s="30">
        <f>(G6*(VLOOKUP(G$27,tech_data!$B$2:$O$15,6, FALSE)/100)*(1-(VLOOKUP(G$27,tech_data!$B$2:$O$15,7, FALSE)/100))*8760)/1000</f>
        <v>2908.6453279258335</v>
      </c>
      <c r="H30" s="30">
        <f>(H6*(VLOOKUP(H$27,tech_data!$B$2:$O$15,6, FALSE)/100)*(1-(VLOOKUP(H$27,tech_data!$B$2:$O$15,7, FALSE)/100))*8760)/1000</f>
        <v>1015.0304215445728</v>
      </c>
      <c r="I30" s="30">
        <f>(I6*(VLOOKUP(I$27,tech_data!$B$2:$O$15,6, FALSE)/100)*(1-(VLOOKUP(I$27,tech_data!$B$2:$O$15,7, FALSE)/100))*8760)/1000</f>
        <v>805.69071378829699</v>
      </c>
      <c r="J30" s="30">
        <f>(J6*(VLOOKUP(J$27,tech_data!$B$2:$O$15,6, FALSE)/100)*(1-(VLOOKUP(J$27,tech_data!$B$2:$O$15,7, FALSE)/100))*8760)/1000</f>
        <v>94.705033846153867</v>
      </c>
      <c r="K30" s="30">
        <f>(K6*(VLOOKUP(K$27,tech_data!$B$2:$O$15,6, FALSE)/100)*(1-(VLOOKUP(K$27,tech_data!$B$2:$O$15,7, FALSE)/100))*8760)/1000</f>
        <v>107.92558243087917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0</v>
      </c>
      <c r="N30" s="30">
        <f>(N6*(VLOOKUP(N$27,tech_data!$B$2:$O$15,6, FALSE)/100)*(1-(VLOOKUP(N$27,tech_data!$B$2:$O$15,7, FALSE)/100))*8760)/1000</f>
        <v>3.5267823192441815E-14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2.5483635997876508</v>
      </c>
      <c r="Q30" s="34">
        <f t="shared" si="17"/>
        <v>10269.752708100676</v>
      </c>
      <c r="R30" s="34">
        <f>proj_rukn!D64</f>
        <v>11683</v>
      </c>
      <c r="S30" s="35"/>
      <c r="T30" s="19"/>
      <c r="U30" s="20" t="str">
        <f t="shared" si="18"/>
        <v>BALI_NT</v>
      </c>
      <c r="V30" s="20">
        <f t="shared" si="18"/>
        <v>2021</v>
      </c>
      <c r="W30" s="29">
        <f t="shared" si="19"/>
        <v>0.31815503016295343</v>
      </c>
      <c r="X30" s="29">
        <f t="shared" si="19"/>
        <v>0.19227119351398533</v>
      </c>
      <c r="Y30" s="29">
        <f t="shared" si="19"/>
        <v>9.32880648601472E-3</v>
      </c>
      <c r="Z30" s="29">
        <f t="shared" si="19"/>
        <v>0.28322447585631971</v>
      </c>
      <c r="AA30" s="29">
        <f t="shared" si="19"/>
        <v>9.8836890273309816E-2</v>
      </c>
      <c r="AB30" s="29">
        <f t="shared" si="19"/>
        <v>7.8452786224616336E-2</v>
      </c>
      <c r="AC30" s="29">
        <f t="shared" si="19"/>
        <v>9.2217443338680882E-3</v>
      </c>
      <c r="AD30" s="29">
        <f t="shared" si="19"/>
        <v>1.050907314893265E-2</v>
      </c>
      <c r="AE30" s="29">
        <f t="shared" si="19"/>
        <v>0</v>
      </c>
      <c r="AF30" s="29">
        <f t="shared" si="19"/>
        <v>0</v>
      </c>
      <c r="AG30" s="29">
        <f t="shared" si="19"/>
        <v>3.4341453192561218E-18</v>
      </c>
      <c r="AH30" s="29">
        <f t="shared" si="19"/>
        <v>0</v>
      </c>
      <c r="AI30" s="29">
        <f t="shared" si="19"/>
        <v>2.4814264493219274E-4</v>
      </c>
      <c r="AJ30" s="29">
        <f t="shared" si="20"/>
        <v>1.0000000000000002</v>
      </c>
      <c r="AM30" s="23"/>
      <c r="AO30" s="20" t="str">
        <f t="shared" ref="AO30:AO47" si="39">AO29</f>
        <v>BALI_NT</v>
      </c>
      <c r="AP30" s="20">
        <f t="shared" ref="AP30:AP47" si="40">AP29+1</f>
        <v>2021</v>
      </c>
      <c r="AQ30" s="25">
        <f t="shared" si="21"/>
        <v>0.31815503016295343</v>
      </c>
      <c r="AR30" s="25">
        <f t="shared" si="22"/>
        <v>0.20160000000000006</v>
      </c>
      <c r="AS30" s="25">
        <f t="shared" si="23"/>
        <v>0.28322447585631971</v>
      </c>
      <c r="AT30" s="37">
        <f t="shared" si="24"/>
        <v>0.19702049398072688</v>
      </c>
      <c r="AU30" s="24">
        <f t="shared" si="32"/>
        <v>1</v>
      </c>
      <c r="AW30" s="24">
        <f t="shared" ref="AW30:AW34" si="41">$BD$29+((AP30-$BC$29)*($BD$30-$BD$29)/($BC$30-$BC$29))</f>
        <v>0.31815503016295321</v>
      </c>
      <c r="AX30" s="24">
        <f t="shared" si="25"/>
        <v>0.2016</v>
      </c>
      <c r="AY30" s="24">
        <f t="shared" ref="AY30:AY47" si="42">AY29*0.98</f>
        <v>0.3629796827798239</v>
      </c>
      <c r="AZ30" s="25">
        <f t="shared" si="33"/>
        <v>0.15440000000000001</v>
      </c>
      <c r="BA30" s="24">
        <f t="shared" si="34"/>
        <v>1.0371347129427773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BALI_NT</v>
      </c>
      <c r="BL30" s="20">
        <f t="shared" ref="BL30:BL47" si="45">BL29+1</f>
        <v>2021</v>
      </c>
      <c r="BM30" s="34">
        <f>proj_rukn!E44</f>
        <v>33694</v>
      </c>
      <c r="BN30" s="30">
        <f t="shared" si="26"/>
        <v>38748.1</v>
      </c>
      <c r="BO30" s="30">
        <f t="shared" si="35"/>
        <v>2289.6286078537905</v>
      </c>
      <c r="BQ30" s="30">
        <f t="shared" si="27"/>
        <v>15499.24</v>
      </c>
      <c r="BR30" s="30">
        <f t="shared" si="36"/>
        <v>864.84160314545193</v>
      </c>
      <c r="BS30" s="30"/>
      <c r="BT30" s="30">
        <f t="shared" si="28"/>
        <v>7749.62</v>
      </c>
      <c r="BU30" s="30">
        <f t="shared" si="37"/>
        <v>1424.7870047083391</v>
      </c>
      <c r="BW30" s="30">
        <f t="shared" si="29"/>
        <v>0.20628920773101514</v>
      </c>
      <c r="BX30" s="30">
        <f t="shared" si="38"/>
        <v>1.1703509342293799E-14</v>
      </c>
      <c r="BZ30" s="24">
        <f t="shared" ref="BZ30:BZ47" si="46">BZ29*1.05</f>
        <v>5.3340000000000005E-2</v>
      </c>
      <c r="CA30" s="24">
        <f t="shared" si="30"/>
        <v>5.334000000000344E-2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BALI_NT</v>
      </c>
      <c r="C31" s="20">
        <f t="shared" si="31"/>
        <v>2022</v>
      </c>
      <c r="D31" s="30">
        <f>(D7*(VLOOKUP(D$27,tech_data!$B$2:$O$15,6, FALSE)/100)*(1-(VLOOKUP(D$27,tech_data!$B$2:$O$15,7, FALSE)/100))*8760)/1000</f>
        <v>3583.7292001363339</v>
      </c>
      <c r="E31" s="30">
        <f>(E7*(VLOOKUP(E$27,tech_data!$B$2:$O$15,6, FALSE)/100)*(1-(VLOOKUP(E$27,tech_data!$B$2:$O$15,7, FALSE)/100))*8760)/1000</f>
        <v>1974.577607290616</v>
      </c>
      <c r="F31" s="30">
        <f>(F7*(VLOOKUP(F$27,tech_data!$B$2:$O$15,6, FALSE)/100)*(1-(VLOOKUP(F$27,tech_data!$B$2:$O$15,7, FALSE)/100))*8760)/1000</f>
        <v>381.69349716883045</v>
      </c>
      <c r="G31" s="30">
        <f>(G7*(VLOOKUP(G$27,tech_data!$B$2:$O$15,6, FALSE)/100)*(1-(VLOOKUP(G$27,tech_data!$B$2:$O$15,7, FALSE)/100))*8760)/1000</f>
        <v>2908.6453279258335</v>
      </c>
      <c r="H31" s="30">
        <f>(H7*(VLOOKUP(H$27,tech_data!$B$2:$O$15,6, FALSE)/100)*(1-(VLOOKUP(H$27,tech_data!$B$2:$O$15,7, FALSE)/100))*8760)/1000</f>
        <v>1015.0304215445728</v>
      </c>
      <c r="I31" s="30">
        <f>(I7*(VLOOKUP(I$27,tech_data!$B$2:$O$15,6, FALSE)/100)*(1-(VLOOKUP(I$27,tech_data!$B$2:$O$15,7, FALSE)/100))*8760)/1000</f>
        <v>1324.3215391272506</v>
      </c>
      <c r="J31" s="30">
        <f>(J7*(VLOOKUP(J$27,tech_data!$B$2:$O$15,6, FALSE)/100)*(1-(VLOOKUP(J$27,tech_data!$B$2:$O$15,7, FALSE)/100))*8760)/1000</f>
        <v>94.705033846153867</v>
      </c>
      <c r="K31" s="30">
        <f>(K7*(VLOOKUP(K$27,tech_data!$B$2:$O$15,6, FALSE)/100)*(1-(VLOOKUP(K$27,tech_data!$B$2:$O$15,7, FALSE)/100))*8760)/1000</f>
        <v>144.41233154325573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0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2.8403981562024549</v>
      </c>
      <c r="Q31" s="34">
        <f t="shared" si="17"/>
        <v>11427.114958582848</v>
      </c>
      <c r="R31" s="34">
        <f>proj_rukn!D65</f>
        <v>12115</v>
      </c>
      <c r="S31" s="35"/>
      <c r="T31" s="19"/>
      <c r="U31" s="20" t="str">
        <f t="shared" si="18"/>
        <v>BALI_NT</v>
      </c>
      <c r="V31" s="20">
        <f t="shared" si="18"/>
        <v>2022</v>
      </c>
      <c r="W31" s="29">
        <f t="shared" si="19"/>
        <v>0.31361627262221714</v>
      </c>
      <c r="X31" s="29">
        <f t="shared" si="19"/>
        <v>0.17279756215347433</v>
      </c>
      <c r="Y31" s="29">
        <f t="shared" si="19"/>
        <v>3.3402437846496186E-2</v>
      </c>
      <c r="Z31" s="29">
        <f t="shared" si="19"/>
        <v>0.25453890491765507</v>
      </c>
      <c r="AA31" s="29">
        <f t="shared" si="19"/>
        <v>8.8826482031861304E-2</v>
      </c>
      <c r="AB31" s="29">
        <f t="shared" si="19"/>
        <v>0.11589290419560884</v>
      </c>
      <c r="AC31" s="29">
        <f t="shared" si="19"/>
        <v>8.2877466612884115E-3</v>
      </c>
      <c r="AD31" s="29">
        <f t="shared" si="19"/>
        <v>1.2637689571398629E-2</v>
      </c>
      <c r="AE31" s="29">
        <f t="shared" si="19"/>
        <v>0</v>
      </c>
      <c r="AF31" s="29">
        <f t="shared" si="19"/>
        <v>0</v>
      </c>
      <c r="AG31" s="29">
        <f t="shared" si="19"/>
        <v>0</v>
      </c>
      <c r="AH31" s="29">
        <f t="shared" si="19"/>
        <v>0</v>
      </c>
      <c r="AI31" s="29">
        <f t="shared" si="19"/>
        <v>2.4856651626393647E-4</v>
      </c>
      <c r="AJ31" s="29">
        <f t="shared" si="20"/>
        <v>0.99999999999999989</v>
      </c>
      <c r="AM31" s="23"/>
      <c r="AO31" s="20" t="str">
        <f t="shared" si="39"/>
        <v>BALI_NT</v>
      </c>
      <c r="AP31" s="20">
        <f t="shared" si="40"/>
        <v>2022</v>
      </c>
      <c r="AQ31" s="25">
        <f t="shared" si="21"/>
        <v>0.31361627262221714</v>
      </c>
      <c r="AR31" s="25">
        <f t="shared" si="22"/>
        <v>0.20619999999997055</v>
      </c>
      <c r="AS31" s="25">
        <f t="shared" si="23"/>
        <v>0.25453890491765507</v>
      </c>
      <c r="AT31" s="37">
        <f t="shared" si="24"/>
        <v>0.22564482246015721</v>
      </c>
      <c r="AU31" s="24">
        <f t="shared" si="32"/>
        <v>1</v>
      </c>
      <c r="AW31" s="24">
        <f t="shared" si="41"/>
        <v>0.31361627262221492</v>
      </c>
      <c r="AX31" s="24">
        <f t="shared" si="25"/>
        <v>0.20619999999999999</v>
      </c>
      <c r="AY31" s="24">
        <f t="shared" si="42"/>
        <v>0.35572008912422742</v>
      </c>
      <c r="AZ31" s="25">
        <f t="shared" si="33"/>
        <v>0.17330000000000001</v>
      </c>
      <c r="BA31" s="24">
        <f t="shared" si="34"/>
        <v>1.0488363617464422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BALI_NT</v>
      </c>
      <c r="BL31" s="20">
        <f t="shared" si="45"/>
        <v>2022</v>
      </c>
      <c r="BM31" s="34">
        <f>proj_rukn!E45</f>
        <v>35704</v>
      </c>
      <c r="BN31" s="30">
        <f t="shared" si="26"/>
        <v>41059.599999999999</v>
      </c>
      <c r="BO31" s="30">
        <f t="shared" si="35"/>
        <v>2575.0801370606637</v>
      </c>
      <c r="BQ31" s="30">
        <f t="shared" si="27"/>
        <v>16423.84</v>
      </c>
      <c r="BR31" s="30">
        <f t="shared" si="36"/>
        <v>1033.3838259781085</v>
      </c>
      <c r="BS31" s="30"/>
      <c r="BT31" s="30">
        <f t="shared" si="28"/>
        <v>8211.92</v>
      </c>
      <c r="BU31" s="30">
        <f t="shared" si="37"/>
        <v>1541.6963110825554</v>
      </c>
      <c r="BW31" s="30">
        <f t="shared" si="29"/>
        <v>0.27461984289884617</v>
      </c>
      <c r="BX31" s="30">
        <f t="shared" si="38"/>
        <v>0</v>
      </c>
      <c r="BZ31" s="24">
        <f t="shared" si="46"/>
        <v>5.6007000000000008E-2</v>
      </c>
      <c r="CA31" s="24">
        <f t="shared" si="30"/>
        <v>5.6006999999435411E-2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BALI_NT</v>
      </c>
      <c r="C32" s="20">
        <f t="shared" si="31"/>
        <v>2023</v>
      </c>
      <c r="D32" s="30">
        <f>(D8*(VLOOKUP(D$27,tech_data!$B$2:$O$15,6, FALSE)/100)*(1-(VLOOKUP(D$27,tech_data!$B$2:$O$15,7, FALSE)/100))*8760)/1000</f>
        <v>3848.3241401054202</v>
      </c>
      <c r="E32" s="30">
        <f>(E8*(VLOOKUP(E$27,tech_data!$B$2:$O$15,6, FALSE)/100)*(1-(VLOOKUP(E$27,tech_data!$B$2:$O$15,7, FALSE)/100))*8760)/1000</f>
        <v>1974.577607290616</v>
      </c>
      <c r="F32" s="30">
        <f>(F8*(VLOOKUP(F$27,tech_data!$B$2:$O$15,6, FALSE)/100)*(1-(VLOOKUP(F$27,tech_data!$B$2:$O$15,7, FALSE)/100))*8760)/1000</f>
        <v>863.47722842257758</v>
      </c>
      <c r="G32" s="30">
        <f>(G8*(VLOOKUP(G$27,tech_data!$B$2:$O$15,6, FALSE)/100)*(1-(VLOOKUP(G$27,tech_data!$B$2:$O$15,7, FALSE)/100))*8760)/1000</f>
        <v>2908.6453279258335</v>
      </c>
      <c r="H32" s="30">
        <f>(H8*(VLOOKUP(H$27,tech_data!$B$2:$O$15,6, FALSE)/100)*(1-(VLOOKUP(H$27,tech_data!$B$2:$O$15,7, FALSE)/100))*8760)/1000</f>
        <v>1015.0304150554346</v>
      </c>
      <c r="I32" s="30">
        <f>(I8*(VLOOKUP(I$27,tech_data!$B$2:$O$15,6, FALSE)/100)*(1-(VLOOKUP(I$27,tech_data!$B$2:$O$15,7, FALSE)/100))*8760)/1000</f>
        <v>1578.2878896430705</v>
      </c>
      <c r="J32" s="30">
        <f>(J8*(VLOOKUP(J$27,tech_data!$B$2:$O$15,6, FALSE)/100)*(1-(VLOOKUP(J$27,tech_data!$B$2:$O$15,7, FALSE)/100))*8760)/1000</f>
        <v>94.705033846153867</v>
      </c>
      <c r="K32" s="30">
        <f>(K8*(VLOOKUP(K$27,tech_data!$B$2:$O$15,6, FALSE)/100)*(1-(VLOOKUP(K$27,tech_data!$B$2:$O$15,7, FALSE)/100))*8760)/1000</f>
        <v>167.9523619247492</v>
      </c>
      <c r="L32" s="30">
        <f>(L8*(VLOOKUP(L$27,tech_data!$B$2:$O$15,6, FALSE)/100)*(1-(VLOOKUP(L$27,tech_data!$B$2:$O$15,7, FALSE)/100))*8760)/1000</f>
        <v>0</v>
      </c>
      <c r="M32" s="30">
        <f>(M8*(VLOOKUP(M$27,tech_data!$B$2:$O$15,6, FALSE)/100)*(1-(VLOOKUP(M$27,tech_data!$B$2:$O$15,7, FALSE)/100))*8760)/1000</f>
        <v>0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3.097012570146672</v>
      </c>
      <c r="Q32" s="34">
        <f t="shared" si="17"/>
        <v>12451.000004213854</v>
      </c>
      <c r="R32" s="34">
        <f>proj_rukn!D66</f>
        <v>12451</v>
      </c>
      <c r="S32" s="35"/>
      <c r="T32" s="19"/>
      <c r="U32" s="20" t="str">
        <f t="shared" si="18"/>
        <v>BALI_NT</v>
      </c>
      <c r="V32" s="20">
        <f t="shared" si="18"/>
        <v>2023</v>
      </c>
      <c r="W32" s="29">
        <f t="shared" si="19"/>
        <v>0.30907751496289554</v>
      </c>
      <c r="X32" s="29">
        <f t="shared" si="19"/>
        <v>0.15858787299191629</v>
      </c>
      <c r="Y32" s="29">
        <f t="shared" si="19"/>
        <v>6.9350030369476082E-2</v>
      </c>
      <c r="Z32" s="29">
        <f t="shared" si="19"/>
        <v>0.23360736703408932</v>
      </c>
      <c r="AA32" s="29">
        <f t="shared" si="19"/>
        <v>8.1521999414658472E-2</v>
      </c>
      <c r="AB32" s="29">
        <f t="shared" si="19"/>
        <v>0.12675993005452754</v>
      </c>
      <c r="AC32" s="29">
        <f t="shared" si="19"/>
        <v>7.6062190839372235E-3</v>
      </c>
      <c r="AD32" s="29">
        <f t="shared" si="19"/>
        <v>1.3489066088499577E-2</v>
      </c>
      <c r="AE32" s="29">
        <f t="shared" si="19"/>
        <v>0</v>
      </c>
      <c r="AF32" s="29">
        <f t="shared" si="19"/>
        <v>0</v>
      </c>
      <c r="AG32" s="29">
        <f t="shared" si="19"/>
        <v>0</v>
      </c>
      <c r="AH32" s="29">
        <f t="shared" si="19"/>
        <v>0</v>
      </c>
      <c r="AI32" s="29">
        <f t="shared" si="19"/>
        <v>2.4873605084720378E-4</v>
      </c>
      <c r="AJ32" s="29">
        <f t="shared" si="20"/>
        <v>1</v>
      </c>
      <c r="AM32" s="23"/>
      <c r="AO32" s="20" t="str">
        <f t="shared" si="39"/>
        <v>BALI_NT</v>
      </c>
      <c r="AP32" s="20">
        <f t="shared" si="40"/>
        <v>2023</v>
      </c>
      <c r="AQ32" s="25">
        <f t="shared" si="21"/>
        <v>0.30907751496289554</v>
      </c>
      <c r="AR32" s="25">
        <f t="shared" si="22"/>
        <v>0.22793790336139239</v>
      </c>
      <c r="AS32" s="25">
        <f t="shared" si="23"/>
        <v>0.23360736703408932</v>
      </c>
      <c r="AT32" s="37">
        <f t="shared" si="24"/>
        <v>0.22937721464162286</v>
      </c>
      <c r="AU32" s="24">
        <f t="shared" si="32"/>
        <v>1</v>
      </c>
      <c r="AW32" s="24">
        <f t="shared" si="41"/>
        <v>0.30907751508147663</v>
      </c>
      <c r="AX32" s="24">
        <f t="shared" si="25"/>
        <v>0.21079999999999999</v>
      </c>
      <c r="AY32" s="24">
        <f t="shared" si="42"/>
        <v>0.34860568734174285</v>
      </c>
      <c r="AZ32" s="25">
        <f t="shared" si="33"/>
        <v>0.19220000000000001</v>
      </c>
      <c r="BA32" s="24">
        <f t="shared" si="34"/>
        <v>1.0606832024232193</v>
      </c>
      <c r="BJ32" s="19"/>
      <c r="BK32" s="20" t="str">
        <f t="shared" si="44"/>
        <v>BALI_NT</v>
      </c>
      <c r="BL32" s="20">
        <f t="shared" si="45"/>
        <v>2023</v>
      </c>
      <c r="BM32" s="34">
        <f>proj_rukn!E46</f>
        <v>37716</v>
      </c>
      <c r="BN32" s="30">
        <f t="shared" si="26"/>
        <v>43373.399999999994</v>
      </c>
      <c r="BO32" s="30">
        <f t="shared" si="35"/>
        <v>2861.0133409621135</v>
      </c>
      <c r="BQ32" s="30">
        <f t="shared" si="27"/>
        <v>17349.359999999997</v>
      </c>
      <c r="BR32" s="30">
        <f t="shared" si="36"/>
        <v>1262.0362165913277</v>
      </c>
      <c r="BS32" s="30"/>
      <c r="BT32" s="30">
        <f t="shared" si="28"/>
        <v>8674.6799999999985</v>
      </c>
      <c r="BU32" s="30">
        <f t="shared" si="37"/>
        <v>1598.9771243707858</v>
      </c>
      <c r="BW32" s="30">
        <f t="shared" si="29"/>
        <v>0.30962231453571132</v>
      </c>
      <c r="BX32" s="30">
        <f t="shared" si="38"/>
        <v>0</v>
      </c>
      <c r="BZ32" s="24">
        <f t="shared" si="46"/>
        <v>5.8807350000000008E-2</v>
      </c>
      <c r="CA32" s="24">
        <f t="shared" si="30"/>
        <v>5.8807349760414462E-2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BALI_NT</v>
      </c>
      <c r="C33" s="20">
        <f t="shared" si="31"/>
        <v>2024</v>
      </c>
      <c r="D33" s="30">
        <f>(D9*(VLOOKUP(D$27,tech_data!$B$2:$O$15,6, FALSE)/100)*(1-(VLOOKUP(D$27,tech_data!$B$2:$O$15,7, FALSE)/100))*8760)/1000</f>
        <v>3926.7227387329035</v>
      </c>
      <c r="E33" s="30">
        <f>(E9*(VLOOKUP(E$27,tech_data!$B$2:$O$15,6, FALSE)/100)*(1-(VLOOKUP(E$27,tech_data!$B$2:$O$15,7, FALSE)/100))*8760)/1000</f>
        <v>1974.5776043012324</v>
      </c>
      <c r="F33" s="30">
        <f>(F9*(VLOOKUP(F$27,tech_data!$B$2:$O$15,6, FALSE)/100)*(1-(VLOOKUP(F$27,tech_data!$B$2:$O$15,7, FALSE)/100))*8760)/1000</f>
        <v>921.81144112257869</v>
      </c>
      <c r="G33" s="30">
        <f>(G9*(VLOOKUP(G$27,tech_data!$B$2:$O$15,6, FALSE)/100)*(1-(VLOOKUP(G$27,tech_data!$B$2:$O$15,7, FALSE)/100))*8760)/1000</f>
        <v>2908.6453279258335</v>
      </c>
      <c r="H33" s="30">
        <f>(H9*(VLOOKUP(H$27,tech_data!$B$2:$O$15,6, FALSE)/100)*(1-(VLOOKUP(H$27,tech_data!$B$2:$O$15,7, FALSE)/100))*8760)/1000</f>
        <v>1015.0304150554346</v>
      </c>
      <c r="I33" s="30">
        <f>(I9*(VLOOKUP(I$27,tech_data!$B$2:$O$15,6, FALSE)/100)*(1-(VLOOKUP(I$27,tech_data!$B$2:$O$15,7, FALSE)/100))*8760)/1000</f>
        <v>1578.2878896430705</v>
      </c>
      <c r="J33" s="30">
        <f>(J9*(VLOOKUP(J$27,tech_data!$B$2:$O$15,6, FALSE)/100)*(1-(VLOOKUP(J$27,tech_data!$B$2:$O$15,7, FALSE)/100))*8760)/1000</f>
        <v>94.705033846153867</v>
      </c>
      <c r="K33" s="30">
        <f>(K9*(VLOOKUP(K$27,tech_data!$B$2:$O$15,6, FALSE)/100)*(1-(VLOOKUP(K$27,tech_data!$B$2:$O$15,7, FALSE)/100))*8760)/1000</f>
        <v>195.26130773574505</v>
      </c>
      <c r="L33" s="30">
        <f>(L9*(VLOOKUP(L$27,tech_data!$B$2:$O$15,6, FALSE)/100)*(1-(VLOOKUP(L$27,tech_data!$B$2:$O$15,7, FALSE)/100))*8760)/1000</f>
        <v>0</v>
      </c>
      <c r="M33" s="30">
        <f>(M9*(VLOOKUP(M$27,tech_data!$B$2:$O$15,6, FALSE)/100)*(1-(VLOOKUP(M$27,tech_data!$B$2:$O$15,7, FALSE)/100))*8760)/1000</f>
        <v>278.95823708626642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3.2114507358944389</v>
      </c>
      <c r="Q33" s="34">
        <f t="shared" si="17"/>
        <v>12893.99999544922</v>
      </c>
      <c r="R33" s="34">
        <f>proj_rukn!D67</f>
        <v>12894</v>
      </c>
      <c r="S33" s="35"/>
      <c r="T33" s="19"/>
      <c r="U33" s="20" t="str">
        <f t="shared" si="18"/>
        <v>BALI_NT</v>
      </c>
      <c r="V33" s="20">
        <f t="shared" si="18"/>
        <v>2024</v>
      </c>
      <c r="W33" s="29">
        <f t="shared" si="19"/>
        <v>0.30453875757086957</v>
      </c>
      <c r="X33" s="29">
        <f t="shared" si="19"/>
        <v>0.15313925895751013</v>
      </c>
      <c r="Y33" s="29">
        <f t="shared" si="19"/>
        <v>7.1491503136956791E-2</v>
      </c>
      <c r="Z33" s="29">
        <f t="shared" si="19"/>
        <v>0.22558130362590387</v>
      </c>
      <c r="AA33" s="29">
        <f t="shared" si="19"/>
        <v>7.8721142811670322E-2</v>
      </c>
      <c r="AB33" s="29">
        <f t="shared" si="19"/>
        <v>0.12240483094463378</v>
      </c>
      <c r="AC33" s="29">
        <f t="shared" si="19"/>
        <v>7.3448917232494847E-3</v>
      </c>
      <c r="AD33" s="29">
        <f t="shared" si="19"/>
        <v>1.5143579013856068E-2</v>
      </c>
      <c r="AE33" s="29">
        <f t="shared" si="19"/>
        <v>0</v>
      </c>
      <c r="AF33" s="29">
        <f t="shared" si="19"/>
        <v>2.1634732215349881E-2</v>
      </c>
      <c r="AG33" s="29">
        <f t="shared" si="19"/>
        <v>0</v>
      </c>
      <c r="AH33" s="29">
        <f t="shared" si="19"/>
        <v>0</v>
      </c>
      <c r="AI33" s="29">
        <f t="shared" si="19"/>
        <v>2.4906551396214376E-4</v>
      </c>
      <c r="AJ33" s="29">
        <f t="shared" si="20"/>
        <v>1</v>
      </c>
      <c r="AM33" s="23"/>
      <c r="AO33" s="20" t="str">
        <f t="shared" si="39"/>
        <v>BALI_NT</v>
      </c>
      <c r="AP33" s="20">
        <f t="shared" si="40"/>
        <v>2024</v>
      </c>
      <c r="AQ33" s="25">
        <f t="shared" si="21"/>
        <v>0.30453875757086957</v>
      </c>
      <c r="AR33" s="25">
        <f t="shared" si="22"/>
        <v>0.22463076209446692</v>
      </c>
      <c r="AS33" s="25">
        <f t="shared" si="23"/>
        <v>0.22558130362590387</v>
      </c>
      <c r="AT33" s="37">
        <f t="shared" si="24"/>
        <v>0.24524917670875954</v>
      </c>
      <c r="AU33" s="24">
        <f t="shared" si="32"/>
        <v>1</v>
      </c>
      <c r="AW33" s="24">
        <f t="shared" si="41"/>
        <v>0.30453875754073828</v>
      </c>
      <c r="AX33" s="24">
        <f t="shared" si="25"/>
        <v>0.21540000000000001</v>
      </c>
      <c r="AY33" s="24">
        <f t="shared" si="42"/>
        <v>0.34163357359490798</v>
      </c>
      <c r="AZ33" s="25">
        <f t="shared" si="33"/>
        <v>0.21110000000000001</v>
      </c>
      <c r="BA33" s="24">
        <f t="shared" si="34"/>
        <v>1.0726723311356463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BALI_NT</v>
      </c>
      <c r="BL33" s="20">
        <f t="shared" si="45"/>
        <v>2024</v>
      </c>
      <c r="BM33" s="34">
        <f>proj_rukn!E47</f>
        <v>39814</v>
      </c>
      <c r="BN33" s="30">
        <f t="shared" si="26"/>
        <v>45786.1</v>
      </c>
      <c r="BO33" s="30">
        <f t="shared" si="35"/>
        <v>3009.9814655672344</v>
      </c>
      <c r="BQ33" s="30">
        <f t="shared" si="27"/>
        <v>18314.439999999999</v>
      </c>
      <c r="BR33" s="30">
        <f t="shared" si="36"/>
        <v>1410.9721686001303</v>
      </c>
      <c r="BS33" s="30"/>
      <c r="BT33" s="30">
        <f t="shared" si="28"/>
        <v>9157.2199999999993</v>
      </c>
      <c r="BU33" s="30">
        <f t="shared" si="37"/>
        <v>1599.0092969671036</v>
      </c>
      <c r="BW33" s="30">
        <f t="shared" si="29"/>
        <v>0.37288985538683767</v>
      </c>
      <c r="BX33" s="30">
        <f t="shared" si="38"/>
        <v>0</v>
      </c>
      <c r="BZ33" s="24">
        <f t="shared" si="46"/>
        <v>6.1747717500000014E-2</v>
      </c>
      <c r="CA33" s="24">
        <f t="shared" si="30"/>
        <v>6.1747726198646956E-2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BALI_NT</v>
      </c>
      <c r="C34" s="20">
        <f t="shared" si="31"/>
        <v>2025</v>
      </c>
      <c r="D34" s="30">
        <f>(D10*(VLOOKUP(D$27,tech_data!$B$2:$O$15,6, FALSE)/100)*(1-(VLOOKUP(D$27,tech_data!$B$2:$O$15,7, FALSE)/100))*8760)/1000</f>
        <v>4042.2000000002458</v>
      </c>
      <c r="E34" s="30">
        <f>(E10*(VLOOKUP(E$27,tech_data!$B$2:$O$15,6, FALSE)/100)*(1-(VLOOKUP(E$27,tech_data!$B$2:$O$15,7, FALSE)/100))*8760)/1000</f>
        <v>1974.5776013118486</v>
      </c>
      <c r="F34" s="30">
        <f>(F10*(VLOOKUP(F$27,tech_data!$B$2:$O$15,6, FALSE)/100)*(1-(VLOOKUP(F$27,tech_data!$B$2:$O$15,7, FALSE)/100))*8760)/1000</f>
        <v>1126.6016689413041</v>
      </c>
      <c r="G34" s="30">
        <f>(G10*(VLOOKUP(G$27,tech_data!$B$2:$O$15,6, FALSE)/100)*(1-(VLOOKUP(G$27,tech_data!$B$2:$O$15,7, FALSE)/100))*8760)/1000</f>
        <v>2908.6453279258335</v>
      </c>
      <c r="H34" s="30">
        <f>(H10*(VLOOKUP(H$27,tech_data!$B$2:$O$15,6, FALSE)/100)*(1-(VLOOKUP(H$27,tech_data!$B$2:$O$15,7, FALSE)/100))*8760)/1000</f>
        <v>1015.0304150554346</v>
      </c>
      <c r="I34" s="30">
        <f>(I10*(VLOOKUP(I$27,tech_data!$B$2:$O$15,6, FALSE)/100)*(1-(VLOOKUP(I$27,tech_data!$B$2:$O$15,7, FALSE)/100))*8760)/1000</f>
        <v>1578.287885203772</v>
      </c>
      <c r="J34" s="30">
        <f>(J10*(VLOOKUP(J$27,tech_data!$B$2:$O$15,6, FALSE)/100)*(1-(VLOOKUP(J$27,tech_data!$B$2:$O$15,7, FALSE)/100))*8760)/1000</f>
        <v>94.705033846153867</v>
      </c>
      <c r="K34" s="30">
        <f>(K10*(VLOOKUP(K$27,tech_data!$B$2:$O$15,6, FALSE)/100)*(1-(VLOOKUP(K$27,tech_data!$B$2:$O$15,7, FALSE)/100))*8760)/1000</f>
        <v>221.86412965842365</v>
      </c>
      <c r="L34" s="30">
        <f>(L10*(VLOOKUP(L$27,tech_data!$B$2:$O$15,6, FALSE)/100)*(1-(VLOOKUP(L$27,tech_data!$B$2:$O$15,7, FALSE)/100))*8760)/1000</f>
        <v>0</v>
      </c>
      <c r="M34" s="30">
        <f>(M10*(VLOOKUP(M$27,tech_data!$B$2:$O$15,6, FALSE)/100)*(1-(VLOOKUP(M$27,tech_data!$B$2:$O$15,7, FALSE)/100))*8760)/1000</f>
        <v>512.08793805745188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3.3594571408534759</v>
      </c>
      <c r="Q34" s="34">
        <f t="shared" si="17"/>
        <v>13474.000000000467</v>
      </c>
      <c r="R34" s="34">
        <f>proj_rukn!D68</f>
        <v>13474</v>
      </c>
      <c r="S34" s="35"/>
      <c r="T34" s="19"/>
      <c r="U34" s="20" t="str">
        <f t="shared" si="18"/>
        <v>BALI_NT</v>
      </c>
      <c r="V34" s="20">
        <f t="shared" si="18"/>
        <v>2025</v>
      </c>
      <c r="W34" s="29">
        <f t="shared" si="19"/>
        <v>0.30000000000000782</v>
      </c>
      <c r="X34" s="29">
        <f t="shared" si="19"/>
        <v>0.14654724664626542</v>
      </c>
      <c r="Y34" s="29">
        <f t="shared" si="19"/>
        <v>8.3613007936860995E-2</v>
      </c>
      <c r="Z34" s="29">
        <f t="shared" si="19"/>
        <v>0.21587096095634056</v>
      </c>
      <c r="AA34" s="29">
        <f t="shared" si="19"/>
        <v>7.5332523011384836E-2</v>
      </c>
      <c r="AB34" s="29">
        <f t="shared" si="19"/>
        <v>0.11713580860944911</v>
      </c>
      <c r="AC34" s="29">
        <f t="shared" si="19"/>
        <v>7.028724495038636E-3</v>
      </c>
      <c r="AD34" s="29">
        <f t="shared" si="19"/>
        <v>1.6466092449043783E-2</v>
      </c>
      <c r="AE34" s="29">
        <f t="shared" si="19"/>
        <v>0</v>
      </c>
      <c r="AF34" s="29">
        <f t="shared" si="19"/>
        <v>3.8005635895608882E-2</v>
      </c>
      <c r="AG34" s="29">
        <f t="shared" si="19"/>
        <v>0</v>
      </c>
      <c r="AH34" s="29">
        <f t="shared" si="19"/>
        <v>0</v>
      </c>
      <c r="AI34" s="29">
        <f t="shared" si="19"/>
        <v>2.4932886602741276E-4</v>
      </c>
      <c r="AJ34" s="29">
        <f t="shared" si="20"/>
        <v>1</v>
      </c>
      <c r="AM34" s="23"/>
      <c r="AO34" s="20" t="str">
        <f t="shared" si="39"/>
        <v>BALI_NT</v>
      </c>
      <c r="AP34" s="20">
        <f t="shared" si="40"/>
        <v>2025</v>
      </c>
      <c r="AQ34" s="25">
        <f t="shared" si="21"/>
        <v>0.30000000000000782</v>
      </c>
      <c r="AR34" s="25">
        <f t="shared" si="22"/>
        <v>0.23016025458312642</v>
      </c>
      <c r="AS34" s="25">
        <f t="shared" si="23"/>
        <v>0.21587096095634056</v>
      </c>
      <c r="AT34" s="37">
        <f t="shared" si="24"/>
        <v>0.25396878446052529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0.33480090212300984</v>
      </c>
      <c r="AZ34" s="25">
        <f t="shared" si="33"/>
        <v>0.23</v>
      </c>
      <c r="BA34" s="24">
        <f t="shared" si="34"/>
        <v>1.0848009021230098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BALI_NT</v>
      </c>
      <c r="BL34" s="20">
        <f t="shared" si="45"/>
        <v>2025</v>
      </c>
      <c r="BM34" s="34">
        <f>proj_rukn!E48</f>
        <v>42022</v>
      </c>
      <c r="BN34" s="30">
        <f t="shared" si="26"/>
        <v>48325.299999999996</v>
      </c>
      <c r="BO34" s="30">
        <f t="shared" si="35"/>
        <v>3201.1767408100882</v>
      </c>
      <c r="BQ34" s="30">
        <f t="shared" si="27"/>
        <v>19330.12</v>
      </c>
      <c r="BR34" s="30">
        <f t="shared" si="36"/>
        <v>1602.1258347397782</v>
      </c>
      <c r="BS34" s="30"/>
      <c r="BT34" s="30">
        <f t="shared" si="28"/>
        <v>9665.06</v>
      </c>
      <c r="BU34" s="30">
        <f t="shared" si="37"/>
        <v>1599.0509060703096</v>
      </c>
      <c r="BW34" s="30">
        <f t="shared" si="29"/>
        <v>0.42679099732574532</v>
      </c>
      <c r="BX34" s="30">
        <f t="shared" si="38"/>
        <v>0</v>
      </c>
      <c r="BZ34" s="24">
        <f t="shared" si="46"/>
        <v>6.4835103375000022E-2</v>
      </c>
      <c r="CA34" s="24">
        <f t="shared" si="30"/>
        <v>6.483510358968203E-2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BALI_NT</v>
      </c>
      <c r="C35" s="20">
        <f t="shared" si="31"/>
        <v>2026</v>
      </c>
      <c r="D35" s="30">
        <f>(D11*(VLOOKUP(D$27,tech_data!$B$2:$O$15,6, FALSE)/100)*(1-(VLOOKUP(D$27,tech_data!$B$2:$O$15,7, FALSE)/100))*8760)/1000</f>
        <v>4219.9779993601369</v>
      </c>
      <c r="E35" s="30">
        <f>(E11*(VLOOKUP(E$27,tech_data!$B$2:$O$15,6, FALSE)/100)*(1-(VLOOKUP(E$27,tech_data!$B$2:$O$15,7, FALSE)/100))*8760)/1000</f>
        <v>1974.5776013118486</v>
      </c>
      <c r="F35" s="30">
        <f>(F11*(VLOOKUP(F$27,tech_data!$B$2:$O$15,6, FALSE)/100)*(1-(VLOOKUP(F$27,tech_data!$B$2:$O$15,7, FALSE)/100))*8760)/1000</f>
        <v>1423.3027671815346</v>
      </c>
      <c r="G35" s="30">
        <f>(G11*(VLOOKUP(G$27,tech_data!$B$2:$O$15,6, FALSE)/100)*(1-(VLOOKUP(G$27,tech_data!$B$2:$O$15,7, FALSE)/100))*8760)/1000</f>
        <v>2908.6453279258335</v>
      </c>
      <c r="H35" s="30">
        <f>(H11*(VLOOKUP(H$27,tech_data!$B$2:$O$15,6, FALSE)/100)*(1-(VLOOKUP(H$27,tech_data!$B$2:$O$15,7, FALSE)/100))*8760)/1000</f>
        <v>1015.030408566296</v>
      </c>
      <c r="I35" s="30">
        <f>(I11*(VLOOKUP(I$27,tech_data!$B$2:$O$15,6, FALSE)/100)*(1-(VLOOKUP(I$27,tech_data!$B$2:$O$15,7, FALSE)/100))*8760)/1000</f>
        <v>1578.287885203772</v>
      </c>
      <c r="J35" s="30">
        <f>(J11*(VLOOKUP(J$27,tech_data!$B$2:$O$15,6, FALSE)/100)*(1-(VLOOKUP(J$27,tech_data!$B$2:$O$15,7, FALSE)/100))*8760)/1000</f>
        <v>94.705033846153867</v>
      </c>
      <c r="K35" s="30">
        <f>(K11*(VLOOKUP(K$27,tech_data!$B$2:$O$15,6, FALSE)/100)*(1-(VLOOKUP(K$27,tech_data!$B$2:$O$15,7, FALSE)/100))*8760)/1000</f>
        <v>247.42508880223099</v>
      </c>
      <c r="L35" s="30">
        <f>(L11*(VLOOKUP(L$27,tech_data!$B$2:$O$15,6, FALSE)/100)*(1-(VLOOKUP(L$27,tech_data!$B$2:$O$15,7, FALSE)/100))*8760)/1000</f>
        <v>0</v>
      </c>
      <c r="M35" s="30">
        <f>(M11*(VLOOKUP(M$27,tech_data!$B$2:$O$15,6, FALSE)/100)*(1-(VLOOKUP(M$27,tech_data!$B$2:$O$15,7, FALSE)/100))*8760)/1000</f>
        <v>699.0478925431363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3.5335834269133541</v>
      </c>
      <c r="Q35" s="34">
        <f t="shared" si="17"/>
        <v>14161.000004740941</v>
      </c>
      <c r="R35" s="34">
        <f>proj_rukn!D69</f>
        <v>14161</v>
      </c>
      <c r="S35" s="35"/>
      <c r="T35" s="19"/>
      <c r="U35" s="20" t="str">
        <f t="shared" si="18"/>
        <v>BALI_NT</v>
      </c>
      <c r="V35" s="20">
        <f t="shared" si="18"/>
        <v>2026</v>
      </c>
      <c r="W35" s="29">
        <f t="shared" si="19"/>
        <v>0.2979999998550481</v>
      </c>
      <c r="X35" s="29">
        <f t="shared" si="19"/>
        <v>0.13943772337057994</v>
      </c>
      <c r="Y35" s="29">
        <f t="shared" si="19"/>
        <v>0.10050863404456105</v>
      </c>
      <c r="Z35" s="29">
        <f t="shared" si="19"/>
        <v>0.20539830004604565</v>
      </c>
      <c r="AA35" s="29">
        <f t="shared" si="19"/>
        <v>7.1677876437149596E-2</v>
      </c>
      <c r="AB35" s="29">
        <f t="shared" si="19"/>
        <v>0.11145313782044906</v>
      </c>
      <c r="AC35" s="29">
        <f t="shared" si="19"/>
        <v>6.6877363049535838E-3</v>
      </c>
      <c r="AD35" s="29">
        <f t="shared" si="19"/>
        <v>1.7472289295911016E-2</v>
      </c>
      <c r="AE35" s="29">
        <f t="shared" si="19"/>
        <v>0</v>
      </c>
      <c r="AF35" s="29">
        <f t="shared" si="19"/>
        <v>4.9364302825302103E-2</v>
      </c>
      <c r="AG35" s="29">
        <f t="shared" si="19"/>
        <v>0</v>
      </c>
      <c r="AH35" s="29">
        <f t="shared" si="19"/>
        <v>0</v>
      </c>
      <c r="AI35" s="29">
        <f t="shared" si="19"/>
        <v>2.4952922997883981E-4</v>
      </c>
      <c r="AJ35" s="29">
        <f t="shared" si="20"/>
        <v>1</v>
      </c>
      <c r="AM35" s="23"/>
      <c r="AO35" s="20" t="str">
        <f t="shared" si="39"/>
        <v>BALI_NT</v>
      </c>
      <c r="AP35" s="20">
        <f t="shared" si="40"/>
        <v>2026</v>
      </c>
      <c r="AQ35" s="25">
        <f t="shared" si="21"/>
        <v>0.2979999998550481</v>
      </c>
      <c r="AR35" s="25">
        <f t="shared" si="22"/>
        <v>0.239946357415141</v>
      </c>
      <c r="AS35" s="25">
        <f t="shared" si="23"/>
        <v>0.20539830004604565</v>
      </c>
      <c r="AT35" s="37">
        <f t="shared" si="24"/>
        <v>0.25665534268376539</v>
      </c>
      <c r="AU35" s="24">
        <f t="shared" si="32"/>
        <v>1.0000000000000002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0.32810488408054961</v>
      </c>
      <c r="AZ35" s="25">
        <f t="shared" ref="AZ35:AZ47" si="47">$BG$30+((AP35-$BC$30)*($BG$31-$BG$30)/($BC$31-$BC$30))</f>
        <v>0.23320000000000002</v>
      </c>
      <c r="BA35" s="24">
        <f t="shared" si="34"/>
        <v>1.0839048840805496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BALI_NT</v>
      </c>
      <c r="BL35" s="20">
        <f t="shared" si="45"/>
        <v>2026</v>
      </c>
      <c r="BM35" s="34">
        <f>proj_rukn!E49</f>
        <v>44398</v>
      </c>
      <c r="BN35" s="30">
        <f t="shared" si="26"/>
        <v>51057.7</v>
      </c>
      <c r="BO35" s="30">
        <f t="shared" si="35"/>
        <v>3419.9525283485932</v>
      </c>
      <c r="BQ35" s="30">
        <f t="shared" si="27"/>
        <v>20423.080000000002</v>
      </c>
      <c r="BR35" s="30">
        <f t="shared" si="36"/>
        <v>1820.8526677289035</v>
      </c>
      <c r="BS35" s="30"/>
      <c r="BT35" s="30">
        <f t="shared" si="28"/>
        <v>10211.540000000001</v>
      </c>
      <c r="BU35" s="30">
        <f t="shared" si="37"/>
        <v>1599.0998606196895</v>
      </c>
      <c r="BW35" s="30">
        <f t="shared" si="29"/>
        <v>0.47116618026570506</v>
      </c>
      <c r="BX35" s="30">
        <f t="shared" si="38"/>
        <v>0</v>
      </c>
      <c r="BZ35" s="24">
        <f t="shared" si="46"/>
        <v>6.8076858543750021E-2</v>
      </c>
      <c r="CA35" s="24">
        <f t="shared" si="30"/>
        <v>6.8076857910724556E-2</v>
      </c>
      <c r="CF35" s="23"/>
    </row>
    <row r="36" spans="1:84" x14ac:dyDescent="0.25">
      <c r="A36" s="19"/>
      <c r="B36" s="20" t="str">
        <f t="shared" si="31"/>
        <v>BALI_NT</v>
      </c>
      <c r="C36" s="20">
        <f t="shared" si="31"/>
        <v>2027</v>
      </c>
      <c r="D36" s="30">
        <f>(D12*(VLOOKUP(D$27,tech_data!$B$2:$O$15,6, FALSE)/100)*(1-(VLOOKUP(D$27,tech_data!$B$2:$O$15,7, FALSE)/100))*8760)/1000</f>
        <v>4382.57599922595</v>
      </c>
      <c r="E36" s="30">
        <f>(E12*(VLOOKUP(E$27,tech_data!$B$2:$O$15,6, FALSE)/100)*(1-(VLOOKUP(E$27,tech_data!$B$2:$O$15,7, FALSE)/100))*8760)/1000</f>
        <v>2250.816880823917</v>
      </c>
      <c r="F36" s="30">
        <f>(F12*(VLOOKUP(F$27,tech_data!$B$2:$O$15,6, FALSE)/100)*(1-(VLOOKUP(F$27,tech_data!$B$2:$O$15,7, FALSE)/100))*8760)/1000</f>
        <v>1423.3027644140486</v>
      </c>
      <c r="G36" s="30">
        <f>(G12*(VLOOKUP(G$27,tech_data!$B$2:$O$15,6, FALSE)/100)*(1-(VLOOKUP(G$27,tech_data!$B$2:$O$15,7, FALSE)/100))*8760)/1000</f>
        <v>2908.6453279258335</v>
      </c>
      <c r="H36" s="30">
        <f>(H12*(VLOOKUP(H$27,tech_data!$B$2:$O$15,6, FALSE)/100)*(1-(VLOOKUP(H$27,tech_data!$B$2:$O$15,7, FALSE)/100))*8760)/1000</f>
        <v>1015.030408566296</v>
      </c>
      <c r="I36" s="30">
        <f>(I12*(VLOOKUP(I$27,tech_data!$B$2:$O$15,6, FALSE)/100)*(1-(VLOOKUP(I$27,tech_data!$B$2:$O$15,7, FALSE)/100))*8760)/1000</f>
        <v>1578.2878807644734</v>
      </c>
      <c r="J36" s="30">
        <f>(J12*(VLOOKUP(J$27,tech_data!$B$2:$O$15,6, FALSE)/100)*(1-(VLOOKUP(J$27,tech_data!$B$2:$O$15,7, FALSE)/100))*8760)/1000</f>
        <v>94.705033846153867</v>
      </c>
      <c r="K36" s="30">
        <f>(K12*(VLOOKUP(K$27,tech_data!$B$2:$O$15,6, FALSE)/100)*(1-(VLOOKUP(K$27,tech_data!$B$2:$O$15,7, FALSE)/100))*8760)/1000</f>
        <v>274.53292299380348</v>
      </c>
      <c r="L36" s="30">
        <f>(L12*(VLOOKUP(L$27,tech_data!$B$2:$O$15,6, FALSE)/100)*(1-(VLOOKUP(L$27,tech_data!$B$2:$O$15,7, FALSE)/100))*8760)/1000</f>
        <v>0</v>
      </c>
      <c r="M36" s="30">
        <f>(M12*(VLOOKUP(M$27,tech_data!$B$2:$O$15,6, FALSE)/100)*(1-(VLOOKUP(M$27,tech_data!$B$2:$O$15,7, FALSE)/100))*8760)/1000</f>
        <v>878.1027830776012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3.6976836413446681</v>
      </c>
      <c r="Q36" s="34">
        <f t="shared" si="17"/>
        <v>14806.000001638078</v>
      </c>
      <c r="R36" s="34">
        <f>proj_rukn!D70</f>
        <v>14806</v>
      </c>
      <c r="S36" s="35"/>
      <c r="T36" s="19"/>
      <c r="U36" s="20" t="str">
        <f t="shared" si="18"/>
        <v>BALI_NT</v>
      </c>
      <c r="V36" s="20">
        <f t="shared" si="18"/>
        <v>2027</v>
      </c>
      <c r="W36" s="29">
        <f t="shared" si="19"/>
        <v>0.29599999991497222</v>
      </c>
      <c r="X36" s="29">
        <f t="shared" si="19"/>
        <v>0.15202059169086149</v>
      </c>
      <c r="Y36" s="29">
        <f t="shared" si="19"/>
        <v>9.6130134017059291E-2</v>
      </c>
      <c r="Z36" s="29">
        <f t="shared" si="19"/>
        <v>0.19645044762961181</v>
      </c>
      <c r="AA36" s="29">
        <f t="shared" si="19"/>
        <v>6.8555342999729638E-2</v>
      </c>
      <c r="AB36" s="29">
        <f t="shared" si="19"/>
        <v>0.10659785766512615</v>
      </c>
      <c r="AC36" s="29">
        <f t="shared" si="19"/>
        <v>6.3963956393135266E-3</v>
      </c>
      <c r="AD36" s="29">
        <f t="shared" si="19"/>
        <v>1.8542004792883305E-2</v>
      </c>
      <c r="AE36" s="29">
        <f t="shared" si="19"/>
        <v>0</v>
      </c>
      <c r="AF36" s="29">
        <f t="shared" si="19"/>
        <v>5.9307225650442476E-2</v>
      </c>
      <c r="AG36" s="29">
        <f t="shared" si="19"/>
        <v>0</v>
      </c>
      <c r="AH36" s="29">
        <f t="shared" si="19"/>
        <v>0</v>
      </c>
      <c r="AI36" s="29">
        <f t="shared" si="19"/>
        <v>2.4974224239737746E-4</v>
      </c>
      <c r="AJ36" s="29">
        <f t="shared" si="20"/>
        <v>0.99999999999999989</v>
      </c>
      <c r="AM36" s="23"/>
      <c r="AO36" s="20" t="str">
        <f t="shared" si="39"/>
        <v>BALI_NT</v>
      </c>
      <c r="AP36" s="20">
        <f t="shared" si="40"/>
        <v>2027</v>
      </c>
      <c r="AQ36" s="25">
        <f t="shared" si="21"/>
        <v>0.29599999991497222</v>
      </c>
      <c r="AR36" s="25">
        <f t="shared" si="22"/>
        <v>0.24815072570792079</v>
      </c>
      <c r="AS36" s="25">
        <f t="shared" si="23"/>
        <v>0.19645044762961181</v>
      </c>
      <c r="AT36" s="37">
        <f t="shared" si="24"/>
        <v>0.25939882674749509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0.32154278639893863</v>
      </c>
      <c r="AZ36" s="25">
        <f t="shared" si="47"/>
        <v>0.2364</v>
      </c>
      <c r="BA36" s="24">
        <f t="shared" si="34"/>
        <v>1.0831427863989387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BALI_NT</v>
      </c>
      <c r="BL36" s="20">
        <f t="shared" si="45"/>
        <v>2027</v>
      </c>
      <c r="BM36" s="34">
        <f>proj_rukn!E50</f>
        <v>46813</v>
      </c>
      <c r="BN36" s="30">
        <f t="shared" si="26"/>
        <v>53834.95</v>
      </c>
      <c r="BO36" s="30">
        <f t="shared" si="35"/>
        <v>3617.6271588865366</v>
      </c>
      <c r="BQ36" s="30">
        <f t="shared" si="27"/>
        <v>21533.98</v>
      </c>
      <c r="BR36" s="30">
        <f t="shared" si="36"/>
        <v>1926.0743974289089</v>
      </c>
      <c r="BS36" s="30"/>
      <c r="BT36" s="30">
        <f t="shared" si="28"/>
        <v>10766.99</v>
      </c>
      <c r="BU36" s="30">
        <f t="shared" si="37"/>
        <v>1691.5527614576281</v>
      </c>
      <c r="BW36" s="30">
        <f t="shared" si="29"/>
        <v>0.51437927588817323</v>
      </c>
      <c r="BX36" s="30">
        <f t="shared" si="38"/>
        <v>0</v>
      </c>
      <c r="BZ36" s="24">
        <f t="shared" si="46"/>
        <v>7.1480701470937519E-2</v>
      </c>
      <c r="CA36" s="24">
        <f t="shared" si="30"/>
        <v>7.1480681024561954E-2</v>
      </c>
      <c r="CF36" s="23"/>
    </row>
    <row r="37" spans="1:84" x14ac:dyDescent="0.25">
      <c r="A37" s="19"/>
      <c r="B37" s="20" t="str">
        <f t="shared" si="31"/>
        <v>BALI_NT</v>
      </c>
      <c r="C37" s="20">
        <f t="shared" si="31"/>
        <v>2028</v>
      </c>
      <c r="D37" s="30">
        <f>(D13*(VLOOKUP(D$27,tech_data!$B$2:$O$15,6, FALSE)/100)*(1-(VLOOKUP(D$27,tech_data!$B$2:$O$15,7, FALSE)/100))*8760)/1000</f>
        <v>4569.6420020503992</v>
      </c>
      <c r="E37" s="30">
        <f>(E13*(VLOOKUP(E$27,tech_data!$B$2:$O$15,6, FALSE)/100)*(1-(VLOOKUP(E$27,tech_data!$B$2:$O$15,7, FALSE)/100))*8760)/1000</f>
        <v>2637.6080898181649</v>
      </c>
      <c r="F37" s="30">
        <f>(F13*(VLOOKUP(F$27,tech_data!$B$2:$O$15,6, FALSE)/100)*(1-(VLOOKUP(F$27,tech_data!$B$2:$O$15,7, FALSE)/100))*8760)/1000</f>
        <v>1423.3027616465624</v>
      </c>
      <c r="G37" s="30">
        <f>(G13*(VLOOKUP(G$27,tech_data!$B$2:$O$15,6, FALSE)/100)*(1-(VLOOKUP(G$27,tech_data!$B$2:$O$15,7, FALSE)/100))*8760)/1000</f>
        <v>2908.6453279258335</v>
      </c>
      <c r="H37" s="30">
        <f>(H13*(VLOOKUP(H$27,tech_data!$B$2:$O$15,6, FALSE)/100)*(1-(VLOOKUP(H$27,tech_data!$B$2:$O$15,7, FALSE)/100))*8760)/1000</f>
        <v>1015.0304020771576</v>
      </c>
      <c r="I37" s="30">
        <f>(I13*(VLOOKUP(I$27,tech_data!$B$2:$O$15,6, FALSE)/100)*(1-(VLOOKUP(I$27,tech_data!$B$2:$O$15,7, FALSE)/100))*8760)/1000</f>
        <v>1578.2878807644734</v>
      </c>
      <c r="J37" s="30">
        <f>(J13*(VLOOKUP(J$27,tech_data!$B$2:$O$15,6, FALSE)/100)*(1-(VLOOKUP(J$27,tech_data!$B$2:$O$15,7, FALSE)/100))*8760)/1000</f>
        <v>94.705033846153867</v>
      </c>
      <c r="K37" s="30">
        <f>(K13*(VLOOKUP(K$27,tech_data!$B$2:$O$15,6, FALSE)/100)*(1-(VLOOKUP(K$27,tech_data!$B$2:$O$15,7, FALSE)/100))*8760)/1000</f>
        <v>300.50429086024525</v>
      </c>
      <c r="L37" s="30">
        <f>(L13*(VLOOKUP(L$27,tech_data!$B$2:$O$15,6, FALSE)/100)*(1-(VLOOKUP(L$27,tech_data!$B$2:$O$15,7, FALSE)/100))*8760)/1000</f>
        <v>0</v>
      </c>
      <c r="M37" s="30">
        <f>(M13*(VLOOKUP(M$27,tech_data!$B$2:$O$15,6, FALSE)/100)*(1-(VLOOKUP(M$27,tech_data!$B$2:$O$15,7, FALSE)/100))*8760)/1000</f>
        <v>1015.2742119073205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3.8841941494074348</v>
      </c>
      <c r="Q37" s="34">
        <f t="shared" si="17"/>
        <v>15543.000000896311</v>
      </c>
      <c r="R37" s="34">
        <f>proj_rukn!D71</f>
        <v>15543</v>
      </c>
      <c r="S37" s="35"/>
      <c r="T37" s="19"/>
      <c r="U37" s="20" t="str">
        <f t="shared" si="18"/>
        <v>BALI_NT</v>
      </c>
      <c r="V37" s="20">
        <f t="shared" si="18"/>
        <v>2028</v>
      </c>
      <c r="W37" s="29">
        <f t="shared" si="19"/>
        <v>0.29400000011496391</v>
      </c>
      <c r="X37" s="29">
        <f t="shared" si="19"/>
        <v>0.16969749016702459</v>
      </c>
      <c r="Y37" s="29">
        <f t="shared" si="19"/>
        <v>9.1571946314384964E-2</v>
      </c>
      <c r="Z37" s="29">
        <f t="shared" si="19"/>
        <v>0.18713538749006639</v>
      </c>
      <c r="AA37" s="29">
        <f t="shared" si="19"/>
        <v>6.5304664609060314E-2</v>
      </c>
      <c r="AB37" s="29">
        <f t="shared" si="19"/>
        <v>0.1015433237260155</v>
      </c>
      <c r="AC37" s="29">
        <f t="shared" si="19"/>
        <v>6.0930987480340062E-3</v>
      </c>
      <c r="AD37" s="29">
        <f t="shared" si="19"/>
        <v>1.9333738071345058E-2</v>
      </c>
      <c r="AE37" s="29">
        <f t="shared" si="19"/>
        <v>0</v>
      </c>
      <c r="AF37" s="29">
        <f t="shared" si="19"/>
        <v>6.5320350759105264E-2</v>
      </c>
      <c r="AG37" s="29">
        <f t="shared" si="19"/>
        <v>0</v>
      </c>
      <c r="AH37" s="29">
        <f t="shared" si="19"/>
        <v>0</v>
      </c>
      <c r="AI37" s="29">
        <f t="shared" si="19"/>
        <v>2.4989990022411676E-4</v>
      </c>
      <c r="AJ37" s="29">
        <f t="shared" si="20"/>
        <v>0.99999999999999989</v>
      </c>
      <c r="AM37" s="23"/>
      <c r="AO37" s="20" t="str">
        <f t="shared" si="39"/>
        <v>BALI_NT</v>
      </c>
      <c r="AP37" s="20">
        <f t="shared" si="40"/>
        <v>2028</v>
      </c>
      <c r="AQ37" s="25">
        <f t="shared" si="21"/>
        <v>0.29400000011496391</v>
      </c>
      <c r="AR37" s="25">
        <f t="shared" si="22"/>
        <v>0.26126943648140954</v>
      </c>
      <c r="AS37" s="25">
        <f t="shared" si="23"/>
        <v>0.18713538749006639</v>
      </c>
      <c r="AT37" s="37">
        <f t="shared" si="24"/>
        <v>0.25759517591356018</v>
      </c>
      <c r="AU37" s="24">
        <f t="shared" si="32"/>
        <v>1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0.31511193067095983</v>
      </c>
      <c r="AZ37" s="25">
        <f t="shared" si="47"/>
        <v>0.23960000000000001</v>
      </c>
      <c r="BA37" s="24">
        <f t="shared" si="34"/>
        <v>1.0825119306709599</v>
      </c>
      <c r="BJ37" s="19"/>
      <c r="BK37" s="20" t="str">
        <f t="shared" si="44"/>
        <v>BALI_NT</v>
      </c>
      <c r="BL37" s="20">
        <f t="shared" si="45"/>
        <v>2028</v>
      </c>
      <c r="BM37" s="34">
        <f>proj_rukn!E51</f>
        <v>49372</v>
      </c>
      <c r="BN37" s="30">
        <f t="shared" si="26"/>
        <v>56777.799999999996</v>
      </c>
      <c r="BO37" s="30">
        <f t="shared" si="35"/>
        <v>3840.5660279152517</v>
      </c>
      <c r="BQ37" s="30">
        <f t="shared" si="27"/>
        <v>22711.119999999999</v>
      </c>
      <c r="BR37" s="30">
        <f t="shared" si="36"/>
        <v>2019.5725519033317</v>
      </c>
      <c r="BS37" s="30"/>
      <c r="BT37" s="30">
        <f t="shared" si="28"/>
        <v>11355.56</v>
      </c>
      <c r="BU37" s="30">
        <f t="shared" si="37"/>
        <v>1820.9934760119199</v>
      </c>
      <c r="BW37" s="30">
        <f t="shared" si="29"/>
        <v>0.54889877645025043</v>
      </c>
      <c r="BX37" s="30">
        <f t="shared" si="38"/>
        <v>0</v>
      </c>
      <c r="BZ37" s="24">
        <f t="shared" si="46"/>
        <v>7.5054736544484399E-2</v>
      </c>
      <c r="CA37" s="24">
        <f t="shared" si="30"/>
        <v>7.5054736575628944E-2</v>
      </c>
      <c r="CF37" s="23"/>
    </row>
    <row r="38" spans="1:84" x14ac:dyDescent="0.25">
      <c r="A38" s="19"/>
      <c r="B38" s="20" t="str">
        <f t="shared" si="31"/>
        <v>BALI_NT</v>
      </c>
      <c r="C38" s="20">
        <f t="shared" si="31"/>
        <v>2029</v>
      </c>
      <c r="D38" s="30">
        <f>(D14*(VLOOKUP(D$27,tech_data!$B$2:$O$15,6, FALSE)/100)*(1-(VLOOKUP(D$27,tech_data!$B$2:$O$15,7, FALSE)/100))*8760)/1000</f>
        <v>4758.7239966287489</v>
      </c>
      <c r="E38" s="30">
        <f>(E14*(VLOOKUP(E$27,tech_data!$B$2:$O$15,6, FALSE)/100)*(1-(VLOOKUP(E$27,tech_data!$B$2:$O$15,7, FALSE)/100))*8760)/1000</f>
        <v>2637.6080898181649</v>
      </c>
      <c r="F38" s="30">
        <f>(F14*(VLOOKUP(F$27,tech_data!$B$2:$O$15,6, FALSE)/100)*(1-(VLOOKUP(F$27,tech_data!$B$2:$O$15,7, FALSE)/100))*8760)/1000</f>
        <v>1667.5617197371885</v>
      </c>
      <c r="G38" s="30">
        <f>(G14*(VLOOKUP(G$27,tech_data!$B$2:$O$15,6, FALSE)/100)*(1-(VLOOKUP(G$27,tech_data!$B$2:$O$15,7, FALSE)/100))*8760)/1000</f>
        <v>2908.6453279258335</v>
      </c>
      <c r="H38" s="30">
        <f>(H14*(VLOOKUP(H$27,tech_data!$B$2:$O$15,6, FALSE)/100)*(1-(VLOOKUP(H$27,tech_data!$B$2:$O$15,7, FALSE)/100))*8760)/1000</f>
        <v>1015.030395588019</v>
      </c>
      <c r="I38" s="30">
        <f>(I14*(VLOOKUP(I$27,tech_data!$B$2:$O$15,6, FALSE)/100)*(1-(VLOOKUP(I$27,tech_data!$B$2:$O$15,7, FALSE)/100))*8760)/1000</f>
        <v>1578.2878763251749</v>
      </c>
      <c r="J38" s="30">
        <f>(J14*(VLOOKUP(J$27,tech_data!$B$2:$O$15,6, FALSE)/100)*(1-(VLOOKUP(J$27,tech_data!$B$2:$O$15,7, FALSE)/100))*8760)/1000</f>
        <v>94.705033846153867</v>
      </c>
      <c r="K38" s="30">
        <f>(K14*(VLOOKUP(K$27,tech_data!$B$2:$O$15,6, FALSE)/100)*(1-(VLOOKUP(K$27,tech_data!$B$2:$O$15,7, FALSE)/100))*8760)/1000</f>
        <v>340.79982359043089</v>
      </c>
      <c r="L38" s="30">
        <f>(L14*(VLOOKUP(L$27,tech_data!$B$2:$O$15,6, FALSE)/100)*(1-(VLOOKUP(L$27,tech_data!$B$2:$O$15,7, FALSE)/100))*8760)/1000</f>
        <v>0</v>
      </c>
      <c r="M38" s="30">
        <f>(M14*(VLOOKUP(M$27,tech_data!$B$2:$O$15,6, FALSE)/100)*(1-(VLOOKUP(M$27,tech_data!$B$2:$O$15,7, FALSE)/100))*8760)/1000</f>
        <v>1295.6377295773686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4.077739875837386</v>
      </c>
      <c r="Q38" s="34">
        <f t="shared" si="17"/>
        <v>16296.999993037083</v>
      </c>
      <c r="R38" s="34">
        <f>proj_rukn!D72</f>
        <v>16297</v>
      </c>
      <c r="S38" s="35"/>
      <c r="T38" s="19"/>
      <c r="U38" s="20" t="str">
        <f t="shared" si="18"/>
        <v>BALI_NT</v>
      </c>
      <c r="V38" s="20">
        <f t="shared" si="18"/>
        <v>2029</v>
      </c>
      <c r="W38" s="29">
        <f t="shared" si="19"/>
        <v>0.2919999999178941</v>
      </c>
      <c r="X38" s="29">
        <f t="shared" si="19"/>
        <v>0.16184623494784847</v>
      </c>
      <c r="Y38" s="29">
        <f t="shared" si="19"/>
        <v>0.10232323252436992</v>
      </c>
      <c r="Z38" s="29">
        <f t="shared" si="19"/>
        <v>0.17847734731352743</v>
      </c>
      <c r="AA38" s="29">
        <f t="shared" si="19"/>
        <v>6.22832666148182E-2</v>
      </c>
      <c r="AB38" s="29">
        <f t="shared" si="19"/>
        <v>9.6845301405135961E-2</v>
      </c>
      <c r="AC38" s="29">
        <f t="shared" si="19"/>
        <v>5.8111943232875213E-3</v>
      </c>
      <c r="AD38" s="29">
        <f t="shared" si="19"/>
        <v>2.0911813446403516E-2</v>
      </c>
      <c r="AE38" s="29">
        <f t="shared" si="19"/>
        <v>0</v>
      </c>
      <c r="AF38" s="29">
        <f t="shared" si="19"/>
        <v>7.9501609506714838E-2</v>
      </c>
      <c r="AG38" s="29">
        <f t="shared" si="19"/>
        <v>0</v>
      </c>
      <c r="AH38" s="29">
        <f t="shared" si="19"/>
        <v>0</v>
      </c>
      <c r="AI38" s="29">
        <f t="shared" si="19"/>
        <v>2.5021414233169332E-4</v>
      </c>
      <c r="AJ38" s="29">
        <f t="shared" si="20"/>
        <v>0.99999999999999989</v>
      </c>
      <c r="AM38" s="23"/>
      <c r="AO38" s="20" t="str">
        <f t="shared" si="39"/>
        <v>BALI_NT</v>
      </c>
      <c r="AP38" s="20">
        <f t="shared" si="40"/>
        <v>2029</v>
      </c>
      <c r="AQ38" s="25">
        <f t="shared" si="21"/>
        <v>0.2919999999178941</v>
      </c>
      <c r="AR38" s="25">
        <f t="shared" si="22"/>
        <v>0.26416946747221837</v>
      </c>
      <c r="AS38" s="25">
        <f t="shared" si="23"/>
        <v>0.17847734731352743</v>
      </c>
      <c r="AT38" s="37">
        <f t="shared" si="24"/>
        <v>0.26535318529636004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0.30880969205754061</v>
      </c>
      <c r="AZ38" s="25">
        <f t="shared" si="47"/>
        <v>0.24280000000000002</v>
      </c>
      <c r="BA38" s="24">
        <f t="shared" si="34"/>
        <v>1.0820096920575406</v>
      </c>
      <c r="BJ38" s="19"/>
      <c r="BK38" s="20" t="str">
        <f t="shared" si="44"/>
        <v>BALI_NT</v>
      </c>
      <c r="BL38" s="20">
        <f t="shared" si="45"/>
        <v>2029</v>
      </c>
      <c r="BM38" s="34">
        <f>proj_rukn!E52</f>
        <v>52169.133398413025</v>
      </c>
      <c r="BN38" s="30">
        <f t="shared" si="26"/>
        <v>59994.503408174976</v>
      </c>
      <c r="BO38" s="30">
        <f t="shared" si="35"/>
        <v>4080.1261927768451</v>
      </c>
      <c r="BQ38" s="30">
        <f t="shared" si="27"/>
        <v>23997.801363269991</v>
      </c>
      <c r="BR38" s="30">
        <f t="shared" si="36"/>
        <v>2259.0783035576496</v>
      </c>
      <c r="BS38" s="30"/>
      <c r="BT38" s="30">
        <f t="shared" si="28"/>
        <v>11998.900681634996</v>
      </c>
      <c r="BU38" s="30">
        <f t="shared" si="37"/>
        <v>1821.0478892191954</v>
      </c>
      <c r="BW38" s="30">
        <f t="shared" si="29"/>
        <v>0.61597737244784889</v>
      </c>
      <c r="BX38" s="30">
        <f t="shared" si="38"/>
        <v>0</v>
      </c>
      <c r="BZ38" s="24">
        <f t="shared" si="46"/>
        <v>7.8807473371708625E-2</v>
      </c>
      <c r="CA38" s="24">
        <f t="shared" si="30"/>
        <v>7.8807470967601656E-2</v>
      </c>
      <c r="CF38" s="23"/>
    </row>
    <row r="39" spans="1:84" x14ac:dyDescent="0.25">
      <c r="A39" s="19"/>
      <c r="B39" s="20" t="str">
        <f t="shared" si="31"/>
        <v>BALI_NT</v>
      </c>
      <c r="C39" s="20">
        <f t="shared" si="31"/>
        <v>2030</v>
      </c>
      <c r="D39" s="30">
        <f>(D15*(VLOOKUP(D$27,tech_data!$B$2:$O$15,6, FALSE)/100)*(1-(VLOOKUP(D$27,tech_data!$B$2:$O$15,7, FALSE)/100))*8760)/1000</f>
        <v>4961.6099988157221</v>
      </c>
      <c r="E39" s="30">
        <f>(E15*(VLOOKUP(E$27,tech_data!$B$2:$O$15,6, FALSE)/100)*(1-(VLOOKUP(E$27,tech_data!$B$2:$O$15,7, FALSE)/100))*8760)/1000</f>
        <v>3228.1448852786007</v>
      </c>
      <c r="F39" s="30">
        <f>(F15*(VLOOKUP(F$27,tech_data!$B$2:$O$15,6, FALSE)/100)*(1-(VLOOKUP(F$27,tech_data!$B$2:$O$15,7, FALSE)/100))*8760)/1000</f>
        <v>1667.5617197371885</v>
      </c>
      <c r="G39" s="30">
        <f>(G15*(VLOOKUP(G$27,tech_data!$B$2:$O$15,6, FALSE)/100)*(1-(VLOOKUP(G$27,tech_data!$B$2:$O$15,7, FALSE)/100))*8760)/1000</f>
        <v>2908.6453279258335</v>
      </c>
      <c r="H39" s="30">
        <f>(H15*(VLOOKUP(H$27,tech_data!$B$2:$O$15,6, FALSE)/100)*(1-(VLOOKUP(H$27,tech_data!$B$2:$O$15,7, FALSE)/100))*8760)/1000</f>
        <v>1015.0303890988806</v>
      </c>
      <c r="I39" s="30">
        <f>(I15*(VLOOKUP(I$27,tech_data!$B$2:$O$15,6, FALSE)/100)*(1-(VLOOKUP(I$27,tech_data!$B$2:$O$15,7, FALSE)/100))*8760)/1000</f>
        <v>1578.2878763251749</v>
      </c>
      <c r="J39" s="30">
        <f>(J15*(VLOOKUP(J$27,tech_data!$B$2:$O$15,6, FALSE)/100)*(1-(VLOOKUP(J$27,tech_data!$B$2:$O$15,7, FALSE)/100))*8760)/1000</f>
        <v>94.705033846153867</v>
      </c>
      <c r="K39" s="30">
        <f>(K15*(VLOOKUP(K$27,tech_data!$B$2:$O$15,6, FALSE)/100)*(1-(VLOOKUP(K$27,tech_data!$B$2:$O$15,7, FALSE)/100))*8760)/1000</f>
        <v>359.37705071050607</v>
      </c>
      <c r="L39" s="30">
        <f>(L15*(VLOOKUP(L$27,tech_data!$B$2:$O$15,6, FALSE)/100)*(1-(VLOOKUP(L$27,tech_data!$B$2:$O$15,7, FALSE)/100))*8760)/1000</f>
        <v>0</v>
      </c>
      <c r="M39" s="30">
        <f>(M15*(VLOOKUP(M$27,tech_data!$B$2:$O$15,6, FALSE)/100)*(1-(VLOOKUP(M$27,tech_data!$B$2:$O$15,7, FALSE)/100))*8760)/1000</f>
        <v>1295.6377270797577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4.2812317409254304</v>
      </c>
      <c r="Q39" s="34">
        <f t="shared" si="17"/>
        <v>17109.000008817817</v>
      </c>
      <c r="R39" s="34">
        <f>proj_rukn!D73</f>
        <v>17109</v>
      </c>
      <c r="S39" s="35"/>
      <c r="T39" s="19"/>
      <c r="U39" s="20" t="str">
        <f t="shared" si="18"/>
        <v>BALI_NT</v>
      </c>
      <c r="V39" s="20">
        <f t="shared" si="18"/>
        <v>2030</v>
      </c>
      <c r="W39" s="29">
        <f t="shared" si="19"/>
        <v>0.28999999978131713</v>
      </c>
      <c r="X39" s="29">
        <f t="shared" si="19"/>
        <v>0.18868109671020197</v>
      </c>
      <c r="Y39" s="29">
        <f t="shared" si="19"/>
        <v>9.746693078951095E-2</v>
      </c>
      <c r="Z39" s="29">
        <f t="shared" si="19"/>
        <v>0.17000674068775179</v>
      </c>
      <c r="AA39" s="29">
        <f t="shared" si="19"/>
        <v>5.9327277373063508E-2</v>
      </c>
      <c r="AB39" s="29">
        <f t="shared" si="19"/>
        <v>9.2248984482537863E-2</v>
      </c>
      <c r="AC39" s="29">
        <f t="shared" si="19"/>
        <v>5.5353927054382947E-3</v>
      </c>
      <c r="AD39" s="29">
        <f t="shared" si="19"/>
        <v>2.1005146444870334E-2</v>
      </c>
      <c r="AE39" s="29">
        <f t="shared" si="19"/>
        <v>0</v>
      </c>
      <c r="AF39" s="29">
        <f t="shared" si="19"/>
        <v>7.5728431025308213E-2</v>
      </c>
      <c r="AG39" s="29">
        <f t="shared" si="19"/>
        <v>0</v>
      </c>
      <c r="AH39" s="29">
        <f t="shared" si="19"/>
        <v>0</v>
      </c>
      <c r="AI39" s="29">
        <f t="shared" si="19"/>
        <v>2.5023272772920239E-4</v>
      </c>
      <c r="AJ39" s="29">
        <f t="shared" si="20"/>
        <v>1</v>
      </c>
      <c r="AM39" s="23"/>
      <c r="AO39" s="20" t="str">
        <f t="shared" si="39"/>
        <v>BALI_NT</v>
      </c>
      <c r="AP39" s="20">
        <f t="shared" si="40"/>
        <v>2030</v>
      </c>
      <c r="AQ39" s="25">
        <f t="shared" si="21"/>
        <v>0.28999999978131713</v>
      </c>
      <c r="AR39" s="25">
        <f t="shared" si="22"/>
        <v>0.28614802749971291</v>
      </c>
      <c r="AS39" s="25">
        <f t="shared" si="23"/>
        <v>0.17000674068775179</v>
      </c>
      <c r="AT39" s="37">
        <f t="shared" si="24"/>
        <v>0.25384523203121823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0.3026334982163898</v>
      </c>
      <c r="AZ39" s="25">
        <f t="shared" si="47"/>
        <v>0.246</v>
      </c>
      <c r="BA39" s="24">
        <f t="shared" si="34"/>
        <v>1.0816334982163898</v>
      </c>
      <c r="BJ39" s="19"/>
      <c r="BK39" s="20" t="str">
        <f t="shared" si="44"/>
        <v>BALI_NT</v>
      </c>
      <c r="BL39" s="20">
        <f t="shared" si="45"/>
        <v>2030</v>
      </c>
      <c r="BM39" s="34">
        <f>proj_rukn!E53</f>
        <v>55124.736278486052</v>
      </c>
      <c r="BN39" s="30">
        <f t="shared" si="26"/>
        <v>63393.446720258959</v>
      </c>
      <c r="BO39" s="30">
        <f t="shared" si="35"/>
        <v>4319.5675915999154</v>
      </c>
      <c r="BQ39" s="30">
        <f t="shared" si="27"/>
        <v>25357.378688103585</v>
      </c>
      <c r="BR39" s="30">
        <f t="shared" si="36"/>
        <v>2300.9178284132972</v>
      </c>
      <c r="BS39" s="30"/>
      <c r="BT39" s="30">
        <f t="shared" si="28"/>
        <v>12678.689344051792</v>
      </c>
      <c r="BU39" s="30">
        <f t="shared" si="37"/>
        <v>2018.6497631866182</v>
      </c>
      <c r="BW39" s="30">
        <f t="shared" si="29"/>
        <v>0.62102662865595792</v>
      </c>
      <c r="BX39" s="30">
        <f t="shared" si="38"/>
        <v>0</v>
      </c>
      <c r="BZ39" s="24">
        <f t="shared" si="46"/>
        <v>8.2747847040294059E-2</v>
      </c>
      <c r="CA39" s="24">
        <f t="shared" si="30"/>
        <v>8.2747847090888407E-2</v>
      </c>
      <c r="CF39" s="23"/>
    </row>
    <row r="40" spans="1:84" x14ac:dyDescent="0.25">
      <c r="A40" s="19"/>
      <c r="B40" s="20" t="str">
        <f t="shared" si="31"/>
        <v>BALI_NT</v>
      </c>
      <c r="C40" s="20">
        <f t="shared" si="31"/>
        <v>2031</v>
      </c>
      <c r="D40" s="30">
        <f>(D16*(VLOOKUP(D$27,tech_data!$B$2:$O$15,6, FALSE)/100)*(1-(VLOOKUP(D$27,tech_data!$B$2:$O$15,7, FALSE)/100))*8760)/1000</f>
        <v>5214.2399999994559</v>
      </c>
      <c r="E40" s="30">
        <f>(E16*(VLOOKUP(E$27,tech_data!$B$2:$O$15,6, FALSE)/100)*(1-(VLOOKUP(E$27,tech_data!$B$2:$O$15,7, FALSE)/100))*8760)/1000</f>
        <v>3567.1910231496959</v>
      </c>
      <c r="F40" s="30">
        <f>(F16*(VLOOKUP(F$27,tech_data!$B$2:$O$15,6, FALSE)/100)*(1-(VLOOKUP(F$27,tech_data!$B$2:$O$15,7, FALSE)/100))*8760)/1000</f>
        <v>1903.1576489251192</v>
      </c>
      <c r="G40" s="30">
        <f>(G16*(VLOOKUP(G$27,tech_data!$B$2:$O$15,6, FALSE)/100)*(1-(VLOOKUP(G$27,tech_data!$B$2:$O$15,7, FALSE)/100))*8760)/1000</f>
        <v>2908.6453279258335</v>
      </c>
      <c r="H40" s="30">
        <f>(H16*(VLOOKUP(H$27,tech_data!$B$2:$O$15,6, FALSE)/100)*(1-(VLOOKUP(H$27,tech_data!$B$2:$O$15,7, FALSE)/100))*8760)/1000</f>
        <v>1015.0303890988806</v>
      </c>
      <c r="I40" s="30">
        <f>(I16*(VLOOKUP(I$27,tech_data!$B$2:$O$15,6, FALSE)/100)*(1-(VLOOKUP(I$27,tech_data!$B$2:$O$15,7, FALSE)/100))*8760)/1000</f>
        <v>1578.2878763251749</v>
      </c>
      <c r="J40" s="30">
        <f>(J16*(VLOOKUP(J$27,tech_data!$B$2:$O$15,6, FALSE)/100)*(1-(VLOOKUP(J$27,tech_data!$B$2:$O$15,7, FALSE)/100))*8760)/1000</f>
        <v>94.705033846153867</v>
      </c>
      <c r="K40" s="30">
        <f>(K16*(VLOOKUP(K$27,tech_data!$B$2:$O$15,6, FALSE)/100)*(1-(VLOOKUP(K$27,tech_data!$B$2:$O$15,7, FALSE)/100))*8760)/1000</f>
        <v>392.00586899195957</v>
      </c>
      <c r="L40" s="30">
        <f>(L16*(VLOOKUP(L$27,tech_data!$B$2:$O$15,6, FALSE)/100)*(1-(VLOOKUP(L$27,tech_data!$B$2:$O$15,7, FALSE)/100))*8760)/1000</f>
        <v>0</v>
      </c>
      <c r="M40" s="30">
        <f>(M16*(VLOOKUP(M$27,tech_data!$B$2:$O$15,6, FALSE)/100)*(1-(VLOOKUP(M$27,tech_data!$B$2:$O$15,7, FALSE)/100))*8760)/1000</f>
        <v>1431.7368317367582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4.5327948880553706</v>
      </c>
      <c r="Q40" s="34">
        <f t="shared" si="17"/>
        <v>18104.999999999032</v>
      </c>
      <c r="R40" s="34">
        <f>proj_rukn!D74</f>
        <v>18105</v>
      </c>
      <c r="S40" s="35"/>
      <c r="T40" s="19"/>
      <c r="U40" s="20" t="str">
        <f t="shared" si="18"/>
        <v>BALI_NT</v>
      </c>
      <c r="V40" s="20">
        <f t="shared" si="18"/>
        <v>2031</v>
      </c>
      <c r="W40" s="29">
        <f t="shared" si="19"/>
        <v>0.28799999999998532</v>
      </c>
      <c r="X40" s="29">
        <f t="shared" si="19"/>
        <v>0.19702794935928675</v>
      </c>
      <c r="Y40" s="29">
        <f t="shared" si="19"/>
        <v>0.10511779336786639</v>
      </c>
      <c r="Z40" s="29">
        <f t="shared" si="19"/>
        <v>0.16065425727290741</v>
      </c>
      <c r="AA40" s="29">
        <f t="shared" si="19"/>
        <v>5.6063539856334429E-2</v>
      </c>
      <c r="AB40" s="29">
        <f t="shared" si="19"/>
        <v>8.7174143956103803E-2</v>
      </c>
      <c r="AC40" s="29">
        <f t="shared" si="19"/>
        <v>5.2308773182081708E-3</v>
      </c>
      <c r="AD40" s="29">
        <f t="shared" si="19"/>
        <v>2.1651801656557886E-2</v>
      </c>
      <c r="AE40" s="29">
        <f t="shared" si="19"/>
        <v>0</v>
      </c>
      <c r="AF40" s="29">
        <f t="shared" si="19"/>
        <v>7.907963721274977E-2</v>
      </c>
      <c r="AG40" s="29">
        <f t="shared" si="19"/>
        <v>0</v>
      </c>
      <c r="AH40" s="29">
        <f t="shared" si="19"/>
        <v>0</v>
      </c>
      <c r="AI40" s="29">
        <f t="shared" si="19"/>
        <v>2.5036149616435309E-4</v>
      </c>
      <c r="AJ40" s="29">
        <f t="shared" si="20"/>
        <v>0.99999999999999989</v>
      </c>
      <c r="AM40" s="23"/>
      <c r="AO40" s="20" t="str">
        <f t="shared" si="39"/>
        <v>BALI_NT</v>
      </c>
      <c r="AP40" s="20">
        <f t="shared" si="40"/>
        <v>2031</v>
      </c>
      <c r="AQ40" s="25">
        <f t="shared" si="21"/>
        <v>0.28799999999998532</v>
      </c>
      <c r="AR40" s="25">
        <f t="shared" si="22"/>
        <v>0.30214574272715311</v>
      </c>
      <c r="AS40" s="25">
        <f t="shared" si="23"/>
        <v>0.16065425727290741</v>
      </c>
      <c r="AT40" s="37">
        <f t="shared" si="24"/>
        <v>0.24919999999995407</v>
      </c>
      <c r="AU40" s="24">
        <f t="shared" si="32"/>
        <v>0.99999999999999978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0.296580828252062</v>
      </c>
      <c r="AZ40" s="25">
        <f t="shared" si="47"/>
        <v>0.2492</v>
      </c>
      <c r="BA40" s="24">
        <f t="shared" si="34"/>
        <v>1.0813808282520621</v>
      </c>
      <c r="BJ40" s="19"/>
      <c r="BK40" s="20" t="str">
        <f t="shared" si="44"/>
        <v>BALI_NT</v>
      </c>
      <c r="BL40" s="20">
        <f t="shared" si="45"/>
        <v>2031</v>
      </c>
      <c r="BM40" s="34">
        <f>proj_rukn!E54</f>
        <v>58247.786609103881</v>
      </c>
      <c r="BN40" s="30">
        <f t="shared" si="26"/>
        <v>66984.954600469457</v>
      </c>
      <c r="BO40" s="30">
        <f t="shared" si="35"/>
        <v>4624.7745371901883</v>
      </c>
      <c r="BQ40" s="30">
        <f t="shared" si="27"/>
        <v>26793.981840187786</v>
      </c>
      <c r="BR40" s="30">
        <f t="shared" si="36"/>
        <v>2492.6373136080647</v>
      </c>
      <c r="BS40" s="30"/>
      <c r="BT40" s="30">
        <f t="shared" si="28"/>
        <v>13396.990920093893</v>
      </c>
      <c r="BU40" s="30">
        <f t="shared" si="37"/>
        <v>2132.1372235821241</v>
      </c>
      <c r="BW40" s="30">
        <f t="shared" si="29"/>
        <v>0.65714094287762126</v>
      </c>
      <c r="BX40" s="30">
        <f t="shared" si="38"/>
        <v>0</v>
      </c>
      <c r="BZ40" s="24">
        <f t="shared" si="46"/>
        <v>8.6885239392308772E-2</v>
      </c>
      <c r="CA40" s="24">
        <f t="shared" si="30"/>
        <v>8.6885239392302874E-2</v>
      </c>
      <c r="CF40" s="23"/>
    </row>
    <row r="41" spans="1:84" x14ac:dyDescent="0.25">
      <c r="A41" s="19"/>
      <c r="B41" s="20" t="str">
        <f t="shared" si="31"/>
        <v>BALI_NT</v>
      </c>
      <c r="C41" s="20">
        <f t="shared" si="31"/>
        <v>2032</v>
      </c>
      <c r="D41" s="30">
        <f>(D17*(VLOOKUP(D$27,tech_data!$B$2:$O$15,6, FALSE)/100)*(1-(VLOOKUP(D$27,tech_data!$B$2:$O$15,7, FALSE)/100))*8760)/1000</f>
        <v>5481.4759999407661</v>
      </c>
      <c r="E41" s="30">
        <f>(E17*(VLOOKUP(E$27,tech_data!$B$2:$O$15,6, FALSE)/100)*(1-(VLOOKUP(E$27,tech_data!$B$2:$O$15,7, FALSE)/100))*8760)/1000</f>
        <v>4035.2226266133616</v>
      </c>
      <c r="F41" s="30">
        <f>(F17*(VLOOKUP(F$27,tech_data!$B$2:$O$15,6, FALSE)/100)*(1-(VLOOKUP(F$27,tech_data!$B$2:$O$15,7, FALSE)/100))*8760)/1000</f>
        <v>1903.1576489251192</v>
      </c>
      <c r="G41" s="30">
        <f>(G17*(VLOOKUP(G$27,tech_data!$B$2:$O$15,6, FALSE)/100)*(1-(VLOOKUP(G$27,tech_data!$B$2:$O$15,7, FALSE)/100))*8760)/1000</f>
        <v>2908.6453279258335</v>
      </c>
      <c r="H41" s="30">
        <f>(H17*(VLOOKUP(H$27,tech_data!$B$2:$O$15,6, FALSE)/100)*(1-(VLOOKUP(H$27,tech_data!$B$2:$O$15,7, FALSE)/100))*8760)/1000</f>
        <v>1015.0303890988806</v>
      </c>
      <c r="I41" s="30">
        <f>(I17*(VLOOKUP(I$27,tech_data!$B$2:$O$15,6, FALSE)/100)*(1-(VLOOKUP(I$27,tech_data!$B$2:$O$15,7, FALSE)/100))*8760)/1000</f>
        <v>1777.5805724249462</v>
      </c>
      <c r="J41" s="30">
        <f>(J17*(VLOOKUP(J$27,tech_data!$B$2:$O$15,6, FALSE)/100)*(1-(VLOOKUP(J$27,tech_data!$B$2:$O$15,7, FALSE)/100))*8760)/1000</f>
        <v>94.705033846153867</v>
      </c>
      <c r="K41" s="30">
        <f>(K17*(VLOOKUP(K$27,tech_data!$B$2:$O$15,6, FALSE)/100)*(1-(VLOOKUP(K$27,tech_data!$B$2:$O$15,7, FALSE)/100))*8760)/1000</f>
        <v>441.32256658971232</v>
      </c>
      <c r="L41" s="30">
        <f>(L17*(VLOOKUP(L$27,tech_data!$B$2:$O$15,6, FALSE)/100)*(1-(VLOOKUP(L$27,tech_data!$B$2:$O$15,7, FALSE)/100))*8760)/1000</f>
        <v>0</v>
      </c>
      <c r="M41" s="30">
        <f>(M17*(VLOOKUP(M$27,tech_data!$B$2:$O$15,6, FALSE)/100)*(1-(VLOOKUP(M$27,tech_data!$B$2:$O$15,7, FALSE)/100))*8760)/1000</f>
        <v>1508.8598350991485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4.803674342711024</v>
      </c>
      <c r="Q41" s="34">
        <f t="shared" si="17"/>
        <v>19166.000000463919</v>
      </c>
      <c r="R41" s="34">
        <f>proj_rukn!D75</f>
        <v>19166</v>
      </c>
      <c r="S41" s="35"/>
      <c r="T41" s="19"/>
      <c r="U41" s="20" t="str">
        <f t="shared" si="18"/>
        <v>BALI_NT</v>
      </c>
      <c r="V41" s="20">
        <f t="shared" si="18"/>
        <v>2032</v>
      </c>
      <c r="W41" s="29">
        <f t="shared" si="19"/>
        <v>0.28599999998998671</v>
      </c>
      <c r="X41" s="29">
        <f t="shared" si="19"/>
        <v>0.21054067758090828</v>
      </c>
      <c r="Y41" s="29">
        <f t="shared" si="19"/>
        <v>9.9298635546230446E-2</v>
      </c>
      <c r="Z41" s="29">
        <f t="shared" si="19"/>
        <v>0.15176068704244125</v>
      </c>
      <c r="AA41" s="29">
        <f t="shared" si="19"/>
        <v>5.295994934124551E-2</v>
      </c>
      <c r="AB41" s="29">
        <f t="shared" si="19"/>
        <v>9.2746560178541132E-2</v>
      </c>
      <c r="AC41" s="29">
        <f t="shared" si="19"/>
        <v>4.9413040719952783E-3</v>
      </c>
      <c r="AD41" s="29">
        <f t="shared" si="19"/>
        <v>2.3026326128510383E-2</v>
      </c>
      <c r="AE41" s="29">
        <f t="shared" si="19"/>
        <v>0</v>
      </c>
      <c r="AF41" s="29">
        <f t="shared" si="19"/>
        <v>7.8725860120141197E-2</v>
      </c>
      <c r="AG41" s="29">
        <f t="shared" si="19"/>
        <v>0</v>
      </c>
      <c r="AH41" s="29">
        <f t="shared" si="19"/>
        <v>0</v>
      </c>
      <c r="AI41" s="29">
        <f t="shared" si="19"/>
        <v>2.5063520518599339E-4</v>
      </c>
      <c r="AJ41" s="29">
        <f t="shared" si="20"/>
        <v>1.0000000000000002</v>
      </c>
      <c r="AM41" s="23"/>
      <c r="AO41" s="20" t="str">
        <f t="shared" si="39"/>
        <v>BALI_NT</v>
      </c>
      <c r="AP41" s="20">
        <f t="shared" si="40"/>
        <v>2032</v>
      </c>
      <c r="AQ41" s="25">
        <f t="shared" si="21"/>
        <v>0.28599999998998671</v>
      </c>
      <c r="AR41" s="25">
        <f t="shared" si="22"/>
        <v>0.30983931312713869</v>
      </c>
      <c r="AS41" s="25">
        <f t="shared" si="23"/>
        <v>0.15176068704244125</v>
      </c>
      <c r="AT41" s="37">
        <f t="shared" si="24"/>
        <v>0.25239999984043354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0.29064921168702074</v>
      </c>
      <c r="AZ41" s="25">
        <f t="shared" si="47"/>
        <v>0.25240000000000001</v>
      </c>
      <c r="BA41" s="24">
        <f t="shared" si="34"/>
        <v>1.0812492116870207</v>
      </c>
      <c r="BJ41" s="19"/>
      <c r="BK41" s="20" t="str">
        <f t="shared" si="44"/>
        <v>BALI_NT</v>
      </c>
      <c r="BL41" s="20">
        <f t="shared" si="45"/>
        <v>2032</v>
      </c>
      <c r="BM41" s="34">
        <f>proj_rukn!E55</f>
        <v>61547.770999202708</v>
      </c>
      <c r="BN41" s="30">
        <f t="shared" si="26"/>
        <v>70779.936649083116</v>
      </c>
      <c r="BO41" s="30">
        <f t="shared" si="35"/>
        <v>4912.2967237119419</v>
      </c>
      <c r="BQ41" s="30">
        <f t="shared" si="27"/>
        <v>28311.974659633248</v>
      </c>
      <c r="BR41" s="30">
        <f t="shared" si="36"/>
        <v>2578.6259279866536</v>
      </c>
      <c r="BS41" s="30"/>
      <c r="BT41" s="30">
        <f t="shared" si="28"/>
        <v>14155.987329816624</v>
      </c>
      <c r="BU41" s="30">
        <f t="shared" si="37"/>
        <v>2333.6707957252888</v>
      </c>
      <c r="BW41" s="30">
        <f t="shared" si="29"/>
        <v>0.70843090710914547</v>
      </c>
      <c r="BX41" s="30">
        <f t="shared" si="38"/>
        <v>0</v>
      </c>
      <c r="BZ41" s="24">
        <f t="shared" si="46"/>
        <v>9.1229501361924217E-2</v>
      </c>
      <c r="CA41" s="24">
        <f t="shared" si="30"/>
        <v>9.1229501359221685E-2</v>
      </c>
      <c r="CF41" s="23"/>
    </row>
    <row r="42" spans="1:84" x14ac:dyDescent="0.25">
      <c r="A42" s="19"/>
      <c r="B42" s="20" t="str">
        <f t="shared" si="31"/>
        <v>BALI_NT</v>
      </c>
      <c r="C42" s="20">
        <f t="shared" si="31"/>
        <v>2033</v>
      </c>
      <c r="D42" s="30">
        <f>(D18*(VLOOKUP(D$27,tech_data!$B$2:$O$15,6, FALSE)/100)*(1-(VLOOKUP(D$27,tech_data!$B$2:$O$15,7, FALSE)/100))*8760)/1000</f>
        <v>5709.82</v>
      </c>
      <c r="E42" s="30">
        <f>(E18*(VLOOKUP(E$27,tech_data!$B$2:$O$15,6, FALSE)/100)*(1-(VLOOKUP(E$27,tech_data!$B$2:$O$15,7, FALSE)/100))*8760)/1000</f>
        <v>4035.2226266133616</v>
      </c>
      <c r="F42" s="30">
        <f>(F18*(VLOOKUP(F$27,tech_data!$B$2:$O$15,6, FALSE)/100)*(1-(VLOOKUP(F$27,tech_data!$B$2:$O$15,7, FALSE)/100))*8760)/1000</f>
        <v>2312.47405045805</v>
      </c>
      <c r="G42" s="30">
        <f>(G18*(VLOOKUP(G$27,tech_data!$B$2:$O$15,6, FALSE)/100)*(1-(VLOOKUP(G$27,tech_data!$B$2:$O$15,7, FALSE)/100))*8760)/1000</f>
        <v>2908.6453229285908</v>
      </c>
      <c r="H42" s="30">
        <f>(H18*(VLOOKUP(H$27,tech_data!$B$2:$O$15,6, FALSE)/100)*(1-(VLOOKUP(H$27,tech_data!$B$2:$O$15,7, FALSE)/100))*8760)/1000</f>
        <v>1015.0303826097422</v>
      </c>
      <c r="I42" s="30">
        <f>(I18*(VLOOKUP(I$27,tech_data!$B$2:$O$15,6, FALSE)/100)*(1-(VLOOKUP(I$27,tech_data!$B$2:$O$15,7, FALSE)/100))*8760)/1000</f>
        <v>1989.4269370280676</v>
      </c>
      <c r="J42" s="30">
        <f>(J18*(VLOOKUP(J$27,tech_data!$B$2:$O$15,6, FALSE)/100)*(1-(VLOOKUP(J$27,tech_data!$B$2:$O$15,7, FALSE)/100))*8760)/1000</f>
        <v>94.705033846153867</v>
      </c>
      <c r="K42" s="30">
        <f>(K18*(VLOOKUP(K$27,tech_data!$B$2:$O$15,6, FALSE)/100)*(1-(VLOOKUP(K$27,tech_data!$B$2:$O$15,7, FALSE)/100))*8760)/1000</f>
        <v>492.25430973569343</v>
      </c>
      <c r="L42" s="30">
        <f>(L18*(VLOOKUP(L$27,tech_data!$B$2:$O$15,6, FALSE)/100)*(1-(VLOOKUP(L$27,tech_data!$B$2:$O$15,7, FALSE)/100))*8760)/1000</f>
        <v>0</v>
      </c>
      <c r="M42" s="30">
        <f>(M18*(VLOOKUP(M$27,tech_data!$B$2:$O$15,6, FALSE)/100)*(1-(VLOOKUP(M$27,tech_data!$B$2:$O$15,7, FALSE)/100))*8760)/1000</f>
        <v>1547.4213367803436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5.0448573043513996</v>
      </c>
      <c r="Q42" s="34">
        <f t="shared" si="17"/>
        <v>20105</v>
      </c>
      <c r="R42" s="34">
        <f>proj_rukn!D76</f>
        <v>20105</v>
      </c>
      <c r="S42" s="35"/>
      <c r="T42" s="19"/>
      <c r="U42" s="20" t="str">
        <f t="shared" si="18"/>
        <v>BALI_NT</v>
      </c>
      <c r="V42" s="20">
        <f t="shared" si="18"/>
        <v>2033</v>
      </c>
      <c r="W42" s="29">
        <f t="shared" si="19"/>
        <v>0.28399999999999997</v>
      </c>
      <c r="X42" s="29">
        <f t="shared" si="19"/>
        <v>0.20070741738937387</v>
      </c>
      <c r="Y42" s="29">
        <f t="shared" si="19"/>
        <v>0.11501984831922656</v>
      </c>
      <c r="Z42" s="29">
        <f t="shared" si="19"/>
        <v>0.14467273429139968</v>
      </c>
      <c r="AA42" s="29">
        <f t="shared" si="19"/>
        <v>5.0486465188248807E-2</v>
      </c>
      <c r="AB42" s="29">
        <f t="shared" si="19"/>
        <v>9.8951849640789236E-2</v>
      </c>
      <c r="AC42" s="29">
        <f t="shared" si="19"/>
        <v>4.7105214546706723E-3</v>
      </c>
      <c r="AD42" s="29">
        <f t="shared" si="19"/>
        <v>2.4484173575513225E-2</v>
      </c>
      <c r="AE42" s="29">
        <f t="shared" si="19"/>
        <v>0</v>
      </c>
      <c r="AF42" s="29">
        <f t="shared" si="19"/>
        <v>7.6966990140778097E-2</v>
      </c>
      <c r="AG42" s="29">
        <f t="shared" si="19"/>
        <v>0</v>
      </c>
      <c r="AH42" s="29">
        <f t="shared" si="19"/>
        <v>0</v>
      </c>
      <c r="AI42" s="29">
        <f t="shared" si="19"/>
        <v>2.5092550630944537E-4</v>
      </c>
      <c r="AJ42" s="29">
        <f t="shared" si="20"/>
        <v>1</v>
      </c>
      <c r="AM42" s="23"/>
      <c r="AO42" s="20" t="str">
        <f t="shared" si="39"/>
        <v>BALI_NT</v>
      </c>
      <c r="AP42" s="20">
        <f t="shared" si="40"/>
        <v>2033</v>
      </c>
      <c r="AQ42" s="25">
        <f t="shared" si="21"/>
        <v>0.28399999999999997</v>
      </c>
      <c r="AR42" s="25">
        <f t="shared" si="22"/>
        <v>0.31572726570860044</v>
      </c>
      <c r="AS42" s="25">
        <f t="shared" si="23"/>
        <v>0.14467273429139968</v>
      </c>
      <c r="AT42" s="37">
        <f t="shared" si="24"/>
        <v>0.25560000000000005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0.2848362274532803</v>
      </c>
      <c r="AZ42" s="25">
        <f t="shared" si="47"/>
        <v>0.25559999999999999</v>
      </c>
      <c r="BA42" s="24">
        <f t="shared" si="34"/>
        <v>1.0812362274532803</v>
      </c>
      <c r="BJ42" s="19"/>
      <c r="BK42" s="20" t="str">
        <f t="shared" si="44"/>
        <v>BALI_NT</v>
      </c>
      <c r="BL42" s="20">
        <f t="shared" si="45"/>
        <v>2033</v>
      </c>
      <c r="BM42" s="34">
        <f>proj_rukn!E56</f>
        <v>65034.713514388372</v>
      </c>
      <c r="BN42" s="30">
        <f t="shared" si="26"/>
        <v>74789.920541546628</v>
      </c>
      <c r="BO42" s="30">
        <f t="shared" si="35"/>
        <v>5170.5159710623657</v>
      </c>
      <c r="BQ42" s="30">
        <f t="shared" si="27"/>
        <v>29915.968216618654</v>
      </c>
      <c r="BR42" s="30">
        <f t="shared" si="36"/>
        <v>2789.0566839624316</v>
      </c>
      <c r="BS42" s="30"/>
      <c r="BT42" s="30">
        <f t="shared" si="28"/>
        <v>14957.984108309327</v>
      </c>
      <c r="BU42" s="30">
        <f t="shared" si="37"/>
        <v>2381.4592870999345</v>
      </c>
      <c r="BW42" s="30">
        <f t="shared" si="29"/>
        <v>0.75385408418199651</v>
      </c>
      <c r="BX42" s="30">
        <f t="shared" si="38"/>
        <v>0</v>
      </c>
      <c r="BZ42" s="24">
        <f t="shared" si="46"/>
        <v>9.5790976430020436E-2</v>
      </c>
      <c r="CA42" s="24">
        <f t="shared" si="30"/>
        <v>9.5790976430020436E-2</v>
      </c>
      <c r="CF42" s="23"/>
    </row>
    <row r="43" spans="1:84" x14ac:dyDescent="0.25">
      <c r="A43" s="19"/>
      <c r="B43" s="20" t="str">
        <f t="shared" si="31"/>
        <v>BALI_NT</v>
      </c>
      <c r="C43" s="20">
        <f t="shared" si="31"/>
        <v>2034</v>
      </c>
      <c r="D43" s="30">
        <f>(D19*(VLOOKUP(D$27,tech_data!$B$2:$O$15,6, FALSE)/100)*(1-(VLOOKUP(D$27,tech_data!$B$2:$O$15,7, FALSE)/100))*8760)/1000</f>
        <v>6004.6259972240487</v>
      </c>
      <c r="E43" s="30">
        <f>(E19*(VLOOKUP(E$27,tech_data!$B$2:$O$15,6, FALSE)/100)*(1-(VLOOKUP(E$27,tech_data!$B$2:$O$15,7, FALSE)/100))*8760)/1000</f>
        <v>4556.6262140405288</v>
      </c>
      <c r="F43" s="30">
        <f>(F19*(VLOOKUP(F$27,tech_data!$B$2:$O$15,6, FALSE)/100)*(1-(VLOOKUP(F$27,tech_data!$B$2:$O$15,7, FALSE)/100))*8760)/1000</f>
        <v>2312.47405045805</v>
      </c>
      <c r="G43" s="30">
        <f>(G19*(VLOOKUP(G$27,tech_data!$B$2:$O$15,6, FALSE)/100)*(1-(VLOOKUP(G$27,tech_data!$B$2:$O$15,7, FALSE)/100))*8760)/1000</f>
        <v>2908.6453229285908</v>
      </c>
      <c r="H43" s="30">
        <f>(H19*(VLOOKUP(H$27,tech_data!$B$2:$O$15,6, FALSE)/100)*(1-(VLOOKUP(H$27,tech_data!$B$2:$O$15,7, FALSE)/100))*8760)/1000</f>
        <v>1015.0303761206039</v>
      </c>
      <c r="I43" s="30">
        <f>(I19*(VLOOKUP(I$27,tech_data!$B$2:$O$15,6, FALSE)/100)*(1-(VLOOKUP(I$27,tech_data!$B$2:$O$15,7, FALSE)/100))*8760)/1000</f>
        <v>2279.9290015081747</v>
      </c>
      <c r="J43" s="30">
        <f>(J19*(VLOOKUP(J$27,tech_data!$B$2:$O$15,6, FALSE)/100)*(1-(VLOOKUP(J$27,tech_data!$B$2:$O$15,7, FALSE)/100))*8760)/1000</f>
        <v>94.705033846153867</v>
      </c>
      <c r="K43" s="30">
        <f>(K19*(VLOOKUP(K$27,tech_data!$B$2:$O$15,6, FALSE)/100)*(1-(VLOOKUP(K$27,tech_data!$B$2:$O$15,7, FALSE)/100))*8760)/1000</f>
        <v>554.26189867396806</v>
      </c>
      <c r="L43" s="30">
        <f>(L19*(VLOOKUP(L$27,tech_data!$B$2:$O$15,6, FALSE)/100)*(1-(VLOOKUP(L$27,tech_data!$B$2:$O$15,7, FALSE)/100))*8760)/1000</f>
        <v>0</v>
      </c>
      <c r="M43" s="30">
        <f>(M19*(VLOOKUP(M$27,tech_data!$B$2:$O$15,6, FALSE)/100)*(1-(VLOOKUP(M$27,tech_data!$B$2:$O$15,7, FALSE)/100))*8760)/1000</f>
        <v>1566.702087620941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5.3495122380546807</v>
      </c>
      <c r="Q43" s="34">
        <f t="shared" si="17"/>
        <v>21292.999982421061</v>
      </c>
      <c r="R43" s="34">
        <f>proj_rukn!D77</f>
        <v>21293</v>
      </c>
      <c r="S43" s="35"/>
      <c r="T43" s="19"/>
      <c r="U43" s="20" t="str">
        <f t="shared" si="18"/>
        <v>BALI_NT</v>
      </c>
      <c r="V43" s="20">
        <f t="shared" si="18"/>
        <v>2034</v>
      </c>
      <c r="W43" s="29">
        <f t="shared" si="19"/>
        <v>0.28200000010244258</v>
      </c>
      <c r="X43" s="29">
        <f t="shared" si="19"/>
        <v>0.21399644098071474</v>
      </c>
      <c r="Y43" s="29">
        <f t="shared" si="19"/>
        <v>0.10860254789682842</v>
      </c>
      <c r="Z43" s="29">
        <f t="shared" si="19"/>
        <v>0.13660101091109245</v>
      </c>
      <c r="AA43" s="29">
        <f t="shared" si="19"/>
        <v>4.7669674398092624E-2</v>
      </c>
      <c r="AB43" s="29">
        <f t="shared" si="19"/>
        <v>0.10707410902129451</v>
      </c>
      <c r="AC43" s="29">
        <f t="shared" si="19"/>
        <v>4.4477074120292982E-3</v>
      </c>
      <c r="AD43" s="29">
        <f t="shared" si="19"/>
        <v>2.603023994418598E-2</v>
      </c>
      <c r="AE43" s="29">
        <f t="shared" si="19"/>
        <v>0</v>
      </c>
      <c r="AF43" s="29">
        <f t="shared" si="19"/>
        <v>7.3578269333319346E-2</v>
      </c>
      <c r="AG43" s="29">
        <f t="shared" si="19"/>
        <v>0</v>
      </c>
      <c r="AH43" s="29">
        <f t="shared" si="19"/>
        <v>0</v>
      </c>
      <c r="AI43" s="29">
        <f t="shared" si="19"/>
        <v>2.5123337446442947E-4</v>
      </c>
      <c r="AJ43" s="29">
        <f t="shared" si="20"/>
        <v>1</v>
      </c>
      <c r="AM43" s="23"/>
      <c r="AO43" s="20" t="str">
        <f t="shared" si="39"/>
        <v>BALI_NT</v>
      </c>
      <c r="AP43" s="20">
        <f t="shared" si="40"/>
        <v>2034</v>
      </c>
      <c r="AQ43" s="25">
        <f t="shared" si="21"/>
        <v>0.28200000010244258</v>
      </c>
      <c r="AR43" s="25">
        <f t="shared" si="22"/>
        <v>0.32259898887754312</v>
      </c>
      <c r="AS43" s="25">
        <f t="shared" si="23"/>
        <v>0.13660101091109245</v>
      </c>
      <c r="AT43" s="37">
        <f t="shared" si="24"/>
        <v>0.25880000010892174</v>
      </c>
      <c r="AU43" s="24">
        <f t="shared" si="32"/>
        <v>0.99999999999999978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0.27913950290421469</v>
      </c>
      <c r="AZ43" s="25">
        <f t="shared" si="47"/>
        <v>0.25880000000000003</v>
      </c>
      <c r="BA43" s="24">
        <f t="shared" si="34"/>
        <v>1.0813395029042145</v>
      </c>
      <c r="BJ43" s="19"/>
      <c r="BK43" s="20" t="str">
        <f t="shared" si="44"/>
        <v>BALI_NT</v>
      </c>
      <c r="BL43" s="20">
        <f t="shared" si="45"/>
        <v>2034</v>
      </c>
      <c r="BM43" s="34">
        <f>proj_rukn!E57</f>
        <v>68719.206126138321</v>
      </c>
      <c r="BN43" s="30">
        <f t="shared" si="26"/>
        <v>79027.087045059059</v>
      </c>
      <c r="BO43" s="30">
        <f t="shared" si="35"/>
        <v>5478.973893120813</v>
      </c>
      <c r="BQ43" s="30">
        <f t="shared" si="27"/>
        <v>31610.834818023624</v>
      </c>
      <c r="BR43" s="30">
        <f t="shared" si="36"/>
        <v>2857.571799285653</v>
      </c>
      <c r="BS43" s="30"/>
      <c r="BT43" s="30">
        <f t="shared" si="28"/>
        <v>15805.417409011812</v>
      </c>
      <c r="BU43" s="30">
        <f t="shared" si="37"/>
        <v>2621.4020938351596</v>
      </c>
      <c r="BW43" s="30">
        <f t="shared" si="29"/>
        <v>0.80728684102904236</v>
      </c>
      <c r="BX43" s="30">
        <f t="shared" si="38"/>
        <v>0</v>
      </c>
      <c r="BZ43" s="24">
        <f t="shared" si="46"/>
        <v>0.10058052525152146</v>
      </c>
      <c r="CA43" s="24">
        <f t="shared" si="30"/>
        <v>0.10058052524432215</v>
      </c>
      <c r="CF43" s="23"/>
    </row>
    <row r="44" spans="1:84" x14ac:dyDescent="0.25">
      <c r="A44" s="19"/>
      <c r="B44" s="20" t="str">
        <f t="shared" si="31"/>
        <v>BALI_NT</v>
      </c>
      <c r="C44" s="20">
        <f t="shared" si="31"/>
        <v>2035</v>
      </c>
      <c r="D44" s="30">
        <f>(D20*(VLOOKUP(D$27,tech_data!$B$2:$O$15,6, FALSE)/100)*(1-(VLOOKUP(D$27,tech_data!$B$2:$O$15,7, FALSE)/100))*8760)/1000</f>
        <v>6284.8799966459128</v>
      </c>
      <c r="E44" s="30">
        <f>(E20*(VLOOKUP(E$27,tech_data!$B$2:$O$15,6, FALSE)/100)*(1-(VLOOKUP(E$27,tech_data!$B$2:$O$15,7, FALSE)/100))*8760)/1000</f>
        <v>4556.6262110511443</v>
      </c>
      <c r="F44" s="30">
        <f>(F20*(VLOOKUP(F$27,tech_data!$B$2:$O$15,6, FALSE)/100)*(1-(VLOOKUP(F$27,tech_data!$B$2:$O$15,7, FALSE)/100))*8760)/1000</f>
        <v>2814.9964660381015</v>
      </c>
      <c r="G44" s="30">
        <f>(G20*(VLOOKUP(G$27,tech_data!$B$2:$O$15,6, FALSE)/100)*(1-(VLOOKUP(G$27,tech_data!$B$2:$O$15,7, FALSE)/100))*8760)/1000</f>
        <v>2908.6453229285908</v>
      </c>
      <c r="H44" s="30">
        <f>(H20*(VLOOKUP(H$27,tech_data!$B$2:$O$15,6, FALSE)/100)*(1-(VLOOKUP(H$27,tech_data!$B$2:$O$15,7, FALSE)/100))*8760)/1000</f>
        <v>1047.5013077356809</v>
      </c>
      <c r="I44" s="30">
        <f>(I20*(VLOOKUP(I$27,tech_data!$B$2:$O$15,6, FALSE)/100)*(1-(VLOOKUP(I$27,tech_data!$B$2:$O$15,7, FALSE)/100))*8760)/1000</f>
        <v>2541.2290601387031</v>
      </c>
      <c r="J44" s="30">
        <f>(J20*(VLOOKUP(J$27,tech_data!$B$2:$O$15,6, FALSE)/100)*(1-(VLOOKUP(J$27,tech_data!$B$2:$O$15,7, FALSE)/100))*8760)/1000</f>
        <v>94.705033846153867</v>
      </c>
      <c r="K44" s="30">
        <f>(K20*(VLOOKUP(K$27,tech_data!$B$2:$O$15,6, FALSE)/100)*(1-(VLOOKUP(K$27,tech_data!$B$2:$O$15,7, FALSE)/100))*8760)/1000</f>
        <v>621.07414288402788</v>
      </c>
      <c r="L44" s="30">
        <f>(L20*(VLOOKUP(L$27,tech_data!$B$2:$O$15,6, FALSE)/100)*(1-(VLOOKUP(L$27,tech_data!$B$2:$O$15,7, FALSE)/100))*8760)/1000</f>
        <v>0</v>
      </c>
      <c r="M44" s="30">
        <f>(M20*(VLOOKUP(M$27,tech_data!$B$2:$O$15,6, FALSE)/100)*(1-(VLOOKUP(M$27,tech_data!$B$2:$O$15,7, FALSE)/100))*8760)/1000</f>
        <v>1576.3424630412396</v>
      </c>
      <c r="N44" s="30">
        <f>(N20*(VLOOKUP(N$27,tech_data!$B$2:$O$15,6, FALSE)/100)*(1-(VLOOKUP(N$27,tech_data!$B$2:$O$15,7, FALSE)/100))*8760)/1000</f>
        <v>-9.9999999998350272E-7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5.6465121828289506</v>
      </c>
      <c r="Q44" s="34">
        <f t="shared" si="17"/>
        <v>22446.000003309553</v>
      </c>
      <c r="R44" s="34">
        <f>proj_rukn!D78</f>
        <v>22446</v>
      </c>
      <c r="S44" s="35"/>
      <c r="T44" s="19"/>
      <c r="U44" s="20" t="str">
        <f t="shared" si="18"/>
        <v>BALI_NT</v>
      </c>
      <c r="V44" s="20">
        <f t="shared" si="18"/>
        <v>2035</v>
      </c>
      <c r="W44" s="29">
        <f t="shared" si="19"/>
        <v>0.27999999980928619</v>
      </c>
      <c r="X44" s="29">
        <f t="shared" si="19"/>
        <v>0.20300392989304517</v>
      </c>
      <c r="Y44" s="29">
        <f t="shared" si="19"/>
        <v>0.12541194269014719</v>
      </c>
      <c r="Z44" s="29">
        <f t="shared" si="19"/>
        <v>0.12958412735007241</v>
      </c>
      <c r="AA44" s="29">
        <f t="shared" si="19"/>
        <v>4.6667615948553509E-2</v>
      </c>
      <c r="AB44" s="29">
        <f t="shared" si="19"/>
        <v>0.11321523032005752</v>
      </c>
      <c r="AC44" s="29">
        <f t="shared" si="19"/>
        <v>4.2192387878548553E-3</v>
      </c>
      <c r="AD44" s="29">
        <f t="shared" si="19"/>
        <v>2.7669702521271208E-2</v>
      </c>
      <c r="AE44" s="29">
        <f t="shared" si="19"/>
        <v>0</v>
      </c>
      <c r="AF44" s="29">
        <f t="shared" si="19"/>
        <v>7.022821272426337E-2</v>
      </c>
      <c r="AG44" s="29">
        <f t="shared" si="19"/>
        <v>-4.4551367719685362E-11</v>
      </c>
      <c r="AH44" s="29">
        <f t="shared" si="19"/>
        <v>0</v>
      </c>
      <c r="AI44" s="29">
        <f t="shared" si="19"/>
        <v>2.5155984059504588E-4</v>
      </c>
      <c r="AJ44" s="29">
        <f t="shared" si="20"/>
        <v>1</v>
      </c>
      <c r="AM44" s="23"/>
      <c r="AO44" s="20" t="str">
        <f t="shared" si="39"/>
        <v>BALI_NT</v>
      </c>
      <c r="AP44" s="20">
        <f t="shared" si="40"/>
        <v>2035</v>
      </c>
      <c r="AQ44" s="25">
        <f t="shared" si="21"/>
        <v>0.27999999980928619</v>
      </c>
      <c r="AR44" s="25">
        <f t="shared" si="22"/>
        <v>0.32841587258319238</v>
      </c>
      <c r="AS44" s="25">
        <f t="shared" si="23"/>
        <v>0.12958412735007241</v>
      </c>
      <c r="AT44" s="37">
        <f t="shared" si="24"/>
        <v>0.26200000025744902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0.27355671284613037</v>
      </c>
      <c r="AZ44" s="25">
        <f t="shared" si="47"/>
        <v>0.26200000000000001</v>
      </c>
      <c r="BA44" s="24">
        <f t="shared" si="34"/>
        <v>1.0815567128461305</v>
      </c>
      <c r="BJ44" s="19"/>
      <c r="BK44" s="20" t="str">
        <f t="shared" si="44"/>
        <v>BALI_NT</v>
      </c>
      <c r="BL44" s="20">
        <f t="shared" si="45"/>
        <v>2035</v>
      </c>
      <c r="BM44" s="34">
        <f>proj_rukn!E58</f>
        <v>72612.440886080192</v>
      </c>
      <c r="BN44" s="30">
        <f t="shared" si="26"/>
        <v>83504.307018992215</v>
      </c>
      <c r="BO44" s="30">
        <f t="shared" si="35"/>
        <v>5786.1571072956986</v>
      </c>
      <c r="BQ44" s="30">
        <f t="shared" si="27"/>
        <v>33401.722807596889</v>
      </c>
      <c r="BR44" s="30">
        <f t="shared" si="36"/>
        <v>3105.8108499409436</v>
      </c>
      <c r="BS44" s="30"/>
      <c r="BT44" s="30">
        <f t="shared" si="28"/>
        <v>16700.861403798444</v>
      </c>
      <c r="BU44" s="30">
        <f t="shared" si="37"/>
        <v>2680.3462573547549</v>
      </c>
      <c r="BW44" s="30">
        <f t="shared" si="29"/>
        <v>0.85930848633465184</v>
      </c>
      <c r="BX44" s="30">
        <f t="shared" si="38"/>
        <v>-3.3184666028973631E-7</v>
      </c>
      <c r="BZ44" s="24">
        <f t="shared" si="46"/>
        <v>0.10560955151409754</v>
      </c>
      <c r="CA44" s="24">
        <f t="shared" si="30"/>
        <v>0.10560955150413026</v>
      </c>
      <c r="CF44" s="23"/>
    </row>
    <row r="45" spans="1:84" x14ac:dyDescent="0.25">
      <c r="A45" s="19"/>
      <c r="B45" s="20" t="str">
        <f t="shared" ref="B45:C47" si="50">B21</f>
        <v>BALI_NT</v>
      </c>
      <c r="C45" s="20">
        <f t="shared" si="50"/>
        <v>2036</v>
      </c>
      <c r="D45" s="30">
        <f>(D21*(VLOOKUP(D$27,tech_data!$B$2:$O$15,6, FALSE)/100)*(1-(VLOOKUP(D$27,tech_data!$B$2:$O$15,7, FALSE)/100))*8760)/1000</f>
        <v>6581.9280001824955</v>
      </c>
      <c r="E45" s="30">
        <f>(E21*(VLOOKUP(E$27,tech_data!$B$2:$O$15,6, FALSE)/100)*(1-(VLOOKUP(E$27,tech_data!$B$2:$O$15,7, FALSE)/100))*8760)/1000</f>
        <v>5091.5550071652933</v>
      </c>
      <c r="F45" s="30">
        <f>(F21*(VLOOKUP(F$27,tech_data!$B$2:$O$15,6, FALSE)/100)*(1-(VLOOKUP(F$27,tech_data!$B$2:$O$15,7, FALSE)/100))*8760)/1000</f>
        <v>2814.9964660381015</v>
      </c>
      <c r="G45" s="30">
        <f>(G21*(VLOOKUP(G$27,tech_data!$B$2:$O$15,6, FALSE)/100)*(1-(VLOOKUP(G$27,tech_data!$B$2:$O$15,7, FALSE)/100))*8760)/1000</f>
        <v>2908.6453229285908</v>
      </c>
      <c r="H45" s="30">
        <f>(H21*(VLOOKUP(H$27,tech_data!$B$2:$O$15,6, FALSE)/100)*(1-(VLOOKUP(H$27,tech_data!$B$2:$O$15,7, FALSE)/100))*8760)/1000</f>
        <v>1234.8637678815467</v>
      </c>
      <c r="I45" s="30">
        <f>(I21*(VLOOKUP(I$27,tech_data!$B$2:$O$15,6, FALSE)/100)*(1-(VLOOKUP(I$27,tech_data!$B$2:$O$15,7, FALSE)/100))*8760)/1000</f>
        <v>2671.8790894539666</v>
      </c>
      <c r="J45" s="30">
        <f>(J21*(VLOOKUP(J$27,tech_data!$B$2:$O$15,6, FALSE)/100)*(1-(VLOOKUP(J$27,tech_data!$B$2:$O$15,7, FALSE)/100))*8760)/1000</f>
        <v>94.705033846153867</v>
      </c>
      <c r="K45" s="30">
        <f>(K21*(VLOOKUP(K$27,tech_data!$B$2:$O$15,6, FALSE)/100)*(1-(VLOOKUP(K$27,tech_data!$B$2:$O$15,7, FALSE)/100))*8760)/1000</f>
        <v>696.26465301953135</v>
      </c>
      <c r="L45" s="30">
        <f>(L21*(VLOOKUP(L$27,tech_data!$B$2:$O$15,6, FALSE)/100)*(1-(VLOOKUP(L$27,tech_data!$B$2:$O$15,7, FALSE)/100))*8760)/1000</f>
        <v>0</v>
      </c>
      <c r="M45" s="30">
        <f>(M21*(VLOOKUP(M$27,tech_data!$B$2:$O$15,6, FALSE)/100)*(1-(VLOOKUP(M$27,tech_data!$B$2:$O$15,7, FALSE)/100))*8760)/1000</f>
        <v>1581.162650751389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5.9641263317278739</v>
      </c>
      <c r="Q45" s="34">
        <f t="shared" si="17"/>
        <v>23675.999991267068</v>
      </c>
      <c r="R45" s="34">
        <f>proj_rukn!D79</f>
        <v>23676</v>
      </c>
      <c r="S45" s="35"/>
      <c r="T45" s="19"/>
      <c r="U45" s="20" t="str">
        <f t="shared" si="18"/>
        <v>BALI_NT</v>
      </c>
      <c r="V45" s="20">
        <f t="shared" si="18"/>
        <v>2036</v>
      </c>
      <c r="W45" s="29">
        <f t="shared" si="19"/>
        <v>0.27800000011024878</v>
      </c>
      <c r="X45" s="29">
        <f t="shared" si="19"/>
        <v>0.2150513181721288</v>
      </c>
      <c r="Y45" s="29">
        <f t="shared" si="19"/>
        <v>0.11889662388395074</v>
      </c>
      <c r="Z45" s="29">
        <f t="shared" si="19"/>
        <v>0.12285205794903908</v>
      </c>
      <c r="AA45" s="29">
        <f t="shared" si="19"/>
        <v>5.2156773455694722E-2</v>
      </c>
      <c r="AB45" s="29">
        <f t="shared" si="19"/>
        <v>0.11285179466292844</v>
      </c>
      <c r="AC45" s="29">
        <f t="shared" si="19"/>
        <v>4.0000436678951671E-3</v>
      </c>
      <c r="AD45" s="29">
        <f t="shared" si="19"/>
        <v>2.9408035701822509E-2</v>
      </c>
      <c r="AE45" s="29">
        <f t="shared" si="19"/>
        <v>0</v>
      </c>
      <c r="AF45" s="29">
        <f t="shared" si="19"/>
        <v>6.6783352396291754E-2</v>
      </c>
      <c r="AG45" s="29">
        <f t="shared" si="19"/>
        <v>0</v>
      </c>
      <c r="AH45" s="29">
        <f t="shared" si="19"/>
        <v>0</v>
      </c>
      <c r="AI45" s="29">
        <f t="shared" si="19"/>
        <v>2.5190599484405102E-4</v>
      </c>
      <c r="AJ45" s="29">
        <f t="shared" si="20"/>
        <v>0.99999999999999989</v>
      </c>
      <c r="AM45" s="23"/>
      <c r="AO45" s="20" t="str">
        <f t="shared" si="39"/>
        <v>BALI_NT</v>
      </c>
      <c r="AP45" s="20">
        <f t="shared" si="40"/>
        <v>2036</v>
      </c>
      <c r="AQ45" s="25">
        <f t="shared" si="21"/>
        <v>0.27800000011024878</v>
      </c>
      <c r="AR45" s="25">
        <f t="shared" si="22"/>
        <v>0.33394794205607958</v>
      </c>
      <c r="AS45" s="25">
        <f t="shared" si="23"/>
        <v>0.12285205794903908</v>
      </c>
      <c r="AT45" s="37">
        <f t="shared" si="24"/>
        <v>0.26519999988463261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0.26808557858920773</v>
      </c>
      <c r="AZ45" s="25">
        <f t="shared" si="47"/>
        <v>0.26519999999999999</v>
      </c>
      <c r="BA45" s="24">
        <f t="shared" si="34"/>
        <v>1.0818855785892079</v>
      </c>
      <c r="BJ45" s="19"/>
      <c r="BK45" s="20" t="str">
        <f t="shared" si="44"/>
        <v>BALI_NT</v>
      </c>
      <c r="BL45" s="20">
        <f t="shared" si="45"/>
        <v>2036</v>
      </c>
      <c r="BM45" s="34">
        <f>proj_rukn!E59</f>
        <v>76726.243923079834</v>
      </c>
      <c r="BN45" s="30">
        <f t="shared" si="26"/>
        <v>88235.180511541796</v>
      </c>
      <c r="BO45" s="30">
        <f t="shared" si="35"/>
        <v>6086.68052084789</v>
      </c>
      <c r="BQ45" s="30">
        <f t="shared" si="27"/>
        <v>35294.072204616721</v>
      </c>
      <c r="BR45" s="30">
        <f t="shared" si="36"/>
        <v>3197.8717997009635</v>
      </c>
      <c r="BS45" s="30"/>
      <c r="BT45" s="30">
        <f t="shared" si="28"/>
        <v>17647.036102308361</v>
      </c>
      <c r="BU45" s="30">
        <f t="shared" si="37"/>
        <v>2888.8087211469265</v>
      </c>
      <c r="BW45" s="30">
        <f t="shared" si="29"/>
        <v>0.90986187964695642</v>
      </c>
      <c r="BX45" s="30">
        <f t="shared" si="38"/>
        <v>0</v>
      </c>
      <c r="BZ45" s="24">
        <f t="shared" si="46"/>
        <v>0.11089002908980242</v>
      </c>
      <c r="CA45" s="24">
        <f t="shared" si="30"/>
        <v>0.11089002908980243</v>
      </c>
      <c r="CF45" s="23"/>
    </row>
    <row r="46" spans="1:84" x14ac:dyDescent="0.25">
      <c r="A46" s="19"/>
      <c r="B46" s="20" t="str">
        <f t="shared" si="50"/>
        <v>BALI_NT</v>
      </c>
      <c r="C46" s="20">
        <f t="shared" si="50"/>
        <v>2037</v>
      </c>
      <c r="D46" s="30">
        <f>(D22*(VLOOKUP(D$27,tech_data!$B$2:$O$15,6, FALSE)/100)*(1-(VLOOKUP(D$27,tech_data!$B$2:$O$15,7, FALSE)/100))*8760)/1000</f>
        <v>6894.2039999999988</v>
      </c>
      <c r="E46" s="30">
        <f>(E22*(VLOOKUP(E$27,tech_data!$B$2:$O$15,6, FALSE)/100)*(1-(VLOOKUP(E$27,tech_data!$B$2:$O$15,7, FALSE)/100))*8760)/1000</f>
        <v>5091.5550071652933</v>
      </c>
      <c r="F46" s="30">
        <f>(F22*(VLOOKUP(F$27,tech_data!$B$2:$O$15,6, FALSE)/100)*(1-(VLOOKUP(F$27,tech_data!$B$2:$O$15,7, FALSE)/100))*8760)/1000</f>
        <v>3380.2320749033629</v>
      </c>
      <c r="G46" s="30">
        <f>(G22*(VLOOKUP(G$27,tech_data!$B$2:$O$15,6, FALSE)/100)*(1-(VLOOKUP(G$27,tech_data!$B$2:$O$15,7, FALSE)/100))*8760)/1000</f>
        <v>2908.6453179313476</v>
      </c>
      <c r="H46" s="30">
        <f>(H22*(VLOOKUP(H$27,tech_data!$B$2:$O$15,6, FALSE)/100)*(1-(VLOOKUP(H$27,tech_data!$B$2:$O$15,7, FALSE)/100))*8760)/1000</f>
        <v>1508.26228907154</v>
      </c>
      <c r="I46" s="30">
        <f>(I22*(VLOOKUP(I$27,tech_data!$B$2:$O$15,6, FALSE)/100)*(1-(VLOOKUP(I$27,tech_data!$B$2:$O$15,7, FALSE)/100))*8760)/1000</f>
        <v>2737.2041041115986</v>
      </c>
      <c r="J46" s="30">
        <f>(J22*(VLOOKUP(J$27,tech_data!$B$2:$O$15,6, FALSE)/100)*(1-(VLOOKUP(J$27,tech_data!$B$2:$O$15,7, FALSE)/100))*8760)/1000</f>
        <v>94.705033846153867</v>
      </c>
      <c r="K46" s="30">
        <f>(K22*(VLOOKUP(K$27,tech_data!$B$2:$O$15,6, FALSE)/100)*(1-(VLOOKUP(K$27,tech_data!$B$2:$O$15,7, FALSE)/100))*8760)/1000</f>
        <v>780.61942836424282</v>
      </c>
      <c r="L46" s="30">
        <f>(L22*(VLOOKUP(L$27,tech_data!$B$2:$O$15,6, FALSE)/100)*(1-(VLOOKUP(L$27,tech_data!$B$2:$O$15,7, FALSE)/100))*8760)/1000</f>
        <v>0</v>
      </c>
      <c r="M46" s="30">
        <f>(M22*(VLOOKUP(M$27,tech_data!$B$2:$O$15,6, FALSE)/100)*(1-(VLOOKUP(M$27,tech_data!$B$2:$O$15,7, FALSE)/100))*8760)/1000</f>
        <v>1583.5727446064636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6.3015270134911407</v>
      </c>
      <c r="Q46" s="34">
        <f t="shared" si="17"/>
        <v>24979</v>
      </c>
      <c r="R46" s="34">
        <f>proj_rukn!D80</f>
        <v>24979</v>
      </c>
      <c r="S46" s="35"/>
      <c r="T46" s="19"/>
      <c r="U46" s="20" t="str">
        <f t="shared" si="18"/>
        <v>BALI_NT</v>
      </c>
      <c r="V46" s="20">
        <f t="shared" si="18"/>
        <v>2037</v>
      </c>
      <c r="W46" s="29">
        <f t="shared" si="19"/>
        <v>0.27599999999999997</v>
      </c>
      <c r="X46" s="29">
        <f t="shared" si="19"/>
        <v>0.20383342035971388</v>
      </c>
      <c r="Y46" s="29">
        <f t="shared" si="19"/>
        <v>0.13532295427772781</v>
      </c>
      <c r="Z46" s="29">
        <f t="shared" si="19"/>
        <v>0.11644362536255845</v>
      </c>
      <c r="AA46" s="29">
        <f t="shared" si="19"/>
        <v>6.0381211780757435E-2</v>
      </c>
      <c r="AB46" s="29">
        <f t="shared" si="19"/>
        <v>0.10958021154215936</v>
      </c>
      <c r="AC46" s="29">
        <f t="shared" si="19"/>
        <v>3.7913861181854305E-3</v>
      </c>
      <c r="AD46" s="29">
        <f t="shared" si="19"/>
        <v>3.1251027998088106E-2</v>
      </c>
      <c r="AE46" s="29">
        <f t="shared" si="19"/>
        <v>0</v>
      </c>
      <c r="AF46" s="29">
        <f t="shared" si="19"/>
        <v>6.3396162560809627E-2</v>
      </c>
      <c r="AG46" s="29">
        <f t="shared" si="19"/>
        <v>0</v>
      </c>
      <c r="AH46" s="29">
        <f t="shared" si="19"/>
        <v>0</v>
      </c>
      <c r="AI46" s="29">
        <f t="shared" si="19"/>
        <v>2.5227298985112056E-4</v>
      </c>
      <c r="AJ46" s="29">
        <f t="shared" si="20"/>
        <v>1</v>
      </c>
      <c r="AM46" s="23"/>
      <c r="AO46" s="20" t="str">
        <f t="shared" si="39"/>
        <v>BALI_NT</v>
      </c>
      <c r="AP46" s="20">
        <f t="shared" si="40"/>
        <v>2037</v>
      </c>
      <c r="AQ46" s="25">
        <f t="shared" si="21"/>
        <v>0.27599999999999997</v>
      </c>
      <c r="AR46" s="25">
        <f t="shared" si="22"/>
        <v>0.33915637463744169</v>
      </c>
      <c r="AS46" s="25">
        <f t="shared" si="23"/>
        <v>0.11644362536255845</v>
      </c>
      <c r="AT46" s="37">
        <f t="shared" si="24"/>
        <v>0.26839999999999997</v>
      </c>
      <c r="AU46" s="24">
        <f t="shared" si="32"/>
        <v>1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0.26272386701742356</v>
      </c>
      <c r="AZ46" s="25">
        <f t="shared" si="47"/>
        <v>0.26840000000000003</v>
      </c>
      <c r="BA46" s="24">
        <f t="shared" si="34"/>
        <v>1.0823238670174236</v>
      </c>
      <c r="BJ46" s="19"/>
      <c r="BK46" s="20" t="str">
        <f t="shared" si="44"/>
        <v>BALI_NT</v>
      </c>
      <c r="BL46" s="20">
        <f t="shared" si="45"/>
        <v>2037</v>
      </c>
      <c r="BM46" s="34">
        <f>proj_rukn!E60</f>
        <v>81073.111366408659</v>
      </c>
      <c r="BN46" s="30">
        <f t="shared" si="26"/>
        <v>93234.07807136995</v>
      </c>
      <c r="BO46" s="30">
        <f t="shared" si="35"/>
        <v>6413.2268827795588</v>
      </c>
      <c r="BQ46" s="30">
        <f t="shared" si="27"/>
        <v>37293.63122854798</v>
      </c>
      <c r="BR46" s="30">
        <f t="shared" si="36"/>
        <v>3509.6081382804878</v>
      </c>
      <c r="BS46" s="30"/>
      <c r="BT46" s="30">
        <f t="shared" si="28"/>
        <v>18646.81561427399</v>
      </c>
      <c r="BU46" s="30">
        <f t="shared" si="37"/>
        <v>2903.6187444990719</v>
      </c>
      <c r="BW46" s="30">
        <f t="shared" si="29"/>
        <v>0.96169527680025135</v>
      </c>
      <c r="BX46" s="30">
        <f t="shared" si="38"/>
        <v>0</v>
      </c>
      <c r="BZ46" s="24">
        <f t="shared" si="46"/>
        <v>0.11643453054429254</v>
      </c>
      <c r="CA46" s="24">
        <f t="shared" si="30"/>
        <v>0.11643453054429252</v>
      </c>
      <c r="CF46" s="23"/>
    </row>
    <row r="47" spans="1:84" x14ac:dyDescent="0.25">
      <c r="A47" s="19"/>
      <c r="B47" s="20" t="str">
        <f t="shared" si="50"/>
        <v>BALI_NT</v>
      </c>
      <c r="C47" s="20">
        <f t="shared" si="50"/>
        <v>2038</v>
      </c>
      <c r="D47" s="30">
        <f>(D23*(VLOOKUP(D$27,tech_data!$B$2:$O$15,6, FALSE)/100)*(1-(VLOOKUP(D$27,tech_data!$B$2:$O$15,7, FALSE)/100))*8760)/1000</f>
        <v>7262.0960000000023</v>
      </c>
      <c r="E47" s="30">
        <f>(E23*(VLOOKUP(E$27,tech_data!$B$2:$O$15,6, FALSE)/100)*(1-(VLOOKUP(E$27,tech_data!$B$2:$O$15,7, FALSE)/100))*8760)/1000</f>
        <v>5754.5402121625302</v>
      </c>
      <c r="F47" s="30">
        <f>(F23*(VLOOKUP(F$27,tech_data!$B$2:$O$15,6, FALSE)/100)*(1-(VLOOKUP(F$27,tech_data!$B$2:$O$15,7, FALSE)/100))*8760)/1000</f>
        <v>3380.2320749033629</v>
      </c>
      <c r="G47" s="30">
        <f>(G23*(VLOOKUP(G$27,tech_data!$B$2:$O$15,6, FALSE)/100)*(1-(VLOOKUP(G$27,tech_data!$B$2:$O$15,7, FALSE)/100))*8760)/1000</f>
        <v>2908.6453129341048</v>
      </c>
      <c r="H47" s="30">
        <f>(H23*(VLOOKUP(H$27,tech_data!$B$2:$O$15,6, FALSE)/100)*(1-(VLOOKUP(H$27,tech_data!$B$2:$O$15,7, FALSE)/100))*8760)/1000</f>
        <v>1869.0769593352832</v>
      </c>
      <c r="I47" s="30">
        <f>(I23*(VLOOKUP(I$27,tech_data!$B$2:$O$15,6, FALSE)/100)*(1-(VLOOKUP(I$27,tech_data!$B$2:$O$15,7, FALSE)/100))*8760)/1000</f>
        <v>2769.8666114404145</v>
      </c>
      <c r="J47" s="30">
        <f>(J23*(VLOOKUP(J$27,tech_data!$B$2:$O$15,6, FALSE)/100)*(1-(VLOOKUP(J$27,tech_data!$B$2:$O$15,7, FALSE)/100))*8760)/1000</f>
        <v>94.705033846153867</v>
      </c>
      <c r="K47" s="30">
        <f>(K23*(VLOOKUP(K$27,tech_data!$B$2:$O$15,6, FALSE)/100)*(1-(VLOOKUP(K$27,tech_data!$B$2:$O$15,7, FALSE)/100))*8760)/1000</f>
        <v>880.06000384414835</v>
      </c>
      <c r="L47" s="30">
        <f>(L23*(VLOOKUP(L$27,tech_data!$B$2:$O$15,6, FALSE)/100)*(1-(VLOOKUP(L$27,tech_data!$B$2:$O$15,7, FALSE)/100))*8760)/1000</f>
        <v>0</v>
      </c>
      <c r="M47" s="30">
        <f>(M23*(VLOOKUP(M$27,tech_data!$B$2:$O$15,6, FALSE)/100)*(1-(VLOOKUP(M$27,tech_data!$B$2:$O$15,7, FALSE)/100))*8760)/1000</f>
        <v>1584.7777915340012</v>
      </c>
      <c r="N47" s="30">
        <f>(N23*(VLOOKUP(N$27,tech_data!$B$2:$O$15,6, FALSE)/100)*(1-(VLOOKUP(N$27,tech_data!$B$2:$O$15,7, FALSE)/100))*8760)/1000</f>
        <v>3.5267823192441815E-14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6.6965548221978457</v>
      </c>
      <c r="Q47" s="34">
        <f t="shared" si="17"/>
        <v>26504</v>
      </c>
      <c r="R47" s="34">
        <f>proj_rukn!D81</f>
        <v>26504</v>
      </c>
      <c r="S47" s="35"/>
      <c r="T47" s="19"/>
      <c r="U47" s="20" t="str">
        <f t="shared" si="18"/>
        <v>BALI_NT</v>
      </c>
      <c r="V47" s="20">
        <f t="shared" si="18"/>
        <v>2038</v>
      </c>
      <c r="W47" s="29">
        <f t="shared" si="19"/>
        <v>0.27400000000000008</v>
      </c>
      <c r="X47" s="29">
        <f t="shared" si="19"/>
        <v>0.21711968805321952</v>
      </c>
      <c r="Y47" s="29">
        <f t="shared" si="19"/>
        <v>0.12753667653574416</v>
      </c>
      <c r="Z47" s="29">
        <f t="shared" si="19"/>
        <v>0.10974363541103625</v>
      </c>
      <c r="AA47" s="29">
        <f t="shared" si="19"/>
        <v>7.0520561399610743E-2</v>
      </c>
      <c r="AB47" s="29">
        <f t="shared" si="19"/>
        <v>0.1045074936402209</v>
      </c>
      <c r="AC47" s="29">
        <f t="shared" si="19"/>
        <v>3.5732355058162493E-3</v>
      </c>
      <c r="AD47" s="29">
        <f t="shared" si="19"/>
        <v>3.320479942062135E-2</v>
      </c>
      <c r="AE47" s="29">
        <f t="shared" ref="AE47:AI47" si="51">L47/$Q47</f>
        <v>0</v>
      </c>
      <c r="AF47" s="29">
        <f t="shared" si="51"/>
        <v>5.9793910033730802E-2</v>
      </c>
      <c r="AG47" s="29">
        <f t="shared" si="51"/>
        <v>1.3306603981452541E-18</v>
      </c>
      <c r="AH47" s="29">
        <f t="shared" si="51"/>
        <v>0</v>
      </c>
      <c r="AI47" s="29">
        <f t="shared" si="51"/>
        <v>2.5266204430266545E-4</v>
      </c>
      <c r="AJ47" s="29">
        <f t="shared" si="20"/>
        <v>1</v>
      </c>
      <c r="AM47" s="23"/>
      <c r="AO47" s="20" t="str">
        <f t="shared" si="39"/>
        <v>BALI_NT</v>
      </c>
      <c r="AP47" s="20">
        <f t="shared" si="40"/>
        <v>2038</v>
      </c>
      <c r="AQ47" s="25">
        <f t="shared" si="21"/>
        <v>0.27400000000000008</v>
      </c>
      <c r="AR47" s="25">
        <f t="shared" si="22"/>
        <v>0.34465636458896365</v>
      </c>
      <c r="AS47" s="25">
        <f t="shared" si="23"/>
        <v>0.10974363541103625</v>
      </c>
      <c r="AT47" s="37">
        <f t="shared" si="24"/>
        <v>0.27160000000000001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0.25746938967707511</v>
      </c>
      <c r="AZ47" s="25">
        <f t="shared" si="47"/>
        <v>0.27160000000000001</v>
      </c>
      <c r="BA47" s="24">
        <f t="shared" si="34"/>
        <v>1.0828693896770751</v>
      </c>
      <c r="BJ47" s="19"/>
      <c r="BK47" s="20" t="str">
        <f t="shared" si="44"/>
        <v>BALI_NT</v>
      </c>
      <c r="BL47" s="20">
        <f t="shared" si="45"/>
        <v>2038</v>
      </c>
      <c r="BM47" s="34">
        <f>proj_rukn!E61</f>
        <v>85666.247304111006</v>
      </c>
      <c r="BN47" s="30">
        <f t="shared" si="26"/>
        <v>98516.184399727645</v>
      </c>
      <c r="BO47" s="30">
        <f t="shared" si="35"/>
        <v>6774.4281317159757</v>
      </c>
      <c r="BQ47" s="30">
        <f t="shared" si="27"/>
        <v>39406.473759891058</v>
      </c>
      <c r="BR47" s="30">
        <f t="shared" si="36"/>
        <v>3641.5608492406532</v>
      </c>
      <c r="BS47" s="30"/>
      <c r="BT47" s="30">
        <f t="shared" si="28"/>
        <v>19703.236879945529</v>
      </c>
      <c r="BU47" s="30">
        <f t="shared" si="37"/>
        <v>3132.8672824753226</v>
      </c>
      <c r="BW47" s="30">
        <f t="shared" si="29"/>
        <v>1.0204445103906727</v>
      </c>
      <c r="BX47" s="30">
        <f t="shared" si="38"/>
        <v>1.1703509342293799E-14</v>
      </c>
      <c r="BZ47" s="24">
        <f t="shared" si="46"/>
        <v>0.12225625707150717</v>
      </c>
      <c r="CA47" s="24">
        <f t="shared" si="30"/>
        <v>0.12225625707150718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BALI_NT</v>
      </c>
      <c r="C52" s="20">
        <f t="shared" si="52"/>
        <v>2019</v>
      </c>
      <c r="D52" s="30">
        <f>(bali_nt!D28*3.6/(VLOOKUP(D$51,tech_data!$B$2:$J$15,4,FALSE)/100))/1000</f>
        <v>23.44676117462069</v>
      </c>
      <c r="E52" s="30">
        <f>(bali_nt!E28*3.6/(VLOOKUP(E$51,tech_data!$B$2:$J$15,4,FALSE)/100))/1000</f>
        <v>19.930316066377571</v>
      </c>
      <c r="F52" s="30">
        <f>(bali_nt!F28*3.6/(VLOOKUP(F$51,tech_data!$B$2:$J$15,4,FALSE)/100))/1000</f>
        <v>0</v>
      </c>
      <c r="G52" s="30">
        <f>(bali_nt!G28*3.6/(VLOOKUP(G$51,tech_data!$B$2:$J$15,4,FALSE)/100))/1000</f>
        <v>22.763311301137129</v>
      </c>
      <c r="H52" s="30">
        <f>(bali_nt!H28*3.6/(VLOOKUP(H$51,tech_data!$B$2:$J$15,4,FALSE)/100))/1000</f>
        <v>4.256874830769231</v>
      </c>
      <c r="I52" s="30">
        <f>(bali_nt!I28*3.6/(VLOOKUP(I$51,tech_data!$B$2:$J$15,4,FALSE)/100))/1000</f>
        <v>0.12280501428340081</v>
      </c>
      <c r="J52" s="30">
        <f>(bali_nt!J28*3.6/(VLOOKUP(J$51,tech_data!$B$2:$J$15,4,FALSE)/100))/1000</f>
        <v>0.42617265230769236</v>
      </c>
      <c r="K52" s="30">
        <f>K28*3.6/1000</f>
        <v>2.73511728E-2</v>
      </c>
      <c r="L52" s="30">
        <f>L28*3.6/1000</f>
        <v>0</v>
      </c>
      <c r="M52" s="30">
        <f>(bali_nt!M28*3.6/(VLOOKUP(M$51,tech_data!$B$2:$J$15,4,FALSE)/100))/1000</f>
        <v>0</v>
      </c>
      <c r="N52" s="30">
        <f>N28*3.6/1000</f>
        <v>0</v>
      </c>
      <c r="O52" s="30">
        <f>(bali_nt!O28*3.6/(VLOOKUP(O$51,tech_data!$B$2:$J$15,4,FALSE)/100))/1000</f>
        <v>0</v>
      </c>
      <c r="P52" s="30">
        <f>(bali_nt!P28*3.6/(VLOOKUP(P$51,tech_data!$B$2:$J$15,4,FALSE)/100))/1000</f>
        <v>0</v>
      </c>
      <c r="Q52" s="30">
        <f t="shared" ref="Q52:Q71" si="53">SUM(D52:O52)</f>
        <v>70.973592212295713</v>
      </c>
      <c r="R52" s="30"/>
      <c r="T52" s="19"/>
      <c r="U52" s="20" t="str">
        <f t="shared" ref="U52:V71" si="54">B52</f>
        <v>BALI_NT</v>
      </c>
      <c r="V52" s="20">
        <f t="shared" si="54"/>
        <v>2019</v>
      </c>
      <c r="W52" s="30">
        <f>D52*VLOOKUP(W$51,tech_data!$B$2:$K$15,10,FALSE)*1000</f>
        <v>2338111.0243331748</v>
      </c>
      <c r="X52" s="30">
        <f>E52*VLOOKUP(X$51,tech_data!$B$2:$K$15,10,FALSE)*1000</f>
        <v>1237672.6277220473</v>
      </c>
      <c r="Y52" s="30">
        <f>F52*VLOOKUP(Y$51,tech_data!$B$2:$K$15,10,FALSE)*1000</f>
        <v>0</v>
      </c>
      <c r="Z52" s="30">
        <f>G52*VLOOKUP(Z$51,tech_data!$B$2:$K$15,10,FALSE)*1000</f>
        <v>1711118.1105064782</v>
      </c>
      <c r="AA52" s="30">
        <f>H28*VLOOKUP(AA$51,tech_data!$B$2:$K$15,10,FALSE)/1000</f>
        <v>10.040903507076925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0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5286911.8034652071</v>
      </c>
      <c r="AK52" s="25"/>
      <c r="AM52" s="23"/>
      <c r="AO52" s="20" t="str">
        <f t="shared" ref="AO52:AP71" si="56">U52</f>
        <v>BALI_NT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24.028437515328498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14.862627223266166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0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4.6130521306024317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1.2119611351666215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0.27606173380007448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0.80586686980896416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4.4603999999999998E-2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45.842610607972766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BALI_NT</v>
      </c>
      <c r="C53" s="20">
        <f t="shared" si="52"/>
        <v>2020</v>
      </c>
      <c r="D53" s="30">
        <f>(bali_nt!D29*3.6/(VLOOKUP(D$51,tech_data!$B$2:$J$15,4,FALSE)/100))/1000</f>
        <v>26.998398653545443</v>
      </c>
      <c r="E53" s="30">
        <f>(bali_nt!E29*3.6/(VLOOKUP(E$51,tech_data!$B$2:$J$15,4,FALSE)/100))/1000</f>
        <v>19.930316066377571</v>
      </c>
      <c r="F53" s="30">
        <f>(bali_nt!F29*3.6/(VLOOKUP(F$51,tech_data!$B$2:$J$15,4,FALSE)/100))/1000</f>
        <v>0</v>
      </c>
      <c r="G53" s="30">
        <f>(bali_nt!G29*3.6/(VLOOKUP(G$51,tech_data!$B$2:$J$15,4,FALSE)/100))/1000</f>
        <v>22.763311301137129</v>
      </c>
      <c r="H53" s="30">
        <f>(bali_nt!H29*3.6/(VLOOKUP(H$51,tech_data!$B$2:$J$15,4,FALSE)/100))/1000</f>
        <v>27.067478080898969</v>
      </c>
      <c r="I53" s="30">
        <f>(bali_nt!I29*3.6/(VLOOKUP(I$51,tech_data!$B$2:$J$15,4,FALSE)/100))/1000</f>
        <v>0.12280501428340081</v>
      </c>
      <c r="J53" s="30">
        <f>(bali_nt!J29*3.6/(VLOOKUP(J$51,tech_data!$B$2:$J$15,4,FALSE)/100))/1000</f>
        <v>0.42617265230769236</v>
      </c>
      <c r="K53" s="30">
        <f t="shared" ref="K53:L53" si="57">K29*3.6/1000</f>
        <v>0.22005360233947349</v>
      </c>
      <c r="L53" s="30">
        <f t="shared" si="57"/>
        <v>0</v>
      </c>
      <c r="M53" s="30">
        <f>(bali_nt!M29*3.6/(VLOOKUP(M$51,tech_data!$B$2:$J$15,4,FALSE)/100))/1000</f>
        <v>-1.1612903225345552E-8</v>
      </c>
      <c r="N53" s="30">
        <f t="shared" ref="N53:N71" si="58">N29*3.6/1000</f>
        <v>-3.5999999999782484E-9</v>
      </c>
      <c r="O53" s="30">
        <f>(bali_nt!O29*3.6/(VLOOKUP(O$51,tech_data!$B$2:$J$15,4,FALSE)/100))/1000</f>
        <v>0</v>
      </c>
      <c r="P53" s="30">
        <f>(bali_nt!P29*3.6/(VLOOKUP(P$51,tech_data!$B$2:$J$15,4,FALSE)/100))/1000</f>
        <v>1.0004650382938103E-2</v>
      </c>
      <c r="Q53" s="30">
        <f t="shared" si="53"/>
        <v>97.528535355676794</v>
      </c>
      <c r="R53" s="30"/>
      <c r="T53" s="19"/>
      <c r="U53" s="20" t="str">
        <f t="shared" si="54"/>
        <v>BALI_NT</v>
      </c>
      <c r="V53" s="20">
        <f t="shared" si="54"/>
        <v>2020</v>
      </c>
      <c r="W53" s="30">
        <f>D53*VLOOKUP(W$51,tech_data!$B$2:$K$15,10,FALSE)*1000</f>
        <v>2692280.3137315516</v>
      </c>
      <c r="X53" s="30">
        <f>E53*VLOOKUP(X$51,tech_data!$B$2:$K$15,10,FALSE)*1000</f>
        <v>1237672.6277220473</v>
      </c>
      <c r="Y53" s="30">
        <f>F53*VLOOKUP(Y$51,tech_data!$B$2:$K$15,10,FALSE)*1000</f>
        <v>0</v>
      </c>
      <c r="Z53" s="30">
        <f>G53*VLOOKUP(Z$51,tech_data!$B$2:$K$15,10,FALSE)*1000</f>
        <v>1711118.1105064782</v>
      </c>
      <c r="AA53" s="30">
        <f>H29*VLOOKUP(AA$51,tech_data!$B$2:$K$15,10,FALSE)/1000</f>
        <v>63.845413923320443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-1.3048258063998262E-3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5641134.8960691746</v>
      </c>
      <c r="AK53" s="25">
        <f>(AJ53-AJ52)/AJ52</f>
        <v>6.700000033512922E-2</v>
      </c>
      <c r="AL53" s="24">
        <f>Jawa!AL53</f>
        <v>5.2999999999999999E-2</v>
      </c>
      <c r="AM53" s="26"/>
      <c r="AN53" s="24"/>
      <c r="AO53" s="20" t="str">
        <f t="shared" si="56"/>
        <v>BALI_NT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144.00926514023985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14.862627223266166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0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4.6130521306024317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515.87203213202133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0.27606173380007448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0.80586686980896416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32.919384280389629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-7.4064138182899467E-7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-1.6482270706996375E-6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0.54254761498078863</v>
      </c>
      <c r="BD53" s="30">
        <f>SUM(AQ53:BC53)</f>
        <v>713.90083473624077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BALI_NT</v>
      </c>
      <c r="C54" s="20">
        <f t="shared" si="52"/>
        <v>2021</v>
      </c>
      <c r="D54" s="30">
        <f>(bali_nt!D30*3.6/(VLOOKUP(D$51,tech_data!$B$2:$J$15,4,FALSE)/100))/1000</f>
        <v>30.420373803627506</v>
      </c>
      <c r="E54" s="30">
        <f>(bali_nt!E30*3.6/(VLOOKUP(E$51,tech_data!$B$2:$J$15,4,FALSE)/100))/1000</f>
        <v>19.930316066377571</v>
      </c>
      <c r="F54" s="30">
        <f>(bali_nt!F30*3.6/(VLOOKUP(F$51,tech_data!$B$2:$J$15,4,FALSE)/100))/1000</f>
        <v>0.59125084872539757</v>
      </c>
      <c r="G54" s="30">
        <f>(bali_nt!G30*3.6/(VLOOKUP(G$51,tech_data!$B$2:$J$15,4,FALSE)/100))/1000</f>
        <v>22.763311262028264</v>
      </c>
      <c r="H54" s="30">
        <f>(bali_nt!H30*3.6/(VLOOKUP(H$51,tech_data!$B$2:$J$15,4,FALSE)/100))/1000</f>
        <v>27.067477907855274</v>
      </c>
      <c r="I54" s="30">
        <f>(bali_nt!I30*3.6/(VLOOKUP(I$51,tech_data!$B$2:$J$15,4,FALSE)/100))/1000</f>
        <v>3.0531437575135469</v>
      </c>
      <c r="J54" s="30">
        <f>(bali_nt!J30*3.6/(VLOOKUP(J$51,tech_data!$B$2:$J$15,4,FALSE)/100))/1000</f>
        <v>0.42617265230769236</v>
      </c>
      <c r="K54" s="30">
        <f t="shared" ref="K54:L54" si="59">K30*3.6/1000</f>
        <v>0.38853209675116507</v>
      </c>
      <c r="L54" s="30">
        <f t="shared" si="59"/>
        <v>0</v>
      </c>
      <c r="M54" s="30">
        <f>(bali_nt!M30*3.6/(VLOOKUP(M$51,tech_data!$B$2:$J$15,4,FALSE)/100))/1000</f>
        <v>0</v>
      </c>
      <c r="N54" s="30">
        <f t="shared" si="58"/>
        <v>1.2696416349279053E-16</v>
      </c>
      <c r="O54" s="30">
        <f>(bali_nt!O30*3.6/(VLOOKUP(O$51,tech_data!$B$2:$J$15,4,FALSE)/100))/1000</f>
        <v>0</v>
      </c>
      <c r="P54" s="30">
        <f>(bali_nt!P30*3.6/(VLOOKUP(P$51,tech_data!$B$2:$J$15,4,FALSE)/100))/1000</f>
        <v>1.1467636199044428E-2</v>
      </c>
      <c r="Q54" s="30">
        <f t="shared" si="53"/>
        <v>104.64057839518642</v>
      </c>
      <c r="R54" s="30"/>
      <c r="T54" s="19"/>
      <c r="U54" s="20" t="str">
        <f t="shared" si="54"/>
        <v>BALI_NT</v>
      </c>
      <c r="V54" s="20">
        <f t="shared" si="54"/>
        <v>2021</v>
      </c>
      <c r="W54" s="30">
        <f>D54*VLOOKUP(W$51,tech_data!$B$2:$K$15,10,FALSE)*1000</f>
        <v>3033519.6756977346</v>
      </c>
      <c r="X54" s="30">
        <f>E54*VLOOKUP(X$51,tech_data!$B$2:$K$15,10,FALSE)*1000</f>
        <v>1237672.6277220473</v>
      </c>
      <c r="Y54" s="30">
        <f>F54*VLOOKUP(Y$51,tech_data!$B$2:$K$15,10,FALSE)*1000</f>
        <v>36716.677705847193</v>
      </c>
      <c r="Z54" s="30">
        <f>G54*VLOOKUP(Z$51,tech_data!$B$2:$K$15,10,FALSE)*1000</f>
        <v>1711118.1075666645</v>
      </c>
      <c r="AA54" s="30">
        <f>H30*VLOOKUP(AA$51,tech_data!$B$2:$K$15,10,FALSE)/1000</f>
        <v>63.845413515153631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0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6019090.9341058079</v>
      </c>
      <c r="AK54" s="25">
        <f t="shared" ref="AK54:AK71" si="60">(AJ54-AJ53)/AJ53</f>
        <v>6.6999999999999754E-2</v>
      </c>
      <c r="AL54" s="24">
        <f>AL53</f>
        <v>5.2999999999999999E-2</v>
      </c>
      <c r="AM54" s="26"/>
      <c r="AN54" s="24"/>
      <c r="AO54" s="20" t="str">
        <f t="shared" si="56"/>
        <v>BALI_NT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143.26878175381572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14.862627223266166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23.406323688858528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4.6130513293435724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7.7062906815893815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368.59907546255977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0.80586686980896416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29.101069962611973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7.2335797428972142E-7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1.6039255828798752E-6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8.4337503494657615E-2</v>
      </c>
      <c r="BD54" s="30">
        <f t="shared" ref="BD54:BD71" si="61">SUM(AQ54:BC54)</f>
        <v>592.44742680263232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BALI_NT</v>
      </c>
      <c r="C55" s="20">
        <f t="shared" si="52"/>
        <v>2022</v>
      </c>
      <c r="D55" s="30">
        <f>(bali_nt!D31*3.6/(VLOOKUP(D$51,tech_data!$B$2:$J$15,4,FALSE)/100))/1000</f>
        <v>33.36575462195897</v>
      </c>
      <c r="E55" s="30">
        <f>(bali_nt!E31*3.6/(VLOOKUP(E$51,tech_data!$B$2:$J$15,4,FALSE)/100))/1000</f>
        <v>19.930316036204349</v>
      </c>
      <c r="F55" s="30">
        <f>(bali_nt!F31*3.6/(VLOOKUP(F$51,tech_data!$B$2:$J$15,4,FALSE)/100))/1000</f>
        <v>2.3555941539562104</v>
      </c>
      <c r="G55" s="30">
        <f>(bali_nt!G31*3.6/(VLOOKUP(G$51,tech_data!$B$2:$J$15,4,FALSE)/100))/1000</f>
        <v>22.763311262028264</v>
      </c>
      <c r="H55" s="30">
        <f>(bali_nt!H31*3.6/(VLOOKUP(H$51,tech_data!$B$2:$J$15,4,FALSE)/100))/1000</f>
        <v>27.067477907855274</v>
      </c>
      <c r="I55" s="30">
        <f>(bali_nt!I31*3.6/(VLOOKUP(I$51,tech_data!$B$2:$J$15,4,FALSE)/100))/1000</f>
        <v>5.0184816219558979</v>
      </c>
      <c r="J55" s="30">
        <f>(bali_nt!J31*3.6/(VLOOKUP(J$51,tech_data!$B$2:$J$15,4,FALSE)/100))/1000</f>
        <v>0.42617265230769236</v>
      </c>
      <c r="K55" s="30">
        <f t="shared" ref="K55:L55" si="62">K31*3.6/1000</f>
        <v>0.51988439355572058</v>
      </c>
      <c r="L55" s="30">
        <f t="shared" si="62"/>
        <v>0</v>
      </c>
      <c r="M55" s="30">
        <f>(bali_nt!M31*3.6/(VLOOKUP(M$51,tech_data!$B$2:$J$15,4,FALSE)/100))/1000</f>
        <v>0</v>
      </c>
      <c r="N55" s="30">
        <f t="shared" si="58"/>
        <v>0</v>
      </c>
      <c r="O55" s="30">
        <f>(bali_nt!O31*3.6/(VLOOKUP(O$51,tech_data!$B$2:$J$15,4,FALSE)/100))/1000</f>
        <v>0</v>
      </c>
      <c r="P55" s="30">
        <f>(bali_nt!P31*3.6/(VLOOKUP(P$51,tech_data!$B$2:$J$15,4,FALSE)/100))/1000</f>
        <v>1.2781791702911046E-2</v>
      </c>
      <c r="Q55" s="30">
        <f t="shared" si="53"/>
        <v>111.44699264982238</v>
      </c>
      <c r="R55" s="30"/>
      <c r="T55" s="19"/>
      <c r="U55" s="20" t="str">
        <f t="shared" si="54"/>
        <v>BALI_NT</v>
      </c>
      <c r="V55" s="20">
        <f t="shared" si="54"/>
        <v>2022</v>
      </c>
      <c r="W55" s="30">
        <f>D55*VLOOKUP(W$51,tech_data!$B$2:$K$15,10,FALSE)*1000</f>
        <v>3327233.0509017482</v>
      </c>
      <c r="X55" s="30">
        <f>E55*VLOOKUP(X$51,tech_data!$B$2:$K$15,10,FALSE)*1000</f>
        <v>1237672.6258482903</v>
      </c>
      <c r="Y55" s="30">
        <f>F55*VLOOKUP(Y$51,tech_data!$B$2:$K$15,10,FALSE)*1000</f>
        <v>146282.39696068066</v>
      </c>
      <c r="Z55" s="30">
        <f>G55*VLOOKUP(Z$51,tech_data!$B$2:$K$15,10,FALSE)*1000</f>
        <v>1711118.1075666645</v>
      </c>
      <c r="AA55" s="30">
        <f>H31*VLOOKUP(AA$51,tech_data!$B$2:$K$15,10,FALSE)/1000</f>
        <v>63.845413515153631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0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6422370.0266908985</v>
      </c>
      <c r="AK55" s="25">
        <f t="shared" si="60"/>
        <v>6.700000000000024E-2</v>
      </c>
      <c r="AL55" s="24">
        <f>AL54</f>
        <v>5.2999999999999999E-2</v>
      </c>
      <c r="AM55" s="26"/>
      <c r="AN55" s="24"/>
      <c r="AO55" s="20" t="str">
        <f t="shared" si="56"/>
        <v>BALI_NT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130.6754200050681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14.862626474098434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70.635781042827887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4.6130521226769057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7.7062945365893718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253.89254528298139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0.80586686980896416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23.042142551324488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-5.6566961821086691E-14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7.6997722675642061E-2</v>
      </c>
      <c r="BD55" s="30">
        <f t="shared" si="61"/>
        <v>506.31072660805114</v>
      </c>
      <c r="BE55" s="20">
        <v>2022</v>
      </c>
      <c r="BF55" s="23"/>
      <c r="BG55" s="19"/>
      <c r="BH55" s="30"/>
      <c r="BI55" s="30">
        <f>MIN($BD$53)</f>
        <v>713.90083473624077</v>
      </c>
      <c r="BJ55" s="30">
        <f>MIN($BD$54)</f>
        <v>592.44742680263232</v>
      </c>
      <c r="BK55" s="30">
        <f t="shared" ref="BK55" si="63">MIN($BD$55)</f>
        <v>506.31072660805114</v>
      </c>
      <c r="BL55" s="30">
        <f>MIN($BD$56)</f>
        <v>413.87493176475982</v>
      </c>
      <c r="BM55" s="30">
        <f>MIN($BD$57)</f>
        <v>348.57530815796849</v>
      </c>
      <c r="BN55" s="30">
        <f>MIN($BD$58)</f>
        <v>367.86102738311411</v>
      </c>
      <c r="BO55" s="30">
        <f>MIN($BD$59)</f>
        <v>382.05701258245307</v>
      </c>
      <c r="BP55" s="30">
        <f>MIN($BD$60)</f>
        <v>376.63790561395416</v>
      </c>
      <c r="BQ55" s="30">
        <f>MIN($BD$61)</f>
        <v>387.21066899448863</v>
      </c>
      <c r="BR55" s="30">
        <f>MIN($BD$62)</f>
        <v>472.65980905648058</v>
      </c>
      <c r="BS55" s="30">
        <f>MIN($BD$63)</f>
        <v>353.23411647548392</v>
      </c>
      <c r="BT55" s="30">
        <f>MIN($BD$64)</f>
        <v>479.34542909380366</v>
      </c>
      <c r="BU55" s="30">
        <f>MIN($BD$65)</f>
        <v>529.65153753823108</v>
      </c>
      <c r="BV55" s="30">
        <f>MIN($BD$66)</f>
        <v>487.92479455486568</v>
      </c>
      <c r="BW55" s="30">
        <f>MIN($BD$67)</f>
        <v>577.81942494426517</v>
      </c>
      <c r="BX55" s="30">
        <f>MIN($BD$68)</f>
        <v>576.69304028005604</v>
      </c>
      <c r="BY55" s="30">
        <f>MIN($BD$69)</f>
        <v>635.64938406429826</v>
      </c>
      <c r="BZ55" s="30">
        <f>MIN($BD$70)</f>
        <v>678.89455445986607</v>
      </c>
      <c r="CA55" s="30">
        <f>MIN($BD$71)</f>
        <v>780.67286002879996</v>
      </c>
      <c r="CD55" s="23"/>
    </row>
    <row r="56" spans="1:82" x14ac:dyDescent="0.25">
      <c r="A56" s="19"/>
      <c r="B56" s="20" t="str">
        <f t="shared" si="52"/>
        <v>BALI_NT</v>
      </c>
      <c r="C56" s="20">
        <f t="shared" si="52"/>
        <v>2023</v>
      </c>
      <c r="D56" s="30">
        <f>(bali_nt!D32*3.6/(VLOOKUP(D$51,tech_data!$B$2:$J$15,4,FALSE)/100))/1000</f>
        <v>35.829224752705642</v>
      </c>
      <c r="E56" s="30">
        <f>(bali_nt!E32*3.6/(VLOOKUP(E$51,tech_data!$B$2:$J$15,4,FALSE)/100))/1000</f>
        <v>19.930316036204349</v>
      </c>
      <c r="F56" s="30">
        <f>(bali_nt!F32*3.6/(VLOOKUP(F$51,tech_data!$B$2:$J$15,4,FALSE)/100))/1000</f>
        <v>5.3288880382650499</v>
      </c>
      <c r="G56" s="30">
        <f>(bali_nt!G32*3.6/(VLOOKUP(G$51,tech_data!$B$2:$J$15,4,FALSE)/100))/1000</f>
        <v>22.763311262028264</v>
      </c>
      <c r="H56" s="30">
        <f>(bali_nt!H32*3.6/(VLOOKUP(H$51,tech_data!$B$2:$J$15,4,FALSE)/100))/1000</f>
        <v>27.067477734811586</v>
      </c>
      <c r="I56" s="30">
        <f>(bali_nt!I32*3.6/(VLOOKUP(I$51,tech_data!$B$2:$J$15,4,FALSE)/100))/1000</f>
        <v>5.9808804239105831</v>
      </c>
      <c r="J56" s="30">
        <f>(bali_nt!J32*3.6/(VLOOKUP(J$51,tech_data!$B$2:$J$15,4,FALSE)/100))/1000</f>
        <v>0.42617265230769236</v>
      </c>
      <c r="K56" s="30">
        <f t="shared" ref="K56:L56" si="64">K32*3.6/1000</f>
        <v>0.6046285029290972</v>
      </c>
      <c r="L56" s="30">
        <f t="shared" si="64"/>
        <v>0</v>
      </c>
      <c r="M56" s="30">
        <f>(bali_nt!M32*3.6/(VLOOKUP(M$51,tech_data!$B$2:$J$15,4,FALSE)/100))/1000</f>
        <v>0</v>
      </c>
      <c r="N56" s="30">
        <f t="shared" si="58"/>
        <v>0</v>
      </c>
      <c r="O56" s="30">
        <f>(bali_nt!O32*3.6/(VLOOKUP(O$51,tech_data!$B$2:$J$15,4,FALSE)/100))/1000</f>
        <v>0</v>
      </c>
      <c r="P56" s="30">
        <f>(bali_nt!P32*3.6/(VLOOKUP(P$51,tech_data!$B$2:$J$15,4,FALSE)/100))/1000</f>
        <v>1.3936556565660023E-2</v>
      </c>
      <c r="Q56" s="30">
        <f t="shared" si="53"/>
        <v>117.93089940316227</v>
      </c>
      <c r="R56" s="30"/>
      <c r="T56" s="19"/>
      <c r="U56" s="20" t="str">
        <f t="shared" si="54"/>
        <v>BALI_NT</v>
      </c>
      <c r="V56" s="20">
        <f t="shared" si="54"/>
        <v>2023</v>
      </c>
      <c r="W56" s="30">
        <f>D56*VLOOKUP(W$51,tech_data!$B$2:$K$15,10,FALSE)*1000</f>
        <v>3572890.2923398064</v>
      </c>
      <c r="X56" s="30">
        <f>E56*VLOOKUP(X$51,tech_data!$B$2:$K$15,10,FALSE)*1000</f>
        <v>1237672.6258482903</v>
      </c>
      <c r="Y56" s="30">
        <f>F56*VLOOKUP(Y$51,tech_data!$B$2:$K$15,10,FALSE)*1000</f>
        <v>330923.94717625959</v>
      </c>
      <c r="Z56" s="30">
        <f>G56*VLOOKUP(Z$51,tech_data!$B$2:$K$15,10,FALSE)*1000</f>
        <v>1711118.1075666645</v>
      </c>
      <c r="AA56" s="30">
        <f>H32*VLOOKUP(AA$51,tech_data!$B$2:$K$15,10,FALSE)/1000</f>
        <v>63.845413106986832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0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6852668.8183441292</v>
      </c>
      <c r="AK56" s="25">
        <f t="shared" si="60"/>
        <v>6.6999999978970479E-2</v>
      </c>
      <c r="AL56" s="24">
        <f t="shared" ref="AL56:AL70" si="65">AL55</f>
        <v>5.2999999999999999E-2</v>
      </c>
      <c r="AM56" s="26"/>
      <c r="AN56" s="24"/>
      <c r="AO56" s="20" t="str">
        <f t="shared" si="56"/>
        <v>BALI_NT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117.41404413752706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14.8626272007651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120.85082410132904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4.6130521226769057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7.7062906323226601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132.24816064944065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0.80586686980896416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15.305055178124848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0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6.9010872764629527E-2</v>
      </c>
      <c r="BD56" s="30">
        <f t="shared" si="61"/>
        <v>413.87493176475982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BALI_NT</v>
      </c>
      <c r="C57" s="20">
        <f t="shared" si="52"/>
        <v>2024</v>
      </c>
      <c r="D57" s="30">
        <f>(bali_nt!D33*3.6/(VLOOKUP(D$51,tech_data!$B$2:$J$15,4,FALSE)/100))/1000</f>
        <v>36.559142739927033</v>
      </c>
      <c r="E57" s="30">
        <f>(bali_nt!E33*3.6/(VLOOKUP(E$51,tech_data!$B$2:$J$15,4,FALSE)/100))/1000</f>
        <v>19.930316006031134</v>
      </c>
      <c r="F57" s="30">
        <f>(bali_nt!F33*3.6/(VLOOKUP(F$51,tech_data!$B$2:$J$15,4,FALSE)/100))/1000</f>
        <v>5.6888934652136287</v>
      </c>
      <c r="G57" s="30">
        <f>(bali_nt!G33*3.6/(VLOOKUP(G$51,tech_data!$B$2:$J$15,4,FALSE)/100))/1000</f>
        <v>22.763311262028264</v>
      </c>
      <c r="H57" s="30">
        <f>(bali_nt!H33*3.6/(VLOOKUP(H$51,tech_data!$B$2:$J$15,4,FALSE)/100))/1000</f>
        <v>27.067477734811586</v>
      </c>
      <c r="I57" s="30">
        <f>(bali_nt!I33*3.6/(VLOOKUP(I$51,tech_data!$B$2:$J$15,4,FALSE)/100))/1000</f>
        <v>5.9808804239105831</v>
      </c>
      <c r="J57" s="30">
        <f>(bali_nt!J33*3.6/(VLOOKUP(J$51,tech_data!$B$2:$J$15,4,FALSE)/100))/1000</f>
        <v>0.42617265230769236</v>
      </c>
      <c r="K57" s="30">
        <f t="shared" ref="K57:L57" si="66">K33*3.6/1000</f>
        <v>0.70294070784868223</v>
      </c>
      <c r="L57" s="30">
        <f t="shared" si="66"/>
        <v>0</v>
      </c>
      <c r="M57" s="30">
        <f>(bali_nt!M33*3.6/(VLOOKUP(M$51,tech_data!$B$2:$J$15,4,FALSE)/100))/1000</f>
        <v>3.2395150113243845</v>
      </c>
      <c r="N57" s="30">
        <f t="shared" si="58"/>
        <v>0</v>
      </c>
      <c r="O57" s="30">
        <f>(bali_nt!O33*3.6/(VLOOKUP(O$51,tech_data!$B$2:$J$15,4,FALSE)/100))/1000</f>
        <v>0</v>
      </c>
      <c r="P57" s="30">
        <f>(bali_nt!P33*3.6/(VLOOKUP(P$51,tech_data!$B$2:$J$15,4,FALSE)/100))/1000</f>
        <v>1.4451528311524974E-2</v>
      </c>
      <c r="Q57" s="30">
        <f t="shared" si="53"/>
        <v>122.358650003403</v>
      </c>
      <c r="R57" s="30"/>
      <c r="T57" s="19"/>
      <c r="U57" s="20" t="str">
        <f t="shared" si="54"/>
        <v>BALI_NT</v>
      </c>
      <c r="V57" s="20">
        <f t="shared" si="54"/>
        <v>2024</v>
      </c>
      <c r="W57" s="30">
        <f>D57*VLOOKUP(W$51,tech_data!$B$2:$K$15,10,FALSE)*1000</f>
        <v>3645677.7140255235</v>
      </c>
      <c r="X57" s="30">
        <f>E57*VLOOKUP(X$51,tech_data!$B$2:$K$15,10,FALSE)*1000</f>
        <v>1237672.6239745335</v>
      </c>
      <c r="Y57" s="30">
        <f>F57*VLOOKUP(Y$51,tech_data!$B$2:$K$15,10,FALSE)*1000</f>
        <v>353280.28418976633</v>
      </c>
      <c r="Z57" s="30">
        <f>G57*VLOOKUP(Z$51,tech_data!$B$2:$K$15,10,FALSE)*1000</f>
        <v>1711118.1075666645</v>
      </c>
      <c r="AA57" s="30">
        <f>H33*VLOOKUP(AA$51,tech_data!$B$2:$K$15,10,FALSE)/1000</f>
        <v>63.845413106986832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363991.90667240781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7311804.4818420028</v>
      </c>
      <c r="AK57" s="25">
        <f t="shared" si="60"/>
        <v>6.7000999999999797E-2</v>
      </c>
      <c r="AL57" s="24">
        <f t="shared" si="65"/>
        <v>5.2999999999999999E-2</v>
      </c>
      <c r="AM57" s="26"/>
      <c r="AN57" s="24"/>
      <c r="AO57" s="20" t="str">
        <f t="shared" si="56"/>
        <v>BALI_NT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61.376058304130787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14.862626451597372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21.365721819582625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4.6130521226769057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7.7062944873226593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13.444827388443642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0.80586686980896416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17.757954167237628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0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206.60801419635266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3.4892350815229581E-2</v>
      </c>
      <c r="BD57" s="30">
        <f t="shared" si="61"/>
        <v>348.57530815796849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BALI_NT</v>
      </c>
      <c r="C58" s="20">
        <f t="shared" si="52"/>
        <v>2025</v>
      </c>
      <c r="D58" s="30">
        <f>(bali_nt!D34*3.6/(VLOOKUP(D$51,tech_data!$B$2:$J$15,4,FALSE)/100))/1000</f>
        <v>37.634275862071256</v>
      </c>
      <c r="E58" s="30">
        <f>(bali_nt!E34*3.6/(VLOOKUP(E$51,tech_data!$B$2:$J$15,4,FALSE)/100))/1000</f>
        <v>19.930315975857912</v>
      </c>
      <c r="F58" s="30">
        <f>(bali_nt!F34*3.6/(VLOOKUP(F$51,tech_data!$B$2:$J$15,4,FALSE)/100))/1000</f>
        <v>6.9527417283234767</v>
      </c>
      <c r="G58" s="30">
        <f>(bali_nt!G34*3.6/(VLOOKUP(G$51,tech_data!$B$2:$J$15,4,FALSE)/100))/1000</f>
        <v>22.763311262028264</v>
      </c>
      <c r="H58" s="30">
        <f>(bali_nt!H34*3.6/(VLOOKUP(H$51,tech_data!$B$2:$J$15,4,FALSE)/100))/1000</f>
        <v>27.067477734811586</v>
      </c>
      <c r="I58" s="30">
        <f>(bali_nt!I34*3.6/(VLOOKUP(I$51,tech_data!$B$2:$J$15,4,FALSE)/100))/1000</f>
        <v>5.9808804070879784</v>
      </c>
      <c r="J58" s="30">
        <f>(bali_nt!J34*3.6/(VLOOKUP(J$51,tech_data!$B$2:$J$15,4,FALSE)/100))/1000</f>
        <v>0.42617265230769236</v>
      </c>
      <c r="K58" s="30">
        <f t="shared" ref="K58:L58" si="67">K34*3.6/1000</f>
        <v>0.79871086677032521</v>
      </c>
      <c r="L58" s="30">
        <f t="shared" si="67"/>
        <v>0</v>
      </c>
      <c r="M58" s="30">
        <f>(bali_nt!M34*3.6/(VLOOKUP(M$51,tech_data!$B$2:$J$15,4,FALSE)/100))/1000</f>
        <v>5.9468276677639569</v>
      </c>
      <c r="N58" s="30">
        <f t="shared" si="58"/>
        <v>0</v>
      </c>
      <c r="O58" s="30">
        <f>(bali_nt!O34*3.6/(VLOOKUP(O$51,tech_data!$B$2:$J$15,4,FALSE)/100))/1000</f>
        <v>0</v>
      </c>
      <c r="P58" s="30">
        <f>(bali_nt!P34*3.6/(VLOOKUP(P$51,tech_data!$B$2:$J$15,4,FALSE)/100))/1000</f>
        <v>1.5117557133840642E-2</v>
      </c>
      <c r="Q58" s="30">
        <f t="shared" si="53"/>
        <v>127.50071415702246</v>
      </c>
      <c r="R58" s="30"/>
      <c r="T58" s="19"/>
      <c r="U58" s="20" t="str">
        <f t="shared" si="54"/>
        <v>BALI_NT</v>
      </c>
      <c r="V58" s="20">
        <f t="shared" si="54"/>
        <v>2025</v>
      </c>
      <c r="W58" s="30">
        <f>D58*VLOOKUP(W$51,tech_data!$B$2:$K$15,10,FALSE)*1000</f>
        <v>3752889.9889657455</v>
      </c>
      <c r="X58" s="30">
        <f>E58*VLOOKUP(X$51,tech_data!$B$2:$K$15,10,FALSE)*1000</f>
        <v>1237672.6221007763</v>
      </c>
      <c r="Y58" s="30">
        <f>F58*VLOOKUP(Y$51,tech_data!$B$2:$K$15,10,FALSE)*1000</f>
        <v>431765.26132888789</v>
      </c>
      <c r="Z58" s="30">
        <f>G58*VLOOKUP(Z$51,tech_data!$B$2:$K$15,10,FALSE)*1000</f>
        <v>1711118.1075666645</v>
      </c>
      <c r="AA58" s="30">
        <f>H34*VLOOKUP(AA$51,tech_data!$B$2:$K$15,10,FALSE)/1000</f>
        <v>63.845413106986832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668185.5567499582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7801695.3821251411</v>
      </c>
      <c r="AK58" s="25">
        <f t="shared" si="60"/>
        <v>6.699999999996227E-2</v>
      </c>
      <c r="AL58" s="24">
        <f t="shared" si="65"/>
        <v>5.2999999999999999E-2</v>
      </c>
      <c r="AM58" s="26"/>
      <c r="AN58" s="24"/>
      <c r="AO58" s="20" t="str">
        <f t="shared" si="56"/>
        <v>BALI_NT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73.786084750689113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14.862626429096311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57.627472210094744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4.6130521226769057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7.7062944873226593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13.4448252739603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0.80586686980896416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17.484610965312221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0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177.4868527777225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4.3341496430352393E-2</v>
      </c>
      <c r="BD58" s="30">
        <f t="shared" si="61"/>
        <v>367.86102738311411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0</v>
      </c>
      <c r="BK58" s="20" t="b">
        <f>$AK$55&lt;=$AL$55</f>
        <v>0</v>
      </c>
      <c r="BL58" s="20" t="b">
        <f>$AK$56&lt;=$AL$56</f>
        <v>0</v>
      </c>
      <c r="BM58" s="20" t="b">
        <f>$AK$57&lt;=$AL$57</f>
        <v>0</v>
      </c>
      <c r="BN58" s="20" t="b">
        <f>$AK$58&lt;=$AL$58</f>
        <v>0</v>
      </c>
      <c r="BO58" s="20" t="b">
        <f>$AK$59&lt;=$AL$59</f>
        <v>0</v>
      </c>
      <c r="BP58" s="20" t="b">
        <f>$AK$60&lt;=$AL$60</f>
        <v>0</v>
      </c>
      <c r="BQ58" s="20" t="b">
        <f>$AK$61&lt;=$AL$61</f>
        <v>0</v>
      </c>
      <c r="BR58" s="20" t="b">
        <f>$AK$62&lt;=$AL$62</f>
        <v>0</v>
      </c>
      <c r="BS58" s="20" t="b">
        <f>$AK$63&lt;=$AL$63</f>
        <v>0</v>
      </c>
      <c r="BT58" s="20" t="b">
        <f>$AK$64&lt;=$AL$64</f>
        <v>0</v>
      </c>
      <c r="BU58" s="20" t="b">
        <f>$AK$65&lt;=$AL$65</f>
        <v>0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BALI_NT</v>
      </c>
      <c r="C59" s="20">
        <f t="shared" si="52"/>
        <v>2026</v>
      </c>
      <c r="D59" s="30">
        <f>(bali_nt!D35*3.6/(VLOOKUP(D$51,tech_data!$B$2:$J$15,4,FALSE)/100))/1000</f>
        <v>39.289450338870246</v>
      </c>
      <c r="E59" s="30">
        <f>(bali_nt!E35*3.6/(VLOOKUP(E$51,tech_data!$B$2:$J$15,4,FALSE)/100))/1000</f>
        <v>19.930315975857912</v>
      </c>
      <c r="F59" s="30">
        <f>(bali_nt!F35*3.6/(VLOOKUP(F$51,tech_data!$B$2:$J$15,4,FALSE)/100))/1000</f>
        <v>8.7838113631774704</v>
      </c>
      <c r="G59" s="30">
        <f>(bali_nt!G35*3.6/(VLOOKUP(G$51,tech_data!$B$2:$J$15,4,FALSE)/100))/1000</f>
        <v>22.763311262028264</v>
      </c>
      <c r="H59" s="30">
        <f>(bali_nt!H35*3.6/(VLOOKUP(H$51,tech_data!$B$2:$J$15,4,FALSE)/100))/1000</f>
        <v>27.067477561767895</v>
      </c>
      <c r="I59" s="30">
        <f>(bali_nt!I35*3.6/(VLOOKUP(I$51,tech_data!$B$2:$J$15,4,FALSE)/100))/1000</f>
        <v>5.9808804070879784</v>
      </c>
      <c r="J59" s="30">
        <f>(bali_nt!J35*3.6/(VLOOKUP(J$51,tech_data!$B$2:$J$15,4,FALSE)/100))/1000</f>
        <v>0.42617265230769236</v>
      </c>
      <c r="K59" s="30">
        <f t="shared" ref="K59:L59" si="68">K35*3.6/1000</f>
        <v>0.89073031968803162</v>
      </c>
      <c r="L59" s="30">
        <f t="shared" si="68"/>
        <v>0</v>
      </c>
      <c r="M59" s="30">
        <f>(bali_nt!M35*3.6/(VLOOKUP(M$51,tech_data!$B$2:$J$15,4,FALSE)/100))/1000</f>
        <v>8.1179755263073901</v>
      </c>
      <c r="N59" s="30">
        <f t="shared" si="58"/>
        <v>0</v>
      </c>
      <c r="O59" s="30">
        <f>(bali_nt!O35*3.6/(VLOOKUP(O$51,tech_data!$B$2:$J$15,4,FALSE)/100))/1000</f>
        <v>0</v>
      </c>
      <c r="P59" s="30">
        <f>(bali_nt!P35*3.6/(VLOOKUP(P$51,tech_data!$B$2:$J$15,4,FALSE)/100))/1000</f>
        <v>1.5901125421110093E-2</v>
      </c>
      <c r="Q59" s="30">
        <f t="shared" si="53"/>
        <v>133.2501254070929</v>
      </c>
      <c r="R59" s="30"/>
      <c r="T59" s="19"/>
      <c r="U59" s="20" t="str">
        <f t="shared" si="54"/>
        <v>BALI_NT</v>
      </c>
      <c r="V59" s="20">
        <f t="shared" si="54"/>
        <v>2026</v>
      </c>
      <c r="W59" s="30">
        <f>D59*VLOOKUP(W$51,tech_data!$B$2:$K$15,10,FALSE)*1000</f>
        <v>3917943.9877921408</v>
      </c>
      <c r="X59" s="30">
        <f>E59*VLOOKUP(X$51,tech_data!$B$2:$K$15,10,FALSE)*1000</f>
        <v>1237672.6221007763</v>
      </c>
      <c r="Y59" s="30">
        <f>F59*VLOOKUP(Y$51,tech_data!$B$2:$K$15,10,FALSE)*1000</f>
        <v>545474.68565332086</v>
      </c>
      <c r="Z59" s="30">
        <f>G59*VLOOKUP(Z$51,tech_data!$B$2:$K$15,10,FALSE)*1000</f>
        <v>1711118.1075666645</v>
      </c>
      <c r="AA59" s="30">
        <f>H35*VLOOKUP(AA$51,tech_data!$B$2:$K$15,10,FALSE)/1000</f>
        <v>63.84541269882002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912135.73013589834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8324408.9786614981</v>
      </c>
      <c r="AK59" s="25">
        <f t="shared" si="60"/>
        <v>6.7000000760600378E-2</v>
      </c>
      <c r="AL59" s="24">
        <f t="shared" si="65"/>
        <v>5.2999999999999999E-2</v>
      </c>
      <c r="AM59" s="26"/>
      <c r="AN59" s="24"/>
      <c r="AO59" s="20" t="str">
        <f t="shared" si="56"/>
        <v>BALI_NT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94.482750929206802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14.862627155762976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81.769719082235824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4.6130521226769057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7.7062905830559458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13.444827350626966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0.80586686980896416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17.000926419321871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0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147.32090357220315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5.0048497553612049E-2</v>
      </c>
      <c r="BD59" s="30">
        <f t="shared" si="61"/>
        <v>382.05701258245307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1</v>
      </c>
      <c r="BK59" s="20" t="b">
        <f>$AQ$31&gt;=$AW$31</f>
        <v>1</v>
      </c>
      <c r="BL59" s="20" t="b">
        <f>$AQ$32&gt;=$AW$32</f>
        <v>0</v>
      </c>
      <c r="BM59" s="20" t="b">
        <f>$AQ$33&gt;=$AW$33</f>
        <v>1</v>
      </c>
      <c r="BN59" s="20" t="b">
        <f>$AQ$34&gt;=$AW$34</f>
        <v>1</v>
      </c>
      <c r="BO59" s="20" t="b">
        <f>$AQ$35&gt;=$AW$35</f>
        <v>0</v>
      </c>
      <c r="BP59" s="20" t="b">
        <f>$AQ$36&gt;=$AW$36</f>
        <v>0</v>
      </c>
      <c r="BQ59" s="20" t="b">
        <f>$AQ$37&gt;=$AW$37</f>
        <v>1</v>
      </c>
      <c r="BR59" s="20" t="b">
        <f>$AQ$38&gt;=$AW$38</f>
        <v>0</v>
      </c>
      <c r="BS59" s="20" t="b">
        <f>$AQ$39&gt;=$AW$39</f>
        <v>0</v>
      </c>
      <c r="BT59" s="20" t="b">
        <f>$AQ$40&gt;=$AW$40</f>
        <v>0</v>
      </c>
      <c r="BU59" s="20" t="b">
        <f>$AQ$41&gt;=$AW$41</f>
        <v>0</v>
      </c>
      <c r="BV59" s="20" t="b">
        <f>$AQ$42&gt;=$AW$42</f>
        <v>1</v>
      </c>
      <c r="BW59" s="20" t="b">
        <f>$AQ$43&gt;=$AW$43</f>
        <v>1</v>
      </c>
      <c r="BX59" s="20" t="b">
        <f>$AQ$44&gt;=$AW$44</f>
        <v>0</v>
      </c>
      <c r="BY59" s="20" t="b">
        <f>$AQ$45&gt;=$AW$45</f>
        <v>1</v>
      </c>
      <c r="BZ59" s="20" t="b">
        <f>$AQ$46&gt;=$AW$46</f>
        <v>1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BALI_NT</v>
      </c>
      <c r="C60" s="20">
        <f t="shared" si="52"/>
        <v>2027</v>
      </c>
      <c r="D60" s="30">
        <f>(bali_nt!D36*3.6/(VLOOKUP(D$51,tech_data!$B$2:$J$15,4,FALSE)/100))/1000</f>
        <v>40.803293785896777</v>
      </c>
      <c r="E60" s="30">
        <f>(bali_nt!E36*3.6/(VLOOKUP(E$51,tech_data!$B$2:$J$15,4,FALSE)/100))/1000</f>
        <v>22.718525526073186</v>
      </c>
      <c r="F60" s="30">
        <f>(bali_nt!F36*3.6/(VLOOKUP(F$51,tech_data!$B$2:$J$15,4,FALSE)/100))/1000</f>
        <v>8.7838113460981297</v>
      </c>
      <c r="G60" s="30">
        <f>(bali_nt!G36*3.6/(VLOOKUP(G$51,tech_data!$B$2:$J$15,4,FALSE)/100))/1000</f>
        <v>22.763311262028264</v>
      </c>
      <c r="H60" s="30">
        <f>(bali_nt!H36*3.6/(VLOOKUP(H$51,tech_data!$B$2:$J$15,4,FALSE)/100))/1000</f>
        <v>27.067477561767895</v>
      </c>
      <c r="I60" s="30">
        <f>(bali_nt!I36*3.6/(VLOOKUP(I$51,tech_data!$B$2:$J$15,4,FALSE)/100))/1000</f>
        <v>5.9808803902653729</v>
      </c>
      <c r="J60" s="30">
        <f>(bali_nt!J36*3.6/(VLOOKUP(J$51,tech_data!$B$2:$J$15,4,FALSE)/100))/1000</f>
        <v>0.42617265230769236</v>
      </c>
      <c r="K60" s="30">
        <f t="shared" ref="K60:L60" si="69">K36*3.6/1000</f>
        <v>0.98831852277769261</v>
      </c>
      <c r="L60" s="30">
        <f t="shared" si="69"/>
        <v>0</v>
      </c>
      <c r="M60" s="30">
        <f>(bali_nt!M36*3.6/(VLOOKUP(M$51,tech_data!$B$2:$J$15,4,FALSE)/100))/1000</f>
        <v>10.197322642191498</v>
      </c>
      <c r="N60" s="30">
        <f t="shared" si="58"/>
        <v>0</v>
      </c>
      <c r="O60" s="30">
        <f>(bali_nt!O36*3.6/(VLOOKUP(O$51,tech_data!$B$2:$J$15,4,FALSE)/100))/1000</f>
        <v>0</v>
      </c>
      <c r="P60" s="30">
        <f>(bali_nt!P36*3.6/(VLOOKUP(P$51,tech_data!$B$2:$J$15,4,FALSE)/100))/1000</f>
        <v>1.6639576386051003E-2</v>
      </c>
      <c r="Q60" s="30">
        <f t="shared" si="53"/>
        <v>139.72911368940652</v>
      </c>
      <c r="R60" s="30"/>
      <c r="T60" s="19"/>
      <c r="U60" s="20" t="str">
        <f t="shared" si="54"/>
        <v>BALI_NT</v>
      </c>
      <c r="V60" s="20">
        <f t="shared" si="54"/>
        <v>2027</v>
      </c>
      <c r="W60" s="30">
        <f>D60*VLOOKUP(W$51,tech_data!$B$2:$K$15,10,FALSE)*1000</f>
        <v>4068904.4563296265</v>
      </c>
      <c r="X60" s="30">
        <f>E60*VLOOKUP(X$51,tech_data!$B$2:$K$15,10,FALSE)*1000</f>
        <v>1410820.435169145</v>
      </c>
      <c r="Y60" s="30">
        <f>F60*VLOOKUP(Y$51,tech_data!$B$2:$K$15,10,FALSE)*1000</f>
        <v>545474.68459269381</v>
      </c>
      <c r="Z60" s="30">
        <f>G60*VLOOKUP(Z$51,tech_data!$B$2:$K$15,10,FALSE)*1000</f>
        <v>1711118.1075666645</v>
      </c>
      <c r="AA60" s="30">
        <f>H36*VLOOKUP(AA$51,tech_data!$B$2:$K$15,10,FALSE)/1000</f>
        <v>63.84541269882002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1145771.1720766367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8882152.701147465</v>
      </c>
      <c r="AK60" s="25">
        <f t="shared" si="60"/>
        <v>6.7000999580350745E-2</v>
      </c>
      <c r="AL60" s="24">
        <f t="shared" si="65"/>
        <v>5.2999999999999999E-2</v>
      </c>
      <c r="AM60" s="26"/>
      <c r="AN60" s="24"/>
      <c r="AO60" s="20" t="str">
        <f t="shared" si="56"/>
        <v>BALI_NT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91.404566233885447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84.090794300295585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11.726109606993194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4.6130521226769057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7.7062944380559468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13.444825236143622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0.80586686980896416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18.101012192162802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0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144.69739117072137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4.7993443210283038E-2</v>
      </c>
      <c r="BD60" s="30">
        <f t="shared" si="61"/>
        <v>376.63790561395416</v>
      </c>
      <c r="BE60" s="20">
        <v>2027</v>
      </c>
      <c r="BF60" s="23"/>
      <c r="BG60" s="19"/>
      <c r="BI60" s="20" t="b">
        <f>$AR$29&gt;=$AX$29</f>
        <v>1</v>
      </c>
      <c r="BJ60" s="20" t="b">
        <f>$AR$30&gt;=$AX$30</f>
        <v>1</v>
      </c>
      <c r="BK60" s="20" t="b">
        <f>$AR$31&gt;=$AX$31</f>
        <v>0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BALI_NT</v>
      </c>
      <c r="C61" s="20">
        <f t="shared" si="52"/>
        <v>2028</v>
      </c>
      <c r="D61" s="30">
        <f>(bali_nt!D37*3.6/(VLOOKUP(D$51,tech_data!$B$2:$J$15,4,FALSE)/100))/1000</f>
        <v>42.544942777710617</v>
      </c>
      <c r="E61" s="30">
        <f>(bali_nt!E37*3.6/(VLOOKUP(E$51,tech_data!$B$2:$J$15,4,FALSE)/100))/1000</f>
        <v>26.62258632713662</v>
      </c>
      <c r="F61" s="30">
        <f>(bali_nt!F37*3.6/(VLOOKUP(F$51,tech_data!$B$2:$J$15,4,FALSE)/100))/1000</f>
        <v>8.7838113290187856</v>
      </c>
      <c r="G61" s="30">
        <f>(bali_nt!G37*3.6/(VLOOKUP(G$51,tech_data!$B$2:$J$15,4,FALSE)/100))/1000</f>
        <v>22.763311262028264</v>
      </c>
      <c r="H61" s="30">
        <f>(bali_nt!H37*3.6/(VLOOKUP(H$51,tech_data!$B$2:$J$15,4,FALSE)/100))/1000</f>
        <v>27.0674773887242</v>
      </c>
      <c r="I61" s="30">
        <f>(bali_nt!I37*3.6/(VLOOKUP(I$51,tech_data!$B$2:$J$15,4,FALSE)/100))/1000</f>
        <v>5.9808803902653729</v>
      </c>
      <c r="J61" s="30">
        <f>(bali_nt!J37*3.6/(VLOOKUP(J$51,tech_data!$B$2:$J$15,4,FALSE)/100))/1000</f>
        <v>0.42617265230769236</v>
      </c>
      <c r="K61" s="30">
        <f t="shared" ref="K61:L61" si="70">K37*3.6/1000</f>
        <v>1.081815447096883</v>
      </c>
      <c r="L61" s="30">
        <f t="shared" si="70"/>
        <v>0</v>
      </c>
      <c r="M61" s="30">
        <f>(bali_nt!M37*3.6/(VLOOKUP(M$51,tech_data!$B$2:$J$15,4,FALSE)/100))/1000</f>
        <v>11.790281170536623</v>
      </c>
      <c r="N61" s="30">
        <f t="shared" si="58"/>
        <v>0</v>
      </c>
      <c r="O61" s="30">
        <f>(bali_nt!O37*3.6/(VLOOKUP(O$51,tech_data!$B$2:$J$15,4,FALSE)/100))/1000</f>
        <v>0</v>
      </c>
      <c r="P61" s="30">
        <f>(bali_nt!P37*3.6/(VLOOKUP(P$51,tech_data!$B$2:$J$15,4,FALSE)/100))/1000</f>
        <v>1.7478873672333455E-2</v>
      </c>
      <c r="Q61" s="30">
        <f t="shared" si="53"/>
        <v>147.06127874482505</v>
      </c>
      <c r="R61" s="30"/>
      <c r="T61" s="19"/>
      <c r="U61" s="20" t="str">
        <f t="shared" si="54"/>
        <v>BALI_NT</v>
      </c>
      <c r="V61" s="20">
        <f t="shared" si="54"/>
        <v>2028</v>
      </c>
      <c r="W61" s="30">
        <f>D61*VLOOKUP(W$51,tech_data!$B$2:$K$15,10,FALSE)*1000</f>
        <v>4242581.6937933024</v>
      </c>
      <c r="X61" s="30">
        <f>E61*VLOOKUP(X$51,tech_data!$B$2:$K$15,10,FALSE)*1000</f>
        <v>1653262.610915184</v>
      </c>
      <c r="Y61" s="30">
        <f>F61*VLOOKUP(Y$51,tech_data!$B$2:$K$15,10,FALSE)*1000</f>
        <v>545474.68353206664</v>
      </c>
      <c r="Z61" s="30">
        <f>G61*VLOOKUP(Z$51,tech_data!$B$2:$K$15,10,FALSE)*1000</f>
        <v>1711118.1075666645</v>
      </c>
      <c r="AA61" s="30">
        <f>H37*VLOOKUP(AA$51,tech_data!$B$2:$K$15,10,FALSE)/1000</f>
        <v>63.845412290653215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1324755.992321495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9477256.9335410036</v>
      </c>
      <c r="AK61" s="25">
        <f t="shared" si="60"/>
        <v>6.7000000159494935E-2</v>
      </c>
      <c r="AL61" s="24">
        <f t="shared" si="65"/>
        <v>5.2999999999999999E-2</v>
      </c>
      <c r="AM61" s="26"/>
      <c r="AN61" s="24"/>
      <c r="AO61" s="20" t="str">
        <f t="shared" si="56"/>
        <v>BALI_NT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100.65165478683436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113.87540031380111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11.726109584192812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4.6130521226769057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7.7062905337892333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13.444827312810288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0.80586686980896416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17.562191228440408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0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116.77144486183545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5.3831380299129067E-2</v>
      </c>
      <c r="BD61" s="30">
        <f t="shared" si="61"/>
        <v>387.21066899448863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BALI_NT</v>
      </c>
      <c r="C62" s="20">
        <f t="shared" si="52"/>
        <v>2029</v>
      </c>
      <c r="D62" s="30">
        <f>(bali_nt!D38*3.6/(VLOOKUP(D$51,tech_data!$B$2:$J$15,4,FALSE)/100))/1000</f>
        <v>44.305361347922833</v>
      </c>
      <c r="E62" s="30">
        <f>(bali_nt!E38*3.6/(VLOOKUP(E$51,tech_data!$B$2:$J$15,4,FALSE)/100))/1000</f>
        <v>26.62258632713662</v>
      </c>
      <c r="F62" s="30">
        <f>(bali_nt!F38*3.6/(VLOOKUP(F$51,tech_data!$B$2:$J$15,4,FALSE)/100))/1000</f>
        <v>10.291238041806647</v>
      </c>
      <c r="G62" s="30">
        <f>(bali_nt!G38*3.6/(VLOOKUP(G$51,tech_data!$B$2:$J$15,4,FALSE)/100))/1000</f>
        <v>22.763311262028264</v>
      </c>
      <c r="H62" s="30">
        <f>(bali_nt!H38*3.6/(VLOOKUP(H$51,tech_data!$B$2:$J$15,4,FALSE)/100))/1000</f>
        <v>27.067477215680505</v>
      </c>
      <c r="I62" s="30">
        <f>(bali_nt!I38*3.6/(VLOOKUP(I$51,tech_data!$B$2:$J$15,4,FALSE)/100))/1000</f>
        <v>5.9808803734427682</v>
      </c>
      <c r="J62" s="30">
        <f>(bali_nt!J38*3.6/(VLOOKUP(J$51,tech_data!$B$2:$J$15,4,FALSE)/100))/1000</f>
        <v>0.42617265230769236</v>
      </c>
      <c r="K62" s="30">
        <f t="shared" ref="K62:L62" si="71">K38*3.6/1000</f>
        <v>1.2268793649255512</v>
      </c>
      <c r="L62" s="30">
        <f t="shared" si="71"/>
        <v>0</v>
      </c>
      <c r="M62" s="30">
        <f>(bali_nt!M38*3.6/(VLOOKUP(M$51,tech_data!$B$2:$J$15,4,FALSE)/100))/1000</f>
        <v>15.046115569285572</v>
      </c>
      <c r="N62" s="30">
        <f t="shared" si="58"/>
        <v>0</v>
      </c>
      <c r="O62" s="30">
        <f>(bali_nt!O38*3.6/(VLOOKUP(O$51,tech_data!$B$2:$J$15,4,FALSE)/100))/1000</f>
        <v>0</v>
      </c>
      <c r="P62" s="30">
        <f>(bali_nt!P38*3.6/(VLOOKUP(P$51,tech_data!$B$2:$J$15,4,FALSE)/100))/1000</f>
        <v>1.8349829441268239E-2</v>
      </c>
      <c r="Q62" s="30">
        <f t="shared" si="53"/>
        <v>153.73002215453644</v>
      </c>
      <c r="R62" s="30"/>
      <c r="T62" s="19"/>
      <c r="U62" s="20" t="str">
        <f t="shared" si="54"/>
        <v>BALI_NT</v>
      </c>
      <c r="V62" s="20">
        <f t="shared" si="54"/>
        <v>2029</v>
      </c>
      <c r="W62" s="30">
        <f>D62*VLOOKUP(W$51,tech_data!$B$2:$K$15,10,FALSE)*1000</f>
        <v>4418130.6336148642</v>
      </c>
      <c r="X62" s="30">
        <f>E62*VLOOKUP(X$51,tech_data!$B$2:$K$15,10,FALSE)*1000</f>
        <v>1653262.610915184</v>
      </c>
      <c r="Y62" s="30">
        <f>F62*VLOOKUP(Y$51,tech_data!$B$2:$K$15,10,FALSE)*1000</f>
        <v>639085.88239619276</v>
      </c>
      <c r="Z62" s="30">
        <f>G62*VLOOKUP(Z$51,tech_data!$B$2:$K$15,10,FALSE)*1000</f>
        <v>1711118.1075666645</v>
      </c>
      <c r="AA62" s="30">
        <f>H38*VLOOKUP(AA$51,tech_data!$B$2:$K$15,10,FALSE)/1000</f>
        <v>63.845411882486395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1690581.5453649268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10112242.625269715</v>
      </c>
      <c r="AK62" s="25">
        <f t="shared" si="60"/>
        <v>6.7000999992036764E-2</v>
      </c>
      <c r="AL62" s="24">
        <f t="shared" si="65"/>
        <v>5.2999999999999999E-2</v>
      </c>
      <c r="AM62" s="26"/>
      <c r="AN62" s="24"/>
      <c r="AO62" s="20" t="str">
        <f t="shared" si="56"/>
        <v>BALI_NT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103.07058206310298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19.853251447776529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71.401825972746664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4.6130521226769057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7.7062904845225217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13.444825198326948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0.80586686980896416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26.511926081677778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0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225.19622111902837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5.5967696812882731E-2</v>
      </c>
      <c r="BD62" s="30">
        <f t="shared" si="61"/>
        <v>472.65980905648058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1</v>
      </c>
      <c r="BN62" s="20" t="b">
        <f>$AT$34&gt;=$AZ$34</f>
        <v>1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0</v>
      </c>
      <c r="BU62" s="20" t="b">
        <f>$AT$41&gt;=$AZ$41</f>
        <v>0</v>
      </c>
      <c r="BV62" s="20" t="b">
        <f>$AT$42&gt;=$AZ$42</f>
        <v>1</v>
      </c>
      <c r="BW62" s="20" t="b">
        <f>$AT$43&gt;=$AZ$43</f>
        <v>1</v>
      </c>
      <c r="BX62" s="20" t="b">
        <f>$AT$44&gt;=$AZ$44</f>
        <v>1</v>
      </c>
      <c r="BY62" s="20" t="b">
        <f>$AT$45&gt;=$AZ$45</f>
        <v>0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BALI_NT</v>
      </c>
      <c r="C63" s="20">
        <f t="shared" si="52"/>
        <v>2030</v>
      </c>
      <c r="D63" s="30">
        <f>(bali_nt!D39*3.6/(VLOOKUP(D$51,tech_data!$B$2:$J$15,4,FALSE)/100))/1000</f>
        <v>46.194299988973967</v>
      </c>
      <c r="E63" s="30">
        <f>(bali_nt!E39*3.6/(VLOOKUP(E$51,tech_data!$B$2:$J$15,4,FALSE)/100))/1000</f>
        <v>32.583144636456908</v>
      </c>
      <c r="F63" s="30">
        <f>(bali_nt!F39*3.6/(VLOOKUP(F$51,tech_data!$B$2:$J$15,4,FALSE)/100))/1000</f>
        <v>10.291238041806647</v>
      </c>
      <c r="G63" s="30">
        <f>(bali_nt!G39*3.6/(VLOOKUP(G$51,tech_data!$B$2:$J$15,4,FALSE)/100))/1000</f>
        <v>22.763311262028264</v>
      </c>
      <c r="H63" s="30">
        <f>(bali_nt!H39*3.6/(VLOOKUP(H$51,tech_data!$B$2:$J$15,4,FALSE)/100))/1000</f>
        <v>27.067477042636817</v>
      </c>
      <c r="I63" s="30">
        <f>(bali_nt!I39*3.6/(VLOOKUP(I$51,tech_data!$B$2:$J$15,4,FALSE)/100))/1000</f>
        <v>5.9808803734427682</v>
      </c>
      <c r="J63" s="30">
        <f>(bali_nt!J39*3.6/(VLOOKUP(J$51,tech_data!$B$2:$J$15,4,FALSE)/100))/1000</f>
        <v>0.42617265230769236</v>
      </c>
      <c r="K63" s="30">
        <f t="shared" ref="K63:L63" si="72">K39*3.6/1000</f>
        <v>1.2937573825578219</v>
      </c>
      <c r="L63" s="30">
        <f t="shared" si="72"/>
        <v>0</v>
      </c>
      <c r="M63" s="30">
        <f>(bali_nt!M39*3.6/(VLOOKUP(M$51,tech_data!$B$2:$J$15,4,FALSE)/100))/1000</f>
        <v>15.046115540281058</v>
      </c>
      <c r="N63" s="30">
        <f t="shared" si="58"/>
        <v>0</v>
      </c>
      <c r="O63" s="30">
        <f>(bali_nt!O39*3.6/(VLOOKUP(O$51,tech_data!$B$2:$J$15,4,FALSE)/100))/1000</f>
        <v>0</v>
      </c>
      <c r="P63" s="30">
        <f>(bali_nt!P39*3.6/(VLOOKUP(P$51,tech_data!$B$2:$J$15,4,FALSE)/100))/1000</f>
        <v>1.9265542834164436E-2</v>
      </c>
      <c r="Q63" s="30">
        <f t="shared" si="53"/>
        <v>161.64639692049195</v>
      </c>
      <c r="R63" s="30"/>
      <c r="T63" s="19"/>
      <c r="U63" s="20" t="str">
        <f t="shared" si="54"/>
        <v>BALI_NT</v>
      </c>
      <c r="V63" s="20">
        <f t="shared" si="54"/>
        <v>2030</v>
      </c>
      <c r="W63" s="30">
        <f>D63*VLOOKUP(W$51,tech_data!$B$2:$K$15,10,FALSE)*1000</f>
        <v>4606495.5949004842</v>
      </c>
      <c r="X63" s="30">
        <f>E63*VLOOKUP(X$51,tech_data!$B$2:$K$15,10,FALSE)*1000</f>
        <v>2023413.2819239739</v>
      </c>
      <c r="Y63" s="30">
        <f>F63*VLOOKUP(Y$51,tech_data!$B$2:$K$15,10,FALSE)*1000</f>
        <v>639085.88239619276</v>
      </c>
      <c r="Z63" s="30">
        <f>G63*VLOOKUP(Z$51,tech_data!$B$2:$K$15,10,FALSE)*1000</f>
        <v>1711118.1075666645</v>
      </c>
      <c r="AA63" s="30">
        <f>H39*VLOOKUP(AA$51,tech_data!$B$2:$K$15,10,FALSE)/1000</f>
        <v>63.84541147431959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1690581.5421059798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10670758.254304769</v>
      </c>
      <c r="AK63" s="25">
        <f t="shared" si="60"/>
        <v>5.5231628604258988E-2</v>
      </c>
      <c r="AL63" s="24">
        <f t="shared" si="65"/>
        <v>5.2999999999999999E-2</v>
      </c>
      <c r="AM63" s="26"/>
      <c r="AN63" s="24"/>
      <c r="AO63" s="20" t="str">
        <f t="shared" si="56"/>
        <v>BALI_NT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109.21631747419757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167.84733850644076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13.73847720979315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4.6130521226769057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7.7062904352558075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13.444827274993614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0.80586686980896416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13.410083330635807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0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22.39303305459903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5.8830197082382886E-2</v>
      </c>
      <c r="BD63" s="30">
        <f t="shared" si="61"/>
        <v>353.23411647548392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BALI_NT</v>
      </c>
      <c r="C64" s="20">
        <f t="shared" si="52"/>
        <v>2031</v>
      </c>
      <c r="D64" s="30">
        <f>(bali_nt!D40*3.6/(VLOOKUP(D$51,tech_data!$B$2:$J$15,4,FALSE)/100))/1000</f>
        <v>48.546372413788042</v>
      </c>
      <c r="E64" s="30">
        <f>(bali_nt!E40*3.6/(VLOOKUP(E$51,tech_data!$B$2:$J$15,4,FALSE)/100))/1000</f>
        <v>36.005292570109084</v>
      </c>
      <c r="F64" s="30">
        <f>(bali_nt!F40*3.6/(VLOOKUP(F$51,tech_data!$B$2:$J$15,4,FALSE)/100))/1000</f>
        <v>11.745201490509308</v>
      </c>
      <c r="G64" s="30">
        <f>(bali_nt!G40*3.6/(VLOOKUP(G$51,tech_data!$B$2:$J$15,4,FALSE)/100))/1000</f>
        <v>22.763311262028264</v>
      </c>
      <c r="H64" s="30">
        <f>(bali_nt!H40*3.6/(VLOOKUP(H$51,tech_data!$B$2:$J$15,4,FALSE)/100))/1000</f>
        <v>27.067477042636817</v>
      </c>
      <c r="I64" s="30">
        <f>(bali_nt!I40*3.6/(VLOOKUP(I$51,tech_data!$B$2:$J$15,4,FALSE)/100))/1000</f>
        <v>5.9808803734427682</v>
      </c>
      <c r="J64" s="30">
        <f>(bali_nt!J40*3.6/(VLOOKUP(J$51,tech_data!$B$2:$J$15,4,FALSE)/100))/1000</f>
        <v>0.42617265230769236</v>
      </c>
      <c r="K64" s="30">
        <f t="shared" ref="K64:L64" si="73">K40*3.6/1000</f>
        <v>1.4112211283710545</v>
      </c>
      <c r="L64" s="30">
        <f t="shared" si="73"/>
        <v>0</v>
      </c>
      <c r="M64" s="30">
        <f>(bali_nt!M40*3.6/(VLOOKUP(M$51,tech_data!$B$2:$J$15,4,FALSE)/100))/1000</f>
        <v>16.626621271781712</v>
      </c>
      <c r="N64" s="30">
        <f t="shared" si="58"/>
        <v>0</v>
      </c>
      <c r="O64" s="30">
        <f>(bali_nt!O40*3.6/(VLOOKUP(O$51,tech_data!$B$2:$J$15,4,FALSE)/100))/1000</f>
        <v>0</v>
      </c>
      <c r="P64" s="30">
        <f>(bali_nt!P40*3.6/(VLOOKUP(P$51,tech_data!$B$2:$J$15,4,FALSE)/100))/1000</f>
        <v>2.0397576996249167E-2</v>
      </c>
      <c r="Q64" s="30">
        <f t="shared" si="53"/>
        <v>170.57255020497476</v>
      </c>
      <c r="R64" s="30"/>
      <c r="T64" s="19"/>
      <c r="U64" s="20" t="str">
        <f t="shared" si="54"/>
        <v>BALI_NT</v>
      </c>
      <c r="V64" s="20">
        <f t="shared" si="54"/>
        <v>2031</v>
      </c>
      <c r="W64" s="30">
        <f>D64*VLOOKUP(W$51,tech_data!$B$2:$K$15,10,FALSE)*1000</f>
        <v>4841044.257102943</v>
      </c>
      <c r="X64" s="30">
        <f>E64*VLOOKUP(X$51,tech_data!$B$2:$K$15,10,FALSE)*1000</f>
        <v>2235928.6686037742</v>
      </c>
      <c r="Y64" s="30">
        <f>F64*VLOOKUP(Y$51,tech_data!$B$2:$K$15,10,FALSE)*1000</f>
        <v>729377.01256062801</v>
      </c>
      <c r="Z64" s="30">
        <f>G64*VLOOKUP(Z$51,tech_data!$B$2:$K$15,10,FALSE)*1000</f>
        <v>1711118.1075666645</v>
      </c>
      <c r="AA64" s="30">
        <f>H40*VLOOKUP(AA$51,tech_data!$B$2:$K$15,10,FALSE)/1000</f>
        <v>63.84541147431959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1868167.1660973933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11385699.057342878</v>
      </c>
      <c r="AK64" s="25">
        <f t="shared" si="60"/>
        <v>6.6999999999970916E-2</v>
      </c>
      <c r="AL64" s="24">
        <f t="shared" si="65"/>
        <v>5.2999999999999999E-2</v>
      </c>
      <c r="AM64" s="26"/>
      <c r="AN64" s="24"/>
      <c r="AO64" s="20" t="str">
        <f t="shared" si="56"/>
        <v>BALI_NT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126.79762622503637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109.26637422616675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71.297699637073634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4.6130521226769057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7.7062942902558085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13.444827274993614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0.80586686980896416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22.149005784985647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0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123.19366380411627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7.1018858689718314E-2</v>
      </c>
      <c r="BD64" s="30">
        <f t="shared" si="61"/>
        <v>479.34542909380366</v>
      </c>
      <c r="BE64" s="20">
        <v>2031</v>
      </c>
      <c r="BF64" s="23"/>
      <c r="BG64" s="19"/>
      <c r="BI64" s="20" t="b">
        <f>$BO$29&gt;=$BN$29</f>
        <v>0</v>
      </c>
      <c r="BJ64" s="20" t="b">
        <f>$BO$30&gt;=$BN$30</f>
        <v>0</v>
      </c>
      <c r="BK64" s="20" t="b">
        <f>$BO$31&gt;=$BN$31</f>
        <v>0</v>
      </c>
      <c r="BL64" s="20" t="b">
        <f>$BO$32&gt;=$BN$32</f>
        <v>0</v>
      </c>
      <c r="BM64" s="20" t="b">
        <f>$BO$33&gt;=$BN$33</f>
        <v>0</v>
      </c>
      <c r="BN64" s="20" t="b">
        <f>$BO$34&gt;=$BN$34</f>
        <v>0</v>
      </c>
      <c r="BO64" s="20" t="b">
        <f>$BO$35&gt;=$BN$35</f>
        <v>0</v>
      </c>
      <c r="BP64" s="20" t="b">
        <f>$BO$36&gt;=$BN$36</f>
        <v>0</v>
      </c>
      <c r="BQ64" s="20" t="b">
        <f>$BO$37&gt;=$BN$37</f>
        <v>0</v>
      </c>
      <c r="BR64" s="20" t="b">
        <f>$BO$38&gt;=$BN$38</f>
        <v>0</v>
      </c>
      <c r="BS64" s="20" t="b">
        <f>$BO$39&gt;=$BN$39</f>
        <v>0</v>
      </c>
      <c r="BT64" s="20" t="b">
        <f>$BO$40&gt;=$BN$40</f>
        <v>0</v>
      </c>
      <c r="BU64" s="20" t="b">
        <f>$BO$41&gt;=$BN$41</f>
        <v>0</v>
      </c>
      <c r="BV64" s="20" t="b">
        <f>$BO$42&gt;=$BN$42</f>
        <v>0</v>
      </c>
      <c r="BW64" s="20" t="b">
        <f>$BO$43&gt;=$BN$43</f>
        <v>0</v>
      </c>
      <c r="BX64" s="20" t="b">
        <f>$BO$44&gt;=$BN$44</f>
        <v>0</v>
      </c>
      <c r="BY64" s="20" t="b">
        <f>$BO$45&gt;=$BN$45</f>
        <v>0</v>
      </c>
      <c r="BZ64" s="20" t="b">
        <f>$BO$46&gt;=$BN$46</f>
        <v>0</v>
      </c>
      <c r="CA64" s="20" t="b">
        <f>$BO$47&gt;=$BN$47</f>
        <v>0</v>
      </c>
      <c r="CD64" s="23"/>
    </row>
    <row r="65" spans="1:82" x14ac:dyDescent="0.25">
      <c r="A65" s="19"/>
      <c r="B65" s="20" t="str">
        <f t="shared" si="52"/>
        <v>BALI_NT</v>
      </c>
      <c r="C65" s="20">
        <f t="shared" si="52"/>
        <v>2032</v>
      </c>
      <c r="D65" s="30">
        <f>(bali_nt!D41*3.6/(VLOOKUP(D$51,tech_data!$B$2:$J$15,4,FALSE)/100))/1000</f>
        <v>51.034431723586444</v>
      </c>
      <c r="E65" s="30">
        <f>(bali_nt!E41*3.6/(VLOOKUP(E$51,tech_data!$B$2:$J$15,4,FALSE)/100))/1000</f>
        <v>40.729349876097487</v>
      </c>
      <c r="F65" s="30">
        <f>(bali_nt!F41*3.6/(VLOOKUP(F$51,tech_data!$B$2:$J$15,4,FALSE)/100))/1000</f>
        <v>11.745201490509308</v>
      </c>
      <c r="G65" s="30">
        <f>(bali_nt!G41*3.6/(VLOOKUP(G$51,tech_data!$B$2:$J$15,4,FALSE)/100))/1000</f>
        <v>22.763311262028264</v>
      </c>
      <c r="H65" s="30">
        <f>(bali_nt!H41*3.6/(VLOOKUP(H$51,tech_data!$B$2:$J$15,4,FALSE)/100))/1000</f>
        <v>27.067477042636817</v>
      </c>
      <c r="I65" s="30">
        <f>(bali_nt!I41*3.6/(VLOOKUP(I$51,tech_data!$B$2:$J$15,4,FALSE)/100))/1000</f>
        <v>6.7360948007682184</v>
      </c>
      <c r="J65" s="30">
        <f>(bali_nt!J41*3.6/(VLOOKUP(J$51,tech_data!$B$2:$J$15,4,FALSE)/100))/1000</f>
        <v>0.42617265230769236</v>
      </c>
      <c r="K65" s="30">
        <f t="shared" ref="K65:L65" si="74">K41*3.6/1000</f>
        <v>1.5887612397229642</v>
      </c>
      <c r="L65" s="30">
        <f t="shared" si="74"/>
        <v>0</v>
      </c>
      <c r="M65" s="30">
        <f>(bali_nt!M41*3.6/(VLOOKUP(M$51,tech_data!$B$2:$J$15,4,FALSE)/100))/1000</f>
        <v>17.522243246312694</v>
      </c>
      <c r="N65" s="30">
        <f t="shared" si="58"/>
        <v>0</v>
      </c>
      <c r="O65" s="30">
        <f>(bali_nt!O41*3.6/(VLOOKUP(O$51,tech_data!$B$2:$J$15,4,FALSE)/100))/1000</f>
        <v>0</v>
      </c>
      <c r="P65" s="30">
        <f>(bali_nt!P41*3.6/(VLOOKUP(P$51,tech_data!$B$2:$J$15,4,FALSE)/100))/1000</f>
        <v>2.1616534542199608E-2</v>
      </c>
      <c r="Q65" s="30">
        <f t="shared" si="53"/>
        <v>179.6130433339699</v>
      </c>
      <c r="R65" s="30"/>
      <c r="T65" s="19"/>
      <c r="U65" s="20" t="str">
        <f t="shared" si="54"/>
        <v>BALI_NT</v>
      </c>
      <c r="V65" s="20">
        <f t="shared" si="54"/>
        <v>2032</v>
      </c>
      <c r="W65" s="30">
        <f>D65*VLOOKUP(W$51,tech_data!$B$2:$K$15,10,FALSE)*1000</f>
        <v>5089153.5314760404</v>
      </c>
      <c r="X65" s="30">
        <f>E65*VLOOKUP(X$51,tech_data!$B$2:$K$15,10,FALSE)*1000</f>
        <v>2529292.6273056543</v>
      </c>
      <c r="Y65" s="30">
        <f>F65*VLOOKUP(Y$51,tech_data!$B$2:$K$15,10,FALSE)*1000</f>
        <v>729377.01256062801</v>
      </c>
      <c r="Z65" s="30">
        <f>G65*VLOOKUP(Z$51,tech_data!$B$2:$K$15,10,FALSE)*1000</f>
        <v>1711118.1075666645</v>
      </c>
      <c r="AA65" s="30">
        <f>H41*VLOOKUP(AA$51,tech_data!$B$2:$K$15,10,FALSE)/1000</f>
        <v>63.84541147431959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1968799.2511556942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12027804.375476155</v>
      </c>
      <c r="AK65" s="25">
        <f t="shared" si="60"/>
        <v>5.6395774637936748E-2</v>
      </c>
      <c r="AL65" s="24">
        <f t="shared" si="65"/>
        <v>5.2999999999999999E-2</v>
      </c>
      <c r="AM65" s="26"/>
      <c r="AN65" s="24"/>
      <c r="AO65" s="20" t="str">
        <f t="shared" si="56"/>
        <v>BALI_NT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133.80193614464605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144.14334477063417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15.67947241588276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4.6130521226769057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7.7062942902558085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108.36998039136223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0.80586686980896416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32.589513117555029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0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81.865778936266011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7.6298479143136505E-2</v>
      </c>
      <c r="BD65" s="30">
        <f t="shared" si="61"/>
        <v>529.65153753823108</v>
      </c>
      <c r="BE65" s="20">
        <v>2032</v>
      </c>
      <c r="BF65" s="23"/>
      <c r="BG65" s="19"/>
      <c r="BI65" s="20" t="b">
        <f>$BR$29&gt;=$BQ$29</f>
        <v>0</v>
      </c>
      <c r="BJ65" s="20" t="b">
        <f>$BR$30&gt;=$BQ$30</f>
        <v>0</v>
      </c>
      <c r="BK65" s="20" t="b">
        <f>$BR$31&gt;=$BQ$31</f>
        <v>0</v>
      </c>
      <c r="BL65" s="20" t="b">
        <f>$BR$32&gt;=$BQ$32</f>
        <v>0</v>
      </c>
      <c r="BM65" s="20" t="b">
        <f>$BR$33&gt;=$BQ$33</f>
        <v>0</v>
      </c>
      <c r="BN65" s="20" t="b">
        <f>$BR$34&gt;=$BQ$34</f>
        <v>0</v>
      </c>
      <c r="BO65" s="20" t="b">
        <f>$BR$35&gt;=$BQ$35</f>
        <v>0</v>
      </c>
      <c r="BP65" s="20" t="b">
        <f>$BR$36&gt;=$BQ$36</f>
        <v>0</v>
      </c>
      <c r="BQ65" s="20" t="b">
        <f>$BR$37&gt;=$BQ$37</f>
        <v>0</v>
      </c>
      <c r="BR65" s="20" t="b">
        <f>$BR$38&gt;=$BQ$38</f>
        <v>0</v>
      </c>
      <c r="BS65" s="20" t="b">
        <f>$BR$39&gt;=$BQ$39</f>
        <v>0</v>
      </c>
      <c r="BT65" s="20" t="b">
        <f>$BR$40&gt;=$BQ$40</f>
        <v>0</v>
      </c>
      <c r="BU65" s="20" t="b">
        <f>$BR$41&gt;=$BQ$41</f>
        <v>0</v>
      </c>
      <c r="BV65" s="20" t="b">
        <f>$BR$42&gt;=$BQ$42</f>
        <v>0</v>
      </c>
      <c r="BW65" s="20" t="b">
        <f>$BR$43&gt;=$BQ$43</f>
        <v>0</v>
      </c>
      <c r="BX65" s="20" t="b">
        <f>$BR$44&gt;=$BQ$44</f>
        <v>0</v>
      </c>
      <c r="BY65" s="20" t="b">
        <f>$BR$45&gt;=$BQ$45</f>
        <v>0</v>
      </c>
      <c r="BZ65" s="20" t="b">
        <f>$BR$46&gt;=$BQ$46</f>
        <v>0</v>
      </c>
      <c r="CA65" s="20" t="b">
        <f>$BR$47&gt;=$BQ$47</f>
        <v>0</v>
      </c>
      <c r="CD65" s="23"/>
    </row>
    <row r="66" spans="1:82" x14ac:dyDescent="0.25">
      <c r="A66" s="19"/>
      <c r="B66" s="20" t="str">
        <f t="shared" si="52"/>
        <v>BALI_NT</v>
      </c>
      <c r="C66" s="20">
        <f t="shared" si="52"/>
        <v>2033</v>
      </c>
      <c r="D66" s="30">
        <f>(bali_nt!D42*3.6/(VLOOKUP(D$51,tech_data!$B$2:$J$15,4,FALSE)/100))/1000</f>
        <v>53.160393103448271</v>
      </c>
      <c r="E66" s="30">
        <f>(bali_nt!E42*3.6/(VLOOKUP(E$51,tech_data!$B$2:$J$15,4,FALSE)/100))/1000</f>
        <v>40.729349876097487</v>
      </c>
      <c r="F66" s="30">
        <f>(bali_nt!F42*3.6/(VLOOKUP(F$51,tech_data!$B$2:$J$15,4,FALSE)/100))/1000</f>
        <v>14.271268425683965</v>
      </c>
      <c r="G66" s="30">
        <f>(bali_nt!G42*3.6/(VLOOKUP(G$51,tech_data!$B$2:$J$15,4,FALSE)/100))/1000</f>
        <v>22.763311222919405</v>
      </c>
      <c r="H66" s="30">
        <f>(bali_nt!H42*3.6/(VLOOKUP(H$51,tech_data!$B$2:$J$15,4,FALSE)/100))/1000</f>
        <v>27.067476869593122</v>
      </c>
      <c r="I66" s="30">
        <f>(bali_nt!I42*3.6/(VLOOKUP(I$51,tech_data!$B$2:$J$15,4,FALSE)/100))/1000</f>
        <v>7.5388810245274147</v>
      </c>
      <c r="J66" s="30">
        <f>(bali_nt!J42*3.6/(VLOOKUP(J$51,tech_data!$B$2:$J$15,4,FALSE)/100))/1000</f>
        <v>0.42617265230769236</v>
      </c>
      <c r="K66" s="30">
        <f t="shared" ref="K66:L66" si="75">K42*3.6/1000</f>
        <v>1.7721155150484962</v>
      </c>
      <c r="L66" s="30">
        <f t="shared" si="75"/>
        <v>0</v>
      </c>
      <c r="M66" s="30">
        <f>(bali_nt!M42*3.6/(VLOOKUP(M$51,tech_data!$B$2:$J$15,4,FALSE)/100))/1000</f>
        <v>17.970054233578182</v>
      </c>
      <c r="N66" s="30">
        <f t="shared" si="58"/>
        <v>0</v>
      </c>
      <c r="O66" s="30">
        <f>(bali_nt!O42*3.6/(VLOOKUP(O$51,tech_data!$B$2:$J$15,4,FALSE)/100))/1000</f>
        <v>0</v>
      </c>
      <c r="P66" s="30">
        <f>(bali_nt!P42*3.6/(VLOOKUP(P$51,tech_data!$B$2:$J$15,4,FALSE)/100))/1000</f>
        <v>2.2701857869581295E-2</v>
      </c>
      <c r="Q66" s="30">
        <f t="shared" si="53"/>
        <v>185.69902292320404</v>
      </c>
      <c r="R66" s="30"/>
      <c r="T66" s="19"/>
      <c r="U66" s="20" t="str">
        <f t="shared" si="54"/>
        <v>BALI_NT</v>
      </c>
      <c r="V66" s="20">
        <f t="shared" si="54"/>
        <v>2033</v>
      </c>
      <c r="W66" s="30">
        <f>D66*VLOOKUP(W$51,tech_data!$B$2:$K$15,10,FALSE)*1000</f>
        <v>5301154.4002758618</v>
      </c>
      <c r="X66" s="30">
        <f>E66*VLOOKUP(X$51,tech_data!$B$2:$K$15,10,FALSE)*1000</f>
        <v>2529292.6273056543</v>
      </c>
      <c r="Y66" s="30">
        <f>F66*VLOOKUP(Y$51,tech_data!$B$2:$K$15,10,FALSE)*1000</f>
        <v>886245.76923497429</v>
      </c>
      <c r="Z66" s="30">
        <f>G66*VLOOKUP(Z$51,tech_data!$B$2:$K$15,10,FALSE)*1000</f>
        <v>1711118.1046268519</v>
      </c>
      <c r="AA66" s="30">
        <f>H42*VLOOKUP(AA$51,tech_data!$B$2:$K$15,10,FALSE)/1000</f>
        <v>63.845411066152778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2019115.2936848446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12446990.040539252</v>
      </c>
      <c r="AK66" s="25">
        <f t="shared" si="60"/>
        <v>3.4851387001087766E-2</v>
      </c>
      <c r="AL66" s="24">
        <f t="shared" si="65"/>
        <v>5.2999999999999999E-2</v>
      </c>
      <c r="AM66" s="26"/>
      <c r="AN66" s="24"/>
      <c r="AO66" s="20" t="str">
        <f t="shared" si="56"/>
        <v>BALI_NT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124.11938804533169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30.37308300773191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115.68091930070821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4.6130513214180473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7.7062903859890968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116.04711913828828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0.80586686980896416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33.870932336104779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0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54.638483342388916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6.9660807095813196E-2</v>
      </c>
      <c r="BD66" s="30">
        <f t="shared" si="61"/>
        <v>487.92479455486568</v>
      </c>
      <c r="BE66" s="20">
        <v>2033</v>
      </c>
      <c r="BF66" s="23"/>
      <c r="BG66" s="19"/>
      <c r="BI66" s="20" t="b">
        <f>$BU$29&gt;=$BT$29</f>
        <v>0</v>
      </c>
      <c r="BJ66" s="20" t="b">
        <f>$BU$30&gt;=$BT$30</f>
        <v>0</v>
      </c>
      <c r="BK66" s="20" t="b">
        <f>$BU$31&gt;=$BT$31</f>
        <v>0</v>
      </c>
      <c r="BL66" s="20" t="b">
        <f>$BU$32&gt;=$BT$32</f>
        <v>0</v>
      </c>
      <c r="BM66" s="20" t="b">
        <f>$BU$33&gt;=$BT$33</f>
        <v>0</v>
      </c>
      <c r="BN66" s="20" t="b">
        <f>$BU$34&gt;=$BT$34</f>
        <v>0</v>
      </c>
      <c r="BO66" s="20" t="b">
        <f>$BU$35&gt;=$BT$35</f>
        <v>0</v>
      </c>
      <c r="BP66" s="20" t="b">
        <f>$BU$36&gt;=$BT$36</f>
        <v>0</v>
      </c>
      <c r="BQ66" s="20" t="b">
        <f>$BU$37&gt;=$BT$37</f>
        <v>0</v>
      </c>
      <c r="BR66" s="20" t="b">
        <f>$BU$38&gt;=$BT$38</f>
        <v>0</v>
      </c>
      <c r="BS66" s="20" t="b">
        <f>$BU$39&gt;=$BT$39</f>
        <v>0</v>
      </c>
      <c r="BT66" s="20" t="b">
        <f>$BU$40&gt;=$BT$40</f>
        <v>0</v>
      </c>
      <c r="BU66" s="20" t="b">
        <f>$BU$41&gt;=$BT$41</f>
        <v>0</v>
      </c>
      <c r="BV66" s="20" t="b">
        <f>$BU$42&gt;=$BT$42</f>
        <v>0</v>
      </c>
      <c r="BW66" s="20" t="b">
        <f>$BU$43&gt;=$BT$43</f>
        <v>0</v>
      </c>
      <c r="BX66" s="20" t="b">
        <f>$BU$44&gt;=$BT$44</f>
        <v>0</v>
      </c>
      <c r="BY66" s="20" t="b">
        <f>$BU$45&gt;=$BT$45</f>
        <v>0</v>
      </c>
      <c r="BZ66" s="20" t="b">
        <f>$BU$46&gt;=$BT$46</f>
        <v>0</v>
      </c>
      <c r="CA66" s="20" t="b">
        <f>$BU$47&gt;=$BT$47</f>
        <v>0</v>
      </c>
      <c r="CD66" s="23"/>
    </row>
    <row r="67" spans="1:82" x14ac:dyDescent="0.25">
      <c r="A67" s="19"/>
      <c r="B67" s="20" t="str">
        <f t="shared" si="52"/>
        <v>BALI_NT</v>
      </c>
      <c r="C67" s="20">
        <f t="shared" si="52"/>
        <v>2034</v>
      </c>
      <c r="D67" s="30">
        <f>(bali_nt!D43*3.6/(VLOOKUP(D$51,tech_data!$B$2:$J$15,4,FALSE)/100))/1000</f>
        <v>55.905138594844587</v>
      </c>
      <c r="E67" s="30">
        <f>(bali_nt!E43*3.6/(VLOOKUP(E$51,tech_data!$B$2:$J$15,4,FALSE)/100))/1000</f>
        <v>45.992115057605346</v>
      </c>
      <c r="F67" s="30">
        <f>(bali_nt!F43*3.6/(VLOOKUP(F$51,tech_data!$B$2:$J$15,4,FALSE)/100))/1000</f>
        <v>14.271268425683965</v>
      </c>
      <c r="G67" s="30">
        <f>(bali_nt!G43*3.6/(VLOOKUP(G$51,tech_data!$B$2:$J$15,4,FALSE)/100))/1000</f>
        <v>22.763311222919405</v>
      </c>
      <c r="H67" s="30">
        <f>(bali_nt!H43*3.6/(VLOOKUP(H$51,tech_data!$B$2:$J$15,4,FALSE)/100))/1000</f>
        <v>27.067476696549438</v>
      </c>
      <c r="I67" s="30">
        <f>(bali_nt!I43*3.6/(VLOOKUP(I$51,tech_data!$B$2:$J$15,4,FALSE)/100))/1000</f>
        <v>8.6397309530836086</v>
      </c>
      <c r="J67" s="30">
        <f>(bali_nt!J43*3.6/(VLOOKUP(J$51,tech_data!$B$2:$J$15,4,FALSE)/100))/1000</f>
        <v>0.42617265230769236</v>
      </c>
      <c r="K67" s="30">
        <f t="shared" ref="K67:L67" si="76">K43*3.6/1000</f>
        <v>1.9953428352262852</v>
      </c>
      <c r="L67" s="30">
        <f t="shared" si="76"/>
        <v>0</v>
      </c>
      <c r="M67" s="30">
        <f>(bali_nt!M43*3.6/(VLOOKUP(M$51,tech_data!$B$2:$J$15,4,FALSE)/100))/1000</f>
        <v>18.193959727210927</v>
      </c>
      <c r="N67" s="30">
        <f t="shared" si="58"/>
        <v>0</v>
      </c>
      <c r="O67" s="30">
        <f>(bali_nt!O43*3.6/(VLOOKUP(O$51,tech_data!$B$2:$J$15,4,FALSE)/100))/1000</f>
        <v>0</v>
      </c>
      <c r="P67" s="30">
        <f>(bali_nt!P43*3.6/(VLOOKUP(P$51,tech_data!$B$2:$J$15,4,FALSE)/100))/1000</f>
        <v>2.4072805071246064E-2</v>
      </c>
      <c r="Q67" s="30">
        <f t="shared" si="53"/>
        <v>195.25451616543128</v>
      </c>
      <c r="R67" s="30"/>
      <c r="T67" s="19"/>
      <c r="U67" s="20" t="str">
        <f t="shared" si="54"/>
        <v>BALI_NT</v>
      </c>
      <c r="V67" s="20">
        <f t="shared" si="54"/>
        <v>2034</v>
      </c>
      <c r="W67" s="30">
        <f>D67*VLOOKUP(W$51,tech_data!$B$2:$K$15,10,FALSE)*1000</f>
        <v>5574860.4206779022</v>
      </c>
      <c r="X67" s="30">
        <f>E67*VLOOKUP(X$51,tech_data!$B$2:$K$15,10,FALSE)*1000</f>
        <v>2856110.3450772921</v>
      </c>
      <c r="Y67" s="30">
        <f>F67*VLOOKUP(Y$51,tech_data!$B$2:$K$15,10,FALSE)*1000</f>
        <v>886245.76923497429</v>
      </c>
      <c r="Z67" s="30">
        <f>G67*VLOOKUP(Z$51,tech_data!$B$2:$K$15,10,FALSE)*1000</f>
        <v>1711118.1046268519</v>
      </c>
      <c r="AA67" s="30">
        <f>H43*VLOOKUP(AA$51,tech_data!$B$2:$K$15,10,FALSE)/1000</f>
        <v>63.845410657985987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2044273.3149494198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13072671.799977098</v>
      </c>
      <c r="AK67" s="25">
        <f t="shared" si="60"/>
        <v>5.0267715921683109E-2</v>
      </c>
      <c r="AL67" s="24">
        <f t="shared" si="65"/>
        <v>5.2999999999999999E-2</v>
      </c>
      <c r="AM67" s="26"/>
      <c r="AN67" s="24"/>
      <c r="AO67" s="20" t="str">
        <f t="shared" si="56"/>
        <v>BALI_NT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147.2017532166989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161.04173651683504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19.051691859095314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4.6130521147513797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7.7062903367223869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155.3162725863408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0.80586686980896416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40.972233380956752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0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41.024835545450365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8.5692517605323995E-2</v>
      </c>
      <c r="BD67" s="30">
        <f t="shared" si="61"/>
        <v>577.81942494426517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BALI_NT</v>
      </c>
      <c r="C68" s="20">
        <f t="shared" si="77"/>
        <v>2035</v>
      </c>
      <c r="D68" s="30">
        <f>(bali_nt!D44*3.6/(VLOOKUP(D$51,tech_data!$B$2:$J$15,4,FALSE)/100))/1000</f>
        <v>58.514399968772288</v>
      </c>
      <c r="E68" s="30">
        <f>(bali_nt!E44*3.6/(VLOOKUP(E$51,tech_data!$B$2:$J$15,4,FALSE)/100))/1000</f>
        <v>45.992115027432121</v>
      </c>
      <c r="F68" s="30">
        <f>(bali_nt!F44*3.6/(VLOOKUP(F$51,tech_data!$B$2:$J$15,4,FALSE)/100))/1000</f>
        <v>17.372549618977999</v>
      </c>
      <c r="G68" s="30">
        <f>(bali_nt!G44*3.6/(VLOOKUP(G$51,tech_data!$B$2:$J$15,4,FALSE)/100))/1000</f>
        <v>22.763311222919405</v>
      </c>
      <c r="H68" s="30">
        <f>(bali_nt!H44*3.6/(VLOOKUP(H$51,tech_data!$B$2:$J$15,4,FALSE)/100))/1000</f>
        <v>27.933368206284825</v>
      </c>
      <c r="I68" s="30">
        <f>(bali_nt!I44*3.6/(VLOOKUP(I$51,tech_data!$B$2:$J$15,4,FALSE)/100))/1000</f>
        <v>9.6299206489466656</v>
      </c>
      <c r="J68" s="30">
        <f>(bali_nt!J44*3.6/(VLOOKUP(J$51,tech_data!$B$2:$J$15,4,FALSE)/100))/1000</f>
        <v>0.42617265230769236</v>
      </c>
      <c r="K68" s="30">
        <f t="shared" ref="K68:L68" si="78">K44*3.6/1000</f>
        <v>2.2358669143825005</v>
      </c>
      <c r="L68" s="30">
        <f t="shared" si="78"/>
        <v>0</v>
      </c>
      <c r="M68" s="30">
        <f>(bali_nt!M44*3.6/(VLOOKUP(M$51,tech_data!$B$2:$J$15,4,FALSE)/100))/1000</f>
        <v>18.305912474027298</v>
      </c>
      <c r="N68" s="30">
        <f t="shared" si="58"/>
        <v>-3.5999999999406096E-9</v>
      </c>
      <c r="O68" s="30">
        <f>(bali_nt!O44*3.6/(VLOOKUP(O$51,tech_data!$B$2:$J$15,4,FALSE)/100))/1000</f>
        <v>0</v>
      </c>
      <c r="P68" s="30">
        <f>(bali_nt!P44*3.6/(VLOOKUP(P$51,tech_data!$B$2:$J$15,4,FALSE)/100))/1000</f>
        <v>2.5409304822730273E-2</v>
      </c>
      <c r="Q68" s="30">
        <f t="shared" si="53"/>
        <v>203.17361673045079</v>
      </c>
      <c r="R68" s="30"/>
      <c r="T68" s="19"/>
      <c r="U68" s="20" t="str">
        <f t="shared" si="54"/>
        <v>BALI_NT</v>
      </c>
      <c r="V68" s="20">
        <f t="shared" si="54"/>
        <v>2035</v>
      </c>
      <c r="W68" s="30">
        <f>D68*VLOOKUP(W$51,tech_data!$B$2:$K$15,10,FALSE)*1000</f>
        <v>5835055.9648859724</v>
      </c>
      <c r="X68" s="30">
        <f>E68*VLOOKUP(X$51,tech_data!$B$2:$K$15,10,FALSE)*1000</f>
        <v>2856110.3432035348</v>
      </c>
      <c r="Y68" s="30">
        <f>F68*VLOOKUP(Y$51,tech_data!$B$2:$K$15,10,FALSE)*1000</f>
        <v>1078835.3313385337</v>
      </c>
      <c r="Z68" s="30">
        <f>G68*VLOOKUP(Z$51,tech_data!$B$2:$K$15,10,FALSE)*1000</f>
        <v>1711118.1046268519</v>
      </c>
      <c r="AA68" s="30">
        <f>H44*VLOOKUP(AA$51,tech_data!$B$2:$K$15,10,FALSE)/1000</f>
        <v>65.887832256574328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2056852.3255817073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13538037.957468856</v>
      </c>
      <c r="AK68" s="25">
        <f t="shared" si="60"/>
        <v>3.5598396763282449E-2</v>
      </c>
      <c r="AL68" s="24">
        <f t="shared" si="65"/>
        <v>5.2999999999999999E-2</v>
      </c>
      <c r="AM68" s="26"/>
      <c r="AN68" s="24"/>
      <c r="AO68" s="20" t="str">
        <f t="shared" si="56"/>
        <v>BALI_NT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145.43768945676277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34.297682189434852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141.82460900060337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4.6130521147513797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27.242813282836497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143.88173333037602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0.80586686980896416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44.2870743717137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0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34.21801164698109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-1.6482270706824052E-6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8.4509665014479859E-2</v>
      </c>
      <c r="BD68" s="30">
        <f t="shared" si="61"/>
        <v>576.69304028005604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1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1</v>
      </c>
      <c r="CA68" s="20" t="b">
        <f>$Q$47=$R$47</f>
        <v>1</v>
      </c>
      <c r="CD68" s="23"/>
    </row>
    <row r="69" spans="1:82" x14ac:dyDescent="0.25">
      <c r="A69" s="19"/>
      <c r="B69" s="20" t="str">
        <f t="shared" si="77"/>
        <v>BALI_NT</v>
      </c>
      <c r="C69" s="20">
        <f t="shared" si="77"/>
        <v>2036</v>
      </c>
      <c r="D69" s="30">
        <f>(bali_nt!D45*3.6/(VLOOKUP(D$51,tech_data!$B$2:$J$15,4,FALSE)/100))/1000</f>
        <v>61.280019312043919</v>
      </c>
      <c r="E69" s="30">
        <f>(bali_nt!E45*3.6/(VLOOKUP(E$51,tech_data!$B$2:$J$15,4,FALSE)/100))/1000</f>
        <v>51.391396334004845</v>
      </c>
      <c r="F69" s="30">
        <f>(bali_nt!F45*3.6/(VLOOKUP(F$51,tech_data!$B$2:$J$15,4,FALSE)/100))/1000</f>
        <v>17.372549618977999</v>
      </c>
      <c r="G69" s="30">
        <f>(bali_nt!G45*3.6/(VLOOKUP(G$51,tech_data!$B$2:$J$15,4,FALSE)/100))/1000</f>
        <v>22.763311222919405</v>
      </c>
      <c r="H69" s="30">
        <f>(bali_nt!H45*3.6/(VLOOKUP(H$51,tech_data!$B$2:$J$15,4,FALSE)/100))/1000</f>
        <v>32.929700476841248</v>
      </c>
      <c r="I69" s="30">
        <f>(bali_nt!I45*3.6/(VLOOKUP(I$51,tech_data!$B$2:$J$15,4,FALSE)/100))/1000</f>
        <v>10.12501549687819</v>
      </c>
      <c r="J69" s="30">
        <f>(bali_nt!J45*3.6/(VLOOKUP(J$51,tech_data!$B$2:$J$15,4,FALSE)/100))/1000</f>
        <v>0.42617265230769236</v>
      </c>
      <c r="K69" s="30">
        <f t="shared" ref="K69:L69" si="79">K45*3.6/1000</f>
        <v>2.5065527508703132</v>
      </c>
      <c r="L69" s="30">
        <f t="shared" si="79"/>
        <v>0</v>
      </c>
      <c r="M69" s="30">
        <f>(bali_nt!M45*3.6/(VLOOKUP(M$51,tech_data!$B$2:$J$15,4,FALSE)/100))/1000</f>
        <v>18.361888847435488</v>
      </c>
      <c r="N69" s="30">
        <f t="shared" si="58"/>
        <v>0</v>
      </c>
      <c r="O69" s="30">
        <f>(bali_nt!O45*3.6/(VLOOKUP(O$51,tech_data!$B$2:$J$15,4,FALSE)/100))/1000</f>
        <v>0</v>
      </c>
      <c r="P69" s="30">
        <f>(bali_nt!P45*3.6/(VLOOKUP(P$51,tech_data!$B$2:$J$15,4,FALSE)/100))/1000</f>
        <v>2.6838568492775432E-2</v>
      </c>
      <c r="Q69" s="30">
        <f t="shared" si="53"/>
        <v>217.15660671227911</v>
      </c>
      <c r="R69" s="30"/>
      <c r="T69" s="19"/>
      <c r="U69" s="20" t="str">
        <f t="shared" si="54"/>
        <v>BALI_NT</v>
      </c>
      <c r="V69" s="20">
        <f t="shared" si="54"/>
        <v>2036</v>
      </c>
      <c r="W69" s="30">
        <f>D69*VLOOKUP(W$51,tech_data!$B$2:$K$15,10,FALSE)*1000</f>
        <v>6110843.5257970197</v>
      </c>
      <c r="X69" s="30">
        <f>E69*VLOOKUP(X$51,tech_data!$B$2:$K$15,10,FALSE)*1000</f>
        <v>3191405.7123417011</v>
      </c>
      <c r="Y69" s="30">
        <f>F69*VLOOKUP(Y$51,tech_data!$B$2:$K$15,10,FALSE)*1000</f>
        <v>1078835.3313385337</v>
      </c>
      <c r="Z69" s="30">
        <f>G69*VLOOKUP(Z$51,tech_data!$B$2:$K$15,10,FALSE)*1000</f>
        <v>1711118.1046268519</v>
      </c>
      <c r="AA69" s="30">
        <f>H45*VLOOKUP(AA$51,tech_data!$B$2:$K$15,10,FALSE)/1000</f>
        <v>77.672930999749283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2063141.8308978514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14155422.177932957</v>
      </c>
      <c r="AK69" s="25">
        <f t="shared" si="60"/>
        <v>4.5603670369641254E-2</v>
      </c>
      <c r="AL69" s="24">
        <f t="shared" si="65"/>
        <v>5.2999999999999999E-2</v>
      </c>
      <c r="AM69" s="26"/>
      <c r="AN69" s="24"/>
      <c r="AO69" s="20" t="str">
        <f t="shared" si="56"/>
        <v>BALI_NT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153.39374135820739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168.35588120428517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23.191804139284141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4.6130521147513797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120.68165398498554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83.877700401351532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0.80586686980896416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49.824874480451925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0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30.814599697746452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1.6039255247337239E-6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9.0208209500195743E-2</v>
      </c>
      <c r="BD69" s="30">
        <f t="shared" si="61"/>
        <v>635.64938406429826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BALI_NT</v>
      </c>
      <c r="C70" s="20">
        <f t="shared" si="77"/>
        <v>2037</v>
      </c>
      <c r="D70" s="30">
        <f>(bali_nt!D46*3.6/(VLOOKUP(D$51,tech_data!$B$2:$J$15,4,FALSE)/100))/1000</f>
        <v>64.187416551724127</v>
      </c>
      <c r="E70" s="30">
        <f>(bali_nt!E46*3.6/(VLOOKUP(E$51,tech_data!$B$2:$J$15,4,FALSE)/100))/1000</f>
        <v>51.391396334004845</v>
      </c>
      <c r="F70" s="30">
        <f>(bali_nt!F46*3.6/(VLOOKUP(F$51,tech_data!$B$2:$J$15,4,FALSE)/100))/1000</f>
        <v>20.860860805117895</v>
      </c>
      <c r="G70" s="30">
        <f>(bali_nt!G46*3.6/(VLOOKUP(G$51,tech_data!$B$2:$J$15,4,FALSE)/100))/1000</f>
        <v>22.763311183810547</v>
      </c>
      <c r="H70" s="30">
        <f>(bali_nt!H46*3.6/(VLOOKUP(H$51,tech_data!$B$2:$J$15,4,FALSE)/100))/1000</f>
        <v>40.220327708574395</v>
      </c>
      <c r="I70" s="30">
        <f>(bali_nt!I46*3.6/(VLOOKUP(I$51,tech_data!$B$2:$J$15,4,FALSE)/100))/1000</f>
        <v>10.372562920843952</v>
      </c>
      <c r="J70" s="30">
        <f>(bali_nt!J46*3.6/(VLOOKUP(J$51,tech_data!$B$2:$J$15,4,FALSE)/100))/1000</f>
        <v>0.42617265230769236</v>
      </c>
      <c r="K70" s="30">
        <f t="shared" ref="K70:L70" si="80">K46*3.6/1000</f>
        <v>2.8102299421112744</v>
      </c>
      <c r="L70" s="30">
        <f t="shared" si="80"/>
        <v>0</v>
      </c>
      <c r="M70" s="30">
        <f>(bali_nt!M46*3.6/(VLOOKUP(M$51,tech_data!$B$2:$J$15,4,FALSE)/100))/1000</f>
        <v>18.38987703413958</v>
      </c>
      <c r="N70" s="30">
        <f t="shared" si="58"/>
        <v>0</v>
      </c>
      <c r="O70" s="30">
        <f>(bali_nt!O46*3.6/(VLOOKUP(O$51,tech_data!$B$2:$J$15,4,FALSE)/100))/1000</f>
        <v>0</v>
      </c>
      <c r="P70" s="30">
        <f>(bali_nt!P46*3.6/(VLOOKUP(P$51,tech_data!$B$2:$J$15,4,FALSE)/100))/1000</f>
        <v>2.8356871560710133E-2</v>
      </c>
      <c r="Q70" s="30">
        <f t="shared" si="53"/>
        <v>231.42215513263429</v>
      </c>
      <c r="R70" s="30"/>
      <c r="T70" s="19"/>
      <c r="U70" s="20" t="str">
        <f t="shared" si="54"/>
        <v>BALI_NT</v>
      </c>
      <c r="V70" s="20">
        <f t="shared" si="54"/>
        <v>2037</v>
      </c>
      <c r="W70" s="30">
        <f>D70*VLOOKUP(W$51,tech_data!$B$2:$K$15,10,FALSE)*1000</f>
        <v>6400769.1785379304</v>
      </c>
      <c r="X70" s="30">
        <f>E70*VLOOKUP(X$51,tech_data!$B$2:$K$15,10,FALSE)*1000</f>
        <v>3191405.7123417011</v>
      </c>
      <c r="Y70" s="30">
        <f>F70*VLOOKUP(Y$51,tech_data!$B$2:$K$15,10,FALSE)*1000</f>
        <v>1295459.4559978214</v>
      </c>
      <c r="Z70" s="30">
        <f>G70*VLOOKUP(Z$51,tech_data!$B$2:$K$15,10,FALSE)*1000</f>
        <v>1711118.101687039</v>
      </c>
      <c r="AA70" s="30">
        <f>H46*VLOOKUP(AA$51,tech_data!$B$2:$K$15,10,FALSE)/1000</f>
        <v>94.86969798259986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2066286.5835559233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14665133.901818397</v>
      </c>
      <c r="AK70" s="25">
        <f t="shared" si="60"/>
        <v>3.6008231861853937E-2</v>
      </c>
      <c r="AL70" s="24">
        <f t="shared" si="65"/>
        <v>5.2999999999999999E-2</v>
      </c>
      <c r="AM70" s="26"/>
      <c r="AN70" s="24"/>
      <c r="AO70" s="20" t="str">
        <f t="shared" si="56"/>
        <v>BALI_NT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161.01748861498146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38.324086966387362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161.28638941771928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4.6130513134925213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173.86875483009248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53.875683936839252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0.80586686980896416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55.894587647894042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0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29.112893723129137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9.5751139521617151E-2</v>
      </c>
      <c r="BD70" s="30">
        <f t="shared" si="61"/>
        <v>678.89455445986607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BALI_NT</v>
      </c>
      <c r="C71" s="20">
        <f t="shared" si="77"/>
        <v>2038</v>
      </c>
      <c r="D71" s="30">
        <f>(bali_nt!D47*3.6/(VLOOKUP(D$51,tech_data!$B$2:$J$15,4,FALSE)/100))/1000</f>
        <v>67.612617931034507</v>
      </c>
      <c r="E71" s="30">
        <f>(bali_nt!E47*3.6/(VLOOKUP(E$51,tech_data!$B$2:$J$15,4,FALSE)/100))/1000</f>
        <v>58.083209618089093</v>
      </c>
      <c r="F71" s="30">
        <f>(bali_nt!F47*3.6/(VLOOKUP(F$51,tech_data!$B$2:$J$15,4,FALSE)/100))/1000</f>
        <v>20.860860805117895</v>
      </c>
      <c r="G71" s="30">
        <f>(bali_nt!G47*3.6/(VLOOKUP(G$51,tech_data!$B$2:$J$15,4,FALSE)/100))/1000</f>
        <v>22.763311144701689</v>
      </c>
      <c r="H71" s="30">
        <f>(bali_nt!H47*3.6/(VLOOKUP(H$51,tech_data!$B$2:$J$15,4,FALSE)/100))/1000</f>
        <v>49.842052248940881</v>
      </c>
      <c r="I71" s="30">
        <f>(bali_nt!I47*3.6/(VLOOKUP(I$51,tech_data!$B$2:$J$15,4,FALSE)/100))/1000</f>
        <v>10.496336632826836</v>
      </c>
      <c r="J71" s="30">
        <f>(bali_nt!J47*3.6/(VLOOKUP(J$51,tech_data!$B$2:$J$15,4,FALSE)/100))/1000</f>
        <v>0.42617265230769236</v>
      </c>
      <c r="K71" s="30">
        <f t="shared" ref="K71:L71" si="81">K47*3.6/1000</f>
        <v>3.1682160138389341</v>
      </c>
      <c r="L71" s="30">
        <f t="shared" si="81"/>
        <v>0</v>
      </c>
      <c r="M71" s="30">
        <f>(bali_nt!M47*3.6/(VLOOKUP(M$51,tech_data!$B$2:$J$15,4,FALSE)/100))/1000</f>
        <v>18.403871127491627</v>
      </c>
      <c r="N71" s="30">
        <f t="shared" si="58"/>
        <v>1.2696416349279053E-16</v>
      </c>
      <c r="O71" s="30">
        <f>(bali_nt!O47*3.6/(VLOOKUP(O$51,tech_data!$B$2:$J$15,4,FALSE)/100))/1000</f>
        <v>0</v>
      </c>
      <c r="P71" s="30">
        <f>(bali_nt!P47*3.6/(VLOOKUP(P$51,tech_data!$B$2:$J$15,4,FALSE)/100))/1000</f>
        <v>3.0134496699890302E-2</v>
      </c>
      <c r="Q71" s="30">
        <f t="shared" si="53"/>
        <v>251.65664817434913</v>
      </c>
      <c r="R71" s="30"/>
      <c r="T71" s="19"/>
      <c r="U71" s="20" t="str">
        <f t="shared" si="54"/>
        <v>BALI_NT</v>
      </c>
      <c r="V71" s="20">
        <f t="shared" si="54"/>
        <v>2038</v>
      </c>
      <c r="W71" s="30">
        <f>D71*VLOOKUP(W$51,tech_data!$B$2:$K$15,10,FALSE)*1000</f>
        <v>6742330.2600827608</v>
      </c>
      <c r="X71" s="30">
        <f>E71*VLOOKUP(X$51,tech_data!$B$2:$K$15,10,FALSE)*1000</f>
        <v>3606967.3172833328</v>
      </c>
      <c r="Y71" s="30">
        <f>F71*VLOOKUP(Y$51,tech_data!$B$2:$K$15,10,FALSE)*1000</f>
        <v>1295459.4559978214</v>
      </c>
      <c r="Z71" s="30">
        <f>G71*VLOOKUP(Z$51,tech_data!$B$2:$K$15,10,FALSE)*1000</f>
        <v>1711118.0987472259</v>
      </c>
      <c r="AA71" s="30">
        <f>H47*VLOOKUP(AA$51,tech_data!$B$2:$K$15,10,FALSE)/1000</f>
        <v>117.56494074218931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2067858.959884959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15423851.656936839</v>
      </c>
      <c r="AK71" s="25">
        <f t="shared" si="60"/>
        <v>5.1736162806148386E-2</v>
      </c>
      <c r="AL71" s="24">
        <f>AL70</f>
        <v>5.2999999999999999E-2</v>
      </c>
      <c r="AM71" s="26"/>
      <c r="AN71" s="24"/>
      <c r="AO71" s="20" t="str">
        <f t="shared" si="56"/>
        <v>BALI_NT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181.48938716502275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204.47442831889478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27.848589215750646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4.6130513055669962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228.53940325594112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38.874675704583126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0.80586686980896416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65.654844533339357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0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28.262040735820481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5.8129380910782336E-14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0.11057292407169703</v>
      </c>
      <c r="BD71" s="30">
        <f t="shared" si="61"/>
        <v>780.67286002879996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BALI_NT</v>
      </c>
      <c r="C76" s="20">
        <f t="shared" si="82"/>
        <v>2019</v>
      </c>
      <c r="D76" s="30">
        <f>D28*3.6/1000</f>
        <v>9.0660809875199995</v>
      </c>
      <c r="E76" s="30">
        <f t="shared" ref="E76:O76" si="83">E28*3.6/1000</f>
        <v>7.1084793970079989</v>
      </c>
      <c r="F76" s="30">
        <f t="shared" si="83"/>
        <v>0</v>
      </c>
      <c r="G76" s="30">
        <f t="shared" si="83"/>
        <v>10.471123198523079</v>
      </c>
      <c r="H76" s="30">
        <f t="shared" si="83"/>
        <v>0.57467810215384618</v>
      </c>
      <c r="I76" s="30">
        <f t="shared" si="83"/>
        <v>0.11666476356923075</v>
      </c>
      <c r="J76" s="30">
        <f t="shared" si="83"/>
        <v>0.34093812184615391</v>
      </c>
      <c r="K76" s="30">
        <f t="shared" si="83"/>
        <v>2.73511728E-2</v>
      </c>
      <c r="L76" s="30">
        <f t="shared" si="83"/>
        <v>0</v>
      </c>
      <c r="M76" s="30">
        <f t="shared" si="83"/>
        <v>0</v>
      </c>
      <c r="N76" s="30">
        <f t="shared" si="83"/>
        <v>0</v>
      </c>
      <c r="O76" s="30">
        <f t="shared" si="83"/>
        <v>0</v>
      </c>
      <c r="P76" s="30">
        <f>(bali_nt!P52*3.6/(VLOOKUP(P$51,tech_data!$B$2:$J$15,4,FALSE)/100))/1000</f>
        <v>0</v>
      </c>
      <c r="Q76" s="30">
        <f t="shared" ref="Q76:Q95" si="84">SUM(D76:O76)</f>
        <v>27.705315743420311</v>
      </c>
      <c r="R76" s="30"/>
      <c r="S76" s="23"/>
      <c r="T76" s="19"/>
      <c r="U76" s="20" t="str">
        <f t="shared" ref="U76:V91" si="85">U28</f>
        <v>BALI_NT</v>
      </c>
      <c r="V76" s="20">
        <f t="shared" si="85"/>
        <v>2019</v>
      </c>
      <c r="W76" s="30">
        <f>D52*(1-(VLOOKUP(W$75,tech_data!$B$2:$O$15,4,FALSE)/100))</f>
        <v>14.380680187100689</v>
      </c>
      <c r="X76" s="30">
        <f>E52*(1-(VLOOKUP(X$75,tech_data!$B$2:$O$15,4,FALSE)/100))</f>
        <v>12.821836669369571</v>
      </c>
      <c r="Y76" s="30">
        <f>F52*(1-(VLOOKUP(Y$75,tech_data!$B$2:$O$15,4,FALSE)/100))</f>
        <v>0</v>
      </c>
      <c r="Z76" s="30">
        <f>G52*(1-(VLOOKUP(Z$75,tech_data!$B$2:$O$15,4,FALSE)/100))</f>
        <v>12.29218810261405</v>
      </c>
      <c r="AA76" s="30">
        <f>H52*(1-(VLOOKUP(AA$75,tech_data!$B$2:$O$15,4,FALSE)/100))</f>
        <v>3.6821967286153847</v>
      </c>
      <c r="AB76" s="30">
        <f>I52*(1-(VLOOKUP(AB$75,tech_data!$B$2:$O$15,4,FALSE)/100))</f>
        <v>6.1402507141700459E-3</v>
      </c>
      <c r="AC76" s="30">
        <f>J52*(1-(VLOOKUP(AC$75,tech_data!$B$2:$O$15,4,FALSE)/100))</f>
        <v>8.5234530461538449E-2</v>
      </c>
      <c r="AD76" s="30">
        <f>K52*(1-(VLOOKUP(AD$75,tech_data!$B$2:$O$15,4,FALSE)/100))</f>
        <v>2.2974985151999999E-2</v>
      </c>
      <c r="AE76" s="30">
        <f>L52*(1-(VLOOKUP(AE$75,tech_data!$B$2:$O$15,4,FALSE)/100))</f>
        <v>0</v>
      </c>
      <c r="AF76" s="30">
        <f>M52*(1-(VLOOKUP(AF$75,tech_data!$B$2:$O$15,4,FALSE)/100))</f>
        <v>0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(bali_nt!AI52*3.6/(VLOOKUP(AI$51,tech_data!$B$2:$J$15,4,FALSE)/100))/1000</f>
        <v>0</v>
      </c>
      <c r="AJ76" s="30">
        <f t="shared" ref="AJ76:AJ95" si="86">SUM(W76:AH76)</f>
        <v>43.291251454027403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BALI_NT</v>
      </c>
      <c r="C77" s="20">
        <f t="shared" si="82"/>
        <v>2020</v>
      </c>
      <c r="D77" s="30">
        <f t="shared" ref="D77:O92" si="87">D29*3.6/1000</f>
        <v>10.439380812704238</v>
      </c>
      <c r="E77" s="30">
        <f t="shared" si="87"/>
        <v>7.1084793970079989</v>
      </c>
      <c r="F77" s="30">
        <f t="shared" si="87"/>
        <v>0</v>
      </c>
      <c r="G77" s="30">
        <f t="shared" si="87"/>
        <v>10.471123198523079</v>
      </c>
      <c r="H77" s="30">
        <f t="shared" si="87"/>
        <v>3.6541095409213606</v>
      </c>
      <c r="I77" s="30">
        <f t="shared" si="87"/>
        <v>0.11666476356923075</v>
      </c>
      <c r="J77" s="30">
        <f t="shared" si="87"/>
        <v>0.34093812184615391</v>
      </c>
      <c r="K77" s="30">
        <f t="shared" si="87"/>
        <v>0.22005360233947349</v>
      </c>
      <c r="L77" s="30">
        <f t="shared" si="87"/>
        <v>0</v>
      </c>
      <c r="M77" s="30">
        <f t="shared" si="87"/>
        <v>-3.5999999998571211E-9</v>
      </c>
      <c r="N77" s="30">
        <f t="shared" si="87"/>
        <v>-3.5999999999782484E-9</v>
      </c>
      <c r="O77" s="30">
        <f t="shared" si="87"/>
        <v>0</v>
      </c>
      <c r="P77" s="30">
        <f>(bali_nt!P53*3.6/(VLOOKUP(P$51,tech_data!$B$2:$J$15,4,FALSE)/100))/1000</f>
        <v>4.5020926723221463E-5</v>
      </c>
      <c r="Q77" s="30">
        <f t="shared" si="84"/>
        <v>32.350749429711534</v>
      </c>
      <c r="R77" s="30"/>
      <c r="S77" s="23"/>
      <c r="T77" s="19"/>
      <c r="U77" s="20" t="str">
        <f t="shared" si="85"/>
        <v>BALI_NT</v>
      </c>
      <c r="V77" s="20">
        <f t="shared" si="85"/>
        <v>2020</v>
      </c>
      <c r="W77" s="30">
        <f>D53*(1-(VLOOKUP(W$75,tech_data!$B$2:$O$15,4,FALSE)/100))</f>
        <v>16.559017840841204</v>
      </c>
      <c r="X77" s="30">
        <f>E53*(1-(VLOOKUP(X$75,tech_data!$B$2:$O$15,4,FALSE)/100))</f>
        <v>12.821836669369571</v>
      </c>
      <c r="Y77" s="30">
        <f>F53*(1-(VLOOKUP(Y$75,tech_data!$B$2:$O$15,4,FALSE)/100))</f>
        <v>0</v>
      </c>
      <c r="Z77" s="30">
        <f>G53*(1-(VLOOKUP(Z$75,tech_data!$B$2:$O$15,4,FALSE)/100))</f>
        <v>12.29218810261405</v>
      </c>
      <c r="AA77" s="30">
        <f>H53*(1-(VLOOKUP(AA$75,tech_data!$B$2:$O$15,4,FALSE)/100))</f>
        <v>23.413368539977608</v>
      </c>
      <c r="AB77" s="30">
        <f>I53*(1-(VLOOKUP(AB$75,tech_data!$B$2:$O$15,4,FALSE)/100))</f>
        <v>6.1402507141700459E-3</v>
      </c>
      <c r="AC77" s="30">
        <f>J53*(1-(VLOOKUP(AC$75,tech_data!$B$2:$O$15,4,FALSE)/100))</f>
        <v>8.5234530461538449E-2</v>
      </c>
      <c r="AD77" s="30">
        <f>K53*(1-(VLOOKUP(AD$75,tech_data!$B$2:$O$15,4,FALSE)/100))</f>
        <v>0.18484502596515773</v>
      </c>
      <c r="AE77" s="30">
        <f>L53*(1-(VLOOKUP(AE$75,tech_data!$B$2:$O$15,4,FALSE)/100))</f>
        <v>0</v>
      </c>
      <c r="AF77" s="30">
        <f>M53*(1-(VLOOKUP(AF$75,tech_data!$B$2:$O$15,4,FALSE)/100))</f>
        <v>-8.01290322548843E-9</v>
      </c>
      <c r="AG77" s="30">
        <f>N53*(1-(VLOOKUP(AG$75,tech_data!$B$2:$O$15,4,FALSE)/100))</f>
        <v>-3.1799999999807876E-10</v>
      </c>
      <c r="AH77" s="30">
        <f>O53*(1-(VLOOKUP(AH$75,tech_data!$B$2:$O$15,4,FALSE)/100))</f>
        <v>0</v>
      </c>
      <c r="AI77" s="30">
        <f>(bali_nt!AI53*3.6/(VLOOKUP(AI$51,tech_data!$B$2:$J$15,4,FALSE)/100))/1000</f>
        <v>0</v>
      </c>
      <c r="AJ77" s="30">
        <f t="shared" si="86"/>
        <v>65.362630951612388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BALI_NT</v>
      </c>
      <c r="C78" s="20">
        <f t="shared" si="82"/>
        <v>2021</v>
      </c>
      <c r="D78" s="30">
        <f t="shared" si="87"/>
        <v>11.762544537402635</v>
      </c>
      <c r="E78" s="30">
        <f t="shared" si="87"/>
        <v>7.1084793970079989</v>
      </c>
      <c r="F78" s="30">
        <f t="shared" si="87"/>
        <v>0.3448963284231486</v>
      </c>
      <c r="G78" s="30">
        <f t="shared" si="87"/>
        <v>10.471123180533001</v>
      </c>
      <c r="H78" s="30">
        <f t="shared" si="87"/>
        <v>3.6541095175604625</v>
      </c>
      <c r="I78" s="30">
        <f t="shared" si="87"/>
        <v>2.9004865696378692</v>
      </c>
      <c r="J78" s="30">
        <f t="shared" si="87"/>
        <v>0.34093812184615391</v>
      </c>
      <c r="K78" s="30">
        <f t="shared" si="87"/>
        <v>0.38853209675116507</v>
      </c>
      <c r="L78" s="30">
        <f t="shared" si="87"/>
        <v>0</v>
      </c>
      <c r="M78" s="30">
        <f t="shared" si="87"/>
        <v>0</v>
      </c>
      <c r="N78" s="30">
        <f t="shared" si="87"/>
        <v>1.2696416349279053E-16</v>
      </c>
      <c r="O78" s="30">
        <f t="shared" si="87"/>
        <v>0</v>
      </c>
      <c r="P78" s="30">
        <f>(bali_nt!P54*3.6/(VLOOKUP(P$51,tech_data!$B$2:$J$15,4,FALSE)/100))/1000</f>
        <v>5.1604362895699923E-5</v>
      </c>
      <c r="Q78" s="30">
        <f t="shared" si="84"/>
        <v>36.97110974916243</v>
      </c>
      <c r="R78" s="30"/>
      <c r="S78" s="23"/>
      <c r="T78" s="19"/>
      <c r="U78" s="20" t="str">
        <f t="shared" si="85"/>
        <v>BALI_NT</v>
      </c>
      <c r="V78" s="20">
        <f t="shared" si="85"/>
        <v>2021</v>
      </c>
      <c r="W78" s="30">
        <f>D54*(1-(VLOOKUP(W$75,tech_data!$B$2:$O$15,4,FALSE)/100))</f>
        <v>18.657829266224869</v>
      </c>
      <c r="X78" s="30">
        <f>E54*(1-(VLOOKUP(X$75,tech_data!$B$2:$O$15,4,FALSE)/100))</f>
        <v>12.821836669369571</v>
      </c>
      <c r="Y78" s="30">
        <f>F54*(1-(VLOOKUP(Y$75,tech_data!$B$2:$O$15,4,FALSE)/100))</f>
        <v>0.24635452030224897</v>
      </c>
      <c r="Z78" s="30">
        <f>G54*(1-(VLOOKUP(Z$75,tech_data!$B$2:$O$15,4,FALSE)/100))</f>
        <v>12.292188081495263</v>
      </c>
      <c r="AA78" s="30">
        <f>H54*(1-(VLOOKUP(AA$75,tech_data!$B$2:$O$15,4,FALSE)/100))</f>
        <v>23.41336839029481</v>
      </c>
      <c r="AB78" s="30">
        <f>I54*(1-(VLOOKUP(AB$75,tech_data!$B$2:$O$15,4,FALSE)/100))</f>
        <v>0.15265718787567747</v>
      </c>
      <c r="AC78" s="30">
        <f>J54*(1-(VLOOKUP(AC$75,tech_data!$B$2:$O$15,4,FALSE)/100))</f>
        <v>8.5234530461538449E-2</v>
      </c>
      <c r="AD78" s="30">
        <f>K54*(1-(VLOOKUP(AD$75,tech_data!$B$2:$O$15,4,FALSE)/100))</f>
        <v>0.32636696127097864</v>
      </c>
      <c r="AE78" s="30">
        <f>L54*(1-(VLOOKUP(AE$75,tech_data!$B$2:$O$15,4,FALSE)/100))</f>
        <v>0</v>
      </c>
      <c r="AF78" s="30">
        <f>M54*(1-(VLOOKUP(AF$75,tech_data!$B$2:$O$15,4,FALSE)/100))</f>
        <v>0</v>
      </c>
      <c r="AG78" s="30">
        <f>N54*(1-(VLOOKUP(AG$75,tech_data!$B$2:$O$15,4,FALSE)/100))</f>
        <v>1.1215167775196503E-17</v>
      </c>
      <c r="AH78" s="30">
        <f>O54*(1-(VLOOKUP(AH$75,tech_data!$B$2:$O$15,4,FALSE)/100))</f>
        <v>0</v>
      </c>
      <c r="AI78" s="30">
        <f>(bali_nt!AI54*3.6/(VLOOKUP(AI$51,tech_data!$B$2:$J$15,4,FALSE)/100))/1000</f>
        <v>0</v>
      </c>
      <c r="AJ78" s="30">
        <f t="shared" si="86"/>
        <v>67.99583560729495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BALI_NT</v>
      </c>
      <c r="C79" s="20">
        <f t="shared" si="82"/>
        <v>2022</v>
      </c>
      <c r="D79" s="30">
        <f t="shared" si="87"/>
        <v>12.901425120490803</v>
      </c>
      <c r="E79" s="30">
        <f t="shared" si="87"/>
        <v>7.1084793862462172</v>
      </c>
      <c r="F79" s="30">
        <f t="shared" si="87"/>
        <v>1.3740965898077895</v>
      </c>
      <c r="G79" s="30">
        <f t="shared" si="87"/>
        <v>10.471123180533001</v>
      </c>
      <c r="H79" s="30">
        <f t="shared" si="87"/>
        <v>3.6541095175604625</v>
      </c>
      <c r="I79" s="30">
        <f t="shared" si="87"/>
        <v>4.7675575408581023</v>
      </c>
      <c r="J79" s="30">
        <f t="shared" si="87"/>
        <v>0.34093812184615391</v>
      </c>
      <c r="K79" s="30">
        <f t="shared" si="87"/>
        <v>0.51988439355572058</v>
      </c>
      <c r="L79" s="30">
        <f t="shared" si="87"/>
        <v>0</v>
      </c>
      <c r="M79" s="30">
        <f t="shared" si="87"/>
        <v>0</v>
      </c>
      <c r="N79" s="30">
        <f t="shared" si="87"/>
        <v>0</v>
      </c>
      <c r="O79" s="30">
        <f t="shared" si="87"/>
        <v>0</v>
      </c>
      <c r="P79" s="30">
        <f>(bali_nt!P55*3.6/(VLOOKUP(P$51,tech_data!$B$2:$J$15,4,FALSE)/100))/1000</f>
        <v>5.7518062663099699E-5</v>
      </c>
      <c r="Q79" s="30">
        <f t="shared" si="84"/>
        <v>41.137613850898241</v>
      </c>
      <c r="R79" s="30"/>
      <c r="S79" s="23"/>
      <c r="T79" s="19"/>
      <c r="U79" s="20" t="str">
        <f t="shared" si="85"/>
        <v>BALI_NT</v>
      </c>
      <c r="V79" s="20">
        <f t="shared" si="85"/>
        <v>2022</v>
      </c>
      <c r="W79" s="30">
        <f>D55*(1-(VLOOKUP(W$75,tech_data!$B$2:$O$15,4,FALSE)/100))</f>
        <v>20.464329501468168</v>
      </c>
      <c r="X79" s="30">
        <f>E55*(1-(VLOOKUP(X$75,tech_data!$B$2:$O$15,4,FALSE)/100))</f>
        <v>12.821836649958131</v>
      </c>
      <c r="Y79" s="30">
        <f>F55*(1-(VLOOKUP(Y$75,tech_data!$B$2:$O$15,4,FALSE)/100))</f>
        <v>0.98149756414842093</v>
      </c>
      <c r="Z79" s="30">
        <f>G55*(1-(VLOOKUP(Z$75,tech_data!$B$2:$O$15,4,FALSE)/100))</f>
        <v>12.292188081495263</v>
      </c>
      <c r="AA79" s="30">
        <f>H55*(1-(VLOOKUP(AA$75,tech_data!$B$2:$O$15,4,FALSE)/100))</f>
        <v>23.41336839029481</v>
      </c>
      <c r="AB79" s="30">
        <f>I55*(1-(VLOOKUP(AB$75,tech_data!$B$2:$O$15,4,FALSE)/100))</f>
        <v>0.25092408109779513</v>
      </c>
      <c r="AC79" s="30">
        <f>J55*(1-(VLOOKUP(AC$75,tech_data!$B$2:$O$15,4,FALSE)/100))</f>
        <v>8.5234530461538449E-2</v>
      </c>
      <c r="AD79" s="30">
        <f>K55*(1-(VLOOKUP(AD$75,tech_data!$B$2:$O$15,4,FALSE)/100))</f>
        <v>0.43670289058680528</v>
      </c>
      <c r="AE79" s="30">
        <f>L55*(1-(VLOOKUP(AE$75,tech_data!$B$2:$O$15,4,FALSE)/100))</f>
        <v>0</v>
      </c>
      <c r="AF79" s="30">
        <f>M55*(1-(VLOOKUP(AF$75,tech_data!$B$2:$O$15,4,FALSE)/100))</f>
        <v>0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(bali_nt!AI55*3.6/(VLOOKUP(AI$51,tech_data!$B$2:$J$15,4,FALSE)/100))/1000</f>
        <v>0</v>
      </c>
      <c r="AJ79" s="30">
        <f t="shared" si="86"/>
        <v>70.746081689510916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BALI_NT</v>
      </c>
      <c r="C80" s="20">
        <f t="shared" si="82"/>
        <v>2023</v>
      </c>
      <c r="D80" s="30">
        <f t="shared" si="87"/>
        <v>13.853966904379513</v>
      </c>
      <c r="E80" s="30">
        <f t="shared" si="87"/>
        <v>7.1084793862462172</v>
      </c>
      <c r="F80" s="30">
        <f t="shared" si="87"/>
        <v>3.1085180223212792</v>
      </c>
      <c r="G80" s="30">
        <f t="shared" si="87"/>
        <v>10.471123180533001</v>
      </c>
      <c r="H80" s="30">
        <f t="shared" si="87"/>
        <v>3.6541094941995644</v>
      </c>
      <c r="I80" s="30">
        <f t="shared" si="87"/>
        <v>5.6818364027150539</v>
      </c>
      <c r="J80" s="30">
        <f t="shared" si="87"/>
        <v>0.34093812184615391</v>
      </c>
      <c r="K80" s="30">
        <f t="shared" si="87"/>
        <v>0.6046285029290972</v>
      </c>
      <c r="L80" s="30">
        <f t="shared" si="87"/>
        <v>0</v>
      </c>
      <c r="M80" s="30">
        <f t="shared" si="87"/>
        <v>0</v>
      </c>
      <c r="N80" s="30">
        <f t="shared" si="87"/>
        <v>0</v>
      </c>
      <c r="O80" s="30">
        <f t="shared" si="87"/>
        <v>0</v>
      </c>
      <c r="P80" s="30">
        <f>(bali_nt!P56*3.6/(VLOOKUP(P$51,tech_data!$B$2:$J$15,4,FALSE)/100))/1000</f>
        <v>6.2714504545470111E-5</v>
      </c>
      <c r="Q80" s="30">
        <f t="shared" si="84"/>
        <v>44.82360001516988</v>
      </c>
      <c r="R80" s="30"/>
      <c r="S80" s="23"/>
      <c r="T80" s="19"/>
      <c r="U80" s="20" t="str">
        <f t="shared" si="85"/>
        <v>BALI_NT</v>
      </c>
      <c r="V80" s="20">
        <f t="shared" si="85"/>
        <v>2023</v>
      </c>
      <c r="W80" s="30">
        <f>D56*(1-(VLOOKUP(W$75,tech_data!$B$2:$O$15,4,FALSE)/100))</f>
        <v>21.975257848326127</v>
      </c>
      <c r="X80" s="30">
        <f>E56*(1-(VLOOKUP(X$75,tech_data!$B$2:$O$15,4,FALSE)/100))</f>
        <v>12.821836649958131</v>
      </c>
      <c r="Y80" s="30">
        <f>F56*(1-(VLOOKUP(Y$75,tech_data!$B$2:$O$15,4,FALSE)/100))</f>
        <v>2.2203700159437707</v>
      </c>
      <c r="Z80" s="30">
        <f>G56*(1-(VLOOKUP(Z$75,tech_data!$B$2:$O$15,4,FALSE)/100))</f>
        <v>12.292188081495263</v>
      </c>
      <c r="AA80" s="30">
        <f>H56*(1-(VLOOKUP(AA$75,tech_data!$B$2:$O$15,4,FALSE)/100))</f>
        <v>23.413368240612023</v>
      </c>
      <c r="AB80" s="30">
        <f>I56*(1-(VLOOKUP(AB$75,tech_data!$B$2:$O$15,4,FALSE)/100))</f>
        <v>0.29904402119552942</v>
      </c>
      <c r="AC80" s="30">
        <f>J56*(1-(VLOOKUP(AC$75,tech_data!$B$2:$O$15,4,FALSE)/100))</f>
        <v>8.5234530461538449E-2</v>
      </c>
      <c r="AD80" s="30">
        <f>K56*(1-(VLOOKUP(AD$75,tech_data!$B$2:$O$15,4,FALSE)/100))</f>
        <v>0.50788794246044167</v>
      </c>
      <c r="AE80" s="30">
        <f>L56*(1-(VLOOKUP(AE$75,tech_data!$B$2:$O$15,4,FALSE)/100))</f>
        <v>0</v>
      </c>
      <c r="AF80" s="30">
        <f>M56*(1-(VLOOKUP(AF$75,tech_data!$B$2:$O$15,4,FALSE)/100))</f>
        <v>0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(bali_nt!AI56*3.6/(VLOOKUP(AI$51,tech_data!$B$2:$J$15,4,FALSE)/100))/1000</f>
        <v>0</v>
      </c>
      <c r="AJ80" s="30">
        <f t="shared" si="86"/>
        <v>73.615187330452812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BALI_NT</v>
      </c>
      <c r="C81" s="20">
        <f t="shared" si="82"/>
        <v>2024</v>
      </c>
      <c r="D81" s="30">
        <f t="shared" si="87"/>
        <v>14.136201859438454</v>
      </c>
      <c r="E81" s="30">
        <f t="shared" si="87"/>
        <v>7.1084793754844364</v>
      </c>
      <c r="F81" s="30">
        <f t="shared" si="87"/>
        <v>3.3185211880412835</v>
      </c>
      <c r="G81" s="30">
        <f t="shared" si="87"/>
        <v>10.471123180533001</v>
      </c>
      <c r="H81" s="30">
        <f t="shared" si="87"/>
        <v>3.6541094941995644</v>
      </c>
      <c r="I81" s="30">
        <f t="shared" si="87"/>
        <v>5.6818364027150539</v>
      </c>
      <c r="J81" s="30">
        <f t="shared" si="87"/>
        <v>0.34093812184615391</v>
      </c>
      <c r="K81" s="30">
        <f t="shared" si="87"/>
        <v>0.70294070784868223</v>
      </c>
      <c r="L81" s="30">
        <f t="shared" si="87"/>
        <v>0</v>
      </c>
      <c r="M81" s="30">
        <f t="shared" si="87"/>
        <v>1.0042496535105592</v>
      </c>
      <c r="N81" s="30">
        <f t="shared" si="87"/>
        <v>0</v>
      </c>
      <c r="O81" s="30">
        <f t="shared" si="87"/>
        <v>0</v>
      </c>
      <c r="P81" s="30">
        <f>(bali_nt!P57*3.6/(VLOOKUP(P$51,tech_data!$B$2:$J$15,4,FALSE)/100))/1000</f>
        <v>6.5031877401862382E-5</v>
      </c>
      <c r="Q81" s="30">
        <f t="shared" si="84"/>
        <v>46.418399983617192</v>
      </c>
      <c r="R81" s="30"/>
      <c r="S81" s="23"/>
      <c r="T81" s="19"/>
      <c r="U81" s="20" t="str">
        <f t="shared" si="85"/>
        <v>BALI_NT</v>
      </c>
      <c r="V81" s="20">
        <f t="shared" si="85"/>
        <v>2024</v>
      </c>
      <c r="W81" s="30">
        <f>D57*(1-(VLOOKUP(W$75,tech_data!$B$2:$O$15,4,FALSE)/100))</f>
        <v>22.422940880488579</v>
      </c>
      <c r="X81" s="30">
        <f>E57*(1-(VLOOKUP(X$75,tech_data!$B$2:$O$15,4,FALSE)/100))</f>
        <v>12.821836630546695</v>
      </c>
      <c r="Y81" s="30">
        <f>F57*(1-(VLOOKUP(Y$75,tech_data!$B$2:$O$15,4,FALSE)/100))</f>
        <v>2.3703722771723452</v>
      </c>
      <c r="Z81" s="30">
        <f>G57*(1-(VLOOKUP(Z$75,tech_data!$B$2:$O$15,4,FALSE)/100))</f>
        <v>12.292188081495263</v>
      </c>
      <c r="AA81" s="30">
        <f>H57*(1-(VLOOKUP(AA$75,tech_data!$B$2:$O$15,4,FALSE)/100))</f>
        <v>23.413368240612023</v>
      </c>
      <c r="AB81" s="30">
        <f>I57*(1-(VLOOKUP(AB$75,tech_data!$B$2:$O$15,4,FALSE)/100))</f>
        <v>0.29904402119552942</v>
      </c>
      <c r="AC81" s="30">
        <f>J57*(1-(VLOOKUP(AC$75,tech_data!$B$2:$O$15,4,FALSE)/100))</f>
        <v>8.5234530461538449E-2</v>
      </c>
      <c r="AD81" s="30">
        <f>K57*(1-(VLOOKUP(AD$75,tech_data!$B$2:$O$15,4,FALSE)/100))</f>
        <v>0.59047019459289307</v>
      </c>
      <c r="AE81" s="30">
        <f>L57*(1-(VLOOKUP(AE$75,tech_data!$B$2:$O$15,4,FALSE)/100))</f>
        <v>0</v>
      </c>
      <c r="AF81" s="30">
        <f>M57*(1-(VLOOKUP(AF$75,tech_data!$B$2:$O$15,4,FALSE)/100))</f>
        <v>2.2352653578138253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(bali_nt!AI57*3.6/(VLOOKUP(AI$51,tech_data!$B$2:$J$15,4,FALSE)/100))/1000</f>
        <v>0</v>
      </c>
      <c r="AJ81" s="30">
        <f t="shared" si="86"/>
        <v>76.53072021437869</v>
      </c>
      <c r="AK81" s="30"/>
      <c r="AL81" s="23"/>
    </row>
    <row r="82" spans="1:38" x14ac:dyDescent="0.25">
      <c r="A82" s="19"/>
      <c r="B82" s="20" t="str">
        <f t="shared" si="82"/>
        <v>BALI_NT</v>
      </c>
      <c r="C82" s="20">
        <f t="shared" si="82"/>
        <v>2025</v>
      </c>
      <c r="D82" s="30">
        <f t="shared" si="87"/>
        <v>14.551920000000885</v>
      </c>
      <c r="E82" s="30">
        <f t="shared" si="87"/>
        <v>7.1084793647226556</v>
      </c>
      <c r="F82" s="30">
        <f t="shared" si="87"/>
        <v>4.0557660081886944</v>
      </c>
      <c r="G82" s="30">
        <f t="shared" si="87"/>
        <v>10.471123180533001</v>
      </c>
      <c r="H82" s="30">
        <f t="shared" si="87"/>
        <v>3.6541094941995644</v>
      </c>
      <c r="I82" s="30">
        <f t="shared" si="87"/>
        <v>5.681836386733579</v>
      </c>
      <c r="J82" s="30">
        <f t="shared" si="87"/>
        <v>0.34093812184615391</v>
      </c>
      <c r="K82" s="30">
        <f t="shared" si="87"/>
        <v>0.79871086677032521</v>
      </c>
      <c r="L82" s="30">
        <f t="shared" si="87"/>
        <v>0</v>
      </c>
      <c r="M82" s="30">
        <f t="shared" si="87"/>
        <v>1.8435165770068267</v>
      </c>
      <c r="N82" s="30">
        <f t="shared" si="87"/>
        <v>0</v>
      </c>
      <c r="O82" s="30">
        <f t="shared" si="87"/>
        <v>0</v>
      </c>
      <c r="P82" s="30">
        <f>(bali_nt!P58*3.6/(VLOOKUP(P$51,tech_data!$B$2:$J$15,4,FALSE)/100))/1000</f>
        <v>6.8029007102282896E-5</v>
      </c>
      <c r="Q82" s="30">
        <f t="shared" si="84"/>
        <v>48.506400000001683</v>
      </c>
      <c r="R82" s="30"/>
      <c r="S82" s="23"/>
      <c r="T82" s="19"/>
      <c r="U82" s="20" t="str">
        <f t="shared" si="85"/>
        <v>BALI_NT</v>
      </c>
      <c r="V82" s="20">
        <f t="shared" si="85"/>
        <v>2025</v>
      </c>
      <c r="W82" s="30">
        <f>D58*(1-(VLOOKUP(W$75,tech_data!$B$2:$O$15,4,FALSE)/100))</f>
        <v>23.082355862070369</v>
      </c>
      <c r="X82" s="30">
        <f>E58*(1-(VLOOKUP(X$75,tech_data!$B$2:$O$15,4,FALSE)/100))</f>
        <v>12.821836611135256</v>
      </c>
      <c r="Y82" s="30">
        <f>F58*(1-(VLOOKUP(Y$75,tech_data!$B$2:$O$15,4,FALSE)/100))</f>
        <v>2.8969757201347819</v>
      </c>
      <c r="Z82" s="30">
        <f>G58*(1-(VLOOKUP(Z$75,tech_data!$B$2:$O$15,4,FALSE)/100))</f>
        <v>12.292188081495263</v>
      </c>
      <c r="AA82" s="30">
        <f>H58*(1-(VLOOKUP(AA$75,tech_data!$B$2:$O$15,4,FALSE)/100))</f>
        <v>23.413368240612023</v>
      </c>
      <c r="AB82" s="30">
        <f>I58*(1-(VLOOKUP(AB$75,tech_data!$B$2:$O$15,4,FALSE)/100))</f>
        <v>0.2990440203543992</v>
      </c>
      <c r="AC82" s="30">
        <f>J58*(1-(VLOOKUP(AC$75,tech_data!$B$2:$O$15,4,FALSE)/100))</f>
        <v>8.5234530461538449E-2</v>
      </c>
      <c r="AD82" s="30">
        <f>K58*(1-(VLOOKUP(AD$75,tech_data!$B$2:$O$15,4,FALSE)/100))</f>
        <v>0.67091712808707316</v>
      </c>
      <c r="AE82" s="30">
        <f>L58*(1-(VLOOKUP(AE$75,tech_data!$B$2:$O$15,4,FALSE)/100))</f>
        <v>0</v>
      </c>
      <c r="AF82" s="30">
        <f>M58*(1-(VLOOKUP(AF$75,tech_data!$B$2:$O$15,4,FALSE)/100))</f>
        <v>4.1033110907571295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(bali_nt!AI58*3.6/(VLOOKUP(AI$51,tech_data!$B$2:$J$15,4,FALSE)/100))/1000</f>
        <v>0</v>
      </c>
      <c r="AJ82" s="30">
        <f t="shared" si="86"/>
        <v>79.665231285107836</v>
      </c>
      <c r="AK82" s="30"/>
      <c r="AL82" s="23"/>
    </row>
    <row r="83" spans="1:38" x14ac:dyDescent="0.25">
      <c r="A83" s="19"/>
      <c r="B83" s="20" t="str">
        <f t="shared" si="82"/>
        <v>BALI_NT</v>
      </c>
      <c r="C83" s="20">
        <f t="shared" si="82"/>
        <v>2026</v>
      </c>
      <c r="D83" s="30">
        <f t="shared" si="87"/>
        <v>15.191920797696493</v>
      </c>
      <c r="E83" s="30">
        <f t="shared" si="87"/>
        <v>7.1084793647226556</v>
      </c>
      <c r="F83" s="30">
        <f t="shared" si="87"/>
        <v>5.1238899618535241</v>
      </c>
      <c r="G83" s="30">
        <f t="shared" si="87"/>
        <v>10.471123180533001</v>
      </c>
      <c r="H83" s="30">
        <f t="shared" si="87"/>
        <v>3.6541094708386659</v>
      </c>
      <c r="I83" s="30">
        <f t="shared" si="87"/>
        <v>5.681836386733579</v>
      </c>
      <c r="J83" s="30">
        <f t="shared" si="87"/>
        <v>0.34093812184615391</v>
      </c>
      <c r="K83" s="30">
        <f t="shared" si="87"/>
        <v>0.89073031968803162</v>
      </c>
      <c r="L83" s="30">
        <f t="shared" si="87"/>
        <v>0</v>
      </c>
      <c r="M83" s="30">
        <f t="shared" si="87"/>
        <v>2.5165724131552905</v>
      </c>
      <c r="N83" s="30">
        <f t="shared" si="87"/>
        <v>0</v>
      </c>
      <c r="O83" s="30">
        <f t="shared" si="87"/>
        <v>0</v>
      </c>
      <c r="P83" s="30">
        <f>(bali_nt!P59*3.6/(VLOOKUP(P$51,tech_data!$B$2:$J$15,4,FALSE)/100))/1000</f>
        <v>7.1555064394995428E-5</v>
      </c>
      <c r="Q83" s="30">
        <f t="shared" si="84"/>
        <v>50.979600017067384</v>
      </c>
      <c r="R83" s="30"/>
      <c r="S83" s="23"/>
      <c r="T83" s="19"/>
      <c r="U83" s="20" t="str">
        <f t="shared" si="85"/>
        <v>BALI_NT</v>
      </c>
      <c r="V83" s="20">
        <f t="shared" si="85"/>
        <v>2026</v>
      </c>
      <c r="W83" s="30">
        <f>D59*(1-(VLOOKUP(W$75,tech_data!$B$2:$O$15,4,FALSE)/100))</f>
        <v>24.097529541173749</v>
      </c>
      <c r="X83" s="30">
        <f>E59*(1-(VLOOKUP(X$75,tech_data!$B$2:$O$15,4,FALSE)/100))</f>
        <v>12.821836611135256</v>
      </c>
      <c r="Y83" s="30">
        <f>F59*(1-(VLOOKUP(Y$75,tech_data!$B$2:$O$15,4,FALSE)/100))</f>
        <v>3.6599214013239458</v>
      </c>
      <c r="Z83" s="30">
        <f>G59*(1-(VLOOKUP(Z$75,tech_data!$B$2:$O$15,4,FALSE)/100))</f>
        <v>12.292188081495263</v>
      </c>
      <c r="AA83" s="30">
        <f>H59*(1-(VLOOKUP(AA$75,tech_data!$B$2:$O$15,4,FALSE)/100))</f>
        <v>23.413368090929229</v>
      </c>
      <c r="AB83" s="30">
        <f>I59*(1-(VLOOKUP(AB$75,tech_data!$B$2:$O$15,4,FALSE)/100))</f>
        <v>0.2990440203543992</v>
      </c>
      <c r="AC83" s="30">
        <f>J59*(1-(VLOOKUP(AC$75,tech_data!$B$2:$O$15,4,FALSE)/100))</f>
        <v>8.5234530461538449E-2</v>
      </c>
      <c r="AD83" s="30">
        <f>K59*(1-(VLOOKUP(AD$75,tech_data!$B$2:$O$15,4,FALSE)/100))</f>
        <v>0.74821346853794657</v>
      </c>
      <c r="AE83" s="30">
        <f>L59*(1-(VLOOKUP(AE$75,tech_data!$B$2:$O$15,4,FALSE)/100))</f>
        <v>0</v>
      </c>
      <c r="AF83" s="30">
        <f>M59*(1-(VLOOKUP(AF$75,tech_data!$B$2:$O$15,4,FALSE)/100))</f>
        <v>5.6014031131520987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(bali_nt!AI59*3.6/(VLOOKUP(AI$51,tech_data!$B$2:$J$15,4,FALSE)/100))/1000</f>
        <v>0</v>
      </c>
      <c r="AJ83" s="30">
        <f t="shared" si="86"/>
        <v>83.018738858563424</v>
      </c>
      <c r="AK83" s="30"/>
      <c r="AL83" s="23"/>
    </row>
    <row r="84" spans="1:38" x14ac:dyDescent="0.25">
      <c r="A84" s="19"/>
      <c r="B84" s="20" t="str">
        <f t="shared" si="82"/>
        <v>BALI_NT</v>
      </c>
      <c r="C84" s="20">
        <f t="shared" si="82"/>
        <v>2027</v>
      </c>
      <c r="D84" s="30">
        <f t="shared" si="87"/>
        <v>15.777273597213419</v>
      </c>
      <c r="E84" s="30">
        <f t="shared" si="87"/>
        <v>8.1029407709661019</v>
      </c>
      <c r="F84" s="30">
        <f t="shared" si="87"/>
        <v>5.1238899518905754</v>
      </c>
      <c r="G84" s="30">
        <f t="shared" si="87"/>
        <v>10.471123180533001</v>
      </c>
      <c r="H84" s="30">
        <f t="shared" si="87"/>
        <v>3.6541094708386659</v>
      </c>
      <c r="I84" s="30">
        <f t="shared" si="87"/>
        <v>5.6818363707521042</v>
      </c>
      <c r="J84" s="30">
        <f t="shared" si="87"/>
        <v>0.34093812184615391</v>
      </c>
      <c r="K84" s="30">
        <f t="shared" si="87"/>
        <v>0.98831852277769261</v>
      </c>
      <c r="L84" s="30">
        <f t="shared" si="87"/>
        <v>0</v>
      </c>
      <c r="M84" s="30">
        <f t="shared" si="87"/>
        <v>3.1611700190793646</v>
      </c>
      <c r="N84" s="30">
        <f t="shared" si="87"/>
        <v>0</v>
      </c>
      <c r="O84" s="30">
        <f t="shared" si="87"/>
        <v>0</v>
      </c>
      <c r="P84" s="30">
        <f>(bali_nt!P60*3.6/(VLOOKUP(P$51,tech_data!$B$2:$J$15,4,FALSE)/100))/1000</f>
        <v>7.487809373722951E-5</v>
      </c>
      <c r="Q84" s="30">
        <f t="shared" si="84"/>
        <v>53.301600005897065</v>
      </c>
      <c r="R84" s="30"/>
      <c r="S84" s="23"/>
      <c r="T84" s="19"/>
      <c r="U84" s="20" t="str">
        <f t="shared" si="85"/>
        <v>BALI_NT</v>
      </c>
      <c r="V84" s="20">
        <f t="shared" si="85"/>
        <v>2027</v>
      </c>
      <c r="W84" s="30">
        <f>D60*(1-(VLOOKUP(W$75,tech_data!$B$2:$O$15,4,FALSE)/100))</f>
        <v>25.026020188683354</v>
      </c>
      <c r="X84" s="30">
        <f>E60*(1-(VLOOKUP(X$75,tech_data!$B$2:$O$15,4,FALSE)/100))</f>
        <v>14.615584755107083</v>
      </c>
      <c r="Y84" s="30">
        <f>F60*(1-(VLOOKUP(Y$75,tech_data!$B$2:$O$15,4,FALSE)/100))</f>
        <v>3.6599213942075539</v>
      </c>
      <c r="Z84" s="30">
        <f>G60*(1-(VLOOKUP(Z$75,tech_data!$B$2:$O$15,4,FALSE)/100))</f>
        <v>12.292188081495263</v>
      </c>
      <c r="AA84" s="30">
        <f>H60*(1-(VLOOKUP(AA$75,tech_data!$B$2:$O$15,4,FALSE)/100))</f>
        <v>23.413368090929229</v>
      </c>
      <c r="AB84" s="30">
        <f>I60*(1-(VLOOKUP(AB$75,tech_data!$B$2:$O$15,4,FALSE)/100))</f>
        <v>0.29904401951326892</v>
      </c>
      <c r="AC84" s="30">
        <f>J60*(1-(VLOOKUP(AC$75,tech_data!$B$2:$O$15,4,FALSE)/100))</f>
        <v>8.5234530461538449E-2</v>
      </c>
      <c r="AD84" s="30">
        <f>K60*(1-(VLOOKUP(AD$75,tech_data!$B$2:$O$15,4,FALSE)/100))</f>
        <v>0.83018755913326181</v>
      </c>
      <c r="AE84" s="30">
        <f>L60*(1-(VLOOKUP(AE$75,tech_data!$B$2:$O$15,4,FALSE)/100))</f>
        <v>0</v>
      </c>
      <c r="AF84" s="30">
        <f>M60*(1-(VLOOKUP(AF$75,tech_data!$B$2:$O$15,4,FALSE)/100))</f>
        <v>7.036152623112133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(bali_nt!AI60*3.6/(VLOOKUP(AI$51,tech_data!$B$2:$J$15,4,FALSE)/100))/1000</f>
        <v>0</v>
      </c>
      <c r="AJ84" s="30">
        <f t="shared" si="86"/>
        <v>87.257701242642682</v>
      </c>
      <c r="AK84" s="30"/>
      <c r="AL84" s="23"/>
    </row>
    <row r="85" spans="1:38" x14ac:dyDescent="0.25">
      <c r="A85" s="19"/>
      <c r="B85" s="20" t="str">
        <f t="shared" si="82"/>
        <v>BALI_NT</v>
      </c>
      <c r="C85" s="20">
        <f t="shared" si="82"/>
        <v>2028</v>
      </c>
      <c r="D85" s="30">
        <f t="shared" si="87"/>
        <v>16.450711207381438</v>
      </c>
      <c r="E85" s="30">
        <f t="shared" si="87"/>
        <v>9.4953891233453938</v>
      </c>
      <c r="F85" s="30">
        <f t="shared" si="87"/>
        <v>5.1238899419276249</v>
      </c>
      <c r="G85" s="30">
        <f t="shared" si="87"/>
        <v>10.471123180533001</v>
      </c>
      <c r="H85" s="30">
        <f t="shared" si="87"/>
        <v>3.6541094474777673</v>
      </c>
      <c r="I85" s="30">
        <f t="shared" si="87"/>
        <v>5.6818363707521042</v>
      </c>
      <c r="J85" s="30">
        <f t="shared" si="87"/>
        <v>0.34093812184615391</v>
      </c>
      <c r="K85" s="30">
        <f t="shared" si="87"/>
        <v>1.081815447096883</v>
      </c>
      <c r="L85" s="30">
        <f t="shared" si="87"/>
        <v>0</v>
      </c>
      <c r="M85" s="30">
        <f t="shared" si="87"/>
        <v>3.6549871628663535</v>
      </c>
      <c r="N85" s="30">
        <f t="shared" si="87"/>
        <v>0</v>
      </c>
      <c r="O85" s="30">
        <f t="shared" si="87"/>
        <v>0</v>
      </c>
      <c r="P85" s="30">
        <f>(bali_nt!P61*3.6/(VLOOKUP(P$51,tech_data!$B$2:$J$15,4,FALSE)/100))/1000</f>
        <v>7.8654931525500544E-5</v>
      </c>
      <c r="Q85" s="30">
        <f t="shared" si="84"/>
        <v>55.954800003226715</v>
      </c>
      <c r="R85" s="30"/>
      <c r="S85" s="23"/>
      <c r="T85" s="19"/>
      <c r="U85" s="20" t="str">
        <f t="shared" si="85"/>
        <v>BALI_NT</v>
      </c>
      <c r="V85" s="20">
        <f t="shared" si="85"/>
        <v>2028</v>
      </c>
      <c r="W85" s="30">
        <f>D61*(1-(VLOOKUP(W$75,tech_data!$B$2:$O$15,4,FALSE)/100))</f>
        <v>26.094231570329175</v>
      </c>
      <c r="X85" s="30">
        <f>E61*(1-(VLOOKUP(X$75,tech_data!$B$2:$O$15,4,FALSE)/100))</f>
        <v>17.127197203791226</v>
      </c>
      <c r="Y85" s="30">
        <f>F61*(1-(VLOOKUP(Y$75,tech_data!$B$2:$O$15,4,FALSE)/100))</f>
        <v>3.6599213870911602</v>
      </c>
      <c r="Z85" s="30">
        <f>G61*(1-(VLOOKUP(Z$75,tech_data!$B$2:$O$15,4,FALSE)/100))</f>
        <v>12.292188081495263</v>
      </c>
      <c r="AA85" s="30">
        <f>H61*(1-(VLOOKUP(AA$75,tech_data!$B$2:$O$15,4,FALSE)/100))</f>
        <v>23.413367941246431</v>
      </c>
      <c r="AB85" s="30">
        <f>I61*(1-(VLOOKUP(AB$75,tech_data!$B$2:$O$15,4,FALSE)/100))</f>
        <v>0.29904401951326892</v>
      </c>
      <c r="AC85" s="30">
        <f>J61*(1-(VLOOKUP(AC$75,tech_data!$B$2:$O$15,4,FALSE)/100))</f>
        <v>8.5234530461538449E-2</v>
      </c>
      <c r="AD85" s="30">
        <f>K61*(1-(VLOOKUP(AD$75,tech_data!$B$2:$O$15,4,FALSE)/100))</f>
        <v>0.90872497556138176</v>
      </c>
      <c r="AE85" s="30">
        <f>L61*(1-(VLOOKUP(AE$75,tech_data!$B$2:$O$15,4,FALSE)/100))</f>
        <v>0</v>
      </c>
      <c r="AF85" s="30">
        <f>M61*(1-(VLOOKUP(AF$75,tech_data!$B$2:$O$15,4,FALSE)/100))</f>
        <v>8.1352940076702698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(bali_nt!AI61*3.6/(VLOOKUP(AI$51,tech_data!$B$2:$J$15,4,FALSE)/100))/1000</f>
        <v>0</v>
      </c>
      <c r="AJ85" s="30">
        <f t="shared" si="86"/>
        <v>92.015203717159707</v>
      </c>
      <c r="AK85" s="30"/>
      <c r="AL85" s="23"/>
    </row>
    <row r="86" spans="1:38" x14ac:dyDescent="0.25">
      <c r="A86" s="19"/>
      <c r="B86" s="20" t="str">
        <f t="shared" si="82"/>
        <v>BALI_NT</v>
      </c>
      <c r="C86" s="20">
        <f t="shared" si="82"/>
        <v>2029</v>
      </c>
      <c r="D86" s="30">
        <f t="shared" si="87"/>
        <v>17.131406387863496</v>
      </c>
      <c r="E86" s="30">
        <f t="shared" si="87"/>
        <v>9.4953891233453938</v>
      </c>
      <c r="F86" s="30">
        <f t="shared" si="87"/>
        <v>6.0032221910538786</v>
      </c>
      <c r="G86" s="30">
        <f t="shared" si="87"/>
        <v>10.471123180533001</v>
      </c>
      <c r="H86" s="30">
        <f t="shared" si="87"/>
        <v>3.6541094241168683</v>
      </c>
      <c r="I86" s="30">
        <f t="shared" si="87"/>
        <v>5.6818363547706294</v>
      </c>
      <c r="J86" s="30">
        <f t="shared" si="87"/>
        <v>0.34093812184615391</v>
      </c>
      <c r="K86" s="30">
        <f t="shared" si="87"/>
        <v>1.2268793649255512</v>
      </c>
      <c r="L86" s="30">
        <f t="shared" si="87"/>
        <v>0</v>
      </c>
      <c r="M86" s="30">
        <f t="shared" si="87"/>
        <v>4.6642958264785275</v>
      </c>
      <c r="N86" s="30">
        <f t="shared" si="87"/>
        <v>0</v>
      </c>
      <c r="O86" s="30">
        <f t="shared" si="87"/>
        <v>0</v>
      </c>
      <c r="P86" s="30">
        <f>(bali_nt!P62*3.6/(VLOOKUP(P$51,tech_data!$B$2:$J$15,4,FALSE)/100))/1000</f>
        <v>8.2574232485707063E-5</v>
      </c>
      <c r="Q86" s="30">
        <f t="shared" si="84"/>
        <v>58.669199974933498</v>
      </c>
      <c r="R86" s="30"/>
      <c r="S86" s="23"/>
      <c r="T86" s="19"/>
      <c r="U86" s="20" t="str">
        <f t="shared" si="85"/>
        <v>BALI_NT</v>
      </c>
      <c r="V86" s="20">
        <f t="shared" si="85"/>
        <v>2029</v>
      </c>
      <c r="W86" s="30">
        <f>D62*(1-(VLOOKUP(W$75,tech_data!$B$2:$O$15,4,FALSE)/100))</f>
        <v>27.173954960059337</v>
      </c>
      <c r="X86" s="30">
        <f>E62*(1-(VLOOKUP(X$75,tech_data!$B$2:$O$15,4,FALSE)/100))</f>
        <v>17.127197203791226</v>
      </c>
      <c r="Y86" s="30">
        <f>F62*(1-(VLOOKUP(Y$75,tech_data!$B$2:$O$15,4,FALSE)/100))</f>
        <v>4.2880158507527693</v>
      </c>
      <c r="Z86" s="30">
        <f>G62*(1-(VLOOKUP(Z$75,tech_data!$B$2:$O$15,4,FALSE)/100))</f>
        <v>12.292188081495263</v>
      </c>
      <c r="AA86" s="30">
        <f>H62*(1-(VLOOKUP(AA$75,tech_data!$B$2:$O$15,4,FALSE)/100))</f>
        <v>23.413367791563637</v>
      </c>
      <c r="AB86" s="30">
        <f>I62*(1-(VLOOKUP(AB$75,tech_data!$B$2:$O$15,4,FALSE)/100))</f>
        <v>0.2990440186721387</v>
      </c>
      <c r="AC86" s="30">
        <f>J62*(1-(VLOOKUP(AC$75,tech_data!$B$2:$O$15,4,FALSE)/100))</f>
        <v>8.5234530461538449E-2</v>
      </c>
      <c r="AD86" s="30">
        <f>K62*(1-(VLOOKUP(AD$75,tech_data!$B$2:$O$15,4,FALSE)/100))</f>
        <v>1.030578666537463</v>
      </c>
      <c r="AE86" s="30">
        <f>L62*(1-(VLOOKUP(AE$75,tech_data!$B$2:$O$15,4,FALSE)/100))</f>
        <v>0</v>
      </c>
      <c r="AF86" s="30">
        <f>M62*(1-(VLOOKUP(AF$75,tech_data!$B$2:$O$15,4,FALSE)/100))</f>
        <v>10.381819742807044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(bali_nt!AI62*3.6/(VLOOKUP(AI$51,tech_data!$B$2:$J$15,4,FALSE)/100))/1000</f>
        <v>0</v>
      </c>
      <c r="AJ86" s="30">
        <f t="shared" si="86"/>
        <v>96.091400846140402</v>
      </c>
      <c r="AK86" s="30"/>
      <c r="AL86" s="23"/>
    </row>
    <row r="87" spans="1:38" x14ac:dyDescent="0.25">
      <c r="A87" s="19"/>
      <c r="B87" s="20" t="str">
        <f t="shared" si="82"/>
        <v>BALI_NT</v>
      </c>
      <c r="C87" s="20">
        <f t="shared" si="82"/>
        <v>2030</v>
      </c>
      <c r="D87" s="30">
        <f t="shared" si="87"/>
        <v>17.8617959957366</v>
      </c>
      <c r="E87" s="30">
        <f t="shared" si="87"/>
        <v>11.621321587002964</v>
      </c>
      <c r="F87" s="30">
        <f t="shared" si="87"/>
        <v>6.0032221910538786</v>
      </c>
      <c r="G87" s="30">
        <f t="shared" si="87"/>
        <v>10.471123180533001</v>
      </c>
      <c r="H87" s="30">
        <f t="shared" si="87"/>
        <v>3.6541094007559702</v>
      </c>
      <c r="I87" s="30">
        <f t="shared" si="87"/>
        <v>5.6818363547706294</v>
      </c>
      <c r="J87" s="30">
        <f t="shared" si="87"/>
        <v>0.34093812184615391</v>
      </c>
      <c r="K87" s="30">
        <f t="shared" si="87"/>
        <v>1.2937573825578219</v>
      </c>
      <c r="L87" s="30">
        <f t="shared" si="87"/>
        <v>0</v>
      </c>
      <c r="M87" s="30">
        <f t="shared" si="87"/>
        <v>4.6642958174871278</v>
      </c>
      <c r="N87" s="30">
        <f t="shared" si="87"/>
        <v>0</v>
      </c>
      <c r="O87" s="30">
        <f t="shared" si="87"/>
        <v>0</v>
      </c>
      <c r="P87" s="30">
        <f>(bali_nt!P63*3.6/(VLOOKUP(P$51,tech_data!$B$2:$J$15,4,FALSE)/100))/1000</f>
        <v>8.6694942753739963E-5</v>
      </c>
      <c r="Q87" s="30">
        <f t="shared" si="84"/>
        <v>61.592400031744141</v>
      </c>
      <c r="R87" s="30"/>
      <c r="S87" s="23"/>
      <c r="T87" s="19"/>
      <c r="U87" s="20" t="str">
        <f t="shared" si="85"/>
        <v>BALI_NT</v>
      </c>
      <c r="V87" s="20">
        <f t="shared" si="85"/>
        <v>2030</v>
      </c>
      <c r="W87" s="30">
        <f>D63*(1-(VLOOKUP(W$75,tech_data!$B$2:$O$15,4,FALSE)/100))</f>
        <v>28.332503993237363</v>
      </c>
      <c r="X87" s="30">
        <f>E63*(1-(VLOOKUP(X$75,tech_data!$B$2:$O$15,4,FALSE)/100))</f>
        <v>20.961823049453944</v>
      </c>
      <c r="Y87" s="30">
        <f>F63*(1-(VLOOKUP(Y$75,tech_data!$B$2:$O$15,4,FALSE)/100))</f>
        <v>4.2880158507527693</v>
      </c>
      <c r="Z87" s="30">
        <f>G63*(1-(VLOOKUP(Z$75,tech_data!$B$2:$O$15,4,FALSE)/100))</f>
        <v>12.292188081495263</v>
      </c>
      <c r="AA87" s="30">
        <f>H63*(1-(VLOOKUP(AA$75,tech_data!$B$2:$O$15,4,FALSE)/100))</f>
        <v>23.413367641880846</v>
      </c>
      <c r="AB87" s="30">
        <f>I63*(1-(VLOOKUP(AB$75,tech_data!$B$2:$O$15,4,FALSE)/100))</f>
        <v>0.2990440186721387</v>
      </c>
      <c r="AC87" s="30">
        <f>J63*(1-(VLOOKUP(AC$75,tech_data!$B$2:$O$15,4,FALSE)/100))</f>
        <v>8.5234530461538449E-2</v>
      </c>
      <c r="AD87" s="30">
        <f>K63*(1-(VLOOKUP(AD$75,tech_data!$B$2:$O$15,4,FALSE)/100))</f>
        <v>1.0867562013485703</v>
      </c>
      <c r="AE87" s="30">
        <f>L63*(1-(VLOOKUP(AE$75,tech_data!$B$2:$O$15,4,FALSE)/100))</f>
        <v>0</v>
      </c>
      <c r="AF87" s="30">
        <f>M63*(1-(VLOOKUP(AF$75,tech_data!$B$2:$O$15,4,FALSE)/100))</f>
        <v>10.38181972279393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(bali_nt!AI63*3.6/(VLOOKUP(AI$51,tech_data!$B$2:$J$15,4,FALSE)/100))/1000</f>
        <v>0</v>
      </c>
      <c r="AJ87" s="30">
        <f t="shared" si="86"/>
        <v>101.14075309009637</v>
      </c>
      <c r="AK87" s="30"/>
      <c r="AL87" s="23"/>
    </row>
    <row r="88" spans="1:38" x14ac:dyDescent="0.25">
      <c r="A88" s="19"/>
      <c r="B88" s="20" t="str">
        <f t="shared" si="82"/>
        <v>BALI_NT</v>
      </c>
      <c r="C88" s="20">
        <f t="shared" si="82"/>
        <v>2031</v>
      </c>
      <c r="D88" s="30">
        <f t="shared" si="87"/>
        <v>18.771263999998041</v>
      </c>
      <c r="E88" s="30">
        <f t="shared" si="87"/>
        <v>12.841887683338905</v>
      </c>
      <c r="F88" s="30">
        <f t="shared" si="87"/>
        <v>6.8513675361304296</v>
      </c>
      <c r="G88" s="30">
        <f t="shared" si="87"/>
        <v>10.471123180533001</v>
      </c>
      <c r="H88" s="30">
        <f t="shared" si="87"/>
        <v>3.6541094007559702</v>
      </c>
      <c r="I88" s="30">
        <f t="shared" si="87"/>
        <v>5.6818363547706294</v>
      </c>
      <c r="J88" s="30">
        <f t="shared" si="87"/>
        <v>0.34093812184615391</v>
      </c>
      <c r="K88" s="30">
        <f t="shared" si="87"/>
        <v>1.4112211283710545</v>
      </c>
      <c r="L88" s="30">
        <f t="shared" si="87"/>
        <v>0</v>
      </c>
      <c r="M88" s="30">
        <f t="shared" si="87"/>
        <v>5.1542525942523296</v>
      </c>
      <c r="N88" s="30">
        <f t="shared" si="87"/>
        <v>0</v>
      </c>
      <c r="O88" s="30">
        <f t="shared" si="87"/>
        <v>0</v>
      </c>
      <c r="P88" s="30">
        <f>(bali_nt!P64*3.6/(VLOOKUP(P$51,tech_data!$B$2:$J$15,4,FALSE)/100))/1000</f>
        <v>9.1789096483121255E-5</v>
      </c>
      <c r="Q88" s="30">
        <f t="shared" si="84"/>
        <v>65.177999999996516</v>
      </c>
      <c r="R88" s="30"/>
      <c r="S88" s="23"/>
      <c r="T88" s="19"/>
      <c r="U88" s="20" t="str">
        <f t="shared" si="85"/>
        <v>BALI_NT</v>
      </c>
      <c r="V88" s="20">
        <f t="shared" si="85"/>
        <v>2031</v>
      </c>
      <c r="W88" s="30">
        <f>D64*(1-(VLOOKUP(W$75,tech_data!$B$2:$O$15,4,FALSE)/100))</f>
        <v>29.775108413789997</v>
      </c>
      <c r="X88" s="30">
        <f>E64*(1-(VLOOKUP(X$75,tech_data!$B$2:$O$15,4,FALSE)/100))</f>
        <v>23.163404886770177</v>
      </c>
      <c r="Y88" s="30">
        <f>F64*(1-(VLOOKUP(Y$75,tech_data!$B$2:$O$15,4,FALSE)/100))</f>
        <v>4.893833954378878</v>
      </c>
      <c r="Z88" s="30">
        <f>G64*(1-(VLOOKUP(Z$75,tech_data!$B$2:$O$15,4,FALSE)/100))</f>
        <v>12.292188081495263</v>
      </c>
      <c r="AA88" s="30">
        <f>H64*(1-(VLOOKUP(AA$75,tech_data!$B$2:$O$15,4,FALSE)/100))</f>
        <v>23.413367641880846</v>
      </c>
      <c r="AB88" s="30">
        <f>I64*(1-(VLOOKUP(AB$75,tech_data!$B$2:$O$15,4,FALSE)/100))</f>
        <v>0.2990440186721387</v>
      </c>
      <c r="AC88" s="30">
        <f>J64*(1-(VLOOKUP(AC$75,tech_data!$B$2:$O$15,4,FALSE)/100))</f>
        <v>8.5234530461538449E-2</v>
      </c>
      <c r="AD88" s="30">
        <f>K64*(1-(VLOOKUP(AD$75,tech_data!$B$2:$O$15,4,FALSE)/100))</f>
        <v>1.1854257478316856</v>
      </c>
      <c r="AE88" s="30">
        <f>L64*(1-(VLOOKUP(AE$75,tech_data!$B$2:$O$15,4,FALSE)/100))</f>
        <v>0</v>
      </c>
      <c r="AF88" s="30">
        <f>M64*(1-(VLOOKUP(AF$75,tech_data!$B$2:$O$15,4,FALSE)/100))</f>
        <v>11.47236867752938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(bali_nt!AI64*3.6/(VLOOKUP(AI$51,tech_data!$B$2:$J$15,4,FALSE)/100))/1000</f>
        <v>0</v>
      </c>
      <c r="AJ88" s="30">
        <f t="shared" si="86"/>
        <v>106.5799759528099</v>
      </c>
      <c r="AK88" s="30"/>
      <c r="AL88" s="23"/>
    </row>
    <row r="89" spans="1:38" x14ac:dyDescent="0.25">
      <c r="A89" s="19"/>
      <c r="B89" s="20" t="str">
        <f t="shared" si="82"/>
        <v>BALI_NT</v>
      </c>
      <c r="C89" s="20">
        <f t="shared" si="82"/>
        <v>2032</v>
      </c>
      <c r="D89" s="30">
        <f t="shared" si="87"/>
        <v>19.733313599786758</v>
      </c>
      <c r="E89" s="30">
        <f t="shared" si="87"/>
        <v>14.526801455808101</v>
      </c>
      <c r="F89" s="30">
        <f t="shared" si="87"/>
        <v>6.8513675361304296</v>
      </c>
      <c r="G89" s="30">
        <f t="shared" si="87"/>
        <v>10.471123180533001</v>
      </c>
      <c r="H89" s="30">
        <f t="shared" si="87"/>
        <v>3.6541094007559702</v>
      </c>
      <c r="I89" s="30">
        <f t="shared" si="87"/>
        <v>6.3992900607298067</v>
      </c>
      <c r="J89" s="30">
        <f t="shared" si="87"/>
        <v>0.34093812184615391</v>
      </c>
      <c r="K89" s="30">
        <f t="shared" si="87"/>
        <v>1.5887612397229642</v>
      </c>
      <c r="L89" s="30">
        <f t="shared" si="87"/>
        <v>0</v>
      </c>
      <c r="M89" s="30">
        <f t="shared" si="87"/>
        <v>5.4318954063569347</v>
      </c>
      <c r="N89" s="30">
        <f t="shared" si="87"/>
        <v>0</v>
      </c>
      <c r="O89" s="30">
        <f t="shared" si="87"/>
        <v>0</v>
      </c>
      <c r="P89" s="30">
        <f>(bali_nt!P65*3.6/(VLOOKUP(P$51,tech_data!$B$2:$J$15,4,FALSE)/100))/1000</f>
        <v>9.7274405439898238E-5</v>
      </c>
      <c r="Q89" s="30">
        <f t="shared" si="84"/>
        <v>68.997600001670108</v>
      </c>
      <c r="R89" s="30"/>
      <c r="S89" s="23"/>
      <c r="T89" s="19"/>
      <c r="U89" s="20" t="str">
        <f t="shared" si="85"/>
        <v>BALI_NT</v>
      </c>
      <c r="V89" s="20">
        <f t="shared" si="85"/>
        <v>2032</v>
      </c>
      <c r="W89" s="30">
        <f>D65*(1-(VLOOKUP(W$75,tech_data!$B$2:$O$15,4,FALSE)/100))</f>
        <v>31.301118123799682</v>
      </c>
      <c r="X89" s="30">
        <f>E65*(1-(VLOOKUP(X$75,tech_data!$B$2:$O$15,4,FALSE)/100))</f>
        <v>26.202548420289382</v>
      </c>
      <c r="Y89" s="30">
        <f>F65*(1-(VLOOKUP(Y$75,tech_data!$B$2:$O$15,4,FALSE)/100))</f>
        <v>4.893833954378878</v>
      </c>
      <c r="Z89" s="30">
        <f>G65*(1-(VLOOKUP(Z$75,tech_data!$B$2:$O$15,4,FALSE)/100))</f>
        <v>12.292188081495263</v>
      </c>
      <c r="AA89" s="30">
        <f>H65*(1-(VLOOKUP(AA$75,tech_data!$B$2:$O$15,4,FALSE)/100))</f>
        <v>23.413367641880846</v>
      </c>
      <c r="AB89" s="30">
        <f>I65*(1-(VLOOKUP(AB$75,tech_data!$B$2:$O$15,4,FALSE)/100))</f>
        <v>0.33680474003841121</v>
      </c>
      <c r="AC89" s="30">
        <f>J65*(1-(VLOOKUP(AC$75,tech_data!$B$2:$O$15,4,FALSE)/100))</f>
        <v>8.5234530461538449E-2</v>
      </c>
      <c r="AD89" s="30">
        <f>K65*(1-(VLOOKUP(AD$75,tech_data!$B$2:$O$15,4,FALSE)/100))</f>
        <v>1.3345594413672899</v>
      </c>
      <c r="AE89" s="30">
        <f>L65*(1-(VLOOKUP(AE$75,tech_data!$B$2:$O$15,4,FALSE)/100))</f>
        <v>0</v>
      </c>
      <c r="AF89" s="30">
        <f>M65*(1-(VLOOKUP(AF$75,tech_data!$B$2:$O$15,4,FALSE)/100))</f>
        <v>12.090347839955758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(bali_nt!AI65*3.6/(VLOOKUP(AI$51,tech_data!$B$2:$J$15,4,FALSE)/100))/1000</f>
        <v>0</v>
      </c>
      <c r="AJ89" s="30">
        <f t="shared" si="86"/>
        <v>111.95000277366704</v>
      </c>
      <c r="AK89" s="30"/>
      <c r="AL89" s="23"/>
    </row>
    <row r="90" spans="1:38" x14ac:dyDescent="0.25">
      <c r="A90" s="19"/>
      <c r="B90" s="20" t="str">
        <f t="shared" si="82"/>
        <v>BALI_NT</v>
      </c>
      <c r="C90" s="20">
        <f t="shared" si="82"/>
        <v>2033</v>
      </c>
      <c r="D90" s="30">
        <f t="shared" si="87"/>
        <v>20.555351999999999</v>
      </c>
      <c r="E90" s="30">
        <f t="shared" si="87"/>
        <v>14.526801455808101</v>
      </c>
      <c r="F90" s="30">
        <f t="shared" si="87"/>
        <v>8.32490658164898</v>
      </c>
      <c r="G90" s="30">
        <f t="shared" si="87"/>
        <v>10.471123162542927</v>
      </c>
      <c r="H90" s="30">
        <f t="shared" si="87"/>
        <v>3.6541093773950721</v>
      </c>
      <c r="I90" s="30">
        <f t="shared" si="87"/>
        <v>7.1619369733010432</v>
      </c>
      <c r="J90" s="30">
        <f t="shared" si="87"/>
        <v>0.34093812184615391</v>
      </c>
      <c r="K90" s="30">
        <f t="shared" si="87"/>
        <v>1.7721155150484962</v>
      </c>
      <c r="L90" s="30">
        <f t="shared" si="87"/>
        <v>0</v>
      </c>
      <c r="M90" s="30">
        <f t="shared" si="87"/>
        <v>5.5707168124092368</v>
      </c>
      <c r="N90" s="30">
        <f t="shared" si="87"/>
        <v>0</v>
      </c>
      <c r="O90" s="30">
        <f t="shared" si="87"/>
        <v>0</v>
      </c>
      <c r="P90" s="30">
        <f>(bali_nt!P66*3.6/(VLOOKUP(P$51,tech_data!$B$2:$J$15,4,FALSE)/100))/1000</f>
        <v>1.0215836041311582E-4</v>
      </c>
      <c r="Q90" s="30">
        <f t="shared" si="84"/>
        <v>72.378</v>
      </c>
      <c r="R90" s="30"/>
      <c r="S90" s="23"/>
      <c r="T90" s="19"/>
      <c r="U90" s="20" t="str">
        <f t="shared" si="85"/>
        <v>BALI_NT</v>
      </c>
      <c r="V90" s="20">
        <f t="shared" si="85"/>
        <v>2033</v>
      </c>
      <c r="W90" s="30">
        <f>D66*(1-(VLOOKUP(W$75,tech_data!$B$2:$O$15,4,FALSE)/100))</f>
        <v>32.605041103448272</v>
      </c>
      <c r="X90" s="30">
        <f>E66*(1-(VLOOKUP(X$75,tech_data!$B$2:$O$15,4,FALSE)/100))</f>
        <v>26.202548420289382</v>
      </c>
      <c r="Y90" s="30">
        <f>F66*(1-(VLOOKUP(Y$75,tech_data!$B$2:$O$15,4,FALSE)/100))</f>
        <v>5.9463618440349855</v>
      </c>
      <c r="Z90" s="30">
        <f>G66*(1-(VLOOKUP(Z$75,tech_data!$B$2:$O$15,4,FALSE)/100))</f>
        <v>12.29218806037648</v>
      </c>
      <c r="AA90" s="30">
        <f>H66*(1-(VLOOKUP(AA$75,tech_data!$B$2:$O$15,4,FALSE)/100))</f>
        <v>23.413367492198049</v>
      </c>
      <c r="AB90" s="30">
        <f>I66*(1-(VLOOKUP(AB$75,tech_data!$B$2:$O$15,4,FALSE)/100))</f>
        <v>0.37694405122637109</v>
      </c>
      <c r="AC90" s="30">
        <f>J66*(1-(VLOOKUP(AC$75,tech_data!$B$2:$O$15,4,FALSE)/100))</f>
        <v>8.5234530461538449E-2</v>
      </c>
      <c r="AD90" s="30">
        <f>K66*(1-(VLOOKUP(AD$75,tech_data!$B$2:$O$15,4,FALSE)/100))</f>
        <v>1.4885770326407368</v>
      </c>
      <c r="AE90" s="30">
        <f>L66*(1-(VLOOKUP(AE$75,tech_data!$B$2:$O$15,4,FALSE)/100))</f>
        <v>0</v>
      </c>
      <c r="AF90" s="30">
        <f>M66*(1-(VLOOKUP(AF$75,tech_data!$B$2:$O$15,4,FALSE)/100))</f>
        <v>12.399337421168944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(bali_nt!AI66*3.6/(VLOOKUP(AI$51,tech_data!$B$2:$J$15,4,FALSE)/100))/1000</f>
        <v>0</v>
      </c>
      <c r="AJ90" s="30">
        <f t="shared" si="86"/>
        <v>114.80959995584476</v>
      </c>
      <c r="AK90" s="30"/>
      <c r="AL90" s="23"/>
    </row>
    <row r="91" spans="1:38" x14ac:dyDescent="0.25">
      <c r="A91" s="19"/>
      <c r="B91" s="20" t="str">
        <f t="shared" si="82"/>
        <v>BALI_NT</v>
      </c>
      <c r="C91" s="20">
        <f t="shared" si="82"/>
        <v>2034</v>
      </c>
      <c r="D91" s="30">
        <f t="shared" si="87"/>
        <v>21.616653590006575</v>
      </c>
      <c r="E91" s="30">
        <f t="shared" si="87"/>
        <v>16.403854370545904</v>
      </c>
      <c r="F91" s="30">
        <f t="shared" si="87"/>
        <v>8.32490658164898</v>
      </c>
      <c r="G91" s="30">
        <f t="shared" si="87"/>
        <v>10.471123162542927</v>
      </c>
      <c r="H91" s="30">
        <f t="shared" si="87"/>
        <v>3.6541093540341745</v>
      </c>
      <c r="I91" s="30">
        <f t="shared" si="87"/>
        <v>8.2077444054294286</v>
      </c>
      <c r="J91" s="30">
        <f t="shared" si="87"/>
        <v>0.34093812184615391</v>
      </c>
      <c r="K91" s="30">
        <f t="shared" si="87"/>
        <v>1.9953428352262852</v>
      </c>
      <c r="L91" s="30">
        <f t="shared" si="87"/>
        <v>0</v>
      </c>
      <c r="M91" s="30">
        <f t="shared" si="87"/>
        <v>5.6401275154353883</v>
      </c>
      <c r="N91" s="30">
        <f t="shared" si="87"/>
        <v>0</v>
      </c>
      <c r="O91" s="30">
        <f t="shared" si="87"/>
        <v>0</v>
      </c>
      <c r="P91" s="30">
        <f>(bali_nt!P67*3.6/(VLOOKUP(P$51,tech_data!$B$2:$J$15,4,FALSE)/100))/1000</f>
        <v>1.0832762282060727E-4</v>
      </c>
      <c r="Q91" s="30">
        <f t="shared" si="84"/>
        <v>76.654799936715818</v>
      </c>
      <c r="R91" s="30"/>
      <c r="S91" s="23"/>
      <c r="T91" s="19"/>
      <c r="U91" s="20" t="str">
        <f t="shared" si="85"/>
        <v>BALI_NT</v>
      </c>
      <c r="V91" s="20">
        <f t="shared" si="85"/>
        <v>2034</v>
      </c>
      <c r="W91" s="30">
        <f>D67*(1-(VLOOKUP(W$75,tech_data!$B$2:$O$15,4,FALSE)/100))</f>
        <v>34.288485004838009</v>
      </c>
      <c r="X91" s="30">
        <f>E67*(1-(VLOOKUP(X$75,tech_data!$B$2:$O$15,4,FALSE)/100))</f>
        <v>29.588260687059439</v>
      </c>
      <c r="Y91" s="30">
        <f>F67*(1-(VLOOKUP(Y$75,tech_data!$B$2:$O$15,4,FALSE)/100))</f>
        <v>5.9463618440349855</v>
      </c>
      <c r="Z91" s="30">
        <f>G67*(1-(VLOOKUP(Z$75,tech_data!$B$2:$O$15,4,FALSE)/100))</f>
        <v>12.29218806037648</v>
      </c>
      <c r="AA91" s="30">
        <f>H67*(1-(VLOOKUP(AA$75,tech_data!$B$2:$O$15,4,FALSE)/100))</f>
        <v>23.413367342515265</v>
      </c>
      <c r="AB91" s="30">
        <f>I67*(1-(VLOOKUP(AB$75,tech_data!$B$2:$O$15,4,FALSE)/100))</f>
        <v>0.43198654765418082</v>
      </c>
      <c r="AC91" s="30">
        <f>J67*(1-(VLOOKUP(AC$75,tech_data!$B$2:$O$15,4,FALSE)/100))</f>
        <v>8.5234530461538449E-2</v>
      </c>
      <c r="AD91" s="30">
        <f>K67*(1-(VLOOKUP(AD$75,tech_data!$B$2:$O$15,4,FALSE)/100))</f>
        <v>1.6760879815900795</v>
      </c>
      <c r="AE91" s="30">
        <f>L67*(1-(VLOOKUP(AE$75,tech_data!$B$2:$O$15,4,FALSE)/100))</f>
        <v>0</v>
      </c>
      <c r="AF91" s="30">
        <f>M67*(1-(VLOOKUP(AF$75,tech_data!$B$2:$O$15,4,FALSE)/100))</f>
        <v>12.553832211775539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(bali_nt!AI67*3.6/(VLOOKUP(AI$51,tech_data!$B$2:$J$15,4,FALSE)/100))/1000</f>
        <v>0</v>
      </c>
      <c r="AJ91" s="30">
        <f t="shared" si="86"/>
        <v>120.27580421030551</v>
      </c>
      <c r="AK91" s="30"/>
      <c r="AL91" s="23"/>
    </row>
    <row r="92" spans="1:38" x14ac:dyDescent="0.25">
      <c r="A92" s="19"/>
      <c r="B92" s="20" t="str">
        <f t="shared" ref="B92:C95" si="88">B44</f>
        <v>BALI_NT</v>
      </c>
      <c r="C92" s="20">
        <f t="shared" si="88"/>
        <v>2035</v>
      </c>
      <c r="D92" s="30">
        <f t="shared" si="87"/>
        <v>22.625567987925287</v>
      </c>
      <c r="E92" s="30">
        <f t="shared" si="87"/>
        <v>16.40385435978412</v>
      </c>
      <c r="F92" s="30">
        <f t="shared" si="87"/>
        <v>10.133987277737166</v>
      </c>
      <c r="G92" s="30">
        <f t="shared" si="87"/>
        <v>10.471123162542927</v>
      </c>
      <c r="H92" s="30">
        <f t="shared" si="87"/>
        <v>3.7710047078484514</v>
      </c>
      <c r="I92" s="30">
        <f t="shared" si="87"/>
        <v>9.1484246164993301</v>
      </c>
      <c r="J92" s="30">
        <f t="shared" si="87"/>
        <v>0.34093812184615391</v>
      </c>
      <c r="K92" s="30">
        <f t="shared" si="87"/>
        <v>2.2358669143825005</v>
      </c>
      <c r="L92" s="30">
        <f t="shared" si="87"/>
        <v>0</v>
      </c>
      <c r="M92" s="30">
        <f t="shared" si="87"/>
        <v>5.6748328669484627</v>
      </c>
      <c r="N92" s="30">
        <f t="shared" si="87"/>
        <v>-3.5999999999406096E-9</v>
      </c>
      <c r="O92" s="30">
        <f t="shared" si="87"/>
        <v>0</v>
      </c>
      <c r="P92" s="30">
        <f>(bali_nt!P68*3.6/(VLOOKUP(P$51,tech_data!$B$2:$J$15,4,FALSE)/100))/1000</f>
        <v>1.1434187170228622E-4</v>
      </c>
      <c r="Q92" s="30">
        <f t="shared" si="84"/>
        <v>80.805600011914393</v>
      </c>
      <c r="R92" s="30"/>
      <c r="S92" s="23"/>
      <c r="T92" s="19"/>
      <c r="U92" s="20" t="str">
        <f t="shared" ref="U92:V95" si="89">U44</f>
        <v>BALI_NT</v>
      </c>
      <c r="V92" s="20">
        <f t="shared" si="89"/>
        <v>2035</v>
      </c>
      <c r="W92" s="30">
        <f>D68*(1-(VLOOKUP(W$75,tech_data!$B$2:$O$15,4,FALSE)/100))</f>
        <v>35.888831980847002</v>
      </c>
      <c r="X92" s="30">
        <f>E68*(1-(VLOOKUP(X$75,tech_data!$B$2:$O$15,4,FALSE)/100))</f>
        <v>29.588260667647997</v>
      </c>
      <c r="Y92" s="30">
        <f>F68*(1-(VLOOKUP(Y$75,tech_data!$B$2:$O$15,4,FALSE)/100))</f>
        <v>7.238562341240832</v>
      </c>
      <c r="Z92" s="30">
        <f>G68*(1-(VLOOKUP(Z$75,tech_data!$B$2:$O$15,4,FALSE)/100))</f>
        <v>12.29218806037648</v>
      </c>
      <c r="AA92" s="30">
        <f>H68*(1-(VLOOKUP(AA$75,tech_data!$B$2:$O$15,4,FALSE)/100))</f>
        <v>24.162363498436374</v>
      </c>
      <c r="AB92" s="30">
        <f>I68*(1-(VLOOKUP(AB$75,tech_data!$B$2:$O$15,4,FALSE)/100))</f>
        <v>0.48149603244733369</v>
      </c>
      <c r="AC92" s="30">
        <f>J68*(1-(VLOOKUP(AC$75,tech_data!$B$2:$O$15,4,FALSE)/100))</f>
        <v>8.5234530461538449E-2</v>
      </c>
      <c r="AD92" s="30">
        <f>K68*(1-(VLOOKUP(AD$75,tech_data!$B$2:$O$15,4,FALSE)/100))</f>
        <v>1.8781282080813004</v>
      </c>
      <c r="AE92" s="30">
        <f>L68*(1-(VLOOKUP(AE$75,tech_data!$B$2:$O$15,4,FALSE)/100))</f>
        <v>0</v>
      </c>
      <c r="AF92" s="30">
        <f>M68*(1-(VLOOKUP(AF$75,tech_data!$B$2:$O$15,4,FALSE)/100))</f>
        <v>12.631079607078835</v>
      </c>
      <c r="AG92" s="30">
        <f>N68*(1-(VLOOKUP(AG$75,tech_data!$B$2:$O$15,4,FALSE)/100))</f>
        <v>-3.1799999999475401E-10</v>
      </c>
      <c r="AH92" s="30">
        <f>O68*(1-(VLOOKUP(AH$75,tech_data!$B$2:$O$15,4,FALSE)/100))</f>
        <v>0</v>
      </c>
      <c r="AI92" s="30">
        <f>(bali_nt!AI68*3.6/(VLOOKUP(AI$51,tech_data!$B$2:$J$15,4,FALSE)/100))/1000</f>
        <v>0</v>
      </c>
      <c r="AJ92" s="30">
        <f t="shared" si="86"/>
        <v>124.24614492629971</v>
      </c>
      <c r="AK92" s="30"/>
      <c r="AL92" s="23"/>
    </row>
    <row r="93" spans="1:38" x14ac:dyDescent="0.25">
      <c r="A93" s="19"/>
      <c r="B93" s="20" t="str">
        <f t="shared" si="88"/>
        <v>BALI_NT</v>
      </c>
      <c r="C93" s="20">
        <f t="shared" si="88"/>
        <v>2036</v>
      </c>
      <c r="D93" s="30">
        <f t="shared" ref="D93:O95" si="90">D45*3.6/1000</f>
        <v>23.694940800656983</v>
      </c>
      <c r="E93" s="30">
        <f t="shared" si="90"/>
        <v>18.329598025795057</v>
      </c>
      <c r="F93" s="30">
        <f t="shared" si="90"/>
        <v>10.133987277737166</v>
      </c>
      <c r="G93" s="30">
        <f t="shared" si="90"/>
        <v>10.471123162542927</v>
      </c>
      <c r="H93" s="30">
        <f t="shared" si="90"/>
        <v>4.4455095643735687</v>
      </c>
      <c r="I93" s="30">
        <f t="shared" si="90"/>
        <v>9.61876472203428</v>
      </c>
      <c r="J93" s="30">
        <f t="shared" si="90"/>
        <v>0.34093812184615391</v>
      </c>
      <c r="K93" s="30">
        <f t="shared" si="90"/>
        <v>2.5065527508703132</v>
      </c>
      <c r="L93" s="30">
        <f t="shared" si="90"/>
        <v>0</v>
      </c>
      <c r="M93" s="30">
        <f t="shared" si="90"/>
        <v>5.6921855427050003</v>
      </c>
      <c r="N93" s="30">
        <f t="shared" si="90"/>
        <v>0</v>
      </c>
      <c r="O93" s="30">
        <f t="shared" si="90"/>
        <v>0</v>
      </c>
      <c r="P93" s="30">
        <f>(bali_nt!P69*3.6/(VLOOKUP(P$51,tech_data!$B$2:$J$15,4,FALSE)/100))/1000</f>
        <v>1.2077355821748945E-4</v>
      </c>
      <c r="Q93" s="30">
        <f t="shared" si="84"/>
        <v>85.23359996856145</v>
      </c>
      <c r="R93" s="30"/>
      <c r="S93" s="23"/>
      <c r="T93" s="19"/>
      <c r="U93" s="20" t="str">
        <f t="shared" si="89"/>
        <v>BALI_NT</v>
      </c>
      <c r="V93" s="20">
        <f t="shared" si="89"/>
        <v>2036</v>
      </c>
      <c r="W93" s="30">
        <f>D69*(1-(VLOOKUP(W$75,tech_data!$B$2:$O$15,4,FALSE)/100))</f>
        <v>37.585078511386932</v>
      </c>
      <c r="X93" s="30">
        <f>E69*(1-(VLOOKUP(X$75,tech_data!$B$2:$O$15,4,FALSE)/100))</f>
        <v>33.061798308209781</v>
      </c>
      <c r="Y93" s="30">
        <f>F69*(1-(VLOOKUP(Y$75,tech_data!$B$2:$O$15,4,FALSE)/100))</f>
        <v>7.238562341240832</v>
      </c>
      <c r="Z93" s="30">
        <f>G69*(1-(VLOOKUP(Z$75,tech_data!$B$2:$O$15,4,FALSE)/100))</f>
        <v>12.29218806037648</v>
      </c>
      <c r="AA93" s="30">
        <f>H69*(1-(VLOOKUP(AA$75,tech_data!$B$2:$O$15,4,FALSE)/100))</f>
        <v>28.484190912467678</v>
      </c>
      <c r="AB93" s="30">
        <f>I69*(1-(VLOOKUP(AB$75,tech_data!$B$2:$O$15,4,FALSE)/100))</f>
        <v>0.5062507748439099</v>
      </c>
      <c r="AC93" s="30">
        <f>J69*(1-(VLOOKUP(AC$75,tech_data!$B$2:$O$15,4,FALSE)/100))</f>
        <v>8.5234530461538449E-2</v>
      </c>
      <c r="AD93" s="30">
        <f>K69*(1-(VLOOKUP(AD$75,tech_data!$B$2:$O$15,4,FALSE)/100))</f>
        <v>2.1055043107310629</v>
      </c>
      <c r="AE93" s="30">
        <f>L69*(1-(VLOOKUP(AE$75,tech_data!$B$2:$O$15,4,FALSE)/100))</f>
        <v>0</v>
      </c>
      <c r="AF93" s="30">
        <f>M69*(1-(VLOOKUP(AF$75,tech_data!$B$2:$O$15,4,FALSE)/100))</f>
        <v>12.669703304730485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(bali_nt!AI69*3.6/(VLOOKUP(AI$51,tech_data!$B$2:$J$15,4,FALSE)/100))/1000</f>
        <v>0</v>
      </c>
      <c r="AJ93" s="30">
        <f t="shared" si="86"/>
        <v>134.0285110544487</v>
      </c>
      <c r="AK93" s="30"/>
      <c r="AL93" s="23"/>
    </row>
    <row r="94" spans="1:38" x14ac:dyDescent="0.25">
      <c r="A94" s="19"/>
      <c r="B94" s="20" t="str">
        <f t="shared" si="88"/>
        <v>BALI_NT</v>
      </c>
      <c r="C94" s="20">
        <f t="shared" si="88"/>
        <v>2037</v>
      </c>
      <c r="D94" s="30">
        <f t="shared" si="90"/>
        <v>24.819134399999996</v>
      </c>
      <c r="E94" s="30">
        <f t="shared" si="90"/>
        <v>18.329598025795057</v>
      </c>
      <c r="F94" s="30">
        <f t="shared" si="90"/>
        <v>12.168835469652107</v>
      </c>
      <c r="G94" s="30">
        <f t="shared" si="90"/>
        <v>10.471123144552852</v>
      </c>
      <c r="H94" s="30">
        <f t="shared" si="90"/>
        <v>5.429744240657544</v>
      </c>
      <c r="I94" s="30">
        <f t="shared" si="90"/>
        <v>9.8539347748017558</v>
      </c>
      <c r="J94" s="30">
        <f t="shared" si="90"/>
        <v>0.34093812184615391</v>
      </c>
      <c r="K94" s="30">
        <f t="shared" si="90"/>
        <v>2.8102299421112744</v>
      </c>
      <c r="L94" s="30">
        <f t="shared" si="90"/>
        <v>0</v>
      </c>
      <c r="M94" s="30">
        <f t="shared" si="90"/>
        <v>5.7008618805832691</v>
      </c>
      <c r="N94" s="30">
        <f t="shared" si="90"/>
        <v>0</v>
      </c>
      <c r="O94" s="30">
        <f t="shared" si="90"/>
        <v>0</v>
      </c>
      <c r="P94" s="30">
        <f>(bali_nt!P70*3.6/(VLOOKUP(P$51,tech_data!$B$2:$J$15,4,FALSE)/100))/1000</f>
        <v>1.276059220231956E-4</v>
      </c>
      <c r="Q94" s="30">
        <f t="shared" si="84"/>
        <v>89.92440000000002</v>
      </c>
      <c r="R94" s="30"/>
      <c r="S94" s="23"/>
      <c r="T94" s="19"/>
      <c r="U94" s="20" t="str">
        <f t="shared" si="89"/>
        <v>BALI_NT</v>
      </c>
      <c r="V94" s="20">
        <f t="shared" si="89"/>
        <v>2037</v>
      </c>
      <c r="W94" s="30">
        <f>D70*(1-(VLOOKUP(W$75,tech_data!$B$2:$O$15,4,FALSE)/100))</f>
        <v>39.368282151724131</v>
      </c>
      <c r="X94" s="30">
        <f>E70*(1-(VLOOKUP(X$75,tech_data!$B$2:$O$15,4,FALSE)/100))</f>
        <v>33.061798308209781</v>
      </c>
      <c r="Y94" s="30">
        <f>F70*(1-(VLOOKUP(Y$75,tech_data!$B$2:$O$15,4,FALSE)/100))</f>
        <v>8.6920253354657895</v>
      </c>
      <c r="Z94" s="30">
        <f>G70*(1-(VLOOKUP(Z$75,tech_data!$B$2:$O$15,4,FALSE)/100))</f>
        <v>12.292188039257697</v>
      </c>
      <c r="AA94" s="30">
        <f>H70*(1-(VLOOKUP(AA$75,tech_data!$B$2:$O$15,4,FALSE)/100))</f>
        <v>34.790583467916854</v>
      </c>
      <c r="AB94" s="30">
        <f>I70*(1-(VLOOKUP(AB$75,tech_data!$B$2:$O$15,4,FALSE)/100))</f>
        <v>0.51862814604219809</v>
      </c>
      <c r="AC94" s="30">
        <f>J70*(1-(VLOOKUP(AC$75,tech_data!$B$2:$O$15,4,FALSE)/100))</f>
        <v>8.5234530461538449E-2</v>
      </c>
      <c r="AD94" s="30">
        <f>K70*(1-(VLOOKUP(AD$75,tech_data!$B$2:$O$15,4,FALSE)/100))</f>
        <v>2.3605931513734704</v>
      </c>
      <c r="AE94" s="30">
        <f>L70*(1-(VLOOKUP(AE$75,tech_data!$B$2:$O$15,4,FALSE)/100))</f>
        <v>0</v>
      </c>
      <c r="AF94" s="30">
        <f>M70*(1-(VLOOKUP(AF$75,tech_data!$B$2:$O$15,4,FALSE)/100))</f>
        <v>12.68901515355631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(bali_nt!AI70*3.6/(VLOOKUP(AI$51,tech_data!$B$2:$J$15,4,FALSE)/100))/1000</f>
        <v>0</v>
      </c>
      <c r="AJ94" s="30">
        <f t="shared" si="86"/>
        <v>143.8583482840078</v>
      </c>
      <c r="AK94" s="30"/>
      <c r="AL94" s="23"/>
    </row>
    <row r="95" spans="1:38" x14ac:dyDescent="0.25">
      <c r="A95" s="19"/>
      <c r="B95" s="20" t="str">
        <f t="shared" si="88"/>
        <v>BALI_NT</v>
      </c>
      <c r="C95" s="20">
        <f t="shared" si="88"/>
        <v>2038</v>
      </c>
      <c r="D95" s="30">
        <f t="shared" si="90"/>
        <v>26.14354560000001</v>
      </c>
      <c r="E95" s="30">
        <f t="shared" si="90"/>
        <v>20.716344763785109</v>
      </c>
      <c r="F95" s="30">
        <f t="shared" si="90"/>
        <v>12.168835469652107</v>
      </c>
      <c r="G95" s="30">
        <f t="shared" si="90"/>
        <v>10.471123126562777</v>
      </c>
      <c r="H95" s="30">
        <f t="shared" si="90"/>
        <v>6.7286770536070195</v>
      </c>
      <c r="I95" s="30">
        <f t="shared" si="90"/>
        <v>9.971519801185492</v>
      </c>
      <c r="J95" s="30">
        <f t="shared" si="90"/>
        <v>0.34093812184615391</v>
      </c>
      <c r="K95" s="30">
        <f t="shared" si="90"/>
        <v>3.1682160138389341</v>
      </c>
      <c r="L95" s="30">
        <f t="shared" si="90"/>
        <v>0</v>
      </c>
      <c r="M95" s="30">
        <f t="shared" si="90"/>
        <v>5.7052000495224044</v>
      </c>
      <c r="N95" s="30">
        <f t="shared" si="90"/>
        <v>1.2696416349279053E-16</v>
      </c>
      <c r="O95" s="30">
        <f t="shared" si="90"/>
        <v>0</v>
      </c>
      <c r="P95" s="30">
        <f>(bali_nt!P71*3.6/(VLOOKUP(P$51,tech_data!$B$2:$J$15,4,FALSE)/100))/1000</f>
        <v>1.3560523514950635E-4</v>
      </c>
      <c r="Q95" s="30">
        <f t="shared" si="84"/>
        <v>95.414400000000001</v>
      </c>
      <c r="R95" s="30"/>
      <c r="S95" s="23"/>
      <c r="T95" s="19"/>
      <c r="U95" s="20" t="str">
        <f t="shared" si="89"/>
        <v>BALI_NT</v>
      </c>
      <c r="V95" s="20">
        <f t="shared" si="89"/>
        <v>2038</v>
      </c>
      <c r="W95" s="30">
        <f>D71*(1-(VLOOKUP(W$75,tech_data!$B$2:$O$15,4,FALSE)/100))</f>
        <v>41.469072331034496</v>
      </c>
      <c r="X95" s="30">
        <f>E71*(1-(VLOOKUP(X$75,tech_data!$B$2:$O$15,4,FALSE)/100))</f>
        <v>37.366864854303984</v>
      </c>
      <c r="Y95" s="30">
        <f>F71*(1-(VLOOKUP(Y$75,tech_data!$B$2:$O$15,4,FALSE)/100))</f>
        <v>8.6920253354657895</v>
      </c>
      <c r="Z95" s="30">
        <f>G71*(1-(VLOOKUP(Z$75,tech_data!$B$2:$O$15,4,FALSE)/100))</f>
        <v>12.292188018138912</v>
      </c>
      <c r="AA95" s="30">
        <f>H71*(1-(VLOOKUP(AA$75,tech_data!$B$2:$O$15,4,FALSE)/100))</f>
        <v>43.113375195333859</v>
      </c>
      <c r="AB95" s="30">
        <f>I71*(1-(VLOOKUP(AB$75,tech_data!$B$2:$O$15,4,FALSE)/100))</f>
        <v>0.5248168316413423</v>
      </c>
      <c r="AC95" s="30">
        <f>J71*(1-(VLOOKUP(AC$75,tech_data!$B$2:$O$15,4,FALSE)/100))</f>
        <v>8.5234530461538449E-2</v>
      </c>
      <c r="AD95" s="30">
        <f>K71*(1-(VLOOKUP(AD$75,tech_data!$B$2:$O$15,4,FALSE)/100))</f>
        <v>2.6613014516247047</v>
      </c>
      <c r="AE95" s="30">
        <f>L71*(1-(VLOOKUP(AE$75,tech_data!$B$2:$O$15,4,FALSE)/100))</f>
        <v>0</v>
      </c>
      <c r="AF95" s="30">
        <f>M71*(1-(VLOOKUP(AF$75,tech_data!$B$2:$O$15,4,FALSE)/100))</f>
        <v>12.698671077969221</v>
      </c>
      <c r="AG95" s="30">
        <f>N71*(1-(VLOOKUP(AG$75,tech_data!$B$2:$O$15,4,FALSE)/100))</f>
        <v>1.1215167775196503E-17</v>
      </c>
      <c r="AH95" s="30">
        <f>O71*(1-(VLOOKUP(AH$75,tech_data!$B$2:$O$15,4,FALSE)/100))</f>
        <v>0</v>
      </c>
      <c r="AI95" s="30">
        <f>(bali_nt!AI71*3.6/(VLOOKUP(AI$51,tech_data!$B$2:$J$15,4,FALSE)/100))/1000</f>
        <v>0</v>
      </c>
      <c r="AJ95" s="30">
        <f t="shared" si="86"/>
        <v>158.90354962597385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238125</xdr:colOff>
                    <xdr:row>0</xdr:row>
                    <xdr:rowOff>38100</xdr:rowOff>
                  </from>
                  <to>
                    <xdr:col>3</xdr:col>
                    <xdr:colOff>571500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F4AF6-E639-4E91-B9A5-36D39B0928BE}">
  <sheetPr codeName="Sheet11"/>
  <dimension ref="A1:CF96"/>
  <sheetViews>
    <sheetView topLeftCell="AK13" zoomScale="85" zoomScaleNormal="85" workbookViewId="0">
      <selection activeCell="AW29" sqref="AW29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proj_rukn!A82</f>
        <v>KALIMANTAN</v>
      </c>
      <c r="C4" s="20">
        <f>proj_rukn!B82</f>
        <v>2019</v>
      </c>
      <c r="D4" s="30">
        <f>existing_capacity!C6</f>
        <v>2450.5</v>
      </c>
      <c r="E4" s="30">
        <f>existing_capacity!D6</f>
        <v>535.03</v>
      </c>
      <c r="F4" s="30">
        <f>existing_capacity!E6</f>
        <v>60</v>
      </c>
      <c r="G4" s="30">
        <f>existing_capacity!F6</f>
        <v>1724.67</v>
      </c>
      <c r="H4" s="30">
        <f>existing_capacity!G6</f>
        <v>0</v>
      </c>
      <c r="I4" s="30">
        <f>existing_capacity!H6</f>
        <v>264.27</v>
      </c>
      <c r="J4" s="30">
        <f>existing_capacity!I6</f>
        <v>3.46</v>
      </c>
      <c r="K4" s="30">
        <f>existing_capacity!J6</f>
        <v>0.61</v>
      </c>
      <c r="L4" s="30">
        <f>existing_capacity!K6</f>
        <v>0</v>
      </c>
      <c r="M4" s="30">
        <f>existing_capacity!L6</f>
        <v>97.75</v>
      </c>
      <c r="N4" s="30">
        <f>existing_capacity!M6</f>
        <v>0</v>
      </c>
      <c r="O4" s="30">
        <f>existing_capacity!N6</f>
        <v>0</v>
      </c>
      <c r="P4" s="30">
        <v>0</v>
      </c>
      <c r="Q4" s="30">
        <f>SUM(D4:O4)</f>
        <v>5136.2899999999991</v>
      </c>
      <c r="R4" s="30"/>
      <c r="S4" s="36"/>
      <c r="T4" s="19"/>
      <c r="U4" s="20" t="str">
        <f t="shared" ref="U4:V23" si="0">B4</f>
        <v>KALIMANTAN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KALIMANTAN</v>
      </c>
      <c r="AP4" s="20">
        <f t="shared" si="2"/>
        <v>2019</v>
      </c>
      <c r="AQ4" s="30">
        <v>99999</v>
      </c>
      <c r="AR4" s="30">
        <v>99999</v>
      </c>
      <c r="AS4" s="30">
        <v>99999</v>
      </c>
      <c r="AT4" s="30">
        <v>99999</v>
      </c>
      <c r="AU4" s="30">
        <f>potential!G6</f>
        <v>182</v>
      </c>
      <c r="AV4" s="30">
        <f>potential!H6</f>
        <v>21581</v>
      </c>
      <c r="AW4" s="30">
        <f>potential!I6</f>
        <v>8100</v>
      </c>
      <c r="AX4" s="30">
        <f>potential!J6</f>
        <v>52725</v>
      </c>
      <c r="AY4" s="30">
        <f>potential!K6</f>
        <v>2526</v>
      </c>
      <c r="AZ4" s="30">
        <f>potential!L6</f>
        <v>5061</v>
      </c>
      <c r="BA4" s="30">
        <f>potential!M6</f>
        <v>0</v>
      </c>
      <c r="BB4" s="30">
        <v>99999</v>
      </c>
      <c r="BC4" s="30">
        <v>99999</v>
      </c>
      <c r="BD4" s="30">
        <f t="shared" ref="BD4:BD23" si="3">SUM(AU4:BA4)</f>
        <v>90175</v>
      </c>
      <c r="BF4" s="23"/>
      <c r="BG4" s="19"/>
      <c r="BH4" s="20" t="str">
        <f>AO4</f>
        <v>KALIMANTAN</v>
      </c>
      <c r="BI4" s="20">
        <f>AP4</f>
        <v>2019</v>
      </c>
      <c r="BJ4" s="25">
        <f t="shared" ref="BJ4:BJ22" si="4">SUM(K28:L28,N28)/Q28</f>
        <v>4.7336759466989272E-5</v>
      </c>
      <c r="BK4" s="43">
        <f t="shared" ref="BK4:BK23" si="5">$BO$5+((BJ4-$BN$5)*($BO$6-$BO$5)/($BN$6-$BN$5))</f>
        <v>2.7270010190553757E-4</v>
      </c>
      <c r="BL4" s="34">
        <f>BK4*Q28*1000</f>
        <v>6464.5755011453784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KALIMANTAN</v>
      </c>
      <c r="C5" s="20">
        <f>C4+1</f>
        <v>2020</v>
      </c>
      <c r="D5" s="30">
        <f>D4+W5</f>
        <v>2662.380850205278</v>
      </c>
      <c r="E5" s="30">
        <f t="shared" ref="E5:O20" si="6">E4+X5</f>
        <v>535.03</v>
      </c>
      <c r="F5" s="30">
        <f t="shared" si="6"/>
        <v>265.29595935798</v>
      </c>
      <c r="G5" s="30">
        <f t="shared" si="6"/>
        <v>1724.67</v>
      </c>
      <c r="H5" s="30">
        <f t="shared" si="6"/>
        <v>0</v>
      </c>
      <c r="I5" s="30">
        <f t="shared" si="6"/>
        <v>264.27707442029674</v>
      </c>
      <c r="J5" s="30">
        <f t="shared" si="6"/>
        <v>60.052784423864018</v>
      </c>
      <c r="K5" s="30">
        <f t="shared" si="6"/>
        <v>1013.962781628471</v>
      </c>
      <c r="L5" s="30">
        <f t="shared" si="6"/>
        <v>33.186828136340971</v>
      </c>
      <c r="M5" s="30">
        <f t="shared" si="6"/>
        <v>97.75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2.0195659998244366</v>
      </c>
      <c r="Q5" s="30">
        <f t="shared" ref="Q5:Q23" si="7">SUM(D5:O5)</f>
        <v>6656.6062781722312</v>
      </c>
      <c r="R5" s="30"/>
      <c r="S5" s="36"/>
      <c r="T5" s="19"/>
      <c r="U5" s="20" t="str">
        <f t="shared" si="0"/>
        <v>KALIMANTAN</v>
      </c>
      <c r="V5" s="20">
        <f t="shared" si="0"/>
        <v>2020</v>
      </c>
      <c r="W5" s="30">
        <v>211.8808502052778</v>
      </c>
      <c r="X5" s="30">
        <v>0</v>
      </c>
      <c r="Y5" s="30">
        <v>205.29595935798</v>
      </c>
      <c r="Z5" s="30">
        <v>0</v>
      </c>
      <c r="AA5" s="30">
        <v>0</v>
      </c>
      <c r="AB5" s="30">
        <v>7.0744202967873617E-3</v>
      </c>
      <c r="AC5" s="30">
        <v>56.592784423864018</v>
      </c>
      <c r="AD5" s="30">
        <v>1013.352781628471</v>
      </c>
      <c r="AE5" s="30">
        <v>33.186828136340971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2.0195659998244366</v>
      </c>
      <c r="AJ5" s="34">
        <f t="shared" si="1"/>
        <v>1522.3358441720547</v>
      </c>
      <c r="AM5" s="23"/>
      <c r="AO5" s="20" t="str">
        <f t="shared" si="2"/>
        <v>KALIMANTAN</v>
      </c>
      <c r="AP5" s="20">
        <f t="shared" si="2"/>
        <v>2020</v>
      </c>
      <c r="AQ5" s="30">
        <v>99999</v>
      </c>
      <c r="AR5" s="30">
        <v>99999</v>
      </c>
      <c r="AS5" s="30">
        <v>99999</v>
      </c>
      <c r="AT5" s="30">
        <v>99999</v>
      </c>
      <c r="AU5" s="30">
        <f t="shared" ref="AU5:BA20" si="9">AU4-AA5</f>
        <v>182</v>
      </c>
      <c r="AV5" s="30">
        <f t="shared" si="9"/>
        <v>21580.992925579703</v>
      </c>
      <c r="AW5" s="30">
        <f t="shared" si="9"/>
        <v>8043.407215576136</v>
      </c>
      <c r="AX5" s="30">
        <f t="shared" si="9"/>
        <v>51711.64721837153</v>
      </c>
      <c r="AY5" s="30">
        <f t="shared" si="9"/>
        <v>2492.8131718636591</v>
      </c>
      <c r="AZ5" s="30">
        <f t="shared" si="9"/>
        <v>5061</v>
      </c>
      <c r="BA5" s="30">
        <f t="shared" si="9"/>
        <v>0</v>
      </c>
      <c r="BB5" s="30">
        <v>99999</v>
      </c>
      <c r="BC5" s="30">
        <v>99999</v>
      </c>
      <c r="BD5" s="30">
        <f t="shared" si="3"/>
        <v>89071.860531391023</v>
      </c>
      <c r="BF5" s="23"/>
      <c r="BG5" s="19"/>
      <c r="BH5" s="20" t="str">
        <f t="shared" ref="BH5:BI23" si="10">AO5</f>
        <v>KALIMANTAN</v>
      </c>
      <c r="BI5" s="20">
        <f t="shared" si="10"/>
        <v>2020</v>
      </c>
      <c r="BJ5" s="25">
        <f t="shared" si="4"/>
        <v>7.1274134944476902E-2</v>
      </c>
      <c r="BK5" s="43">
        <f t="shared" si="5"/>
        <v>2.8841911943602248E-4</v>
      </c>
      <c r="BL5" s="34">
        <f t="shared" ref="BL5:BL23" si="11">BK5*Q29*1000</f>
        <v>7961.1291713079299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KALIMANTAN</v>
      </c>
      <c r="C6" s="20">
        <f t="shared" ref="C6:C23" si="13">C5+1</f>
        <v>2021</v>
      </c>
      <c r="D6" s="30">
        <f t="shared" ref="D6:O21" si="14">D5+W6</f>
        <v>2783.5639341082151</v>
      </c>
      <c r="E6" s="30">
        <f t="shared" si="6"/>
        <v>535.03</v>
      </c>
      <c r="F6" s="30">
        <f t="shared" si="6"/>
        <v>929.59306424916895</v>
      </c>
      <c r="G6" s="30">
        <f t="shared" si="6"/>
        <v>1724.67</v>
      </c>
      <c r="H6" s="30">
        <f t="shared" si="6"/>
        <v>0</v>
      </c>
      <c r="I6" s="30">
        <f t="shared" si="6"/>
        <v>503.03723353100412</v>
      </c>
      <c r="J6" s="30">
        <f t="shared" si="6"/>
        <v>60.052783423864021</v>
      </c>
      <c r="K6" s="30">
        <f t="shared" si="6"/>
        <v>1013.9622084939142</v>
      </c>
      <c r="L6" s="30">
        <f t="shared" si="6"/>
        <v>33.186826319234925</v>
      </c>
      <c r="M6" s="30">
        <f t="shared" si="6"/>
        <v>97.75</v>
      </c>
      <c r="N6" s="30">
        <f t="shared" si="6"/>
        <v>0</v>
      </c>
      <c r="O6" s="30">
        <f t="shared" si="6"/>
        <v>0</v>
      </c>
      <c r="P6" s="30">
        <f>BL6/((VLOOKUP(P$3,tech_data!$B$2:$G$15,6,FALSE)/100)*24*365)</f>
        <v>2.2607111806669185</v>
      </c>
      <c r="Q6" s="30">
        <f t="shared" si="7"/>
        <v>7680.8460501254003</v>
      </c>
      <c r="R6" s="30"/>
      <c r="S6" s="36"/>
      <c r="T6" s="19"/>
      <c r="U6" s="20" t="str">
        <f t="shared" si="0"/>
        <v>KALIMANTAN</v>
      </c>
      <c r="V6" s="20">
        <f t="shared" si="0"/>
        <v>2021</v>
      </c>
      <c r="W6" s="30">
        <v>121.18308390293704</v>
      </c>
      <c r="X6" s="30">
        <v>0</v>
      </c>
      <c r="Y6" s="30">
        <v>664.29710489118895</v>
      </c>
      <c r="Z6" s="30">
        <v>0</v>
      </c>
      <c r="AA6" s="30">
        <v>0</v>
      </c>
      <c r="AB6" s="30">
        <v>238.76015911070738</v>
      </c>
      <c r="AC6" s="30">
        <v>-9.9999999747524271E-7</v>
      </c>
      <c r="AD6" s="30">
        <v>-5.7313455682749589E-4</v>
      </c>
      <c r="AE6" s="30">
        <v>-1.8171060488105147E-6</v>
      </c>
      <c r="AF6" s="30">
        <v>0</v>
      </c>
      <c r="AG6" s="30">
        <v>0</v>
      </c>
      <c r="AH6" s="30">
        <v>0</v>
      </c>
      <c r="AI6" s="30">
        <f t="shared" si="8"/>
        <v>0.24114518084248182</v>
      </c>
      <c r="AJ6" s="34">
        <f t="shared" si="1"/>
        <v>1024.4809171340132</v>
      </c>
      <c r="AM6" s="23"/>
      <c r="AO6" s="20" t="str">
        <f t="shared" si="2"/>
        <v>KALIMANTAN</v>
      </c>
      <c r="AP6" s="20">
        <f t="shared" si="2"/>
        <v>2021</v>
      </c>
      <c r="AQ6" s="30">
        <v>99999</v>
      </c>
      <c r="AR6" s="30">
        <v>99999</v>
      </c>
      <c r="AS6" s="30">
        <v>99999</v>
      </c>
      <c r="AT6" s="30">
        <v>99999</v>
      </c>
      <c r="AU6" s="30">
        <f t="shared" si="9"/>
        <v>182</v>
      </c>
      <c r="AV6" s="30">
        <f t="shared" si="9"/>
        <v>21342.232766468995</v>
      </c>
      <c r="AW6" s="30">
        <f t="shared" si="9"/>
        <v>8043.4072165761363</v>
      </c>
      <c r="AX6" s="30">
        <f t="shared" si="9"/>
        <v>51711.64779150609</v>
      </c>
      <c r="AY6" s="30">
        <f t="shared" si="9"/>
        <v>2492.813173680765</v>
      </c>
      <c r="AZ6" s="30">
        <f t="shared" si="9"/>
        <v>5061</v>
      </c>
      <c r="BA6" s="30">
        <f t="shared" si="9"/>
        <v>0</v>
      </c>
      <c r="BB6" s="30">
        <v>99999</v>
      </c>
      <c r="BC6" s="30">
        <v>99999</v>
      </c>
      <c r="BD6" s="30">
        <f t="shared" si="3"/>
        <v>88833.100948231993</v>
      </c>
      <c r="BF6" s="23"/>
      <c r="BG6" s="19"/>
      <c r="BH6" s="20" t="str">
        <f t="shared" si="10"/>
        <v>KALIMANTAN</v>
      </c>
      <c r="BI6" s="20">
        <f t="shared" si="10"/>
        <v>2021</v>
      </c>
      <c r="BJ6" s="25">
        <f t="shared" si="4"/>
        <v>6.3282073489461702E-2</v>
      </c>
      <c r="BK6" s="43">
        <f t="shared" si="5"/>
        <v>2.8665535414939847E-4</v>
      </c>
      <c r="BL6" s="34">
        <f t="shared" si="11"/>
        <v>8911.7234741889934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KALIMANTAN</v>
      </c>
      <c r="C7" s="20">
        <f t="shared" si="13"/>
        <v>2022</v>
      </c>
      <c r="D7" s="30">
        <f t="shared" si="14"/>
        <v>2896.9227067417082</v>
      </c>
      <c r="E7" s="30">
        <f t="shared" si="6"/>
        <v>535.03</v>
      </c>
      <c r="F7" s="30">
        <f t="shared" si="6"/>
        <v>1706.0743696264446</v>
      </c>
      <c r="G7" s="30">
        <f t="shared" si="6"/>
        <v>1724.67</v>
      </c>
      <c r="H7" s="30">
        <f t="shared" si="6"/>
        <v>0</v>
      </c>
      <c r="I7" s="30">
        <f t="shared" si="6"/>
        <v>503.99169675463702</v>
      </c>
      <c r="J7" s="30">
        <f t="shared" si="6"/>
        <v>60.052658646989535</v>
      </c>
      <c r="K7" s="30">
        <f t="shared" si="6"/>
        <v>1705.5316688773453</v>
      </c>
      <c r="L7" s="30">
        <f t="shared" si="6"/>
        <v>33.186671424144258</v>
      </c>
      <c r="M7" s="30">
        <f t="shared" si="6"/>
        <v>97.75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2.6069101883636745</v>
      </c>
      <c r="Q7" s="30">
        <f t="shared" si="7"/>
        <v>9263.2097720712682</v>
      </c>
      <c r="R7" s="30"/>
      <c r="S7" s="36"/>
      <c r="T7" s="19"/>
      <c r="U7" s="20" t="str">
        <f t="shared" si="0"/>
        <v>KALIMANTAN</v>
      </c>
      <c r="V7" s="20">
        <f t="shared" si="0"/>
        <v>2022</v>
      </c>
      <c r="W7" s="30">
        <v>113.35877263349323</v>
      </c>
      <c r="X7" s="30">
        <v>0</v>
      </c>
      <c r="Y7" s="30">
        <v>776.4813053772757</v>
      </c>
      <c r="Z7" s="30">
        <v>0</v>
      </c>
      <c r="AA7" s="30">
        <v>0</v>
      </c>
      <c r="AB7" s="30">
        <v>0.95446322363287928</v>
      </c>
      <c r="AC7" s="30">
        <v>-1.2477687448960559E-4</v>
      </c>
      <c r="AD7" s="30">
        <v>691.56946038343108</v>
      </c>
      <c r="AE7" s="30">
        <v>-1.5489509066563291E-4</v>
      </c>
      <c r="AF7" s="30">
        <v>0</v>
      </c>
      <c r="AG7" s="30">
        <v>0</v>
      </c>
      <c r="AH7" s="30">
        <v>0</v>
      </c>
      <c r="AI7" s="30">
        <f t="shared" si="8"/>
        <v>0.34619900769675604</v>
      </c>
      <c r="AJ7" s="34">
        <f t="shared" si="1"/>
        <v>1582.7099209535643</v>
      </c>
      <c r="AM7" s="23"/>
      <c r="AO7" s="20" t="str">
        <f t="shared" si="2"/>
        <v>KALIMANTAN</v>
      </c>
      <c r="AP7" s="20">
        <f t="shared" si="2"/>
        <v>2022</v>
      </c>
      <c r="AQ7" s="30">
        <v>99999</v>
      </c>
      <c r="AR7" s="30">
        <v>99999</v>
      </c>
      <c r="AS7" s="30">
        <v>99999</v>
      </c>
      <c r="AT7" s="30">
        <v>99999</v>
      </c>
      <c r="AU7" s="30">
        <f t="shared" si="9"/>
        <v>182</v>
      </c>
      <c r="AV7" s="30">
        <f t="shared" si="9"/>
        <v>21341.278303245363</v>
      </c>
      <c r="AW7" s="30">
        <f t="shared" si="9"/>
        <v>8043.4073413530105</v>
      </c>
      <c r="AX7" s="30">
        <f t="shared" si="9"/>
        <v>51020.078331122655</v>
      </c>
      <c r="AY7" s="30">
        <f t="shared" si="9"/>
        <v>2492.8133285758558</v>
      </c>
      <c r="AZ7" s="30">
        <f t="shared" si="9"/>
        <v>5061</v>
      </c>
      <c r="BA7" s="30">
        <f t="shared" si="9"/>
        <v>0</v>
      </c>
      <c r="BB7" s="30">
        <v>99999</v>
      </c>
      <c r="BC7" s="30">
        <v>99999</v>
      </c>
      <c r="BD7" s="30">
        <f t="shared" si="3"/>
        <v>88140.577304296879</v>
      </c>
      <c r="BF7" s="23"/>
      <c r="BG7" s="19"/>
      <c r="BH7" s="20" t="str">
        <f t="shared" si="10"/>
        <v>KALIMANTAN</v>
      </c>
      <c r="BI7" s="20">
        <f t="shared" si="10"/>
        <v>2022</v>
      </c>
      <c r="BJ7" s="25">
        <f t="shared" si="4"/>
        <v>9.2390881796762331E-2</v>
      </c>
      <c r="BK7" s="43">
        <f t="shared" si="5"/>
        <v>2.9307936701721655E-4</v>
      </c>
      <c r="BL7" s="34">
        <f t="shared" si="11"/>
        <v>10276.439962529606</v>
      </c>
      <c r="BP7" s="23"/>
    </row>
    <row r="8" spans="1:68" x14ac:dyDescent="0.25">
      <c r="A8" s="19"/>
      <c r="B8" s="20" t="str">
        <f t="shared" si="12"/>
        <v>KALIMANTAN</v>
      </c>
      <c r="C8" s="20">
        <f t="shared" si="13"/>
        <v>2023</v>
      </c>
      <c r="D8" s="30">
        <f t="shared" si="14"/>
        <v>2896.9227067417082</v>
      </c>
      <c r="E8" s="30">
        <f t="shared" si="6"/>
        <v>1097.8442665337939</v>
      </c>
      <c r="F8" s="30">
        <f t="shared" si="6"/>
        <v>1706.0744830565379</v>
      </c>
      <c r="G8" s="30">
        <f t="shared" si="6"/>
        <v>1724.6700000000012</v>
      </c>
      <c r="H8" s="30">
        <f t="shared" si="6"/>
        <v>5.6735610775401062E-2</v>
      </c>
      <c r="I8" s="30">
        <f t="shared" si="6"/>
        <v>679.99773202370159</v>
      </c>
      <c r="J8" s="30">
        <f t="shared" si="6"/>
        <v>60.052597251908423</v>
      </c>
      <c r="K8" s="30">
        <f t="shared" si="6"/>
        <v>1798.6641119821161</v>
      </c>
      <c r="L8" s="30">
        <f t="shared" si="6"/>
        <v>74.448273496804532</v>
      </c>
      <c r="M8" s="30">
        <f t="shared" si="6"/>
        <v>154.10437339257487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2.8244337261710748</v>
      </c>
      <c r="Q8" s="30">
        <f t="shared" si="7"/>
        <v>10192.835280089921</v>
      </c>
      <c r="R8" s="30"/>
      <c r="S8" s="36"/>
      <c r="T8" s="19"/>
      <c r="U8" s="20" t="str">
        <f t="shared" si="0"/>
        <v>KALIMANTAN</v>
      </c>
      <c r="V8" s="20">
        <f t="shared" si="0"/>
        <v>2023</v>
      </c>
      <c r="W8" s="30">
        <v>0</v>
      </c>
      <c r="X8" s="30">
        <v>562.81426653379378</v>
      </c>
      <c r="Y8" s="30">
        <v>1.1343009334907602E-4</v>
      </c>
      <c r="Z8" s="30">
        <v>1.0660164220132842E-12</v>
      </c>
      <c r="AA8" s="30">
        <v>5.6735610775401062E-2</v>
      </c>
      <c r="AB8" s="30">
        <v>176.00603526906454</v>
      </c>
      <c r="AC8" s="30">
        <v>-6.1395081114960497E-5</v>
      </c>
      <c r="AD8" s="30">
        <v>93.132443104770715</v>
      </c>
      <c r="AE8" s="30">
        <v>41.261602072660274</v>
      </c>
      <c r="AF8" s="30">
        <v>56.354373392574871</v>
      </c>
      <c r="AG8" s="30">
        <v>0</v>
      </c>
      <c r="AH8" s="30">
        <v>0</v>
      </c>
      <c r="AI8" s="30">
        <f t="shared" si="8"/>
        <v>0.2175235378074003</v>
      </c>
      <c r="AJ8" s="34">
        <f t="shared" si="1"/>
        <v>929.84303155646023</v>
      </c>
      <c r="AM8" s="23"/>
      <c r="AO8" s="20" t="str">
        <f t="shared" si="2"/>
        <v>KALIMANTAN</v>
      </c>
      <c r="AP8" s="20">
        <f t="shared" si="2"/>
        <v>2023</v>
      </c>
      <c r="AQ8" s="30">
        <v>99999</v>
      </c>
      <c r="AR8" s="30">
        <v>99999</v>
      </c>
      <c r="AS8" s="30">
        <v>99999</v>
      </c>
      <c r="AT8" s="30">
        <v>99999</v>
      </c>
      <c r="AU8" s="30">
        <f t="shared" si="9"/>
        <v>181.94326438922459</v>
      </c>
      <c r="AV8" s="30">
        <f t="shared" si="9"/>
        <v>21165.272267976299</v>
      </c>
      <c r="AW8" s="30">
        <f t="shared" si="9"/>
        <v>8043.407402748092</v>
      </c>
      <c r="AX8" s="30">
        <f t="shared" si="9"/>
        <v>50926.945888017886</v>
      </c>
      <c r="AY8" s="30">
        <f t="shared" si="9"/>
        <v>2451.5517265031954</v>
      </c>
      <c r="AZ8" s="30">
        <f t="shared" si="9"/>
        <v>5004.6456266074256</v>
      </c>
      <c r="BA8" s="30">
        <f t="shared" si="9"/>
        <v>0</v>
      </c>
      <c r="BB8" s="30">
        <v>99999</v>
      </c>
      <c r="BC8" s="30">
        <v>99999</v>
      </c>
      <c r="BD8" s="30">
        <f t="shared" si="3"/>
        <v>87773.766176242119</v>
      </c>
      <c r="BF8" s="23"/>
      <c r="BG8" s="19"/>
      <c r="BH8" s="20" t="str">
        <f t="shared" si="10"/>
        <v>KALIMANTAN</v>
      </c>
      <c r="BI8" s="20">
        <f t="shared" si="10"/>
        <v>2023</v>
      </c>
      <c r="BJ8" s="25">
        <f t="shared" si="4"/>
        <v>9.3181146027956477E-2</v>
      </c>
      <c r="BK8" s="43">
        <f t="shared" si="5"/>
        <v>2.9325377015789383E-4</v>
      </c>
      <c r="BL8" s="34">
        <f t="shared" si="11"/>
        <v>11133.917748566379</v>
      </c>
      <c r="BP8" s="23"/>
    </row>
    <row r="9" spans="1:68" x14ac:dyDescent="0.25">
      <c r="A9" s="19"/>
      <c r="B9" s="20" t="str">
        <f t="shared" si="12"/>
        <v>KALIMANTAN</v>
      </c>
      <c r="C9" s="20">
        <f t="shared" si="13"/>
        <v>2024</v>
      </c>
      <c r="D9" s="30">
        <f t="shared" si="14"/>
        <v>2896.9227067417082</v>
      </c>
      <c r="E9" s="30">
        <f t="shared" si="6"/>
        <v>1257.2112832504056</v>
      </c>
      <c r="F9" s="30">
        <f t="shared" si="6"/>
        <v>1718.1211099161424</v>
      </c>
      <c r="G9" s="30">
        <f t="shared" si="6"/>
        <v>1724.6700000000012</v>
      </c>
      <c r="H9" s="30">
        <f t="shared" si="6"/>
        <v>0.14715460990955909</v>
      </c>
      <c r="I9" s="30">
        <f t="shared" si="6"/>
        <v>690.50569044947792</v>
      </c>
      <c r="J9" s="30">
        <f t="shared" si="6"/>
        <v>60.915744347810843</v>
      </c>
      <c r="K9" s="30">
        <f t="shared" si="6"/>
        <v>1798.778639178086</v>
      </c>
      <c r="L9" s="30">
        <f t="shared" si="6"/>
        <v>395.39970377705521</v>
      </c>
      <c r="M9" s="30">
        <f t="shared" si="6"/>
        <v>156.63908613768291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2.9873270838273664</v>
      </c>
      <c r="Q9" s="30">
        <f t="shared" si="7"/>
        <v>10699.311118408279</v>
      </c>
      <c r="R9" s="30"/>
      <c r="S9" s="36"/>
      <c r="T9" s="19"/>
      <c r="U9" s="20" t="str">
        <f t="shared" si="0"/>
        <v>KALIMANTAN</v>
      </c>
      <c r="V9" s="20">
        <f t="shared" si="0"/>
        <v>2024</v>
      </c>
      <c r="W9" s="30">
        <v>0</v>
      </c>
      <c r="X9" s="30">
        <v>159.36701671661169</v>
      </c>
      <c r="Y9" s="30">
        <v>12.046626859604524</v>
      </c>
      <c r="Z9" s="30">
        <v>0</v>
      </c>
      <c r="AA9" s="30">
        <v>9.0418999134158018E-2</v>
      </c>
      <c r="AB9" s="30">
        <v>10.507958425776287</v>
      </c>
      <c r="AC9" s="30">
        <v>0.86314709590241778</v>
      </c>
      <c r="AD9" s="30">
        <v>0.11452719596997524</v>
      </c>
      <c r="AE9" s="30">
        <v>320.95143028025069</v>
      </c>
      <c r="AF9" s="30">
        <v>2.5347127451080476</v>
      </c>
      <c r="AG9" s="30">
        <v>0</v>
      </c>
      <c r="AH9" s="30">
        <v>0</v>
      </c>
      <c r="AI9" s="30">
        <f t="shared" si="8"/>
        <v>0.16289335765629165</v>
      </c>
      <c r="AJ9" s="34">
        <f t="shared" si="1"/>
        <v>506.638731676014</v>
      </c>
      <c r="AM9" s="23"/>
      <c r="AO9" s="20" t="str">
        <f t="shared" si="2"/>
        <v>KALIMANTAN</v>
      </c>
      <c r="AP9" s="20">
        <f t="shared" si="2"/>
        <v>2024</v>
      </c>
      <c r="AQ9" s="30">
        <v>99999</v>
      </c>
      <c r="AR9" s="30">
        <v>99999</v>
      </c>
      <c r="AS9" s="30">
        <v>99999</v>
      </c>
      <c r="AT9" s="30">
        <v>99999</v>
      </c>
      <c r="AU9" s="30">
        <f t="shared" si="9"/>
        <v>181.85284539009044</v>
      </c>
      <c r="AV9" s="30">
        <f t="shared" si="9"/>
        <v>21154.764309550523</v>
      </c>
      <c r="AW9" s="30">
        <f t="shared" si="9"/>
        <v>8042.5442556521893</v>
      </c>
      <c r="AX9" s="30">
        <f t="shared" si="9"/>
        <v>50926.831360821918</v>
      </c>
      <c r="AY9" s="30">
        <f t="shared" si="9"/>
        <v>2130.6002962229445</v>
      </c>
      <c r="AZ9" s="30">
        <f t="shared" si="9"/>
        <v>5002.1109138623178</v>
      </c>
      <c r="BA9" s="30">
        <f t="shared" si="9"/>
        <v>0</v>
      </c>
      <c r="BB9" s="30">
        <v>99999</v>
      </c>
      <c r="BC9" s="30">
        <v>99999</v>
      </c>
      <c r="BD9" s="30">
        <f t="shared" si="3"/>
        <v>87438.703981499973</v>
      </c>
      <c r="BF9" s="23"/>
      <c r="BG9" s="19"/>
      <c r="BH9" s="20" t="str">
        <f t="shared" si="10"/>
        <v>KALIMANTAN</v>
      </c>
      <c r="BI9" s="20">
        <f t="shared" si="10"/>
        <v>2024</v>
      </c>
      <c r="BJ9" s="25">
        <f t="shared" si="4"/>
        <v>0.11449435817202067</v>
      </c>
      <c r="BK9" s="43">
        <f t="shared" si="5"/>
        <v>2.979573755965839E-4</v>
      </c>
      <c r="BL9" s="34">
        <f t="shared" si="11"/>
        <v>11776.04336444748</v>
      </c>
      <c r="BN9" s="38"/>
      <c r="BP9" s="23"/>
    </row>
    <row r="10" spans="1:68" x14ac:dyDescent="0.25">
      <c r="A10" s="19"/>
      <c r="B10" s="20" t="str">
        <f t="shared" si="12"/>
        <v>KALIMANTAN</v>
      </c>
      <c r="C10" s="20">
        <f t="shared" si="13"/>
        <v>2025</v>
      </c>
      <c r="D10" s="30">
        <f t="shared" si="14"/>
        <v>2896.9227067417082</v>
      </c>
      <c r="E10" s="30">
        <f t="shared" si="6"/>
        <v>1273.8590647256131</v>
      </c>
      <c r="F10" s="30">
        <f t="shared" si="6"/>
        <v>1900.0730128363193</v>
      </c>
      <c r="G10" s="30">
        <f t="shared" si="6"/>
        <v>1724.6700000000012</v>
      </c>
      <c r="H10" s="30">
        <f t="shared" si="6"/>
        <v>0.14715460990955909</v>
      </c>
      <c r="I10" s="30">
        <f t="shared" si="6"/>
        <v>921.50717100583165</v>
      </c>
      <c r="J10" s="30">
        <f t="shared" si="6"/>
        <v>60.915744347810843</v>
      </c>
      <c r="K10" s="30">
        <f t="shared" si="6"/>
        <v>1798.778639178086</v>
      </c>
      <c r="L10" s="30">
        <f t="shared" si="6"/>
        <v>415.7332032227169</v>
      </c>
      <c r="M10" s="30">
        <f t="shared" si="6"/>
        <v>175.59914114361905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3.1076442413370069</v>
      </c>
      <c r="Q10" s="30">
        <f t="shared" si="7"/>
        <v>11168.205837811614</v>
      </c>
      <c r="R10" s="30"/>
      <c r="S10" s="36"/>
      <c r="T10" s="19"/>
      <c r="U10" s="20" t="str">
        <f t="shared" si="0"/>
        <v>KALIMANTAN</v>
      </c>
      <c r="V10" s="20">
        <f t="shared" si="0"/>
        <v>2025</v>
      </c>
      <c r="W10" s="30">
        <v>0</v>
      </c>
      <c r="X10" s="30">
        <v>16.647781475207506</v>
      </c>
      <c r="Y10" s="30">
        <v>181.95190292017696</v>
      </c>
      <c r="Z10" s="30">
        <v>0</v>
      </c>
      <c r="AA10" s="30">
        <v>0</v>
      </c>
      <c r="AB10" s="30">
        <v>231.00148055635375</v>
      </c>
      <c r="AC10" s="30">
        <v>0</v>
      </c>
      <c r="AD10" s="30">
        <v>0</v>
      </c>
      <c r="AE10" s="30">
        <v>20.333499445661701</v>
      </c>
      <c r="AF10" s="30">
        <v>18.960055005936145</v>
      </c>
      <c r="AG10" s="30">
        <v>0</v>
      </c>
      <c r="AH10" s="30">
        <v>0</v>
      </c>
      <c r="AI10" s="30">
        <f t="shared" si="8"/>
        <v>0.12031715750964045</v>
      </c>
      <c r="AJ10" s="34">
        <f t="shared" si="1"/>
        <v>469.01503656084572</v>
      </c>
      <c r="AM10" s="23"/>
      <c r="AO10" s="20" t="str">
        <f t="shared" si="2"/>
        <v>KALIMANTAN</v>
      </c>
      <c r="AP10" s="20">
        <f t="shared" si="2"/>
        <v>2025</v>
      </c>
      <c r="AQ10" s="30">
        <v>99999</v>
      </c>
      <c r="AR10" s="30">
        <v>99999</v>
      </c>
      <c r="AS10" s="30">
        <v>99999</v>
      </c>
      <c r="AT10" s="30">
        <v>99999</v>
      </c>
      <c r="AU10" s="30">
        <f t="shared" si="9"/>
        <v>181.85284539009044</v>
      </c>
      <c r="AV10" s="30">
        <f t="shared" si="9"/>
        <v>20923.762828994168</v>
      </c>
      <c r="AW10" s="30">
        <f t="shared" si="9"/>
        <v>8042.5442556521893</v>
      </c>
      <c r="AX10" s="30">
        <f t="shared" si="9"/>
        <v>50926.831360821918</v>
      </c>
      <c r="AY10" s="30">
        <f t="shared" si="9"/>
        <v>2110.2667967772827</v>
      </c>
      <c r="AZ10" s="30">
        <f t="shared" si="9"/>
        <v>4983.150858856382</v>
      </c>
      <c r="BA10" s="30">
        <f t="shared" si="9"/>
        <v>0</v>
      </c>
      <c r="BB10" s="30">
        <v>99999</v>
      </c>
      <c r="BC10" s="30">
        <v>99999</v>
      </c>
      <c r="BD10" s="30">
        <f t="shared" si="3"/>
        <v>87168.40894649204</v>
      </c>
      <c r="BF10" s="23"/>
      <c r="BG10" s="19"/>
      <c r="BH10" s="20" t="str">
        <f t="shared" si="10"/>
        <v>KALIMANTAN</v>
      </c>
      <c r="BI10" s="20">
        <f t="shared" si="10"/>
        <v>2025</v>
      </c>
      <c r="BJ10" s="25">
        <f t="shared" si="4"/>
        <v>0.11132025842094753</v>
      </c>
      <c r="BK10" s="43">
        <f t="shared" si="5"/>
        <v>2.9725688461703671E-4</v>
      </c>
      <c r="BL10" s="34">
        <f t="shared" si="11"/>
        <v>12250.333599350482</v>
      </c>
      <c r="BP10" s="23"/>
    </row>
    <row r="11" spans="1:68" x14ac:dyDescent="0.25">
      <c r="A11" s="19"/>
      <c r="B11" s="20" t="str">
        <f t="shared" si="12"/>
        <v>KALIMANTAN</v>
      </c>
      <c r="C11" s="20">
        <f t="shared" si="13"/>
        <v>2026</v>
      </c>
      <c r="D11" s="30">
        <f t="shared" si="14"/>
        <v>2896.9227067417082</v>
      </c>
      <c r="E11" s="30">
        <f t="shared" si="6"/>
        <v>1380.8716863204429</v>
      </c>
      <c r="F11" s="30">
        <f t="shared" si="6"/>
        <v>1901.0900254339379</v>
      </c>
      <c r="G11" s="30">
        <f t="shared" si="6"/>
        <v>1724.6700000000012</v>
      </c>
      <c r="H11" s="30">
        <f t="shared" si="6"/>
        <v>8.1648162703524427</v>
      </c>
      <c r="I11" s="30">
        <f t="shared" si="6"/>
        <v>921.50717100583165</v>
      </c>
      <c r="J11" s="30">
        <f t="shared" si="6"/>
        <v>60.915715506781623</v>
      </c>
      <c r="K11" s="30">
        <f t="shared" si="6"/>
        <v>1798.7786394490729</v>
      </c>
      <c r="L11" s="30">
        <f t="shared" si="6"/>
        <v>486.15438303909372</v>
      </c>
      <c r="M11" s="30">
        <f t="shared" si="6"/>
        <v>176.2054627184462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3.1607798010060733</v>
      </c>
      <c r="Q11" s="30">
        <f t="shared" si="7"/>
        <v>11355.280606485667</v>
      </c>
      <c r="R11" s="30"/>
      <c r="S11" s="36"/>
      <c r="T11" s="19"/>
      <c r="U11" s="20" t="str">
        <f t="shared" si="0"/>
        <v>KALIMANTAN</v>
      </c>
      <c r="V11" s="20">
        <f t="shared" si="0"/>
        <v>2026</v>
      </c>
      <c r="W11" s="30">
        <v>0</v>
      </c>
      <c r="X11" s="30">
        <v>107.01262159482985</v>
      </c>
      <c r="Y11" s="30">
        <v>1.0170125976185798</v>
      </c>
      <c r="Z11" s="30">
        <v>0</v>
      </c>
      <c r="AA11" s="30">
        <v>8.017661660442883</v>
      </c>
      <c r="AB11" s="30">
        <v>0</v>
      </c>
      <c r="AC11" s="30">
        <v>-2.8841029216488875E-5</v>
      </c>
      <c r="AD11" s="30">
        <v>2.7098699774315376E-7</v>
      </c>
      <c r="AE11" s="30">
        <v>70.421179816376807</v>
      </c>
      <c r="AF11" s="30">
        <v>0.60632157482715332</v>
      </c>
      <c r="AG11" s="30">
        <v>0</v>
      </c>
      <c r="AH11" s="30">
        <v>0</v>
      </c>
      <c r="AI11" s="30">
        <f t="shared" si="8"/>
        <v>5.3135559669066357E-2</v>
      </c>
      <c r="AJ11" s="34">
        <f t="shared" si="1"/>
        <v>187.12790423372212</v>
      </c>
      <c r="AM11" s="23"/>
      <c r="AO11" s="20" t="str">
        <f t="shared" si="2"/>
        <v>KALIMANTAN</v>
      </c>
      <c r="AP11" s="20">
        <f t="shared" si="2"/>
        <v>2026</v>
      </c>
      <c r="AQ11" s="30">
        <v>99999</v>
      </c>
      <c r="AR11" s="30">
        <v>99999</v>
      </c>
      <c r="AS11" s="30">
        <v>99999</v>
      </c>
      <c r="AT11" s="30">
        <v>99999</v>
      </c>
      <c r="AU11" s="30">
        <f t="shared" si="9"/>
        <v>173.83518372964755</v>
      </c>
      <c r="AV11" s="30">
        <f t="shared" si="9"/>
        <v>20923.762828994168</v>
      </c>
      <c r="AW11" s="30">
        <f t="shared" si="9"/>
        <v>8042.5442844932186</v>
      </c>
      <c r="AX11" s="30">
        <f t="shared" si="9"/>
        <v>50926.831360550932</v>
      </c>
      <c r="AY11" s="30">
        <f t="shared" si="9"/>
        <v>2039.845616960906</v>
      </c>
      <c r="AZ11" s="30">
        <f t="shared" si="9"/>
        <v>4982.5445372815548</v>
      </c>
      <c r="BA11" s="30">
        <f t="shared" si="9"/>
        <v>0</v>
      </c>
      <c r="BB11" s="30">
        <v>99999</v>
      </c>
      <c r="BC11" s="30">
        <v>99999</v>
      </c>
      <c r="BD11" s="30">
        <f t="shared" si="3"/>
        <v>87089.36381201043</v>
      </c>
      <c r="BF11" s="23"/>
      <c r="BG11" s="19"/>
      <c r="BH11" s="20" t="str">
        <f t="shared" si="10"/>
        <v>KALIMANTAN</v>
      </c>
      <c r="BI11" s="20">
        <f t="shared" si="10"/>
        <v>2026</v>
      </c>
      <c r="BJ11" s="25">
        <f t="shared" si="4"/>
        <v>0.1149225280740567</v>
      </c>
      <c r="BK11" s="43">
        <f t="shared" si="5"/>
        <v>2.9805186826461941E-4</v>
      </c>
      <c r="BL11" s="34">
        <f t="shared" si="11"/>
        <v>12459.793975565943</v>
      </c>
      <c r="BP11" s="23"/>
    </row>
    <row r="12" spans="1:68" x14ac:dyDescent="0.25">
      <c r="A12" s="19"/>
      <c r="B12" s="20" t="str">
        <f t="shared" si="12"/>
        <v>KALIMANTAN</v>
      </c>
      <c r="C12" s="20">
        <f t="shared" si="13"/>
        <v>2027</v>
      </c>
      <c r="D12" s="30">
        <f t="shared" si="14"/>
        <v>2896.9227067417082</v>
      </c>
      <c r="E12" s="30">
        <f t="shared" si="6"/>
        <v>1380.8716863204429</v>
      </c>
      <c r="F12" s="30">
        <f t="shared" si="6"/>
        <v>2029.7837447426009</v>
      </c>
      <c r="G12" s="30">
        <f t="shared" si="6"/>
        <v>1735.8666533044527</v>
      </c>
      <c r="H12" s="30">
        <f t="shared" si="6"/>
        <v>8.1648162703524427</v>
      </c>
      <c r="I12" s="30">
        <f t="shared" si="6"/>
        <v>921.50717100583165</v>
      </c>
      <c r="J12" s="30">
        <f t="shared" si="6"/>
        <v>60.915715506781623</v>
      </c>
      <c r="K12" s="30">
        <f t="shared" si="6"/>
        <v>1798.7786394490729</v>
      </c>
      <c r="L12" s="30">
        <f t="shared" si="6"/>
        <v>584.59840183126505</v>
      </c>
      <c r="M12" s="30">
        <f t="shared" si="6"/>
        <v>176.2054627184462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3.2271824844533068</v>
      </c>
      <c r="Q12" s="30">
        <f t="shared" si="7"/>
        <v>11593.614997890954</v>
      </c>
      <c r="R12" s="30"/>
      <c r="S12" s="36"/>
      <c r="T12" s="19"/>
      <c r="U12" s="20" t="str">
        <f t="shared" si="0"/>
        <v>KALIMANTAN</v>
      </c>
      <c r="V12" s="20">
        <f t="shared" si="0"/>
        <v>2027</v>
      </c>
      <c r="W12" s="30">
        <v>0</v>
      </c>
      <c r="X12" s="30">
        <v>0</v>
      </c>
      <c r="Y12" s="30">
        <v>128.69371930866296</v>
      </c>
      <c r="Z12" s="30">
        <v>11.196653304451409</v>
      </c>
      <c r="AA12" s="30">
        <v>0</v>
      </c>
      <c r="AB12" s="30">
        <v>0</v>
      </c>
      <c r="AC12" s="30">
        <v>0</v>
      </c>
      <c r="AD12" s="30">
        <v>0</v>
      </c>
      <c r="AE12" s="30">
        <v>98.44401879217132</v>
      </c>
      <c r="AF12" s="30">
        <v>0</v>
      </c>
      <c r="AG12" s="30">
        <v>0</v>
      </c>
      <c r="AH12" s="30">
        <v>0</v>
      </c>
      <c r="AI12" s="30">
        <f t="shared" si="8"/>
        <v>6.6402683447233546E-2</v>
      </c>
      <c r="AJ12" s="34">
        <f t="shared" si="1"/>
        <v>238.40079408873294</v>
      </c>
      <c r="AM12" s="23"/>
      <c r="AO12" s="20" t="str">
        <f t="shared" si="2"/>
        <v>KALIMANTAN</v>
      </c>
      <c r="AP12" s="20">
        <f t="shared" si="2"/>
        <v>2027</v>
      </c>
      <c r="AQ12" s="30">
        <v>99999</v>
      </c>
      <c r="AR12" s="30">
        <v>99999</v>
      </c>
      <c r="AS12" s="30">
        <v>99999</v>
      </c>
      <c r="AT12" s="30">
        <v>99999</v>
      </c>
      <c r="AU12" s="30">
        <f t="shared" si="9"/>
        <v>173.83518372964755</v>
      </c>
      <c r="AV12" s="30">
        <f t="shared" si="9"/>
        <v>20923.762828994168</v>
      </c>
      <c r="AW12" s="30">
        <f t="shared" si="9"/>
        <v>8042.5442844932186</v>
      </c>
      <c r="AX12" s="30">
        <f t="shared" si="9"/>
        <v>50926.831360550932</v>
      </c>
      <c r="AY12" s="30">
        <f t="shared" si="9"/>
        <v>1941.4015981687346</v>
      </c>
      <c r="AZ12" s="30">
        <f t="shared" si="9"/>
        <v>4982.5445372815548</v>
      </c>
      <c r="BA12" s="30">
        <f t="shared" si="9"/>
        <v>0</v>
      </c>
      <c r="BB12" s="30">
        <v>99999</v>
      </c>
      <c r="BC12" s="30">
        <v>99999</v>
      </c>
      <c r="BD12" s="30">
        <f t="shared" si="3"/>
        <v>86990.919793218258</v>
      </c>
      <c r="BF12" s="23"/>
      <c r="BG12" s="19"/>
      <c r="BH12" s="20" t="str">
        <f t="shared" si="10"/>
        <v>KALIMANTAN</v>
      </c>
      <c r="BI12" s="20">
        <f t="shared" si="10"/>
        <v>2027</v>
      </c>
      <c r="BJ12" s="25">
        <f t="shared" si="4"/>
        <v>0.12011115752495539</v>
      </c>
      <c r="BK12" s="43">
        <f t="shared" si="5"/>
        <v>2.9919694510895567E-4</v>
      </c>
      <c r="BL12" s="34">
        <f t="shared" si="11"/>
        <v>12721.553353714937</v>
      </c>
      <c r="BP12" s="23"/>
    </row>
    <row r="13" spans="1:68" x14ac:dyDescent="0.25">
      <c r="A13" s="19"/>
      <c r="B13" s="20" t="str">
        <f t="shared" si="12"/>
        <v>KALIMANTAN</v>
      </c>
      <c r="C13" s="20">
        <f t="shared" si="13"/>
        <v>2028</v>
      </c>
      <c r="D13" s="30">
        <f t="shared" si="14"/>
        <v>2896.9227067417082</v>
      </c>
      <c r="E13" s="30">
        <f t="shared" si="6"/>
        <v>1380.8716863204429</v>
      </c>
      <c r="F13" s="30">
        <f t="shared" si="6"/>
        <v>2222.8700413090064</v>
      </c>
      <c r="G13" s="30">
        <f t="shared" si="6"/>
        <v>1822.193328837639</v>
      </c>
      <c r="H13" s="30">
        <f t="shared" si="6"/>
        <v>8.1648162703524427</v>
      </c>
      <c r="I13" s="30">
        <f t="shared" si="6"/>
        <v>921.50717100583165</v>
      </c>
      <c r="J13" s="30">
        <f t="shared" si="6"/>
        <v>60.915715506781623</v>
      </c>
      <c r="K13" s="30">
        <f t="shared" si="6"/>
        <v>1798.7786394490729</v>
      </c>
      <c r="L13" s="30">
        <f t="shared" si="6"/>
        <v>741.72098392839007</v>
      </c>
      <c r="M13" s="30">
        <f t="shared" si="6"/>
        <v>176.2054627184462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3.3544716139587196</v>
      </c>
      <c r="Q13" s="30">
        <f t="shared" si="7"/>
        <v>12030.150552087671</v>
      </c>
      <c r="R13" s="30"/>
      <c r="S13" s="36"/>
      <c r="T13" s="19"/>
      <c r="U13" s="20" t="str">
        <f t="shared" si="0"/>
        <v>KALIMANTAN</v>
      </c>
      <c r="V13" s="20">
        <f t="shared" si="0"/>
        <v>2028</v>
      </c>
      <c r="W13" s="30">
        <v>0</v>
      </c>
      <c r="X13" s="30">
        <v>0</v>
      </c>
      <c r="Y13" s="30">
        <v>193.08629656640548</v>
      </c>
      <c r="Z13" s="30">
        <v>86.326675533186176</v>
      </c>
      <c r="AA13" s="30">
        <v>0</v>
      </c>
      <c r="AB13" s="30">
        <v>0</v>
      </c>
      <c r="AC13" s="30">
        <v>0</v>
      </c>
      <c r="AD13" s="30">
        <v>0</v>
      </c>
      <c r="AE13" s="30">
        <v>157.12258209712496</v>
      </c>
      <c r="AF13" s="30">
        <v>0</v>
      </c>
      <c r="AG13" s="30">
        <v>0</v>
      </c>
      <c r="AH13" s="30">
        <v>0</v>
      </c>
      <c r="AI13" s="30">
        <f t="shared" si="8"/>
        <v>0.12728912950541282</v>
      </c>
      <c r="AJ13" s="34">
        <f t="shared" si="1"/>
        <v>436.66284332622206</v>
      </c>
      <c r="AM13" s="23"/>
      <c r="AO13" s="20" t="str">
        <f t="shared" si="2"/>
        <v>KALIMANTAN</v>
      </c>
      <c r="AP13" s="20">
        <f t="shared" si="2"/>
        <v>2028</v>
      </c>
      <c r="AQ13" s="30">
        <v>99999</v>
      </c>
      <c r="AR13" s="30">
        <v>99999</v>
      </c>
      <c r="AS13" s="30">
        <v>99999</v>
      </c>
      <c r="AT13" s="30">
        <v>99999</v>
      </c>
      <c r="AU13" s="30">
        <f t="shared" si="9"/>
        <v>173.83518372964755</v>
      </c>
      <c r="AV13" s="30">
        <f t="shared" si="9"/>
        <v>20923.762828994168</v>
      </c>
      <c r="AW13" s="30">
        <f t="shared" si="9"/>
        <v>8042.5442844932186</v>
      </c>
      <c r="AX13" s="30">
        <f t="shared" si="9"/>
        <v>50926.831360550932</v>
      </c>
      <c r="AY13" s="30">
        <f t="shared" si="9"/>
        <v>1784.2790160716097</v>
      </c>
      <c r="AZ13" s="30">
        <f t="shared" si="9"/>
        <v>4982.5445372815548</v>
      </c>
      <c r="BA13" s="30">
        <f t="shared" si="9"/>
        <v>0</v>
      </c>
      <c r="BB13" s="30">
        <v>99999</v>
      </c>
      <c r="BC13" s="30">
        <v>99999</v>
      </c>
      <c r="BD13" s="30">
        <f t="shared" si="3"/>
        <v>86833.797211121127</v>
      </c>
      <c r="BF13" s="23"/>
      <c r="BG13" s="19"/>
      <c r="BH13" s="20" t="str">
        <f t="shared" si="10"/>
        <v>KALIMANTAN</v>
      </c>
      <c r="BI13" s="20">
        <f t="shared" si="10"/>
        <v>2028</v>
      </c>
      <c r="BJ13" s="25">
        <f t="shared" si="4"/>
        <v>0.12714354952302018</v>
      </c>
      <c r="BK13" s="43">
        <f t="shared" si="5"/>
        <v>3.0074892127404586E-4</v>
      </c>
      <c r="BL13" s="34">
        <f t="shared" si="11"/>
        <v>13223.327102225274</v>
      </c>
      <c r="BP13" s="23"/>
    </row>
    <row r="14" spans="1:68" x14ac:dyDescent="0.25">
      <c r="A14" s="19"/>
      <c r="B14" s="20" t="str">
        <f t="shared" si="12"/>
        <v>KALIMANTAN</v>
      </c>
      <c r="C14" s="20">
        <f t="shared" si="13"/>
        <v>2029</v>
      </c>
      <c r="D14" s="30">
        <f t="shared" si="14"/>
        <v>2896.9227067417082</v>
      </c>
      <c r="E14" s="30">
        <f t="shared" si="6"/>
        <v>1380.8716863204429</v>
      </c>
      <c r="F14" s="30">
        <f t="shared" si="6"/>
        <v>2428.5261274588497</v>
      </c>
      <c r="G14" s="30">
        <f t="shared" si="6"/>
        <v>1913.3401234233077</v>
      </c>
      <c r="H14" s="30">
        <f t="shared" si="6"/>
        <v>8.1648162703524427</v>
      </c>
      <c r="I14" s="30">
        <f t="shared" si="6"/>
        <v>921.50717100583165</v>
      </c>
      <c r="J14" s="30">
        <f t="shared" si="6"/>
        <v>60.915715506781623</v>
      </c>
      <c r="K14" s="30">
        <f t="shared" si="6"/>
        <v>1798.7786394490729</v>
      </c>
      <c r="L14" s="30">
        <f t="shared" si="6"/>
        <v>908.96380094349706</v>
      </c>
      <c r="M14" s="30">
        <f t="shared" si="6"/>
        <v>176.2054627184462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3.4897290346749088</v>
      </c>
      <c r="Q14" s="30">
        <f t="shared" si="7"/>
        <v>12494.196249838291</v>
      </c>
      <c r="R14" s="30"/>
      <c r="S14" s="36"/>
      <c r="T14" s="19"/>
      <c r="U14" s="20" t="str">
        <f t="shared" si="0"/>
        <v>KALIMANTAN</v>
      </c>
      <c r="V14" s="20">
        <f t="shared" si="0"/>
        <v>2029</v>
      </c>
      <c r="W14" s="30">
        <v>0</v>
      </c>
      <c r="X14" s="30">
        <v>0</v>
      </c>
      <c r="Y14" s="30">
        <v>205.65608614984345</v>
      </c>
      <c r="Z14" s="30">
        <v>91.146794585668744</v>
      </c>
      <c r="AA14" s="30">
        <v>0</v>
      </c>
      <c r="AB14" s="30">
        <v>0</v>
      </c>
      <c r="AC14" s="30">
        <v>0</v>
      </c>
      <c r="AD14" s="30">
        <v>0</v>
      </c>
      <c r="AE14" s="30">
        <v>167.24281701510694</v>
      </c>
      <c r="AF14" s="30">
        <v>0</v>
      </c>
      <c r="AG14" s="30">
        <v>0</v>
      </c>
      <c r="AH14" s="30">
        <v>0</v>
      </c>
      <c r="AI14" s="30">
        <f t="shared" si="8"/>
        <v>0.13525742071618918</v>
      </c>
      <c r="AJ14" s="34">
        <f t="shared" si="1"/>
        <v>464.18095517133531</v>
      </c>
      <c r="AM14" s="23"/>
      <c r="AO14" s="20" t="str">
        <f t="shared" si="2"/>
        <v>KALIMANTAN</v>
      </c>
      <c r="AP14" s="20">
        <f t="shared" si="2"/>
        <v>2029</v>
      </c>
      <c r="AQ14" s="30">
        <v>99999</v>
      </c>
      <c r="AR14" s="30">
        <v>99999</v>
      </c>
      <c r="AS14" s="30">
        <v>99999</v>
      </c>
      <c r="AT14" s="30">
        <v>99999</v>
      </c>
      <c r="AU14" s="30">
        <f t="shared" si="9"/>
        <v>173.83518372964755</v>
      </c>
      <c r="AV14" s="30">
        <f t="shared" si="9"/>
        <v>20923.762828994168</v>
      </c>
      <c r="AW14" s="30">
        <f t="shared" si="9"/>
        <v>8042.5442844932186</v>
      </c>
      <c r="AX14" s="30">
        <f t="shared" si="9"/>
        <v>50926.831360550932</v>
      </c>
      <c r="AY14" s="30">
        <f t="shared" si="9"/>
        <v>1617.0361990565027</v>
      </c>
      <c r="AZ14" s="30">
        <f t="shared" si="9"/>
        <v>4982.5445372815548</v>
      </c>
      <c r="BA14" s="30">
        <f t="shared" si="9"/>
        <v>0</v>
      </c>
      <c r="BB14" s="30">
        <v>99999</v>
      </c>
      <c r="BC14" s="30">
        <v>99999</v>
      </c>
      <c r="BD14" s="30">
        <f t="shared" si="3"/>
        <v>86666.554394106017</v>
      </c>
      <c r="BF14" s="23"/>
      <c r="BG14" s="19"/>
      <c r="BH14" s="20" t="str">
        <f t="shared" si="10"/>
        <v>KALIMANTAN</v>
      </c>
      <c r="BI14" s="20">
        <f t="shared" si="10"/>
        <v>2029</v>
      </c>
      <c r="BJ14" s="25">
        <f t="shared" si="4"/>
        <v>0.13414671156436764</v>
      </c>
      <c r="BK14" s="43">
        <f t="shared" si="5"/>
        <v>3.0229444669006736E-4</v>
      </c>
      <c r="BL14" s="34">
        <f t="shared" si="11"/>
        <v>13756.511854688491</v>
      </c>
      <c r="BP14" s="23"/>
    </row>
    <row r="15" spans="1:68" x14ac:dyDescent="0.25">
      <c r="A15" s="19"/>
      <c r="B15" s="20" t="str">
        <f t="shared" si="12"/>
        <v>KALIMANTAN</v>
      </c>
      <c r="C15" s="20">
        <f t="shared" si="13"/>
        <v>2030</v>
      </c>
      <c r="D15" s="30">
        <f t="shared" si="14"/>
        <v>2896.9227067417082</v>
      </c>
      <c r="E15" s="30">
        <f t="shared" si="6"/>
        <v>1380.8716863204429</v>
      </c>
      <c r="F15" s="30">
        <f t="shared" si="6"/>
        <v>2640.9666239945764</v>
      </c>
      <c r="G15" s="30">
        <f t="shared" si="6"/>
        <v>2001.625468733115</v>
      </c>
      <c r="H15" s="30">
        <f t="shared" si="6"/>
        <v>8.1648162703524427</v>
      </c>
      <c r="I15" s="30">
        <f t="shared" si="6"/>
        <v>921.50717100583165</v>
      </c>
      <c r="J15" s="30">
        <f t="shared" si="6"/>
        <v>60.915715506781623</v>
      </c>
      <c r="K15" s="30">
        <f t="shared" si="6"/>
        <v>1798.7786394490729</v>
      </c>
      <c r="L15" s="30">
        <f t="shared" si="6"/>
        <v>1080.9288647404974</v>
      </c>
      <c r="M15" s="30">
        <f t="shared" si="6"/>
        <v>176.2054627184462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3.6271138805339693</v>
      </c>
      <c r="Q15" s="30">
        <f t="shared" si="7"/>
        <v>12966.887155480825</v>
      </c>
      <c r="R15" s="30"/>
      <c r="S15" s="36"/>
      <c r="T15" s="19"/>
      <c r="U15" s="20" t="str">
        <f t="shared" si="0"/>
        <v>KALIMANTAN</v>
      </c>
      <c r="V15" s="20">
        <f t="shared" si="0"/>
        <v>2030</v>
      </c>
      <c r="W15" s="30">
        <v>0</v>
      </c>
      <c r="X15" s="30">
        <v>0</v>
      </c>
      <c r="Y15" s="30">
        <v>212.44049653572645</v>
      </c>
      <c r="Z15" s="30">
        <v>88.285345309807411</v>
      </c>
      <c r="AA15" s="30">
        <v>0</v>
      </c>
      <c r="AB15" s="30">
        <v>0</v>
      </c>
      <c r="AC15" s="30">
        <v>0</v>
      </c>
      <c r="AD15" s="30">
        <v>0</v>
      </c>
      <c r="AE15" s="30">
        <v>171.96506379700023</v>
      </c>
      <c r="AF15" s="30">
        <v>0</v>
      </c>
      <c r="AG15" s="30">
        <v>0</v>
      </c>
      <c r="AH15" s="30">
        <v>0</v>
      </c>
      <c r="AI15" s="30">
        <f t="shared" si="8"/>
        <v>0.13738484585906052</v>
      </c>
      <c r="AJ15" s="34">
        <f t="shared" si="1"/>
        <v>472.82829048839312</v>
      </c>
      <c r="AM15" s="23"/>
      <c r="AO15" s="20" t="str">
        <f t="shared" si="2"/>
        <v>KALIMANTAN</v>
      </c>
      <c r="AP15" s="20">
        <f t="shared" si="2"/>
        <v>2030</v>
      </c>
      <c r="AQ15" s="30">
        <v>99999</v>
      </c>
      <c r="AR15" s="30">
        <v>99999</v>
      </c>
      <c r="AS15" s="30">
        <v>99999</v>
      </c>
      <c r="AT15" s="30">
        <v>99999</v>
      </c>
      <c r="AU15" s="30">
        <f t="shared" si="9"/>
        <v>173.83518372964755</v>
      </c>
      <c r="AV15" s="30">
        <f t="shared" si="9"/>
        <v>20923.762828994168</v>
      </c>
      <c r="AW15" s="30">
        <f t="shared" si="9"/>
        <v>8042.5442844932186</v>
      </c>
      <c r="AX15" s="30">
        <f t="shared" si="9"/>
        <v>50926.831360550932</v>
      </c>
      <c r="AY15" s="30">
        <f t="shared" si="9"/>
        <v>1445.0711352595024</v>
      </c>
      <c r="AZ15" s="30">
        <f t="shared" si="9"/>
        <v>4982.5445372815548</v>
      </c>
      <c r="BA15" s="30">
        <f t="shared" si="9"/>
        <v>0</v>
      </c>
      <c r="BB15" s="30">
        <v>99999</v>
      </c>
      <c r="BC15" s="30">
        <v>99999</v>
      </c>
      <c r="BD15" s="30">
        <f t="shared" si="3"/>
        <v>86494.589330309012</v>
      </c>
      <c r="BF15" s="23"/>
      <c r="BG15" s="19"/>
      <c r="BH15" s="20" t="str">
        <f t="shared" si="10"/>
        <v>KALIMANTAN</v>
      </c>
      <c r="BI15" s="20">
        <f t="shared" si="10"/>
        <v>2030</v>
      </c>
      <c r="BJ15" s="25">
        <f t="shared" si="4"/>
        <v>0.14094347852123013</v>
      </c>
      <c r="BK15" s="43">
        <f t="shared" si="5"/>
        <v>3.0379442284606461E-4</v>
      </c>
      <c r="BL15" s="34">
        <f t="shared" si="11"/>
        <v>14298.082917064909</v>
      </c>
      <c r="BP15" s="23"/>
    </row>
    <row r="16" spans="1:68" x14ac:dyDescent="0.25">
      <c r="A16" s="19"/>
      <c r="B16" s="20" t="str">
        <f t="shared" si="12"/>
        <v>KALIMANTAN</v>
      </c>
      <c r="C16" s="20">
        <f t="shared" si="13"/>
        <v>2031</v>
      </c>
      <c r="D16" s="30">
        <f t="shared" si="14"/>
        <v>2906.7574308888011</v>
      </c>
      <c r="E16" s="30">
        <f t="shared" si="6"/>
        <v>1380.8716863204429</v>
      </c>
      <c r="F16" s="30">
        <f t="shared" si="6"/>
        <v>2887.1265634409237</v>
      </c>
      <c r="G16" s="30">
        <f t="shared" si="6"/>
        <v>2107.6257875810379</v>
      </c>
      <c r="H16" s="30">
        <f t="shared" si="6"/>
        <v>8.1648162703524427</v>
      </c>
      <c r="I16" s="30">
        <f t="shared" si="6"/>
        <v>921.50717100583165</v>
      </c>
      <c r="J16" s="30">
        <f t="shared" si="6"/>
        <v>60.915715506781623</v>
      </c>
      <c r="K16" s="30">
        <f t="shared" si="6"/>
        <v>1798.7786394490729</v>
      </c>
      <c r="L16" s="30">
        <f t="shared" si="6"/>
        <v>1281.9831979503906</v>
      </c>
      <c r="M16" s="30">
        <f t="shared" si="6"/>
        <v>176.2054627184462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3.7915743937232054</v>
      </c>
      <c r="Q16" s="30">
        <f t="shared" si="7"/>
        <v>13529.936471132081</v>
      </c>
      <c r="R16" s="30"/>
      <c r="S16" s="36"/>
      <c r="T16" s="19"/>
      <c r="U16" s="20" t="str">
        <f t="shared" si="0"/>
        <v>KALIMANTAN</v>
      </c>
      <c r="V16" s="20">
        <f t="shared" si="0"/>
        <v>2031</v>
      </c>
      <c r="W16" s="30">
        <v>9.8347241470927802</v>
      </c>
      <c r="X16" s="30">
        <v>0</v>
      </c>
      <c r="Y16" s="30">
        <v>246.15993944634724</v>
      </c>
      <c r="Z16" s="30">
        <v>106.00031884792278</v>
      </c>
      <c r="AA16" s="30">
        <v>0</v>
      </c>
      <c r="AB16" s="30">
        <v>0</v>
      </c>
      <c r="AC16" s="30">
        <v>0</v>
      </c>
      <c r="AD16" s="30">
        <v>0</v>
      </c>
      <c r="AE16" s="30">
        <v>201.0543332098932</v>
      </c>
      <c r="AF16" s="30">
        <v>0</v>
      </c>
      <c r="AG16" s="30">
        <v>0</v>
      </c>
      <c r="AH16" s="30">
        <v>0</v>
      </c>
      <c r="AI16" s="30">
        <f t="shared" si="8"/>
        <v>0.16446051318923605</v>
      </c>
      <c r="AJ16" s="34">
        <f t="shared" si="1"/>
        <v>563.21377616444533</v>
      </c>
      <c r="AM16" s="23"/>
      <c r="AO16" s="20" t="str">
        <f t="shared" si="2"/>
        <v>KALIMANTAN</v>
      </c>
      <c r="AP16" s="20">
        <f t="shared" si="2"/>
        <v>2031</v>
      </c>
      <c r="AQ16" s="30">
        <v>99999</v>
      </c>
      <c r="AR16" s="30">
        <v>99999</v>
      </c>
      <c r="AS16" s="30">
        <v>99999</v>
      </c>
      <c r="AT16" s="30">
        <v>99999</v>
      </c>
      <c r="AU16" s="30">
        <f t="shared" si="9"/>
        <v>173.83518372964755</v>
      </c>
      <c r="AV16" s="30">
        <f t="shared" si="9"/>
        <v>20923.762828994168</v>
      </c>
      <c r="AW16" s="30">
        <f t="shared" si="9"/>
        <v>8042.5442844932186</v>
      </c>
      <c r="AX16" s="30">
        <f t="shared" si="9"/>
        <v>50926.831360550932</v>
      </c>
      <c r="AY16" s="30">
        <f t="shared" si="9"/>
        <v>1244.0168020496092</v>
      </c>
      <c r="AZ16" s="30">
        <f t="shared" si="9"/>
        <v>4982.5445372815548</v>
      </c>
      <c r="BA16" s="30">
        <f t="shared" si="9"/>
        <v>0</v>
      </c>
      <c r="BB16" s="30">
        <v>99999</v>
      </c>
      <c r="BC16" s="30">
        <v>99999</v>
      </c>
      <c r="BD16" s="30">
        <f t="shared" si="3"/>
        <v>86293.534997099123</v>
      </c>
      <c r="BF16" s="23"/>
      <c r="BG16" s="19"/>
      <c r="BH16" s="20" t="str">
        <f t="shared" si="10"/>
        <v>KALIMANTAN</v>
      </c>
      <c r="BI16" s="20">
        <f t="shared" si="10"/>
        <v>2031</v>
      </c>
      <c r="BJ16" s="25">
        <f t="shared" si="4"/>
        <v>0.14817255632498361</v>
      </c>
      <c r="BK16" s="43">
        <f t="shared" si="5"/>
        <v>3.0538980553378951E-4</v>
      </c>
      <c r="BL16" s="34">
        <f t="shared" si="11"/>
        <v>14946.386260056877</v>
      </c>
      <c r="BP16" s="23"/>
    </row>
    <row r="17" spans="1:84" x14ac:dyDescent="0.25">
      <c r="A17" s="19"/>
      <c r="B17" s="20" t="str">
        <f t="shared" si="12"/>
        <v>KALIMANTAN</v>
      </c>
      <c r="C17" s="20">
        <f t="shared" si="13"/>
        <v>2032</v>
      </c>
      <c r="D17" s="30">
        <f t="shared" si="14"/>
        <v>3005.5921365880449</v>
      </c>
      <c r="E17" s="30">
        <f t="shared" si="6"/>
        <v>1380.8716863204429</v>
      </c>
      <c r="F17" s="30">
        <f t="shared" si="6"/>
        <v>3152.3754903172107</v>
      </c>
      <c r="G17" s="30">
        <f t="shared" si="6"/>
        <v>2135.3822170998019</v>
      </c>
      <c r="H17" s="30">
        <f t="shared" si="6"/>
        <v>8.1648162703524427</v>
      </c>
      <c r="I17" s="30">
        <f t="shared" si="6"/>
        <v>921.50717100583165</v>
      </c>
      <c r="J17" s="30">
        <f t="shared" si="6"/>
        <v>60.915715506781623</v>
      </c>
      <c r="K17" s="30">
        <f t="shared" si="6"/>
        <v>1798.7786394490729</v>
      </c>
      <c r="L17" s="30">
        <f t="shared" si="6"/>
        <v>1498.5147247016926</v>
      </c>
      <c r="M17" s="30">
        <f t="shared" si="6"/>
        <v>176.2054627184462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3.9684535528892142</v>
      </c>
      <c r="Q17" s="30">
        <f t="shared" si="7"/>
        <v>14138.308059977677</v>
      </c>
      <c r="R17" s="30"/>
      <c r="S17" s="36"/>
      <c r="T17" s="19"/>
      <c r="U17" s="20" t="str">
        <f t="shared" si="0"/>
        <v>KALIMANTAN</v>
      </c>
      <c r="V17" s="20">
        <f t="shared" si="0"/>
        <v>2032</v>
      </c>
      <c r="W17" s="30">
        <v>98.834705699243671</v>
      </c>
      <c r="X17" s="30">
        <v>7.1054273576010019E-15</v>
      </c>
      <c r="Y17" s="30">
        <v>265.24892687628687</v>
      </c>
      <c r="Z17" s="30">
        <v>27.756429518764033</v>
      </c>
      <c r="AA17" s="30">
        <v>0</v>
      </c>
      <c r="AB17" s="30">
        <v>0</v>
      </c>
      <c r="AC17" s="30">
        <v>0</v>
      </c>
      <c r="AD17" s="30">
        <v>0</v>
      </c>
      <c r="AE17" s="30">
        <v>216.53152675130198</v>
      </c>
      <c r="AF17" s="30">
        <v>0</v>
      </c>
      <c r="AG17" s="30">
        <v>0</v>
      </c>
      <c r="AH17" s="30">
        <v>0</v>
      </c>
      <c r="AI17" s="30">
        <f t="shared" si="8"/>
        <v>0.17687915916600883</v>
      </c>
      <c r="AJ17" s="34">
        <f t="shared" si="1"/>
        <v>608.54846800476253</v>
      </c>
      <c r="AM17" s="23"/>
      <c r="AO17" s="20" t="str">
        <f t="shared" si="2"/>
        <v>KALIMANTAN</v>
      </c>
      <c r="AP17" s="20">
        <f t="shared" si="2"/>
        <v>2032</v>
      </c>
      <c r="AQ17" s="30">
        <v>99999</v>
      </c>
      <c r="AR17" s="30">
        <v>99999</v>
      </c>
      <c r="AS17" s="30">
        <v>99999</v>
      </c>
      <c r="AT17" s="30">
        <v>99999</v>
      </c>
      <c r="AU17" s="30">
        <f t="shared" si="9"/>
        <v>173.83518372964755</v>
      </c>
      <c r="AV17" s="30">
        <f t="shared" si="9"/>
        <v>20923.762828994168</v>
      </c>
      <c r="AW17" s="30">
        <f t="shared" si="9"/>
        <v>8042.5442844932186</v>
      </c>
      <c r="AX17" s="30">
        <f t="shared" si="9"/>
        <v>50926.831360550932</v>
      </c>
      <c r="AY17" s="30">
        <f t="shared" si="9"/>
        <v>1027.4852752983072</v>
      </c>
      <c r="AZ17" s="30">
        <f t="shared" si="9"/>
        <v>4982.5445372815548</v>
      </c>
      <c r="BA17" s="30">
        <f t="shared" si="9"/>
        <v>0</v>
      </c>
      <c r="BB17" s="30">
        <v>99999</v>
      </c>
      <c r="BC17" s="30">
        <v>99999</v>
      </c>
      <c r="BD17" s="30">
        <f t="shared" si="3"/>
        <v>86077.00347034783</v>
      </c>
      <c r="BF17" s="23"/>
      <c r="BG17" s="19"/>
      <c r="BH17" s="20" t="str">
        <f t="shared" si="10"/>
        <v>KALIMANTAN</v>
      </c>
      <c r="BI17" s="20">
        <f t="shared" si="10"/>
        <v>2032</v>
      </c>
      <c r="BJ17" s="25">
        <f t="shared" si="4"/>
        <v>0.15537321176308258</v>
      </c>
      <c r="BK17" s="43">
        <f t="shared" si="5"/>
        <v>3.0697891569943892E-4</v>
      </c>
      <c r="BL17" s="34">
        <f t="shared" si="11"/>
        <v>15643.643905489283</v>
      </c>
      <c r="BP17" s="23"/>
    </row>
    <row r="18" spans="1:84" x14ac:dyDescent="0.25">
      <c r="A18" s="19"/>
      <c r="B18" s="20" t="str">
        <f t="shared" si="12"/>
        <v>KALIMANTAN</v>
      </c>
      <c r="C18" s="20">
        <f t="shared" si="13"/>
        <v>2033</v>
      </c>
      <c r="D18" s="30">
        <f t="shared" si="14"/>
        <v>3096.3198469938006</v>
      </c>
      <c r="E18" s="30">
        <f t="shared" si="6"/>
        <v>1380.8716863204429</v>
      </c>
      <c r="F18" s="30">
        <f t="shared" si="6"/>
        <v>3414.1258403865349</v>
      </c>
      <c r="G18" s="30">
        <f t="shared" si="6"/>
        <v>2153.972611926416</v>
      </c>
      <c r="H18" s="30">
        <f t="shared" si="6"/>
        <v>8.1648162703524427</v>
      </c>
      <c r="I18" s="30">
        <f t="shared" si="6"/>
        <v>921.50717100583165</v>
      </c>
      <c r="J18" s="30">
        <f t="shared" si="6"/>
        <v>60.915715506781623</v>
      </c>
      <c r="K18" s="30">
        <f t="shared" si="6"/>
        <v>1798.7786394490729</v>
      </c>
      <c r="L18" s="30">
        <f t="shared" si="6"/>
        <v>1710.1038522558958</v>
      </c>
      <c r="M18" s="30">
        <f t="shared" si="6"/>
        <v>176.2054627184462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4.1368724230232354</v>
      </c>
      <c r="Q18" s="30">
        <f t="shared" si="7"/>
        <v>14720.965642833575</v>
      </c>
      <c r="R18" s="30"/>
      <c r="S18" s="36"/>
      <c r="T18" s="19"/>
      <c r="U18" s="20" t="str">
        <f t="shared" si="0"/>
        <v>KALIMANTAN</v>
      </c>
      <c r="V18" s="20">
        <f t="shared" si="0"/>
        <v>2033</v>
      </c>
      <c r="W18" s="30">
        <v>90.727710405755573</v>
      </c>
      <c r="X18" s="30">
        <v>0</v>
      </c>
      <c r="Y18" s="30">
        <v>261.75035006932427</v>
      </c>
      <c r="Z18" s="30">
        <v>18.590394826614119</v>
      </c>
      <c r="AA18" s="30">
        <v>0</v>
      </c>
      <c r="AB18" s="30">
        <v>0</v>
      </c>
      <c r="AC18" s="30">
        <v>0</v>
      </c>
      <c r="AD18" s="30">
        <v>0</v>
      </c>
      <c r="AE18" s="30">
        <v>211.58912755420329</v>
      </c>
      <c r="AF18" s="30">
        <v>0</v>
      </c>
      <c r="AG18" s="30">
        <v>0</v>
      </c>
      <c r="AH18" s="30">
        <v>0</v>
      </c>
      <c r="AI18" s="30">
        <f t="shared" si="8"/>
        <v>0.16841887013402124</v>
      </c>
      <c r="AJ18" s="34">
        <f t="shared" si="1"/>
        <v>582.82600172603122</v>
      </c>
      <c r="AM18" s="23"/>
      <c r="AO18" s="20" t="str">
        <f t="shared" si="2"/>
        <v>KALIMANTAN</v>
      </c>
      <c r="AP18" s="20">
        <f t="shared" si="2"/>
        <v>2033</v>
      </c>
      <c r="AQ18" s="30">
        <v>99999</v>
      </c>
      <c r="AR18" s="30">
        <v>99999</v>
      </c>
      <c r="AS18" s="30">
        <v>99999</v>
      </c>
      <c r="AT18" s="30">
        <v>99999</v>
      </c>
      <c r="AU18" s="30">
        <f t="shared" si="9"/>
        <v>173.83518372964755</v>
      </c>
      <c r="AV18" s="30">
        <f t="shared" si="9"/>
        <v>20923.762828994168</v>
      </c>
      <c r="AW18" s="30">
        <f t="shared" si="9"/>
        <v>8042.5442844932186</v>
      </c>
      <c r="AX18" s="30">
        <f t="shared" si="9"/>
        <v>50926.831360550932</v>
      </c>
      <c r="AY18" s="30">
        <f t="shared" si="9"/>
        <v>815.89614774410393</v>
      </c>
      <c r="AZ18" s="30">
        <f t="shared" si="9"/>
        <v>4982.5445372815548</v>
      </c>
      <c r="BA18" s="30">
        <f t="shared" si="9"/>
        <v>0</v>
      </c>
      <c r="BB18" s="30">
        <v>99999</v>
      </c>
      <c r="BC18" s="30">
        <v>99999</v>
      </c>
      <c r="BD18" s="30">
        <f t="shared" si="3"/>
        <v>85865.414342793621</v>
      </c>
      <c r="BF18" s="23"/>
      <c r="BG18" s="19"/>
      <c r="BH18" s="20" t="str">
        <f t="shared" si="10"/>
        <v>KALIMANTAN</v>
      </c>
      <c r="BI18" s="20">
        <f t="shared" si="10"/>
        <v>2033</v>
      </c>
      <c r="BJ18" s="25">
        <f t="shared" si="4"/>
        <v>0.16207489936878283</v>
      </c>
      <c r="BK18" s="43">
        <f t="shared" si="5"/>
        <v>3.0845790882621415E-4</v>
      </c>
      <c r="BL18" s="34">
        <f t="shared" si="11"/>
        <v>16307.551091557596</v>
      </c>
      <c r="BP18" s="23"/>
    </row>
    <row r="19" spans="1:84" x14ac:dyDescent="0.25">
      <c r="A19" s="19"/>
      <c r="B19" s="20" t="str">
        <f t="shared" si="12"/>
        <v>KALIMANTAN</v>
      </c>
      <c r="C19" s="20">
        <f t="shared" si="13"/>
        <v>2034</v>
      </c>
      <c r="D19" s="30">
        <f t="shared" si="14"/>
        <v>3209.1426008757248</v>
      </c>
      <c r="E19" s="30">
        <f t="shared" si="6"/>
        <v>1380.8716863204429</v>
      </c>
      <c r="F19" s="30">
        <f t="shared" si="6"/>
        <v>3720.661719772882</v>
      </c>
      <c r="G19" s="30">
        <f t="shared" si="6"/>
        <v>2184.2438445219182</v>
      </c>
      <c r="H19" s="30">
        <f t="shared" si="6"/>
        <v>8.1648162703524427</v>
      </c>
      <c r="I19" s="30">
        <f t="shared" si="6"/>
        <v>921.50717100583165</v>
      </c>
      <c r="J19" s="30">
        <f t="shared" si="6"/>
        <v>60.915715506781623</v>
      </c>
      <c r="K19" s="30">
        <f t="shared" si="6"/>
        <v>1798.7786394490729</v>
      </c>
      <c r="L19" s="30">
        <f t="shared" si="6"/>
        <v>1959.91117880095</v>
      </c>
      <c r="M19" s="30">
        <f t="shared" si="6"/>
        <v>176.2054627184462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4.3400262445072961</v>
      </c>
      <c r="Q19" s="30">
        <f t="shared" si="7"/>
        <v>15420.402835242403</v>
      </c>
      <c r="R19" s="30"/>
      <c r="S19" s="36"/>
      <c r="T19" s="19"/>
      <c r="U19" s="20" t="str">
        <f t="shared" si="0"/>
        <v>KALIMANTAN</v>
      </c>
      <c r="V19" s="20">
        <f t="shared" si="0"/>
        <v>2034</v>
      </c>
      <c r="W19" s="30">
        <v>112.82275388192441</v>
      </c>
      <c r="X19" s="30">
        <v>0</v>
      </c>
      <c r="Y19" s="30">
        <v>306.53587938634683</v>
      </c>
      <c r="Z19" s="30">
        <v>30.271232595502219</v>
      </c>
      <c r="AA19" s="30">
        <v>0</v>
      </c>
      <c r="AB19" s="30">
        <v>0</v>
      </c>
      <c r="AC19" s="30">
        <v>0</v>
      </c>
      <c r="AD19" s="30">
        <v>0</v>
      </c>
      <c r="AE19" s="30">
        <v>249.80732654505417</v>
      </c>
      <c r="AF19" s="30">
        <v>0</v>
      </c>
      <c r="AG19" s="30">
        <v>0</v>
      </c>
      <c r="AH19" s="30">
        <v>0</v>
      </c>
      <c r="AI19" s="30">
        <f t="shared" si="8"/>
        <v>0.20315382148406069</v>
      </c>
      <c r="AJ19" s="34">
        <f t="shared" si="1"/>
        <v>699.64034623031171</v>
      </c>
      <c r="AM19" s="23"/>
      <c r="AO19" s="20" t="str">
        <f t="shared" si="2"/>
        <v>KALIMANTAN</v>
      </c>
      <c r="AP19" s="20">
        <f t="shared" si="2"/>
        <v>2034</v>
      </c>
      <c r="AQ19" s="30">
        <v>99999</v>
      </c>
      <c r="AR19" s="30">
        <v>99999</v>
      </c>
      <c r="AS19" s="30">
        <v>99999</v>
      </c>
      <c r="AT19" s="30">
        <v>99999</v>
      </c>
      <c r="AU19" s="30">
        <f t="shared" si="9"/>
        <v>173.83518372964755</v>
      </c>
      <c r="AV19" s="30">
        <f t="shared" si="9"/>
        <v>20923.762828994168</v>
      </c>
      <c r="AW19" s="30">
        <f t="shared" si="9"/>
        <v>8042.5442844932186</v>
      </c>
      <c r="AX19" s="30">
        <f t="shared" si="9"/>
        <v>50926.831360550932</v>
      </c>
      <c r="AY19" s="30">
        <f t="shared" si="9"/>
        <v>566.08882119904979</v>
      </c>
      <c r="AZ19" s="30">
        <f t="shared" si="9"/>
        <v>4982.5445372815548</v>
      </c>
      <c r="BA19" s="30">
        <f t="shared" si="9"/>
        <v>0</v>
      </c>
      <c r="BB19" s="30">
        <v>99999</v>
      </c>
      <c r="BC19" s="30">
        <v>99999</v>
      </c>
      <c r="BD19" s="30">
        <f t="shared" si="3"/>
        <v>85615.60701624857</v>
      </c>
      <c r="BF19" s="23"/>
      <c r="BG19" s="19"/>
      <c r="BH19" s="20" t="str">
        <f t="shared" si="10"/>
        <v>KALIMANTAN</v>
      </c>
      <c r="BI19" s="20">
        <f t="shared" si="10"/>
        <v>2034</v>
      </c>
      <c r="BJ19" s="25">
        <f t="shared" si="4"/>
        <v>0.16919840101555136</v>
      </c>
      <c r="BK19" s="43">
        <f t="shared" si="5"/>
        <v>3.1002999194825961E-4</v>
      </c>
      <c r="BL19" s="34">
        <f t="shared" si="11"/>
        <v>17108.383455847765</v>
      </c>
      <c r="BP19" s="23"/>
    </row>
    <row r="20" spans="1:84" x14ac:dyDescent="0.25">
      <c r="A20" s="19"/>
      <c r="B20" s="20" t="str">
        <f t="shared" si="12"/>
        <v>KALIMANTAN</v>
      </c>
      <c r="C20" s="20">
        <f t="shared" si="13"/>
        <v>2035</v>
      </c>
      <c r="D20" s="30">
        <f t="shared" si="14"/>
        <v>3316.8221525815411</v>
      </c>
      <c r="E20" s="30">
        <f t="shared" si="6"/>
        <v>1380.8716863204429</v>
      </c>
      <c r="F20" s="30">
        <f t="shared" si="6"/>
        <v>4029.5108585452044</v>
      </c>
      <c r="G20" s="30">
        <f t="shared" si="6"/>
        <v>2206.9896354498824</v>
      </c>
      <c r="H20" s="30">
        <f t="shared" si="6"/>
        <v>8.1648162703524427</v>
      </c>
      <c r="I20" s="30">
        <f t="shared" si="6"/>
        <v>921.50717100583165</v>
      </c>
      <c r="J20" s="30">
        <f t="shared" si="6"/>
        <v>60.915715506781623</v>
      </c>
      <c r="K20" s="30">
        <f t="shared" si="6"/>
        <v>1798.7786394490729</v>
      </c>
      <c r="L20" s="30">
        <f t="shared" si="6"/>
        <v>2209.7653736765551</v>
      </c>
      <c r="M20" s="30">
        <f t="shared" si="6"/>
        <v>176.2054627184462</v>
      </c>
      <c r="N20" s="30">
        <f t="shared" si="6"/>
        <v>0</v>
      </c>
      <c r="O20" s="30">
        <f t="shared" si="6"/>
        <v>0</v>
      </c>
      <c r="P20" s="30">
        <f>BL20/((VLOOKUP(P$3,tech_data!$B$2:$G$15,6,FALSE)/100)*24*365)</f>
        <v>4.5393142727326623</v>
      </c>
      <c r="Q20" s="30">
        <f t="shared" si="7"/>
        <v>16109.53151152411</v>
      </c>
      <c r="R20" s="30"/>
      <c r="S20" s="36"/>
      <c r="T20" s="19"/>
      <c r="U20" s="20" t="str">
        <f t="shared" si="0"/>
        <v>KALIMANTAN</v>
      </c>
      <c r="V20" s="20">
        <f t="shared" si="0"/>
        <v>2035</v>
      </c>
      <c r="W20" s="30">
        <v>107.67955170581648</v>
      </c>
      <c r="X20" s="30">
        <v>0</v>
      </c>
      <c r="Y20" s="30">
        <v>308.84913877232231</v>
      </c>
      <c r="Z20" s="30">
        <v>22.745790927964109</v>
      </c>
      <c r="AA20" s="30">
        <v>0</v>
      </c>
      <c r="AB20" s="30">
        <v>0</v>
      </c>
      <c r="AC20" s="30">
        <v>0</v>
      </c>
      <c r="AD20" s="30">
        <v>0</v>
      </c>
      <c r="AE20" s="30">
        <v>249.85419487560517</v>
      </c>
      <c r="AF20" s="30">
        <v>0</v>
      </c>
      <c r="AG20" s="30">
        <v>0</v>
      </c>
      <c r="AH20" s="30">
        <v>0</v>
      </c>
      <c r="AI20" s="30">
        <f t="shared" si="8"/>
        <v>0.19928802822536618</v>
      </c>
      <c r="AJ20" s="34">
        <f t="shared" si="1"/>
        <v>689.32796430993346</v>
      </c>
      <c r="AM20" s="23"/>
      <c r="AO20" s="20" t="str">
        <f t="shared" si="2"/>
        <v>KALIMANTAN</v>
      </c>
      <c r="AP20" s="20">
        <f t="shared" si="2"/>
        <v>2035</v>
      </c>
      <c r="AQ20" s="30">
        <v>99999</v>
      </c>
      <c r="AR20" s="30">
        <v>99999</v>
      </c>
      <c r="AS20" s="30">
        <v>99999</v>
      </c>
      <c r="AT20" s="30">
        <v>99999</v>
      </c>
      <c r="AU20" s="30">
        <f t="shared" si="9"/>
        <v>173.83518372964755</v>
      </c>
      <c r="AV20" s="30">
        <f t="shared" si="9"/>
        <v>20923.762828994168</v>
      </c>
      <c r="AW20" s="30">
        <f t="shared" si="9"/>
        <v>8042.5442844932186</v>
      </c>
      <c r="AX20" s="30">
        <f t="shared" si="9"/>
        <v>50926.831360550932</v>
      </c>
      <c r="AY20" s="30">
        <f t="shared" si="9"/>
        <v>316.23462632344462</v>
      </c>
      <c r="AZ20" s="30">
        <f t="shared" si="9"/>
        <v>4982.5445372815548</v>
      </c>
      <c r="BA20" s="30">
        <f t="shared" si="9"/>
        <v>0</v>
      </c>
      <c r="BB20" s="30">
        <v>99999</v>
      </c>
      <c r="BC20" s="30">
        <v>99999</v>
      </c>
      <c r="BD20" s="30">
        <f t="shared" si="3"/>
        <v>85365.752821372967</v>
      </c>
      <c r="BF20" s="23"/>
      <c r="BG20" s="19"/>
      <c r="BH20" s="20" t="str">
        <f t="shared" si="10"/>
        <v>KALIMANTAN</v>
      </c>
      <c r="BI20" s="20">
        <f t="shared" si="10"/>
        <v>2035</v>
      </c>
      <c r="BJ20" s="25">
        <f t="shared" si="4"/>
        <v>0.17592213336246765</v>
      </c>
      <c r="BK20" s="43">
        <f t="shared" si="5"/>
        <v>3.1151385012137219E-4</v>
      </c>
      <c r="BL20" s="34">
        <f t="shared" si="11"/>
        <v>17893.976863112155</v>
      </c>
      <c r="BP20" s="23"/>
    </row>
    <row r="21" spans="1:84" x14ac:dyDescent="0.25">
      <c r="A21" s="19"/>
      <c r="B21" s="20" t="str">
        <f t="shared" si="12"/>
        <v>KALIMANTAN</v>
      </c>
      <c r="C21" s="20">
        <f t="shared" si="13"/>
        <v>2036</v>
      </c>
      <c r="D21" s="30">
        <f t="shared" si="14"/>
        <v>3441.1557369109123</v>
      </c>
      <c r="E21" s="30">
        <f t="shared" si="14"/>
        <v>1380.8716863204429</v>
      </c>
      <c r="F21" s="30">
        <f t="shared" si="14"/>
        <v>4377.4520350831608</v>
      </c>
      <c r="G21" s="30">
        <f t="shared" si="14"/>
        <v>2236.5269163021226</v>
      </c>
      <c r="H21" s="30">
        <f t="shared" si="14"/>
        <v>8.1648162703524427</v>
      </c>
      <c r="I21" s="30">
        <f t="shared" si="14"/>
        <v>921.50717100583165</v>
      </c>
      <c r="J21" s="30">
        <f t="shared" si="14"/>
        <v>125.49693619252926</v>
      </c>
      <c r="K21" s="30">
        <f t="shared" si="14"/>
        <v>1798.7786394490729</v>
      </c>
      <c r="L21" s="30">
        <f t="shared" si="14"/>
        <v>2367.8826868382776</v>
      </c>
      <c r="M21" s="30">
        <f t="shared" si="14"/>
        <v>176.2054627184462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4.7451504647632552</v>
      </c>
      <c r="Q21" s="30">
        <f t="shared" si="7"/>
        <v>16834.042087091148</v>
      </c>
      <c r="R21" s="30"/>
      <c r="S21" s="36"/>
      <c r="T21" s="19"/>
      <c r="U21" s="20" t="str">
        <f t="shared" si="0"/>
        <v>KALIMANTAN</v>
      </c>
      <c r="V21" s="20">
        <f t="shared" si="0"/>
        <v>2036</v>
      </c>
      <c r="W21" s="30">
        <v>124.33358432937119</v>
      </c>
      <c r="X21" s="30">
        <v>0</v>
      </c>
      <c r="Y21" s="30">
        <v>347.94117653795621</v>
      </c>
      <c r="Z21" s="30">
        <v>29.537280852240073</v>
      </c>
      <c r="AA21" s="30">
        <v>0</v>
      </c>
      <c r="AB21" s="30">
        <v>0</v>
      </c>
      <c r="AC21" s="30">
        <v>64.581220685747638</v>
      </c>
      <c r="AD21" s="30">
        <v>0</v>
      </c>
      <c r="AE21" s="30">
        <v>158.11731316172231</v>
      </c>
      <c r="AF21" s="30">
        <v>0</v>
      </c>
      <c r="AG21" s="30">
        <v>0</v>
      </c>
      <c r="AH21" s="30">
        <v>0</v>
      </c>
      <c r="AI21" s="30">
        <f t="shared" si="8"/>
        <v>0.20583619203059289</v>
      </c>
      <c r="AJ21" s="34">
        <f t="shared" si="1"/>
        <v>724.71641175906802</v>
      </c>
      <c r="AM21" s="23"/>
      <c r="AO21" s="20" t="str">
        <f t="shared" si="2"/>
        <v>KALIMANTAN</v>
      </c>
      <c r="AP21" s="20">
        <f t="shared" si="2"/>
        <v>2036</v>
      </c>
      <c r="AQ21" s="30">
        <v>99999</v>
      </c>
      <c r="AR21" s="30">
        <v>99999</v>
      </c>
      <c r="AS21" s="30">
        <v>99999</v>
      </c>
      <c r="AT21" s="30">
        <v>99999</v>
      </c>
      <c r="AU21" s="30">
        <f t="shared" ref="AU21:BA23" si="15">AU20-AA21</f>
        <v>173.83518372964755</v>
      </c>
      <c r="AV21" s="30">
        <f t="shared" si="15"/>
        <v>20923.762828994168</v>
      </c>
      <c r="AW21" s="30">
        <f t="shared" si="15"/>
        <v>7977.9630638074714</v>
      </c>
      <c r="AX21" s="30">
        <f t="shared" si="15"/>
        <v>50926.831360550932</v>
      </c>
      <c r="AY21" s="30">
        <f t="shared" si="15"/>
        <v>158.11731316172231</v>
      </c>
      <c r="AZ21" s="30">
        <f t="shared" si="15"/>
        <v>4982.5445372815548</v>
      </c>
      <c r="BA21" s="30">
        <f t="shared" si="15"/>
        <v>0</v>
      </c>
      <c r="BB21" s="30">
        <v>99999</v>
      </c>
      <c r="BC21" s="30">
        <v>99999</v>
      </c>
      <c r="BD21" s="30">
        <f t="shared" si="3"/>
        <v>85143.054287525505</v>
      </c>
      <c r="BF21" s="23"/>
      <c r="BG21" s="19"/>
      <c r="BH21" s="20" t="str">
        <f t="shared" si="10"/>
        <v>KALIMANTAN</v>
      </c>
      <c r="BI21" s="20">
        <f t="shared" si="10"/>
        <v>2036</v>
      </c>
      <c r="BJ21" s="25">
        <f t="shared" si="4"/>
        <v>0.17645641403884141</v>
      </c>
      <c r="BK21" s="43">
        <f t="shared" si="5"/>
        <v>3.1163176033960637E-4</v>
      </c>
      <c r="BL21" s="34">
        <f t="shared" si="11"/>
        <v>18705.383132096755</v>
      </c>
      <c r="BP21" s="23"/>
    </row>
    <row r="22" spans="1:84" x14ac:dyDescent="0.25">
      <c r="A22" s="19"/>
      <c r="B22" s="20" t="str">
        <f t="shared" si="12"/>
        <v>KALIMANTAN</v>
      </c>
      <c r="C22" s="20">
        <f t="shared" si="13"/>
        <v>2037</v>
      </c>
      <c r="D22" s="30">
        <f t="shared" ref="D22:O23" si="16">D21+W22</f>
        <v>3565.4084450353712</v>
      </c>
      <c r="E22" s="30">
        <f t="shared" si="16"/>
        <v>1380.871686320444</v>
      </c>
      <c r="F22" s="30">
        <f t="shared" si="16"/>
        <v>4737.5566209294066</v>
      </c>
      <c r="G22" s="30">
        <f t="shared" si="16"/>
        <v>2261.3702285451677</v>
      </c>
      <c r="H22" s="30">
        <f t="shared" si="16"/>
        <v>8.1648162703524427</v>
      </c>
      <c r="I22" s="30">
        <f t="shared" si="16"/>
        <v>921.50717100583165</v>
      </c>
      <c r="J22" s="30">
        <f t="shared" si="16"/>
        <v>235.58132452493604</v>
      </c>
      <c r="K22" s="30">
        <f t="shared" si="16"/>
        <v>1798.7786394490729</v>
      </c>
      <c r="L22" s="30">
        <f t="shared" si="16"/>
        <v>2446.9413434191388</v>
      </c>
      <c r="M22" s="30">
        <f t="shared" si="16"/>
        <v>176.2054627184462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4.939864321240985</v>
      </c>
      <c r="Q22" s="30">
        <f t="shared" si="7"/>
        <v>17532.385738218167</v>
      </c>
      <c r="R22" s="30"/>
      <c r="S22" s="36"/>
      <c r="T22" s="19"/>
      <c r="U22" s="20" t="str">
        <f t="shared" si="0"/>
        <v>KALIMANTAN</v>
      </c>
      <c r="V22" s="20">
        <f t="shared" si="0"/>
        <v>2037</v>
      </c>
      <c r="W22" s="30">
        <v>124.25270812445886</v>
      </c>
      <c r="X22" s="30">
        <v>1.1651873935720248E-12</v>
      </c>
      <c r="Y22" s="30">
        <v>360.10458584624598</v>
      </c>
      <c r="Z22" s="30">
        <v>24.843312243045283</v>
      </c>
      <c r="AA22" s="30">
        <v>0</v>
      </c>
      <c r="AB22" s="30">
        <v>0</v>
      </c>
      <c r="AC22" s="30">
        <v>110.08438833240677</v>
      </c>
      <c r="AD22" s="30">
        <v>0</v>
      </c>
      <c r="AE22" s="30">
        <v>79.058656580861154</v>
      </c>
      <c r="AF22" s="30">
        <v>0</v>
      </c>
      <c r="AG22" s="30">
        <v>0</v>
      </c>
      <c r="AH22" s="30">
        <v>0</v>
      </c>
      <c r="AI22" s="30">
        <f t="shared" si="8"/>
        <v>0.19471385647772976</v>
      </c>
      <c r="AJ22" s="34">
        <f t="shared" si="1"/>
        <v>698.53836498349688</v>
      </c>
      <c r="AM22" s="23"/>
      <c r="AO22" s="20" t="str">
        <f t="shared" si="2"/>
        <v>KALIMANTAN</v>
      </c>
      <c r="AP22" s="20">
        <f t="shared" si="2"/>
        <v>2037</v>
      </c>
      <c r="AQ22" s="30">
        <v>99999</v>
      </c>
      <c r="AR22" s="30">
        <v>99999</v>
      </c>
      <c r="AS22" s="30">
        <v>99999</v>
      </c>
      <c r="AT22" s="30">
        <v>99999</v>
      </c>
      <c r="AU22" s="30">
        <f t="shared" si="15"/>
        <v>173.83518372964755</v>
      </c>
      <c r="AV22" s="30">
        <f t="shared" si="15"/>
        <v>20923.762828994168</v>
      </c>
      <c r="AW22" s="30">
        <f t="shared" si="15"/>
        <v>7867.8786754750645</v>
      </c>
      <c r="AX22" s="30">
        <f t="shared" si="15"/>
        <v>50926.831360550932</v>
      </c>
      <c r="AY22" s="30">
        <f t="shared" si="15"/>
        <v>79.058656580861154</v>
      </c>
      <c r="AZ22" s="30">
        <f t="shared" si="15"/>
        <v>4982.5445372815548</v>
      </c>
      <c r="BA22" s="30">
        <f t="shared" si="15"/>
        <v>0</v>
      </c>
      <c r="BB22" s="30">
        <v>99999</v>
      </c>
      <c r="BC22" s="30">
        <v>99999</v>
      </c>
      <c r="BD22" s="30">
        <f t="shared" si="3"/>
        <v>84953.91124261223</v>
      </c>
      <c r="BF22" s="23"/>
      <c r="BG22" s="19"/>
      <c r="BH22" s="20" t="str">
        <f t="shared" si="10"/>
        <v>KALIMANTAN</v>
      </c>
      <c r="BI22" s="20">
        <f t="shared" si="10"/>
        <v>2037</v>
      </c>
      <c r="BJ22" s="25">
        <f t="shared" si="4"/>
        <v>0.17296335147435951</v>
      </c>
      <c r="BK22" s="43">
        <f t="shared" si="5"/>
        <v>3.108608775667552E-4</v>
      </c>
      <c r="BL22" s="34">
        <f t="shared" si="11"/>
        <v>19472.945154331966</v>
      </c>
      <c r="BP22" s="23"/>
    </row>
    <row r="23" spans="1:84" x14ac:dyDescent="0.25">
      <c r="A23" s="19"/>
      <c r="B23" s="20" t="str">
        <f t="shared" si="12"/>
        <v>KALIMANTAN</v>
      </c>
      <c r="C23" s="20">
        <f t="shared" si="13"/>
        <v>2038</v>
      </c>
      <c r="D23" s="30">
        <f t="shared" si="16"/>
        <v>3708.5216468340568</v>
      </c>
      <c r="E23" s="30">
        <f t="shared" si="16"/>
        <v>1380.871686320444</v>
      </c>
      <c r="F23" s="30">
        <f t="shared" si="16"/>
        <v>5143.974116613771</v>
      </c>
      <c r="G23" s="30">
        <f t="shared" si="16"/>
        <v>2293.134016885077</v>
      </c>
      <c r="H23" s="30">
        <f t="shared" si="16"/>
        <v>8.1648162703524427</v>
      </c>
      <c r="I23" s="30">
        <f t="shared" si="16"/>
        <v>921.50717100583165</v>
      </c>
      <c r="J23" s="30">
        <f t="shared" si="16"/>
        <v>386.10559680700453</v>
      </c>
      <c r="K23" s="30">
        <f t="shared" si="16"/>
        <v>1798.7786394490729</v>
      </c>
      <c r="L23" s="30">
        <f t="shared" si="16"/>
        <v>2486.4706717095692</v>
      </c>
      <c r="M23" s="30">
        <f t="shared" si="16"/>
        <v>176.2054627184462</v>
      </c>
      <c r="N23" s="30">
        <f t="shared" si="16"/>
        <v>0</v>
      </c>
      <c r="O23" s="30">
        <f t="shared" si="16"/>
        <v>0</v>
      </c>
      <c r="P23" s="30">
        <f>BL23/((VLOOKUP(P$3,tech_data!$B$2:$G$15,6,FALSE)/100)*24*365)</f>
        <v>5.1535053044895971</v>
      </c>
      <c r="Q23" s="30">
        <f t="shared" si="7"/>
        <v>18303.733824613628</v>
      </c>
      <c r="R23" s="30"/>
      <c r="S23" s="36"/>
      <c r="T23" s="19"/>
      <c r="U23" s="20" t="str">
        <f t="shared" si="0"/>
        <v>KALIMANTAN</v>
      </c>
      <c r="V23" s="20">
        <f t="shared" si="0"/>
        <v>2038</v>
      </c>
      <c r="W23" s="30">
        <v>143.11320179868579</v>
      </c>
      <c r="X23" s="30">
        <v>0</v>
      </c>
      <c r="Y23" s="30">
        <v>406.4174956843641</v>
      </c>
      <c r="Z23" s="30">
        <v>31.763788339909329</v>
      </c>
      <c r="AA23" s="30">
        <v>0</v>
      </c>
      <c r="AB23" s="30">
        <v>0</v>
      </c>
      <c r="AC23" s="30">
        <v>150.52427228206847</v>
      </c>
      <c r="AD23" s="30">
        <v>0</v>
      </c>
      <c r="AE23" s="30">
        <v>39.529328290430584</v>
      </c>
      <c r="AF23" s="30">
        <v>0</v>
      </c>
      <c r="AG23" s="30">
        <v>0</v>
      </c>
      <c r="AH23" s="30">
        <v>0</v>
      </c>
      <c r="AI23" s="30">
        <f t="shared" si="8"/>
        <v>0.21364098324861214</v>
      </c>
      <c r="AJ23" s="34">
        <f t="shared" si="1"/>
        <v>771.56172737870691</v>
      </c>
      <c r="AM23" s="23"/>
      <c r="AO23" s="20" t="str">
        <f t="shared" si="2"/>
        <v>KALIMANTAN</v>
      </c>
      <c r="AP23" s="20">
        <f t="shared" si="2"/>
        <v>2038</v>
      </c>
      <c r="AQ23" s="30">
        <v>99999</v>
      </c>
      <c r="AR23" s="30">
        <v>99999</v>
      </c>
      <c r="AS23" s="30">
        <v>99999</v>
      </c>
      <c r="AT23" s="30">
        <v>99999</v>
      </c>
      <c r="AU23" s="30">
        <f t="shared" si="15"/>
        <v>173.83518372964755</v>
      </c>
      <c r="AV23" s="30">
        <f t="shared" si="15"/>
        <v>20923.762828994168</v>
      </c>
      <c r="AW23" s="30">
        <f t="shared" si="15"/>
        <v>7717.354403192996</v>
      </c>
      <c r="AX23" s="30">
        <f t="shared" si="15"/>
        <v>50926.831360550932</v>
      </c>
      <c r="AY23" s="30">
        <f t="shared" si="15"/>
        <v>39.52932829043057</v>
      </c>
      <c r="AZ23" s="30">
        <f t="shared" si="15"/>
        <v>4982.5445372815548</v>
      </c>
      <c r="BA23" s="30">
        <f t="shared" si="15"/>
        <v>0</v>
      </c>
      <c r="BB23" s="30">
        <v>99999</v>
      </c>
      <c r="BC23" s="30">
        <v>99999</v>
      </c>
      <c r="BD23" s="30">
        <f t="shared" si="3"/>
        <v>84763.857642039729</v>
      </c>
      <c r="BF23" s="23"/>
      <c r="BG23" s="19"/>
      <c r="BH23" s="20" t="str">
        <f t="shared" si="10"/>
        <v>KALIMANTAN</v>
      </c>
      <c r="BI23" s="20">
        <f t="shared" si="10"/>
        <v>2038</v>
      </c>
      <c r="BJ23" s="25">
        <f>SUM(K47:L47,N47)/Q47</f>
        <v>0.16693602509899819</v>
      </c>
      <c r="BK23" s="43">
        <f t="shared" si="5"/>
        <v>3.095307089873651E-4</v>
      </c>
      <c r="BL23" s="34">
        <f t="shared" si="11"/>
        <v>20315.117910297995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KALIMANTAN</v>
      </c>
      <c r="C28" s="20">
        <f>C4</f>
        <v>2019</v>
      </c>
      <c r="D28" s="30">
        <f>(D4*(VLOOKUP(D$27,tech_data!$B$2:$O$15,6, FALSE)/100)*(1-(VLOOKUP(D$27,tech_data!$B$2:$O$15,7, FALSE)/100))*8760)/1000</f>
        <v>11882.833906666667</v>
      </c>
      <c r="E28" s="30">
        <f>(E4*(VLOOKUP(E$27,tech_data!$B$2:$O$15,6, FALSE)/100)*(1-(VLOOKUP(E$27,tech_data!$B$2:$O$15,7, FALSE)/100))*8760)/1000</f>
        <v>1599.4099568953845</v>
      </c>
      <c r="F28" s="30">
        <f>(F4*(VLOOKUP(F$27,tech_data!$B$2:$O$15,6, FALSE)/100)*(1-(VLOOKUP(F$27,tech_data!$B$2:$O$15,7, FALSE)/100))*8760)/1000</f>
        <v>166.04916923076922</v>
      </c>
      <c r="G28" s="30">
        <f>(G4*(VLOOKUP(G$27,tech_data!$B$2:$O$15,6, FALSE)/100)*(1-(VLOOKUP(G$27,tech_data!$B$2:$O$15,7, FALSE)/100))*8760)/1000</f>
        <v>8618.5952174769227</v>
      </c>
      <c r="H28" s="30">
        <f>(H4*(VLOOKUP(H$27,tech_data!$B$2:$O$15,6, FALSE)/100)*(1-(VLOOKUP(H$27,tech_data!$B$2:$O$15,7, FALSE)/100))*8760)/1000</f>
        <v>0</v>
      </c>
      <c r="I28" s="30">
        <f>(I4*(VLOOKUP(I$27,tech_data!$B$2:$O$15,6, FALSE)/100)*(1-(VLOOKUP(I$27,tech_data!$B$2:$O$15,7, FALSE)/100))*8760)/1000</f>
        <v>1173.1734044307691</v>
      </c>
      <c r="J28" s="30">
        <f>(J4*(VLOOKUP(J$27,tech_data!$B$2:$O$15,6, FALSE)/100)*(1-(VLOOKUP(J$27,tech_data!$B$2:$O$15,7, FALSE)/100))*8760)/1000</f>
        <v>20.479963569230772</v>
      </c>
      <c r="K28" s="30">
        <f>(K4*(VLOOKUP(K$27,tech_data!$B$2:$O$15,6, FALSE)/100)*(1-(VLOOKUP(K$27,tech_data!$B$2:$O$15,7, FALSE)/100))*8760)/1000</f>
        <v>1.1221559999999999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244.14145269230769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23705.805226962057</v>
      </c>
      <c r="R28" s="34">
        <f>proj_rukn!D82</f>
        <v>12494</v>
      </c>
      <c r="S28" s="35"/>
      <c r="T28" s="19"/>
      <c r="U28" s="20" t="str">
        <f t="shared" ref="U28:V47" si="18">B28</f>
        <v>KALIMANTAN</v>
      </c>
      <c r="V28" s="20">
        <f t="shared" si="18"/>
        <v>2019</v>
      </c>
      <c r="W28" s="29">
        <f t="shared" ref="W28:AI47" si="19">D28/$Q28</f>
        <v>0.5012626144903779</v>
      </c>
      <c r="X28" s="29">
        <f t="shared" si="19"/>
        <v>6.7469125877921171E-2</v>
      </c>
      <c r="Y28" s="29">
        <f t="shared" si="19"/>
        <v>7.0045783149315418E-3</v>
      </c>
      <c r="Z28" s="29">
        <f t="shared" si="19"/>
        <v>0.36356475280892248</v>
      </c>
      <c r="AA28" s="29">
        <f t="shared" si="19"/>
        <v>0</v>
      </c>
      <c r="AB28" s="29">
        <f t="shared" si="19"/>
        <v>4.9488865414976393E-2</v>
      </c>
      <c r="AC28" s="29">
        <f t="shared" si="19"/>
        <v>8.6392186948105272E-4</v>
      </c>
      <c r="AD28" s="29">
        <f t="shared" si="19"/>
        <v>4.7336759466989272E-5</v>
      </c>
      <c r="AE28" s="29">
        <f t="shared" si="19"/>
        <v>0</v>
      </c>
      <c r="AF28" s="29">
        <f t="shared" si="19"/>
        <v>1.0298804463922227E-2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0.99999999999999967</v>
      </c>
      <c r="AM28" s="23"/>
      <c r="AO28" s="20" t="str">
        <f>B28</f>
        <v>KALIMANTAN</v>
      </c>
      <c r="AP28" s="20">
        <f>C28</f>
        <v>2019</v>
      </c>
      <c r="AQ28" s="25">
        <f t="shared" ref="AQ28:AQ47" si="21">D28/Q28</f>
        <v>0.5012626144903779</v>
      </c>
      <c r="AR28" s="25">
        <f t="shared" ref="AR28:AR47" si="22">SUM(E28:F28)/Q28</f>
        <v>7.4473704192852708E-2</v>
      </c>
      <c r="AS28" s="25">
        <f t="shared" ref="AS28:AS47" si="23">G28/Q28</f>
        <v>0.36356475280892248</v>
      </c>
      <c r="AT28" s="37">
        <f t="shared" ref="AT28:AT47" si="24">SUM(H28:N28)/Q28</f>
        <v>6.0698928507846653E-2</v>
      </c>
      <c r="AU28" s="24">
        <f>SUM(AQ28:AT28)</f>
        <v>0.99999999999999967</v>
      </c>
      <c r="AW28" s="24">
        <f>$BD$29+((AP28-$BC$29)*($BD$30-$BD$29)/($BC$30-$BC$29))</f>
        <v>0.5012626144903779</v>
      </c>
      <c r="AX28" s="24">
        <f t="shared" ref="AX28:AX47" si="25">$BE$29+((AP28-$BC$29)*($BE$30-$BE$29)/($BC$30-$BC$29))</f>
        <v>0.19239999999999999</v>
      </c>
      <c r="AY28" s="24">
        <f>BF29</f>
        <v>0.36356475280892248</v>
      </c>
      <c r="AZ28" s="25">
        <f>$BG$29+((AP28-$BC$29)*($BG$30-$BG$29)/($BC$30-$BC$29))</f>
        <v>0.1166</v>
      </c>
      <c r="BA28" s="24">
        <f>SUM(AW28:AZ28)</f>
        <v>1.1738273672993005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KALIMANTAN</v>
      </c>
      <c r="BL28" s="20">
        <f>C4</f>
        <v>2019</v>
      </c>
      <c r="BM28" s="34">
        <f>proj_rukn!E82</f>
        <v>2003</v>
      </c>
      <c r="BN28" s="30">
        <f t="shared" ref="BN28:BN47" si="26">(1+$CD$28)*BM28*$CD$29</f>
        <v>2303.4499999999998</v>
      </c>
      <c r="BO28" s="30">
        <f>SUM(D4:I4,M4,O4:P4)</f>
        <v>5132.2199999999993</v>
      </c>
      <c r="BQ28" s="30">
        <f t="shared" ref="BQ28:BQ47" si="27">BN28*$CD$30</f>
        <v>921.38</v>
      </c>
      <c r="BR28" s="30">
        <f>SUM(D4,F4,H4,M4)</f>
        <v>2608.25</v>
      </c>
      <c r="BS28" s="30"/>
      <c r="BT28" s="30">
        <f t="shared" ref="BT28:BT47" si="28">BN28*$CD$31</f>
        <v>460.69</v>
      </c>
      <c r="BU28" s="30">
        <f>SUM(E4,G4,P4,I4)</f>
        <v>2523.9699999999998</v>
      </c>
      <c r="BW28" s="30">
        <f t="shared" ref="BW28:BW47" si="29">$CD$32*SUM(H4:O4)</f>
        <v>0.18304499999999999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7.7986153348440028E-4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KALIMANTAN</v>
      </c>
      <c r="C29" s="20">
        <f t="shared" si="31"/>
        <v>2020</v>
      </c>
      <c r="D29" s="30">
        <f>(D5*(VLOOKUP(D$27,tech_data!$B$2:$O$15,6, FALSE)/100)*(1-(VLOOKUP(D$27,tech_data!$B$2:$O$15,7, FALSE)/100))*8760)/1000</f>
        <v>12910.275225170089</v>
      </c>
      <c r="E29" s="30">
        <f>(E5*(VLOOKUP(E$27,tech_data!$B$2:$O$15,6, FALSE)/100)*(1-(VLOOKUP(E$27,tech_data!$B$2:$O$15,7, FALSE)/100))*8760)/1000</f>
        <v>1599.4099568953845</v>
      </c>
      <c r="F29" s="30">
        <f>(F5*(VLOOKUP(F$27,tech_data!$B$2:$O$15,6, FALSE)/100)*(1-(VLOOKUP(F$27,tech_data!$B$2:$O$15,7, FALSE)/100))*8760)/1000</f>
        <v>734.2028941945415</v>
      </c>
      <c r="G29" s="30">
        <f>(G5*(VLOOKUP(G$27,tech_data!$B$2:$O$15,6, FALSE)/100)*(1-(VLOOKUP(G$27,tech_data!$B$2:$O$15,7, FALSE)/100))*8760)/1000</f>
        <v>8618.5952174769227</v>
      </c>
      <c r="H29" s="30">
        <f>(H5*(VLOOKUP(H$27,tech_data!$B$2:$O$15,6, FALSE)/100)*(1-(VLOOKUP(H$27,tech_data!$B$2:$O$15,7, FALSE)/100))*8760)/1000</f>
        <v>0</v>
      </c>
      <c r="I29" s="30">
        <f>(I5*(VLOOKUP(I$27,tech_data!$B$2:$O$15,6, FALSE)/100)*(1-(VLOOKUP(I$27,tech_data!$B$2:$O$15,7, FALSE)/100))*8760)/1000</f>
        <v>1173.2048098939088</v>
      </c>
      <c r="J29" s="30">
        <f>(J5*(VLOOKUP(J$27,tech_data!$B$2:$O$15,6, FALSE)/100)*(1-(VLOOKUP(J$27,tech_data!$B$2:$O$15,7, FALSE)/100))*8760)/1000</f>
        <v>355.45631133861394</v>
      </c>
      <c r="K29" s="30">
        <f>(K5*(VLOOKUP(K$27,tech_data!$B$2:$O$15,6, FALSE)/100)*(1-(VLOOKUP(K$27,tech_data!$B$2:$O$15,7, FALSE)/100))*8760)/1000</f>
        <v>1865.2859330837352</v>
      </c>
      <c r="L29" s="30">
        <f>(L5*(VLOOKUP(L$27,tech_data!$B$2:$O$15,6, FALSE)/100)*(1-(VLOOKUP(L$27,tech_data!$B$2:$O$15,7, FALSE)/100))*8760)/1000</f>
        <v>102.0683670602934</v>
      </c>
      <c r="M29" s="30">
        <f>(M5*(VLOOKUP(M$27,tech_data!$B$2:$O$15,6, FALSE)/100)*(1-(VLOOKUP(M$27,tech_data!$B$2:$O$15,7, FALSE)/100))*8760)/1000</f>
        <v>244.14145269230769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7.1833880907263081</v>
      </c>
      <c r="Q29" s="34">
        <f t="shared" si="17"/>
        <v>27602.640167805792</v>
      </c>
      <c r="R29" s="34">
        <f>proj_rukn!D83</f>
        <v>13329</v>
      </c>
      <c r="S29" s="35"/>
      <c r="T29" s="19"/>
      <c r="U29" s="20" t="str">
        <f t="shared" si="18"/>
        <v>KALIMANTAN</v>
      </c>
      <c r="V29" s="20">
        <f t="shared" si="18"/>
        <v>2020</v>
      </c>
      <c r="W29" s="29">
        <f t="shared" si="19"/>
        <v>0.46771885394600504</v>
      </c>
      <c r="X29" s="29">
        <f t="shared" si="19"/>
        <v>5.7944093288614065E-2</v>
      </c>
      <c r="Y29" s="29">
        <f t="shared" si="19"/>
        <v>2.659900972265963E-2</v>
      </c>
      <c r="Z29" s="29">
        <f t="shared" si="19"/>
        <v>0.31223807451321922</v>
      </c>
      <c r="AA29" s="29">
        <f t="shared" si="19"/>
        <v>0</v>
      </c>
      <c r="AB29" s="29">
        <f t="shared" si="19"/>
        <v>4.2503354851622877E-2</v>
      </c>
      <c r="AC29" s="29">
        <f t="shared" si="19"/>
        <v>1.2877620009451078E-2</v>
      </c>
      <c r="AD29" s="29">
        <f t="shared" si="19"/>
        <v>6.7576359425911101E-2</v>
      </c>
      <c r="AE29" s="29">
        <f t="shared" si="19"/>
        <v>3.6977755185658057E-3</v>
      </c>
      <c r="AF29" s="29">
        <f t="shared" si="19"/>
        <v>8.8448587239513751E-3</v>
      </c>
      <c r="AG29" s="29">
        <f t="shared" si="19"/>
        <v>0</v>
      </c>
      <c r="AH29" s="29">
        <f t="shared" si="19"/>
        <v>0</v>
      </c>
      <c r="AI29" s="29">
        <f t="shared" si="19"/>
        <v>2.602427900757341E-4</v>
      </c>
      <c r="AJ29" s="29">
        <f t="shared" si="20"/>
        <v>1.0000000000000002</v>
      </c>
      <c r="AM29" s="23"/>
      <c r="AO29" s="20" t="str">
        <f>AO28</f>
        <v>KALIMANTAN</v>
      </c>
      <c r="AP29" s="20">
        <f>AP28+1</f>
        <v>2020</v>
      </c>
      <c r="AQ29" s="25">
        <f t="shared" si="21"/>
        <v>0.46771885394600504</v>
      </c>
      <c r="AR29" s="25">
        <f t="shared" si="22"/>
        <v>8.4543103011273699E-2</v>
      </c>
      <c r="AS29" s="25">
        <f t="shared" si="23"/>
        <v>0.31223807451321922</v>
      </c>
      <c r="AT29" s="37">
        <f t="shared" si="24"/>
        <v>0.13549996852950222</v>
      </c>
      <c r="AU29" s="24">
        <f t="shared" ref="AU29:AU47" si="32">SUM(AQ29:AT29)</f>
        <v>1.0000000000000002</v>
      </c>
      <c r="AW29" s="24">
        <f>$BD$29+((AP29-$BC$29)*($BD$30-$BD$29)/($BC$30-$BC$29))</f>
        <v>0.46771884540864828</v>
      </c>
      <c r="AX29" s="24">
        <f t="shared" si="25"/>
        <v>0.19699999999999998</v>
      </c>
      <c r="AY29" s="24">
        <f>AY28*0.98</f>
        <v>0.35629345775274401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1.1565123031613922</v>
      </c>
      <c r="BC29" s="20">
        <v>2019</v>
      </c>
      <c r="BD29" s="25">
        <f>AQ28</f>
        <v>0.5012626144903779</v>
      </c>
      <c r="BE29" s="25">
        <v>0.19239999999999999</v>
      </c>
      <c r="BF29" s="25">
        <f>AS28</f>
        <v>0.36356475280892248</v>
      </c>
      <c r="BG29" s="25">
        <v>0.1166</v>
      </c>
      <c r="BH29" s="24">
        <f>SUM(BD29:BG29)</f>
        <v>1.1738273672993005</v>
      </c>
      <c r="BJ29" s="19"/>
      <c r="BK29" s="20" t="str">
        <f>BK28</f>
        <v>KALIMANTAN</v>
      </c>
      <c r="BL29" s="20">
        <f>BL28+1</f>
        <v>2020</v>
      </c>
      <c r="BM29" s="34">
        <f>proj_rukn!E83</f>
        <v>2214</v>
      </c>
      <c r="BN29" s="30">
        <f t="shared" si="26"/>
        <v>2546.1</v>
      </c>
      <c r="BO29" s="30">
        <f t="shared" ref="BO29:BO47" si="35">SUM(D5:I5,M5,O5:P5)</f>
        <v>5551.4234499833792</v>
      </c>
      <c r="BQ29" s="30">
        <f t="shared" si="27"/>
        <v>1018.44</v>
      </c>
      <c r="BR29" s="30">
        <f t="shared" ref="BR29:BR47" si="36">SUM(D5,F5,H5,M5)</f>
        <v>3025.4268095632578</v>
      </c>
      <c r="BS29" s="30"/>
      <c r="BT29" s="30">
        <f t="shared" si="28"/>
        <v>509.22</v>
      </c>
      <c r="BU29" s="30">
        <f t="shared" ref="BU29:BU47" si="37">SUM(E5,G5,P5,I5)</f>
        <v>2525.9966404201209</v>
      </c>
      <c r="BW29" s="30">
        <f t="shared" si="29"/>
        <v>0.73461473430448632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0.49871863557811663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KALIMANTAN</v>
      </c>
      <c r="C30" s="20">
        <f t="shared" si="31"/>
        <v>2021</v>
      </c>
      <c r="D30" s="30">
        <f>(D6*(VLOOKUP(D$27,tech_data!$B$2:$O$15,6, FALSE)/100)*(1-(VLOOKUP(D$27,tech_data!$B$2:$O$15,7, FALSE)/100))*8760)/1000</f>
        <v>13497.909772534404</v>
      </c>
      <c r="E30" s="30">
        <f>(E6*(VLOOKUP(E$27,tech_data!$B$2:$O$15,6, FALSE)/100)*(1-(VLOOKUP(E$27,tech_data!$B$2:$O$15,7, FALSE)/100))*8760)/1000</f>
        <v>1599.4099568953845</v>
      </c>
      <c r="F30" s="30">
        <f>(F6*(VLOOKUP(F$27,tech_data!$B$2:$O$15,6, FALSE)/100)*(1-(VLOOKUP(F$27,tech_data!$B$2:$O$15,7, FALSE)/100))*8760)/1000</f>
        <v>2572.6359340209929</v>
      </c>
      <c r="G30" s="30">
        <f>(G6*(VLOOKUP(G$27,tech_data!$B$2:$O$15,6, FALSE)/100)*(1-(VLOOKUP(G$27,tech_data!$B$2:$O$15,7, FALSE)/100))*8760)/1000</f>
        <v>8618.5952174769227</v>
      </c>
      <c r="H30" s="30">
        <f>(H6*(VLOOKUP(H$27,tech_data!$B$2:$O$15,6, FALSE)/100)*(1-(VLOOKUP(H$27,tech_data!$B$2:$O$15,7, FALSE)/100))*8760)/1000</f>
        <v>0</v>
      </c>
      <c r="I30" s="30">
        <f>(I6*(VLOOKUP(I$27,tech_data!$B$2:$O$15,6, FALSE)/100)*(1-(VLOOKUP(I$27,tech_data!$B$2:$O$15,7, FALSE)/100))*8760)/1000</f>
        <v>2233.1324169107502</v>
      </c>
      <c r="J30" s="30">
        <f>(J6*(VLOOKUP(J$27,tech_data!$B$2:$O$15,6, FALSE)/100)*(1-(VLOOKUP(J$27,tech_data!$B$2:$O$15,7, FALSE)/100))*8760)/1000</f>
        <v>355.45630541954932</v>
      </c>
      <c r="K30" s="30">
        <f>(K6*(VLOOKUP(K$27,tech_data!$B$2:$O$15,6, FALSE)/100)*(1-(VLOOKUP(K$27,tech_data!$B$2:$O$15,7, FALSE)/100))*8760)/1000</f>
        <v>1865.2848787454045</v>
      </c>
      <c r="L30" s="30">
        <f>(L6*(VLOOKUP(L$27,tech_data!$B$2:$O$15,6, FALSE)/100)*(1-(VLOOKUP(L$27,tech_data!$B$2:$O$15,7, FALSE)/100))*8760)/1000</f>
        <v>102.06836147165909</v>
      </c>
      <c r="M30" s="30">
        <f>(M6*(VLOOKUP(M$27,tech_data!$B$2:$O$15,6, FALSE)/100)*(1-(VLOOKUP(M$27,tech_data!$B$2:$O$15,7, FALSE)/100))*8760)/1000</f>
        <v>244.14145269230769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8.0411166424797607</v>
      </c>
      <c r="Q30" s="34">
        <f t="shared" si="17"/>
        <v>31088.634296167376</v>
      </c>
      <c r="R30" s="34">
        <f>proj_rukn!D84</f>
        <v>15921</v>
      </c>
      <c r="S30" s="35"/>
      <c r="T30" s="19"/>
      <c r="U30" s="20" t="str">
        <f t="shared" si="18"/>
        <v>KALIMANTAN</v>
      </c>
      <c r="V30" s="20">
        <f t="shared" si="18"/>
        <v>2021</v>
      </c>
      <c r="W30" s="29">
        <f t="shared" si="19"/>
        <v>0.43417506359224128</v>
      </c>
      <c r="X30" s="29">
        <f t="shared" si="19"/>
        <v>5.1446774459711811E-2</v>
      </c>
      <c r="Y30" s="29">
        <f t="shared" si="19"/>
        <v>8.2751654817405373E-2</v>
      </c>
      <c r="Z30" s="29">
        <f t="shared" si="19"/>
        <v>0.27722656245917587</v>
      </c>
      <c r="AA30" s="29">
        <f t="shared" si="19"/>
        <v>0</v>
      </c>
      <c r="AB30" s="29">
        <f t="shared" si="19"/>
        <v>7.1831152042148474E-2</v>
      </c>
      <c r="AC30" s="29">
        <f t="shared" si="19"/>
        <v>1.1433641697904052E-2</v>
      </c>
      <c r="AD30" s="29">
        <f t="shared" si="19"/>
        <v>5.999893276030327E-2</v>
      </c>
      <c r="AE30" s="29">
        <f t="shared" si="19"/>
        <v>3.2831407291584415E-3</v>
      </c>
      <c r="AF30" s="29">
        <f t="shared" si="19"/>
        <v>7.8530774419513696E-3</v>
      </c>
      <c r="AG30" s="29">
        <f t="shared" si="19"/>
        <v>0</v>
      </c>
      <c r="AH30" s="29">
        <f t="shared" si="19"/>
        <v>0</v>
      </c>
      <c r="AI30" s="29">
        <f t="shared" si="19"/>
        <v>2.5865133109018797E-4</v>
      </c>
      <c r="AJ30" s="29">
        <f t="shared" si="20"/>
        <v>1</v>
      </c>
      <c r="AM30" s="23"/>
      <c r="AO30" s="20" t="str">
        <f t="shared" ref="AO30:AO47" si="39">AO29</f>
        <v>KALIMANTAN</v>
      </c>
      <c r="AP30" s="20">
        <f t="shared" ref="AP30:AP47" si="40">AP29+1</f>
        <v>2021</v>
      </c>
      <c r="AQ30" s="25">
        <f t="shared" si="21"/>
        <v>0.43417506359224128</v>
      </c>
      <c r="AR30" s="25">
        <f t="shared" si="22"/>
        <v>0.13419842927711717</v>
      </c>
      <c r="AS30" s="25">
        <f t="shared" si="23"/>
        <v>0.27722656245917587</v>
      </c>
      <c r="AT30" s="37">
        <f t="shared" si="24"/>
        <v>0.15439994467146562</v>
      </c>
      <c r="AU30" s="24">
        <f t="shared" si="32"/>
        <v>1</v>
      </c>
      <c r="AW30" s="24">
        <f t="shared" ref="AW30:AW34" si="41">$BD$29+((AP30-$BC$29)*($BD$30-$BD$29)/($BC$30-$BC$29))</f>
        <v>0.4341750763269186</v>
      </c>
      <c r="AX30" s="24">
        <f t="shared" si="25"/>
        <v>0.2016</v>
      </c>
      <c r="AY30" s="24">
        <f t="shared" ref="AY30:AY47" si="42">AY29*0.98</f>
        <v>0.34916758859768915</v>
      </c>
      <c r="AZ30" s="25">
        <f t="shared" si="33"/>
        <v>0.15440000000000001</v>
      </c>
      <c r="BA30" s="24">
        <f t="shared" si="34"/>
        <v>1.1393426649246077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KALIMANTAN</v>
      </c>
      <c r="BL30" s="20">
        <f t="shared" ref="BL30:BL47" si="45">BL29+1</f>
        <v>2021</v>
      </c>
      <c r="BM30" s="34">
        <f>proj_rukn!E84</f>
        <v>2416</v>
      </c>
      <c r="BN30" s="30">
        <f t="shared" si="26"/>
        <v>2778.3999999999996</v>
      </c>
      <c r="BO30" s="30">
        <f t="shared" si="35"/>
        <v>6575.9049430690538</v>
      </c>
      <c r="BQ30" s="30">
        <f t="shared" si="27"/>
        <v>1111.3599999999999</v>
      </c>
      <c r="BR30" s="30">
        <f t="shared" si="36"/>
        <v>3810.9069983573841</v>
      </c>
      <c r="BS30" s="30"/>
      <c r="BT30" s="30">
        <f t="shared" si="28"/>
        <v>555.67999999999995</v>
      </c>
      <c r="BU30" s="30">
        <f t="shared" si="37"/>
        <v>2764.9979447116707</v>
      </c>
      <c r="BW30" s="30">
        <f t="shared" si="29"/>
        <v>0.8539945258840087</v>
      </c>
      <c r="BX30" s="30">
        <f t="shared" si="38"/>
        <v>0</v>
      </c>
      <c r="BZ30" s="24">
        <f t="shared" ref="BZ30:BZ47" si="46">BZ29*1.05</f>
        <v>5.3340000000000005E-2</v>
      </c>
      <c r="CA30" s="24">
        <f t="shared" si="30"/>
        <v>0.38859426334620684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KALIMANTAN</v>
      </c>
      <c r="C31" s="20">
        <f t="shared" si="31"/>
        <v>2022</v>
      </c>
      <c r="D31" s="30">
        <f>(D7*(VLOOKUP(D$27,tech_data!$B$2:$O$15,6, FALSE)/100)*(1-(VLOOKUP(D$27,tech_data!$B$2:$O$15,7, FALSE)/100))*8760)/1000</f>
        <v>14047.60308698753</v>
      </c>
      <c r="E31" s="30">
        <f>(E7*(VLOOKUP(E$27,tech_data!$B$2:$O$15,6, FALSE)/100)*(1-(VLOOKUP(E$27,tech_data!$B$2:$O$15,7, FALSE)/100))*8760)/1000</f>
        <v>1599.4099568953845</v>
      </c>
      <c r="F31" s="30">
        <f>(F7*(VLOOKUP(F$27,tech_data!$B$2:$O$15,6, FALSE)/100)*(1-(VLOOKUP(F$27,tech_data!$B$2:$O$15,7, FALSE)/100))*8760)/1000</f>
        <v>4721.53719537299</v>
      </c>
      <c r="G31" s="30">
        <f>(G7*(VLOOKUP(G$27,tech_data!$B$2:$O$15,6, FALSE)/100)*(1-(VLOOKUP(G$27,tech_data!$B$2:$O$15,7, FALSE)/100))*8760)/1000</f>
        <v>8618.5952174769227</v>
      </c>
      <c r="H31" s="30">
        <f>(H7*(VLOOKUP(H$27,tech_data!$B$2:$O$15,6, FALSE)/100)*(1-(VLOOKUP(H$27,tech_data!$B$2:$O$15,7, FALSE)/100))*8760)/1000</f>
        <v>0</v>
      </c>
      <c r="I31" s="30">
        <f>(I7*(VLOOKUP(I$27,tech_data!$B$2:$O$15,6, FALSE)/100)*(1-(VLOOKUP(I$27,tech_data!$B$2:$O$15,7, FALSE)/100))*8760)/1000</f>
        <v>2237.3695640310189</v>
      </c>
      <c r="J31" s="30">
        <f>(J7*(VLOOKUP(J$27,tech_data!$B$2:$O$15,6, FALSE)/100)*(1-(VLOOKUP(J$27,tech_data!$B$2:$O$15,7, FALSE)/100))*8760)/1000</f>
        <v>355.45556685716679</v>
      </c>
      <c r="K31" s="30">
        <f>(K7*(VLOOKUP(K$27,tech_data!$B$2:$O$15,6, FALSE)/100)*(1-(VLOOKUP(K$27,tech_data!$B$2:$O$15,7, FALSE)/100))*8760)/1000</f>
        <v>3137.4960580667644</v>
      </c>
      <c r="L31" s="30">
        <f>(L7*(VLOOKUP(L$27,tech_data!$B$2:$O$15,6, FALSE)/100)*(1-(VLOOKUP(L$27,tech_data!$B$2:$O$15,7, FALSE)/100))*8760)/1000</f>
        <v>102.06788508117954</v>
      </c>
      <c r="M31" s="30">
        <f>(M7*(VLOOKUP(M$27,tech_data!$B$2:$O$15,6, FALSE)/100)*(1-(VLOOKUP(M$27,tech_data!$B$2:$O$15,7, FALSE)/100))*8760)/1000</f>
        <v>244.14145269230769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9.2725108277286346</v>
      </c>
      <c r="Q31" s="34">
        <f t="shared" si="17"/>
        <v>35063.675983461268</v>
      </c>
      <c r="R31" s="34">
        <f>proj_rukn!D85</f>
        <v>16705</v>
      </c>
      <c r="S31" s="35"/>
      <c r="T31" s="19"/>
      <c r="U31" s="20" t="str">
        <f t="shared" si="18"/>
        <v>KALIMANTAN</v>
      </c>
      <c r="V31" s="20">
        <f t="shared" si="18"/>
        <v>2022</v>
      </c>
      <c r="W31" s="29">
        <f t="shared" si="19"/>
        <v>0.40063121429748161</v>
      </c>
      <c r="X31" s="29">
        <f t="shared" si="19"/>
        <v>4.561444035844358E-2</v>
      </c>
      <c r="Y31" s="29">
        <f t="shared" si="19"/>
        <v>0.13465608105664764</v>
      </c>
      <c r="Z31" s="29">
        <f t="shared" si="19"/>
        <v>0.24579839323013697</v>
      </c>
      <c r="AA31" s="29">
        <f t="shared" si="19"/>
        <v>0</v>
      </c>
      <c r="AB31" s="29">
        <f t="shared" si="19"/>
        <v>6.3808756534435657E-2</v>
      </c>
      <c r="AC31" s="29">
        <f t="shared" si="19"/>
        <v>1.0137430172034074E-2</v>
      </c>
      <c r="AD31" s="29">
        <f t="shared" si="19"/>
        <v>8.947995240278428E-2</v>
      </c>
      <c r="AE31" s="29">
        <f t="shared" si="19"/>
        <v>2.9109293939780477E-3</v>
      </c>
      <c r="AF31" s="29">
        <f t="shared" si="19"/>
        <v>6.9628025540580405E-3</v>
      </c>
      <c r="AG31" s="29">
        <f t="shared" si="19"/>
        <v>0</v>
      </c>
      <c r="AH31" s="29">
        <f t="shared" si="19"/>
        <v>0</v>
      </c>
      <c r="AI31" s="29">
        <f t="shared" si="19"/>
        <v>2.6444776731630377E-4</v>
      </c>
      <c r="AJ31" s="29">
        <f t="shared" si="20"/>
        <v>0.99999999999999989</v>
      </c>
      <c r="AM31" s="23"/>
      <c r="AO31" s="20" t="str">
        <f t="shared" si="39"/>
        <v>KALIMANTAN</v>
      </c>
      <c r="AP31" s="20">
        <f t="shared" si="40"/>
        <v>2022</v>
      </c>
      <c r="AQ31" s="25">
        <f t="shared" si="21"/>
        <v>0.40063121429748161</v>
      </c>
      <c r="AR31" s="25">
        <f t="shared" si="22"/>
        <v>0.18027052141509123</v>
      </c>
      <c r="AS31" s="25">
        <f t="shared" si="23"/>
        <v>0.24579839323013697</v>
      </c>
      <c r="AT31" s="37">
        <f t="shared" si="24"/>
        <v>0.17329987105729008</v>
      </c>
      <c r="AU31" s="24">
        <f t="shared" si="32"/>
        <v>0.99999999999999989</v>
      </c>
      <c r="AW31" s="24">
        <f t="shared" si="41"/>
        <v>0.40063130724518897</v>
      </c>
      <c r="AX31" s="24">
        <f t="shared" si="25"/>
        <v>0.20619999999999999</v>
      </c>
      <c r="AY31" s="24">
        <f t="shared" si="42"/>
        <v>0.34218423682573534</v>
      </c>
      <c r="AZ31" s="25">
        <f t="shared" si="33"/>
        <v>0.17330000000000001</v>
      </c>
      <c r="BA31" s="24">
        <f t="shared" si="34"/>
        <v>1.1223155440709243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KALIMANTAN</v>
      </c>
      <c r="BL31" s="20">
        <f t="shared" si="45"/>
        <v>2022</v>
      </c>
      <c r="BM31" s="34">
        <f>proj_rukn!E85</f>
        <v>2611</v>
      </c>
      <c r="BN31" s="30">
        <f t="shared" si="26"/>
        <v>3002.6499999999996</v>
      </c>
      <c r="BO31" s="30">
        <f t="shared" si="35"/>
        <v>7467.0456833111539</v>
      </c>
      <c r="BQ31" s="30">
        <f t="shared" si="27"/>
        <v>1201.06</v>
      </c>
      <c r="BR31" s="30">
        <f t="shared" si="36"/>
        <v>4700.7470763681531</v>
      </c>
      <c r="BS31" s="30"/>
      <c r="BT31" s="30">
        <f t="shared" si="28"/>
        <v>600.53</v>
      </c>
      <c r="BU31" s="30">
        <f t="shared" si="37"/>
        <v>2766.2986069430003</v>
      </c>
      <c r="BW31" s="30">
        <f t="shared" si="29"/>
        <v>1.200256347851558</v>
      </c>
      <c r="BX31" s="30">
        <f t="shared" si="38"/>
        <v>0</v>
      </c>
      <c r="BZ31" s="24">
        <f t="shared" si="46"/>
        <v>5.6007000000000008E-2</v>
      </c>
      <c r="CA31" s="24">
        <f t="shared" si="30"/>
        <v>0.51633017299362949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KALIMANTAN</v>
      </c>
      <c r="C32" s="20">
        <f t="shared" si="31"/>
        <v>2023</v>
      </c>
      <c r="D32" s="30">
        <f>(D8*(VLOOKUP(D$27,tech_data!$B$2:$O$15,6, FALSE)/100)*(1-(VLOOKUP(D$27,tech_data!$B$2:$O$15,7, FALSE)/100))*8760)/1000</f>
        <v>14047.60308698753</v>
      </c>
      <c r="E32" s="30">
        <f>(E8*(VLOOKUP(E$27,tech_data!$B$2:$O$15,6, FALSE)/100)*(1-(VLOOKUP(E$27,tech_data!$B$2:$O$15,7, FALSE)/100))*8760)/1000</f>
        <v>3281.8777470696227</v>
      </c>
      <c r="F32" s="30">
        <f>(F8*(VLOOKUP(F$27,tech_data!$B$2:$O$15,6, FALSE)/100)*(1-(VLOOKUP(F$27,tech_data!$B$2:$O$15,7, FALSE)/100))*8760)/1000</f>
        <v>4721.5375092892036</v>
      </c>
      <c r="G32" s="30">
        <f>(G8*(VLOOKUP(G$27,tech_data!$B$2:$O$15,6, FALSE)/100)*(1-(VLOOKUP(G$27,tech_data!$B$2:$O$15,7, FALSE)/100))*8760)/1000</f>
        <v>8618.5952174769282</v>
      </c>
      <c r="H32" s="30">
        <f>(H8*(VLOOKUP(H$27,tech_data!$B$2:$O$15,6, FALSE)/100)*(1-(VLOOKUP(H$27,tech_data!$B$2:$O$15,7, FALSE)/100))*8760)/1000</f>
        <v>0.36816523402153095</v>
      </c>
      <c r="I32" s="30">
        <f>(I8*(VLOOKUP(I$27,tech_data!$B$2:$O$15,6, FALSE)/100)*(1-(VLOOKUP(I$27,tech_data!$B$2:$O$15,7, FALSE)/100))*8760)/1000</f>
        <v>3018.7128856224617</v>
      </c>
      <c r="J32" s="30">
        <f>(J8*(VLOOKUP(J$27,tech_data!$B$2:$O$15,6, FALSE)/100)*(1-(VLOOKUP(J$27,tech_data!$B$2:$O$15,7, FALSE)/100))*8760)/1000</f>
        <v>355.45520345571458</v>
      </c>
      <c r="K32" s="30">
        <f>(K8*(VLOOKUP(K$27,tech_data!$B$2:$O$15,6, FALSE)/100)*(1-(VLOOKUP(K$27,tech_data!$B$2:$O$15,7, FALSE)/100))*8760)/1000</f>
        <v>3308.8225004023006</v>
      </c>
      <c r="L32" s="30">
        <f>(L8*(VLOOKUP(L$27,tech_data!$B$2:$O$15,6, FALSE)/100)*(1-(VLOOKUP(L$27,tech_data!$B$2:$O$15,7, FALSE)/100))*8760)/1000</f>
        <v>228.97077343634228</v>
      </c>
      <c r="M32" s="30">
        <f>(M8*(VLOOKUP(M$27,tech_data!$B$2:$O$15,6, FALSE)/100)*(1-(VLOOKUP(M$27,tech_data!$B$2:$O$15,7, FALSE)/100))*8760)/1000</f>
        <v>384.89274257085458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10.046219630052583</v>
      </c>
      <c r="Q32" s="34">
        <f t="shared" si="17"/>
        <v>37966.83583154498</v>
      </c>
      <c r="R32" s="34">
        <f>proj_rukn!D86</f>
        <v>19399</v>
      </c>
      <c r="S32" s="35"/>
      <c r="T32" s="19"/>
      <c r="U32" s="20" t="str">
        <f t="shared" si="18"/>
        <v>KALIMANTAN</v>
      </c>
      <c r="V32" s="20">
        <f t="shared" si="18"/>
        <v>2023</v>
      </c>
      <c r="W32" s="29">
        <f t="shared" si="19"/>
        <v>0.36999667681856152</v>
      </c>
      <c r="X32" s="29">
        <f t="shared" si="19"/>
        <v>8.6440644188285357E-2</v>
      </c>
      <c r="Y32" s="29">
        <f t="shared" si="19"/>
        <v>0.12435952077329249</v>
      </c>
      <c r="Z32" s="29">
        <f t="shared" si="19"/>
        <v>0.22700325240999186</v>
      </c>
      <c r="AA32" s="29">
        <f t="shared" si="19"/>
        <v>9.6970217811945921E-6</v>
      </c>
      <c r="AB32" s="29">
        <f t="shared" si="19"/>
        <v>7.9509203743398219E-2</v>
      </c>
      <c r="AC32" s="29">
        <f t="shared" si="19"/>
        <v>9.3622551279446478E-3</v>
      </c>
      <c r="AD32" s="29">
        <f t="shared" si="19"/>
        <v>8.7150336021764155E-2</v>
      </c>
      <c r="AE32" s="29">
        <f t="shared" si="19"/>
        <v>6.0308100061923125E-3</v>
      </c>
      <c r="AF32" s="29">
        <f t="shared" si="19"/>
        <v>1.0137603888788227E-2</v>
      </c>
      <c r="AG32" s="29">
        <f t="shared" si="19"/>
        <v>0</v>
      </c>
      <c r="AH32" s="29">
        <f t="shared" si="19"/>
        <v>0</v>
      </c>
      <c r="AI32" s="29">
        <f t="shared" si="19"/>
        <v>2.6460513261169946E-4</v>
      </c>
      <c r="AJ32" s="29">
        <f t="shared" si="20"/>
        <v>1</v>
      </c>
      <c r="AM32" s="23"/>
      <c r="AO32" s="20" t="str">
        <f t="shared" si="39"/>
        <v>KALIMANTAN</v>
      </c>
      <c r="AP32" s="20">
        <f t="shared" si="40"/>
        <v>2023</v>
      </c>
      <c r="AQ32" s="25">
        <f t="shared" si="21"/>
        <v>0.36999667681856152</v>
      </c>
      <c r="AR32" s="25">
        <f t="shared" si="22"/>
        <v>0.21080016496157786</v>
      </c>
      <c r="AS32" s="25">
        <f t="shared" si="23"/>
        <v>0.22700325240999186</v>
      </c>
      <c r="AT32" s="37">
        <f t="shared" si="24"/>
        <v>0.19219990580986873</v>
      </c>
      <c r="AU32" s="24">
        <f t="shared" si="32"/>
        <v>1</v>
      </c>
      <c r="AW32" s="24">
        <f t="shared" si="41"/>
        <v>0.36708753816345929</v>
      </c>
      <c r="AX32" s="24">
        <f t="shared" si="25"/>
        <v>0.21079999999999999</v>
      </c>
      <c r="AY32" s="24">
        <f t="shared" si="42"/>
        <v>0.33534055208922064</v>
      </c>
      <c r="AZ32" s="25">
        <f t="shared" si="33"/>
        <v>0.19220000000000001</v>
      </c>
      <c r="BA32" s="24">
        <f t="shared" si="34"/>
        <v>1.1054280902526799</v>
      </c>
      <c r="BJ32" s="19"/>
      <c r="BK32" s="20" t="str">
        <f t="shared" si="44"/>
        <v>KALIMANTAN</v>
      </c>
      <c r="BL32" s="20">
        <f t="shared" si="45"/>
        <v>2023</v>
      </c>
      <c r="BM32" s="34">
        <f>proj_rukn!E86</f>
        <v>2814</v>
      </c>
      <c r="BN32" s="30">
        <f t="shared" si="26"/>
        <v>3236.1</v>
      </c>
      <c r="BO32" s="30">
        <f t="shared" si="35"/>
        <v>8262.494731085264</v>
      </c>
      <c r="BQ32" s="30">
        <f t="shared" si="27"/>
        <v>1294.44</v>
      </c>
      <c r="BR32" s="30">
        <f t="shared" si="36"/>
        <v>4757.1582988015962</v>
      </c>
      <c r="BS32" s="30"/>
      <c r="BT32" s="30">
        <f t="shared" si="28"/>
        <v>647.22</v>
      </c>
      <c r="BU32" s="30">
        <f t="shared" si="37"/>
        <v>3505.3364322836683</v>
      </c>
      <c r="BW32" s="30">
        <f t="shared" si="29"/>
        <v>1.3836619118789404</v>
      </c>
      <c r="BX32" s="30">
        <f t="shared" si="38"/>
        <v>0</v>
      </c>
      <c r="BZ32" s="24">
        <f t="shared" si="46"/>
        <v>5.8807350000000008E-2</v>
      </c>
      <c r="CA32" s="24">
        <f t="shared" si="30"/>
        <v>0.45343589350130326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KALIMANTAN</v>
      </c>
      <c r="C33" s="20">
        <f t="shared" si="31"/>
        <v>2024</v>
      </c>
      <c r="D33" s="30">
        <f>(D9*(VLOOKUP(D$27,tech_data!$B$2:$O$15,6, FALSE)/100)*(1-(VLOOKUP(D$27,tech_data!$B$2:$O$15,7, FALSE)/100))*8760)/1000</f>
        <v>14047.60308698753</v>
      </c>
      <c r="E33" s="30">
        <f>(E9*(VLOOKUP(E$27,tech_data!$B$2:$O$15,6, FALSE)/100)*(1-(VLOOKUP(E$27,tech_data!$B$2:$O$15,7, FALSE)/100))*8760)/1000</f>
        <v>3758.2869079339894</v>
      </c>
      <c r="F33" s="30">
        <f>(F9*(VLOOKUP(F$27,tech_data!$B$2:$O$15,6, FALSE)/100)*(1-(VLOOKUP(F$27,tech_data!$B$2:$O$15,7, FALSE)/100))*8760)/1000</f>
        <v>4754.8763823237095</v>
      </c>
      <c r="G33" s="30">
        <f>(G9*(VLOOKUP(G$27,tech_data!$B$2:$O$15,6, FALSE)/100)*(1-(VLOOKUP(G$27,tech_data!$B$2:$O$15,7, FALSE)/100))*8760)/1000</f>
        <v>8618.5952174769282</v>
      </c>
      <c r="H33" s="30">
        <f>(H9*(VLOOKUP(H$27,tech_data!$B$2:$O$15,6, FALSE)/100)*(1-(VLOOKUP(H$27,tech_data!$B$2:$O$15,7, FALSE)/100))*8760)/1000</f>
        <v>0.95490663895680861</v>
      </c>
      <c r="I33" s="30">
        <f>(I9*(VLOOKUP(I$27,tech_data!$B$2:$O$15,6, FALSE)/100)*(1-(VLOOKUP(I$27,tech_data!$B$2:$O$15,7, FALSE)/100))*8760)/1000</f>
        <v>3065.3608492959206</v>
      </c>
      <c r="J33" s="30">
        <f>(J9*(VLOOKUP(J$27,tech_data!$B$2:$O$15,6, FALSE)/100)*(1-(VLOOKUP(J$27,tech_data!$B$2:$O$15,7, FALSE)/100))*8760)/1000</f>
        <v>360.56422688894258</v>
      </c>
      <c r="K33" s="30">
        <f>(K9*(VLOOKUP(K$27,tech_data!$B$2:$O$15,6, FALSE)/100)*(1-(VLOOKUP(K$27,tech_data!$B$2:$O$15,7, FALSE)/100))*8760)/1000</f>
        <v>3309.0331846320069</v>
      </c>
      <c r="L33" s="30">
        <f>(L9*(VLOOKUP(L$27,tech_data!$B$2:$O$15,6, FALSE)/100)*(1-(VLOOKUP(L$27,tech_data!$B$2:$O$15,7, FALSE)/100))*8760)/1000</f>
        <v>1216.0789194690847</v>
      </c>
      <c r="M33" s="30">
        <f>(M9*(VLOOKUP(M$27,tech_data!$B$2:$O$15,6, FALSE)/100)*(1-(VLOOKUP(M$27,tech_data!$B$2:$O$15,7, FALSE)/100))*8760)/1000</f>
        <v>391.22346841994289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10.625614512689916</v>
      </c>
      <c r="Q33" s="34">
        <f t="shared" si="17"/>
        <v>39522.577150067009</v>
      </c>
      <c r="R33" s="34">
        <f>proj_rukn!D87</f>
        <v>24370</v>
      </c>
      <c r="S33" s="35"/>
      <c r="T33" s="19"/>
      <c r="U33" s="20" t="str">
        <f t="shared" si="18"/>
        <v>KALIMANTAN</v>
      </c>
      <c r="V33" s="20">
        <f t="shared" si="18"/>
        <v>2024</v>
      </c>
      <c r="W33" s="29">
        <f t="shared" si="19"/>
        <v>0.35543236549703877</v>
      </c>
      <c r="X33" s="29">
        <f t="shared" si="19"/>
        <v>9.5092151851935022E-2</v>
      </c>
      <c r="Y33" s="29">
        <f t="shared" si="19"/>
        <v>0.12030785250337978</v>
      </c>
      <c r="Z33" s="29">
        <f t="shared" si="19"/>
        <v>0.21806764231877312</v>
      </c>
      <c r="AA33" s="29">
        <f t="shared" si="19"/>
        <v>2.416104180987574E-5</v>
      </c>
      <c r="AB33" s="29">
        <f t="shared" si="19"/>
        <v>7.7559741047674144E-2</v>
      </c>
      <c r="AC33" s="29">
        <f t="shared" si="19"/>
        <v>9.122993814899321E-3</v>
      </c>
      <c r="AD33" s="29">
        <f t="shared" si="19"/>
        <v>8.3725136953180609E-2</v>
      </c>
      <c r="AE33" s="29">
        <f t="shared" si="19"/>
        <v>3.076922121884005E-2</v>
      </c>
      <c r="AF33" s="29">
        <f t="shared" si="19"/>
        <v>9.8987337524693679E-3</v>
      </c>
      <c r="AG33" s="29">
        <f t="shared" si="19"/>
        <v>0</v>
      </c>
      <c r="AH33" s="29">
        <f t="shared" si="19"/>
        <v>0</v>
      </c>
      <c r="AI33" s="29">
        <f t="shared" si="19"/>
        <v>2.6884923198060984E-4</v>
      </c>
      <c r="AJ33" s="29">
        <f t="shared" si="20"/>
        <v>1.0000000000000002</v>
      </c>
      <c r="AM33" s="23"/>
      <c r="AO33" s="20" t="str">
        <f t="shared" si="39"/>
        <v>KALIMANTAN</v>
      </c>
      <c r="AP33" s="20">
        <f t="shared" si="40"/>
        <v>2024</v>
      </c>
      <c r="AQ33" s="25">
        <f t="shared" si="21"/>
        <v>0.35543236549703877</v>
      </c>
      <c r="AR33" s="25">
        <f t="shared" si="22"/>
        <v>0.21540000435531478</v>
      </c>
      <c r="AS33" s="25">
        <f t="shared" si="23"/>
        <v>0.21806764231877312</v>
      </c>
      <c r="AT33" s="37">
        <f t="shared" si="24"/>
        <v>0.21109998782887335</v>
      </c>
      <c r="AU33" s="24">
        <f t="shared" si="32"/>
        <v>1</v>
      </c>
      <c r="AW33" s="24">
        <f t="shared" si="41"/>
        <v>0.33354376908172967</v>
      </c>
      <c r="AX33" s="24">
        <f t="shared" si="25"/>
        <v>0.21540000000000001</v>
      </c>
      <c r="AY33" s="24">
        <f t="shared" si="42"/>
        <v>0.3286337410474362</v>
      </c>
      <c r="AZ33" s="25">
        <f t="shared" si="33"/>
        <v>0.21110000000000001</v>
      </c>
      <c r="BA33" s="24">
        <f t="shared" si="34"/>
        <v>1.0886775101291659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KALIMANTAN</v>
      </c>
      <c r="BL33" s="20">
        <f t="shared" si="45"/>
        <v>2024</v>
      </c>
      <c r="BM33" s="34">
        <f>proj_rukn!E87</f>
        <v>3018</v>
      </c>
      <c r="BN33" s="30">
        <f t="shared" si="26"/>
        <v>3470.7</v>
      </c>
      <c r="BO33" s="30">
        <f t="shared" si="35"/>
        <v>8447.2043581891539</v>
      </c>
      <c r="BQ33" s="30">
        <f t="shared" si="27"/>
        <v>1388.28</v>
      </c>
      <c r="BR33" s="30">
        <f t="shared" si="36"/>
        <v>4771.8300574054429</v>
      </c>
      <c r="BS33" s="30"/>
      <c r="BT33" s="30">
        <f t="shared" si="28"/>
        <v>694.14</v>
      </c>
      <c r="BU33" s="30">
        <f t="shared" si="37"/>
        <v>3675.374300783712</v>
      </c>
      <c r="BW33" s="30">
        <f t="shared" si="29"/>
        <v>1.551193009250011</v>
      </c>
      <c r="BX33" s="30">
        <f t="shared" si="38"/>
        <v>0</v>
      </c>
      <c r="BZ33" s="24">
        <f t="shared" si="46"/>
        <v>6.1747717500000014E-2</v>
      </c>
      <c r="CA33" s="24">
        <f t="shared" si="30"/>
        <v>0.39661365125729792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KALIMANTAN</v>
      </c>
      <c r="C34" s="20">
        <f t="shared" si="31"/>
        <v>2025</v>
      </c>
      <c r="D34" s="30">
        <f>(D10*(VLOOKUP(D$27,tech_data!$B$2:$O$15,6, FALSE)/100)*(1-(VLOOKUP(D$27,tech_data!$B$2:$O$15,7, FALSE)/100))*8760)/1000</f>
        <v>14047.60308698753</v>
      </c>
      <c r="E34" s="30">
        <f>(E10*(VLOOKUP(E$27,tech_data!$B$2:$O$15,6, FALSE)/100)*(1-(VLOOKUP(E$27,tech_data!$B$2:$O$15,7, FALSE)/100))*8760)/1000</f>
        <v>3808.0535143890766</v>
      </c>
      <c r="F34" s="30">
        <f>(F10*(VLOOKUP(F$27,tech_data!$B$2:$O$15,6, FALSE)/100)*(1-(VLOOKUP(F$27,tech_data!$B$2:$O$15,7, FALSE)/100))*8760)/1000</f>
        <v>5258.4257543212598</v>
      </c>
      <c r="G34" s="30">
        <f>(G10*(VLOOKUP(G$27,tech_data!$B$2:$O$15,6, FALSE)/100)*(1-(VLOOKUP(G$27,tech_data!$B$2:$O$15,7, FALSE)/100))*8760)/1000</f>
        <v>8618.5952174769282</v>
      </c>
      <c r="H34" s="30">
        <f>(H10*(VLOOKUP(H$27,tech_data!$B$2:$O$15,6, FALSE)/100)*(1-(VLOOKUP(H$27,tech_data!$B$2:$O$15,7, FALSE)/100))*8760)/1000</f>
        <v>0.95490663895680861</v>
      </c>
      <c r="I34" s="30">
        <f>(I10*(VLOOKUP(I$27,tech_data!$B$2:$O$15,6, FALSE)/100)*(1-(VLOOKUP(I$27,tech_data!$B$2:$O$15,7, FALSE)/100))*8760)/1000</f>
        <v>4090.8453665428488</v>
      </c>
      <c r="J34" s="30">
        <f>(J10*(VLOOKUP(J$27,tech_data!$B$2:$O$15,6, FALSE)/100)*(1-(VLOOKUP(J$27,tech_data!$B$2:$O$15,7, FALSE)/100))*8760)/1000</f>
        <v>360.56422688894258</v>
      </c>
      <c r="K34" s="30">
        <f>(K10*(VLOOKUP(K$27,tech_data!$B$2:$O$15,6, FALSE)/100)*(1-(VLOOKUP(K$27,tech_data!$B$2:$O$15,7, FALSE)/100))*8760)/1000</f>
        <v>3309.0331846320069</v>
      </c>
      <c r="L34" s="30">
        <f>(L10*(VLOOKUP(L$27,tech_data!$B$2:$O$15,6, FALSE)/100)*(1-(VLOOKUP(L$27,tech_data!$B$2:$O$15,7, FALSE)/100))*8760)/1000</f>
        <v>1278.6159922051024</v>
      </c>
      <c r="M34" s="30">
        <f>(M10*(VLOOKUP(M$27,tech_data!$B$2:$O$15,6, FALSE)/100)*(1-(VLOOKUP(M$27,tech_data!$B$2:$O$15,7, FALSE)/100))*8760)/1000</f>
        <v>438.57830598797671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11.05357024002932</v>
      </c>
      <c r="Q34" s="34">
        <f t="shared" si="17"/>
        <v>41211.26955607062</v>
      </c>
      <c r="R34" s="34">
        <f>proj_rukn!D88</f>
        <v>29601</v>
      </c>
      <c r="S34" s="35"/>
      <c r="T34" s="19"/>
      <c r="U34" s="20" t="str">
        <f t="shared" si="18"/>
        <v>KALIMANTAN</v>
      </c>
      <c r="V34" s="20">
        <f t="shared" si="18"/>
        <v>2025</v>
      </c>
      <c r="W34" s="29">
        <f t="shared" si="19"/>
        <v>0.34086800135761047</v>
      </c>
      <c r="X34" s="29">
        <f t="shared" si="19"/>
        <v>9.2403208040168994E-2</v>
      </c>
      <c r="Y34" s="29">
        <f t="shared" si="19"/>
        <v>0.12759679114390854</v>
      </c>
      <c r="Z34" s="29">
        <f t="shared" si="19"/>
        <v>0.20913199982230024</v>
      </c>
      <c r="AA34" s="29">
        <f t="shared" si="19"/>
        <v>2.3171007572518383E-5</v>
      </c>
      <c r="AB34" s="29">
        <f t="shared" si="19"/>
        <v>9.9265210963156256E-2</v>
      </c>
      <c r="AC34" s="29">
        <f t="shared" si="19"/>
        <v>8.7491657202739513E-3</v>
      </c>
      <c r="AD34" s="29">
        <f t="shared" si="19"/>
        <v>8.0294376278067611E-2</v>
      </c>
      <c r="AE34" s="29">
        <f t="shared" si="19"/>
        <v>3.1025882142879921E-2</v>
      </c>
      <c r="AF34" s="29">
        <f t="shared" si="19"/>
        <v>1.0642193524061721E-2</v>
      </c>
      <c r="AG34" s="29">
        <f t="shared" si="19"/>
        <v>0</v>
      </c>
      <c r="AH34" s="29">
        <f t="shared" si="19"/>
        <v>0</v>
      </c>
      <c r="AI34" s="29">
        <f t="shared" si="19"/>
        <v>2.6821717358137238E-4</v>
      </c>
      <c r="AJ34" s="29">
        <f t="shared" si="20"/>
        <v>1.0000000000000002</v>
      </c>
      <c r="AM34" s="23"/>
      <c r="AO34" s="20" t="str">
        <f t="shared" si="39"/>
        <v>KALIMANTAN</v>
      </c>
      <c r="AP34" s="20">
        <f t="shared" si="40"/>
        <v>2025</v>
      </c>
      <c r="AQ34" s="25">
        <f t="shared" si="21"/>
        <v>0.34086800135761047</v>
      </c>
      <c r="AR34" s="25">
        <f t="shared" si="22"/>
        <v>0.21999999918407756</v>
      </c>
      <c r="AS34" s="25">
        <f t="shared" si="23"/>
        <v>0.20913199982230024</v>
      </c>
      <c r="AT34" s="37">
        <f t="shared" si="24"/>
        <v>0.22999999963601198</v>
      </c>
      <c r="AU34" s="24">
        <f t="shared" si="32"/>
        <v>1.0000000000000002</v>
      </c>
      <c r="AW34" s="24">
        <f t="shared" si="41"/>
        <v>0.30000000000000004</v>
      </c>
      <c r="AX34" s="24">
        <f t="shared" si="25"/>
        <v>0.22</v>
      </c>
      <c r="AY34" s="24">
        <f t="shared" si="42"/>
        <v>0.32206106622648745</v>
      </c>
      <c r="AZ34" s="25">
        <f t="shared" si="33"/>
        <v>0.23</v>
      </c>
      <c r="BA34" s="24">
        <f t="shared" si="34"/>
        <v>1.0720610662264876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KALIMANTAN</v>
      </c>
      <c r="BL34" s="20">
        <f t="shared" si="45"/>
        <v>2025</v>
      </c>
      <c r="BM34" s="34">
        <f>proj_rukn!E88</f>
        <v>3235</v>
      </c>
      <c r="BN34" s="30">
        <f t="shared" si="26"/>
        <v>3720.2499999999995</v>
      </c>
      <c r="BO34" s="30">
        <f t="shared" si="35"/>
        <v>8895.8858953043382</v>
      </c>
      <c r="BQ34" s="30">
        <f t="shared" si="27"/>
        <v>1488.1</v>
      </c>
      <c r="BR34" s="30">
        <f t="shared" si="36"/>
        <v>4972.7420153315561</v>
      </c>
      <c r="BS34" s="30"/>
      <c r="BT34" s="30">
        <f t="shared" si="28"/>
        <v>744.05</v>
      </c>
      <c r="BU34" s="30">
        <f t="shared" si="37"/>
        <v>3923.143879972783</v>
      </c>
      <c r="BW34" s="30">
        <f t="shared" si="29"/>
        <v>1.686340526753987</v>
      </c>
      <c r="BX34" s="30">
        <f t="shared" si="38"/>
        <v>0</v>
      </c>
      <c r="BZ34" s="24">
        <f t="shared" si="46"/>
        <v>6.4835103375000022E-2</v>
      </c>
      <c r="CA34" s="24">
        <f t="shared" si="30"/>
        <v>0.34910598437016527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KALIMANTAN</v>
      </c>
      <c r="C35" s="20">
        <f t="shared" si="31"/>
        <v>2026</v>
      </c>
      <c r="D35" s="30">
        <f>(D11*(VLOOKUP(D$27,tech_data!$B$2:$O$15,6, FALSE)/100)*(1-(VLOOKUP(D$27,tech_data!$B$2:$O$15,7, FALSE)/100))*8760)/1000</f>
        <v>14047.60308698753</v>
      </c>
      <c r="E35" s="30">
        <f>(E11*(VLOOKUP(E$27,tech_data!$B$2:$O$15,6, FALSE)/100)*(1-(VLOOKUP(E$27,tech_data!$B$2:$O$15,7, FALSE)/100))*8760)/1000</f>
        <v>4127.9553002557541</v>
      </c>
      <c r="F35" s="30">
        <f>(F11*(VLOOKUP(F$27,tech_data!$B$2:$O$15,6, FALSE)/100)*(1-(VLOOKUP(F$27,tech_data!$B$2:$O$15,7, FALSE)/100))*8760)/1000</f>
        <v>5261.2403226034548</v>
      </c>
      <c r="G35" s="30">
        <f>(G11*(VLOOKUP(G$27,tech_data!$B$2:$O$15,6, FALSE)/100)*(1-(VLOOKUP(G$27,tech_data!$B$2:$O$15,7, FALSE)/100))*8760)/1000</f>
        <v>8618.5952174769282</v>
      </c>
      <c r="H35" s="30">
        <f>(H11*(VLOOKUP(H$27,tech_data!$B$2:$O$15,6, FALSE)/100)*(1-(VLOOKUP(H$27,tech_data!$B$2:$O$15,7, FALSE)/100))*8760)/1000</f>
        <v>52.982623291339046</v>
      </c>
      <c r="I35" s="30">
        <f>(I11*(VLOOKUP(I$27,tech_data!$B$2:$O$15,6, FALSE)/100)*(1-(VLOOKUP(I$27,tech_data!$B$2:$O$15,7, FALSE)/100))*8760)/1000</f>
        <v>4090.8453665428488</v>
      </c>
      <c r="J35" s="30">
        <f>(J11*(VLOOKUP(J$27,tech_data!$B$2:$O$15,6, FALSE)/100)*(1-(VLOOKUP(J$27,tech_data!$B$2:$O$15,7, FALSE)/100))*8760)/1000</f>
        <v>360.56405617702706</v>
      </c>
      <c r="K35" s="30">
        <f>(K11*(VLOOKUP(K$27,tech_data!$B$2:$O$15,6, FALSE)/100)*(1-(VLOOKUP(K$27,tech_data!$B$2:$O$15,7, FALSE)/100))*8760)/1000</f>
        <v>3309.0331851305145</v>
      </c>
      <c r="L35" s="30">
        <f>(L11*(VLOOKUP(L$27,tech_data!$B$2:$O$15,6, FALSE)/100)*(1-(VLOOKUP(L$27,tech_data!$B$2:$O$15,7, FALSE)/100))*8760)/1000</f>
        <v>1495.2011627067077</v>
      </c>
      <c r="M35" s="30">
        <f>(M11*(VLOOKUP(M$27,tech_data!$B$2:$O$15,6, FALSE)/100)*(1-(VLOOKUP(M$27,tech_data!$B$2:$O$15,7, FALSE)/100))*8760)/1000</f>
        <v>440.09266128288203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11.24256794872219</v>
      </c>
      <c r="Q35" s="34">
        <f t="shared" si="17"/>
        <v>41804.112982454993</v>
      </c>
      <c r="R35" s="34">
        <f>proj_rukn!D89</f>
        <v>35042</v>
      </c>
      <c r="S35" s="35"/>
      <c r="T35" s="19"/>
      <c r="U35" s="20" t="str">
        <f t="shared" si="18"/>
        <v>KALIMANTAN</v>
      </c>
      <c r="V35" s="20">
        <f t="shared" si="18"/>
        <v>2026</v>
      </c>
      <c r="W35" s="29">
        <f t="shared" si="19"/>
        <v>0.3360339948579521</v>
      </c>
      <c r="X35" s="29">
        <f t="shared" si="19"/>
        <v>9.8745195287081894E-2</v>
      </c>
      <c r="Y35" s="29">
        <f t="shared" si="19"/>
        <v>0.12585460968425702</v>
      </c>
      <c r="Z35" s="29">
        <f t="shared" si="19"/>
        <v>0.20616620238047187</v>
      </c>
      <c r="AA35" s="29">
        <f t="shared" si="19"/>
        <v>1.2674021647959765E-3</v>
      </c>
      <c r="AB35" s="29">
        <f t="shared" si="19"/>
        <v>9.7857485177589076E-2</v>
      </c>
      <c r="AC35" s="29">
        <f t="shared" si="19"/>
        <v>8.6250856782526218E-3</v>
      </c>
      <c r="AD35" s="29">
        <f t="shared" si="19"/>
        <v>7.9155684669575496E-2</v>
      </c>
      <c r="AE35" s="29">
        <f t="shared" si="19"/>
        <v>3.5766843404481212E-2</v>
      </c>
      <c r="AF35" s="29">
        <f t="shared" si="19"/>
        <v>1.0527496695542543E-2</v>
      </c>
      <c r="AG35" s="29">
        <f t="shared" si="19"/>
        <v>0</v>
      </c>
      <c r="AH35" s="29">
        <f t="shared" si="19"/>
        <v>0</v>
      </c>
      <c r="AI35" s="29">
        <f t="shared" si="19"/>
        <v>2.6893449344184503E-4</v>
      </c>
      <c r="AJ35" s="29">
        <f t="shared" si="20"/>
        <v>0.99999999999999967</v>
      </c>
      <c r="AM35" s="23"/>
      <c r="AO35" s="20" t="str">
        <f t="shared" si="39"/>
        <v>KALIMANTAN</v>
      </c>
      <c r="AP35" s="20">
        <f t="shared" si="40"/>
        <v>2026</v>
      </c>
      <c r="AQ35" s="25">
        <f t="shared" si="21"/>
        <v>0.3360339948579521</v>
      </c>
      <c r="AR35" s="25">
        <f t="shared" si="22"/>
        <v>0.22459980497133894</v>
      </c>
      <c r="AS35" s="25">
        <f t="shared" si="23"/>
        <v>0.20616620238047187</v>
      </c>
      <c r="AT35" s="37">
        <f t="shared" si="24"/>
        <v>0.23319999779023692</v>
      </c>
      <c r="AU35" s="24">
        <f t="shared" si="32"/>
        <v>0.99999999999999989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0.31561984490195771</v>
      </c>
      <c r="AZ35" s="25">
        <f t="shared" ref="AZ35:AZ47" si="47">$BG$30+((AP35-$BC$30)*($BG$31-$BG$30)/($BC$31-$BC$30))</f>
        <v>0.23320000000000002</v>
      </c>
      <c r="BA35" s="24">
        <f t="shared" si="34"/>
        <v>1.0714198449019576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KALIMANTAN</v>
      </c>
      <c r="BL35" s="20">
        <f t="shared" si="45"/>
        <v>2026</v>
      </c>
      <c r="BM35" s="34">
        <f>proj_rukn!E89</f>
        <v>3435</v>
      </c>
      <c r="BN35" s="30">
        <f t="shared" si="26"/>
        <v>3950.2499999999995</v>
      </c>
      <c r="BO35" s="30">
        <f t="shared" si="35"/>
        <v>9012.5926482917257</v>
      </c>
      <c r="BQ35" s="30">
        <f t="shared" si="27"/>
        <v>1580.1</v>
      </c>
      <c r="BR35" s="30">
        <f t="shared" si="36"/>
        <v>4982.3830111644447</v>
      </c>
      <c r="BS35" s="30"/>
      <c r="BT35" s="30">
        <f t="shared" si="28"/>
        <v>790.05</v>
      </c>
      <c r="BU35" s="30">
        <f t="shared" si="37"/>
        <v>4030.2096371272819</v>
      </c>
      <c r="BW35" s="30">
        <f t="shared" si="29"/>
        <v>1.7258630939947894</v>
      </c>
      <c r="BX35" s="30">
        <f t="shared" si="38"/>
        <v>0</v>
      </c>
      <c r="BZ35" s="24">
        <f t="shared" si="46"/>
        <v>6.8076858543750021E-2</v>
      </c>
      <c r="CA35" s="24">
        <f t="shared" si="30"/>
        <v>0.33943261329177166</v>
      </c>
      <c r="CF35" s="23"/>
    </row>
    <row r="36" spans="1:84" x14ac:dyDescent="0.25">
      <c r="A36" s="19"/>
      <c r="B36" s="20" t="str">
        <f t="shared" si="31"/>
        <v>KALIMANTAN</v>
      </c>
      <c r="C36" s="20">
        <f t="shared" si="31"/>
        <v>2027</v>
      </c>
      <c r="D36" s="30">
        <f>(D12*(VLOOKUP(D$27,tech_data!$B$2:$O$15,6, FALSE)/100)*(1-(VLOOKUP(D$27,tech_data!$B$2:$O$15,7, FALSE)/100))*8760)/1000</f>
        <v>14047.60308698753</v>
      </c>
      <c r="E36" s="30">
        <f>(E12*(VLOOKUP(E$27,tech_data!$B$2:$O$15,6, FALSE)/100)*(1-(VLOOKUP(E$27,tech_data!$B$2:$O$15,7, FALSE)/100))*8760)/1000</f>
        <v>4127.9553002557541</v>
      </c>
      <c r="F36" s="30">
        <f>(F12*(VLOOKUP(F$27,tech_data!$B$2:$O$15,6, FALSE)/100)*(1-(VLOOKUP(F$27,tech_data!$B$2:$O$15,7, FALSE)/100))*8760)/1000</f>
        <v>5617.398408877144</v>
      </c>
      <c r="G36" s="30">
        <f>(G12*(VLOOKUP(G$27,tech_data!$B$2:$O$15,6, FALSE)/100)*(1-(VLOOKUP(G$27,tech_data!$B$2:$O$15,7, FALSE)/100))*8760)/1000</f>
        <v>8674.5476156873065</v>
      </c>
      <c r="H36" s="30">
        <f>(H12*(VLOOKUP(H$27,tech_data!$B$2:$O$15,6, FALSE)/100)*(1-(VLOOKUP(H$27,tech_data!$B$2:$O$15,7, FALSE)/100))*8760)/1000</f>
        <v>52.982623291339046</v>
      </c>
      <c r="I36" s="30">
        <f>(I12*(VLOOKUP(I$27,tech_data!$B$2:$O$15,6, FALSE)/100)*(1-(VLOOKUP(I$27,tech_data!$B$2:$O$15,7, FALSE)/100))*8760)/1000</f>
        <v>4090.8453665428488</v>
      </c>
      <c r="J36" s="30">
        <f>(J12*(VLOOKUP(J$27,tech_data!$B$2:$O$15,6, FALSE)/100)*(1-(VLOOKUP(J$27,tech_data!$B$2:$O$15,7, FALSE)/100))*8760)/1000</f>
        <v>360.56405617702706</v>
      </c>
      <c r="K36" s="30">
        <f>(K12*(VLOOKUP(K$27,tech_data!$B$2:$O$15,6, FALSE)/100)*(1-(VLOOKUP(K$27,tech_data!$B$2:$O$15,7, FALSE)/100))*8760)/1000</f>
        <v>3309.0331851305145</v>
      </c>
      <c r="L36" s="30">
        <f>(L12*(VLOOKUP(L$27,tech_data!$B$2:$O$15,6, FALSE)/100)*(1-(VLOOKUP(L$27,tech_data!$B$2:$O$15,7, FALSE)/100))*8760)/1000</f>
        <v>1797.9724972762431</v>
      </c>
      <c r="M36" s="30">
        <f>(M12*(VLOOKUP(M$27,tech_data!$B$2:$O$15,6, FALSE)/100)*(1-(VLOOKUP(M$27,tech_data!$B$2:$O$15,7, FALSE)/100))*8760)/1000</f>
        <v>440.09266128288203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11.478755449159706</v>
      </c>
      <c r="Q36" s="34">
        <f t="shared" si="17"/>
        <v>42518.99480150859</v>
      </c>
      <c r="R36" s="34">
        <f>proj_rukn!D90</f>
        <v>42519</v>
      </c>
      <c r="S36" s="35"/>
      <c r="T36" s="19"/>
      <c r="U36" s="20" t="str">
        <f t="shared" si="18"/>
        <v>KALIMANTAN</v>
      </c>
      <c r="V36" s="20">
        <f t="shared" si="18"/>
        <v>2027</v>
      </c>
      <c r="W36" s="29">
        <f t="shared" si="19"/>
        <v>0.33038417659133174</v>
      </c>
      <c r="X36" s="29">
        <f t="shared" si="19"/>
        <v>9.7084969189095052E-2</v>
      </c>
      <c r="Y36" s="29">
        <f t="shared" si="19"/>
        <v>0.13211503317754436</v>
      </c>
      <c r="Z36" s="29">
        <f t="shared" si="19"/>
        <v>0.20401582060400755</v>
      </c>
      <c r="AA36" s="29">
        <f t="shared" si="19"/>
        <v>1.2460930353287469E-3</v>
      </c>
      <c r="AB36" s="29">
        <f t="shared" si="19"/>
        <v>9.6212184357606312E-2</v>
      </c>
      <c r="AC36" s="29">
        <f t="shared" si="19"/>
        <v>8.4800700924433457E-3</v>
      </c>
      <c r="AD36" s="29">
        <f t="shared" si="19"/>
        <v>7.7824821602158589E-2</v>
      </c>
      <c r="AE36" s="29">
        <f t="shared" si="19"/>
        <v>4.2286335922796799E-2</v>
      </c>
      <c r="AF36" s="29">
        <f t="shared" si="19"/>
        <v>1.0350495427687472E-2</v>
      </c>
      <c r="AG36" s="29">
        <f t="shared" si="19"/>
        <v>0</v>
      </c>
      <c r="AH36" s="29">
        <f t="shared" si="19"/>
        <v>0</v>
      </c>
      <c r="AI36" s="29">
        <f t="shared" si="19"/>
        <v>2.6996770508677301E-4</v>
      </c>
      <c r="AJ36" s="29">
        <f t="shared" si="20"/>
        <v>1</v>
      </c>
      <c r="AM36" s="23"/>
      <c r="AO36" s="20" t="str">
        <f t="shared" si="39"/>
        <v>KALIMANTAN</v>
      </c>
      <c r="AP36" s="20">
        <f t="shared" si="40"/>
        <v>2027</v>
      </c>
      <c r="AQ36" s="25">
        <f t="shared" si="21"/>
        <v>0.33038417659133174</v>
      </c>
      <c r="AR36" s="25">
        <f t="shared" si="22"/>
        <v>0.22920000236663943</v>
      </c>
      <c r="AS36" s="25">
        <f t="shared" si="23"/>
        <v>0.20401582060400755</v>
      </c>
      <c r="AT36" s="37">
        <f t="shared" si="24"/>
        <v>0.23640000043802128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0.30930744800391857</v>
      </c>
      <c r="AZ36" s="25">
        <f t="shared" si="47"/>
        <v>0.2364</v>
      </c>
      <c r="BA36" s="24">
        <f t="shared" si="34"/>
        <v>1.0709074480039185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KALIMANTAN</v>
      </c>
      <c r="BL36" s="20">
        <f t="shared" si="45"/>
        <v>2027</v>
      </c>
      <c r="BM36" s="34">
        <f>proj_rukn!E90</f>
        <v>3653</v>
      </c>
      <c r="BN36" s="30">
        <f t="shared" si="26"/>
        <v>4200.95</v>
      </c>
      <c r="BO36" s="30">
        <f t="shared" si="35"/>
        <v>9152.5494235882888</v>
      </c>
      <c r="BQ36" s="30">
        <f t="shared" si="27"/>
        <v>1680.38</v>
      </c>
      <c r="BR36" s="30">
        <f t="shared" si="36"/>
        <v>5111.076730473108</v>
      </c>
      <c r="BS36" s="30"/>
      <c r="BT36" s="30">
        <f t="shared" si="28"/>
        <v>840.19</v>
      </c>
      <c r="BU36" s="30">
        <f t="shared" si="37"/>
        <v>4041.4726931151808</v>
      </c>
      <c r="BW36" s="30">
        <f t="shared" si="29"/>
        <v>1.775085103390875</v>
      </c>
      <c r="BX36" s="30">
        <f t="shared" si="38"/>
        <v>0</v>
      </c>
      <c r="BZ36" s="24">
        <f t="shared" si="46"/>
        <v>7.1480701470937519E-2</v>
      </c>
      <c r="CA36" s="24">
        <f t="shared" si="30"/>
        <v>0.32920821259711669</v>
      </c>
      <c r="CF36" s="23"/>
    </row>
    <row r="37" spans="1:84" x14ac:dyDescent="0.25">
      <c r="A37" s="19"/>
      <c r="B37" s="20" t="str">
        <f t="shared" si="31"/>
        <v>KALIMANTAN</v>
      </c>
      <c r="C37" s="20">
        <f t="shared" si="31"/>
        <v>2028</v>
      </c>
      <c r="D37" s="30">
        <f>(D13*(VLOOKUP(D$27,tech_data!$B$2:$O$15,6, FALSE)/100)*(1-(VLOOKUP(D$27,tech_data!$B$2:$O$15,7, FALSE)/100))*8760)/1000</f>
        <v>14047.60308698753</v>
      </c>
      <c r="E37" s="30">
        <f>(E13*(VLOOKUP(E$27,tech_data!$B$2:$O$15,6, FALSE)/100)*(1-(VLOOKUP(E$27,tech_data!$B$2:$O$15,7, FALSE)/100))*8760)/1000</f>
        <v>4127.9553002557541</v>
      </c>
      <c r="F37" s="30">
        <f>(F13*(VLOOKUP(F$27,tech_data!$B$2:$O$15,6, FALSE)/100)*(1-(VLOOKUP(F$27,tech_data!$B$2:$O$15,7, FALSE)/100))*8760)/1000</f>
        <v>6151.7620611221028</v>
      </c>
      <c r="G37" s="30">
        <f>(G13*(VLOOKUP(G$27,tech_data!$B$2:$O$15,6, FALSE)/100)*(1-(VLOOKUP(G$27,tech_data!$B$2:$O$15,7, FALSE)/100))*8760)/1000</f>
        <v>9105.9429973493061</v>
      </c>
      <c r="H37" s="30">
        <f>(H13*(VLOOKUP(H$27,tech_data!$B$2:$O$15,6, FALSE)/100)*(1-(VLOOKUP(H$27,tech_data!$B$2:$O$15,7, FALSE)/100))*8760)/1000</f>
        <v>52.982623291339046</v>
      </c>
      <c r="I37" s="30">
        <f>(I13*(VLOOKUP(I$27,tech_data!$B$2:$O$15,6, FALSE)/100)*(1-(VLOOKUP(I$27,tech_data!$B$2:$O$15,7, FALSE)/100))*8760)/1000</f>
        <v>4090.8453665428488</v>
      </c>
      <c r="J37" s="30">
        <f>(J13*(VLOOKUP(J$27,tech_data!$B$2:$O$15,6, FALSE)/100)*(1-(VLOOKUP(J$27,tech_data!$B$2:$O$15,7, FALSE)/100))*8760)/1000</f>
        <v>360.56405617702706</v>
      </c>
      <c r="K37" s="30">
        <f>(K13*(VLOOKUP(K$27,tech_data!$B$2:$O$15,6, FALSE)/100)*(1-(VLOOKUP(K$27,tech_data!$B$2:$O$15,7, FALSE)/100))*8760)/1000</f>
        <v>3309.0331851305145</v>
      </c>
      <c r="L37" s="30">
        <f>(L13*(VLOOKUP(L$27,tech_data!$B$2:$O$15,6, FALSE)/100)*(1-(VLOOKUP(L$27,tech_data!$B$2:$O$15,7, FALSE)/100))*8760)/1000</f>
        <v>2281.2137795423532</v>
      </c>
      <c r="M37" s="30">
        <f>(M13*(VLOOKUP(M$27,tech_data!$B$2:$O$15,6, FALSE)/100)*(1-(VLOOKUP(M$27,tech_data!$B$2:$O$15,7, FALSE)/100))*8760)/1000</f>
        <v>440.09266128288203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11.931509762238649</v>
      </c>
      <c r="Q37" s="34">
        <f t="shared" si="17"/>
        <v>43967.995117681661</v>
      </c>
      <c r="R37" s="34">
        <f>proj_rukn!D91</f>
        <v>43968</v>
      </c>
      <c r="S37" s="35"/>
      <c r="T37" s="19"/>
      <c r="U37" s="20" t="str">
        <f t="shared" si="18"/>
        <v>KALIMANTAN</v>
      </c>
      <c r="V37" s="20">
        <f t="shared" si="18"/>
        <v>2028</v>
      </c>
      <c r="W37" s="29">
        <f t="shared" si="19"/>
        <v>0.3194961027763194</v>
      </c>
      <c r="X37" s="29">
        <f t="shared" si="19"/>
        <v>9.3885456664720729E-2</v>
      </c>
      <c r="Y37" s="29">
        <f t="shared" si="19"/>
        <v>0.13991454567479655</v>
      </c>
      <c r="Z37" s="29">
        <f t="shared" si="19"/>
        <v>0.20710389393414405</v>
      </c>
      <c r="AA37" s="29">
        <f t="shared" si="19"/>
        <v>1.2050270463670098E-3</v>
      </c>
      <c r="AB37" s="29">
        <f t="shared" si="19"/>
        <v>9.3041435152855567E-2</v>
      </c>
      <c r="AC37" s="29">
        <f t="shared" si="19"/>
        <v>8.2006026249767938E-3</v>
      </c>
      <c r="AD37" s="29">
        <f t="shared" si="19"/>
        <v>7.5260042589474177E-2</v>
      </c>
      <c r="AE37" s="29">
        <f t="shared" si="19"/>
        <v>5.1883506933546E-2</v>
      </c>
      <c r="AF37" s="29">
        <f t="shared" si="19"/>
        <v>1.0009386602799623E-2</v>
      </c>
      <c r="AG37" s="29">
        <f t="shared" si="19"/>
        <v>0</v>
      </c>
      <c r="AH37" s="29">
        <f t="shared" si="19"/>
        <v>0</v>
      </c>
      <c r="AI37" s="29">
        <f t="shared" si="19"/>
        <v>2.7136806511881211E-4</v>
      </c>
      <c r="AJ37" s="29">
        <f t="shared" si="20"/>
        <v>1</v>
      </c>
      <c r="AM37" s="23"/>
      <c r="AO37" s="20" t="str">
        <f t="shared" si="39"/>
        <v>KALIMANTAN</v>
      </c>
      <c r="AP37" s="20">
        <f t="shared" si="40"/>
        <v>2028</v>
      </c>
      <c r="AQ37" s="25">
        <f t="shared" si="21"/>
        <v>0.3194961027763194</v>
      </c>
      <c r="AR37" s="25">
        <f t="shared" si="22"/>
        <v>0.23380000233951731</v>
      </c>
      <c r="AS37" s="25">
        <f t="shared" si="23"/>
        <v>0.20710389393414405</v>
      </c>
      <c r="AT37" s="37">
        <f t="shared" si="24"/>
        <v>0.23960000095001918</v>
      </c>
      <c r="AU37" s="24">
        <f t="shared" si="32"/>
        <v>1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0.30312129904384022</v>
      </c>
      <c r="AZ37" s="25">
        <f t="shared" si="47"/>
        <v>0.23960000000000001</v>
      </c>
      <c r="BA37" s="24">
        <f t="shared" si="34"/>
        <v>1.0705212990438402</v>
      </c>
      <c r="BJ37" s="19"/>
      <c r="BK37" s="20" t="str">
        <f t="shared" si="44"/>
        <v>KALIMANTAN</v>
      </c>
      <c r="BL37" s="20">
        <f t="shared" si="45"/>
        <v>2028</v>
      </c>
      <c r="BM37" s="34">
        <f>proj_rukn!E91</f>
        <v>3881</v>
      </c>
      <c r="BN37" s="30">
        <f t="shared" si="26"/>
        <v>4463.1499999999996</v>
      </c>
      <c r="BO37" s="30">
        <f t="shared" si="35"/>
        <v>9432.0896848173852</v>
      </c>
      <c r="BQ37" s="30">
        <f t="shared" si="27"/>
        <v>1785.26</v>
      </c>
      <c r="BR37" s="30">
        <f t="shared" si="36"/>
        <v>5304.1630270395135</v>
      </c>
      <c r="BS37" s="30"/>
      <c r="BT37" s="30">
        <f t="shared" si="28"/>
        <v>892.63</v>
      </c>
      <c r="BU37" s="30">
        <f t="shared" si="37"/>
        <v>4127.9266577778726</v>
      </c>
      <c r="BW37" s="30">
        <f t="shared" si="29"/>
        <v>1.8536463944394375</v>
      </c>
      <c r="BX37" s="30">
        <f t="shared" si="38"/>
        <v>0</v>
      </c>
      <c r="BZ37" s="24">
        <f t="shared" si="46"/>
        <v>7.5054736544484399E-2</v>
      </c>
      <c r="CA37" s="24">
        <f t="shared" si="30"/>
        <v>0.31410702124819062</v>
      </c>
      <c r="CF37" s="23"/>
    </row>
    <row r="38" spans="1:84" x14ac:dyDescent="0.25">
      <c r="A38" s="19"/>
      <c r="B38" s="20" t="str">
        <f t="shared" si="31"/>
        <v>KALIMANTAN</v>
      </c>
      <c r="C38" s="20">
        <f t="shared" si="31"/>
        <v>2029</v>
      </c>
      <c r="D38" s="30">
        <f>(D14*(VLOOKUP(D$27,tech_data!$B$2:$O$15,6, FALSE)/100)*(1-(VLOOKUP(D$27,tech_data!$B$2:$O$15,7, FALSE)/100))*8760)/1000</f>
        <v>14047.60308698753</v>
      </c>
      <c r="E38" s="30">
        <f>(E14*(VLOOKUP(E$27,tech_data!$B$2:$O$15,6, FALSE)/100)*(1-(VLOOKUP(E$27,tech_data!$B$2:$O$15,7, FALSE)/100))*8760)/1000</f>
        <v>4127.9553002557541</v>
      </c>
      <c r="F38" s="30">
        <f>(F14*(VLOOKUP(F$27,tech_data!$B$2:$O$15,6, FALSE)/100)*(1-(VLOOKUP(F$27,tech_data!$B$2:$O$15,7, FALSE)/100))*8760)/1000</f>
        <v>6720.9124319959865</v>
      </c>
      <c r="G38" s="30">
        <f>(G14*(VLOOKUP(G$27,tech_data!$B$2:$O$15,6, FALSE)/100)*(1-(VLOOKUP(G$27,tech_data!$B$2:$O$15,7, FALSE)/100))*8760)/1000</f>
        <v>9561.4256855762706</v>
      </c>
      <c r="H38" s="30">
        <f>(H14*(VLOOKUP(H$27,tech_data!$B$2:$O$15,6, FALSE)/100)*(1-(VLOOKUP(H$27,tech_data!$B$2:$O$15,7, FALSE)/100))*8760)/1000</f>
        <v>52.982623291339046</v>
      </c>
      <c r="I38" s="30">
        <f>(I14*(VLOOKUP(I$27,tech_data!$B$2:$O$15,6, FALSE)/100)*(1-(VLOOKUP(I$27,tech_data!$B$2:$O$15,7, FALSE)/100))*8760)/1000</f>
        <v>4090.8453665428488</v>
      </c>
      <c r="J38" s="30">
        <f>(J14*(VLOOKUP(J$27,tech_data!$B$2:$O$15,6, FALSE)/100)*(1-(VLOOKUP(J$27,tech_data!$B$2:$O$15,7, FALSE)/100))*8760)/1000</f>
        <v>360.56405617702706</v>
      </c>
      <c r="K38" s="30">
        <f>(K14*(VLOOKUP(K$27,tech_data!$B$2:$O$15,6, FALSE)/100)*(1-(VLOOKUP(K$27,tech_data!$B$2:$O$15,7, FALSE)/100))*8760)/1000</f>
        <v>3309.0331851305145</v>
      </c>
      <c r="L38" s="30">
        <f>(L14*(VLOOKUP(L$27,tech_data!$B$2:$O$15,6, FALSE)/100)*(1-(VLOOKUP(L$27,tech_data!$B$2:$O$15,7, FALSE)/100))*8760)/1000</f>
        <v>2795.5805387025284</v>
      </c>
      <c r="M38" s="30">
        <f>(M14*(VLOOKUP(M$27,tech_data!$B$2:$O$15,6, FALSE)/100)*(1-(VLOOKUP(M$27,tech_data!$B$2:$O$15,7, FALSE)/100))*8760)/1000</f>
        <v>440.09266128288203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12.412606465807382</v>
      </c>
      <c r="Q38" s="34">
        <f t="shared" si="17"/>
        <v>45506.99493594269</v>
      </c>
      <c r="R38" s="34">
        <f>proj_rukn!D92</f>
        <v>45507</v>
      </c>
      <c r="S38" s="35"/>
      <c r="T38" s="19"/>
      <c r="U38" s="20" t="str">
        <f t="shared" si="18"/>
        <v>KALIMANTAN</v>
      </c>
      <c r="V38" s="20">
        <f t="shared" si="18"/>
        <v>2029</v>
      </c>
      <c r="W38" s="29">
        <f t="shared" si="19"/>
        <v>0.3086910728067509</v>
      </c>
      <c r="X38" s="29">
        <f t="shared" si="19"/>
        <v>9.0710346971194539E-2</v>
      </c>
      <c r="Y38" s="29">
        <f t="shared" si="19"/>
        <v>0.14768965609477375</v>
      </c>
      <c r="Z38" s="29">
        <f t="shared" si="19"/>
        <v>0.21010892279385363</v>
      </c>
      <c r="AA38" s="29">
        <f t="shared" si="19"/>
        <v>1.1642742696132611E-3</v>
      </c>
      <c r="AB38" s="29">
        <f t="shared" si="19"/>
        <v>8.9894869399776284E-2</v>
      </c>
      <c r="AC38" s="29">
        <f t="shared" si="19"/>
        <v>7.9232666688839864E-3</v>
      </c>
      <c r="AD38" s="29">
        <f t="shared" si="19"/>
        <v>7.2714825265619731E-2</v>
      </c>
      <c r="AE38" s="29">
        <f t="shared" si="19"/>
        <v>6.1431886298747913E-2</v>
      </c>
      <c r="AF38" s="29">
        <f t="shared" si="19"/>
        <v>9.6708794307858066E-3</v>
      </c>
      <c r="AG38" s="29">
        <f t="shared" si="19"/>
        <v>0</v>
      </c>
      <c r="AH38" s="29">
        <f t="shared" si="19"/>
        <v>0</v>
      </c>
      <c r="AI38" s="29">
        <f t="shared" si="19"/>
        <v>2.7276260459034531E-4</v>
      </c>
      <c r="AJ38" s="29">
        <f t="shared" si="20"/>
        <v>1</v>
      </c>
      <c r="AM38" s="23"/>
      <c r="AO38" s="20" t="str">
        <f t="shared" si="39"/>
        <v>KALIMANTAN</v>
      </c>
      <c r="AP38" s="20">
        <f t="shared" si="40"/>
        <v>2029</v>
      </c>
      <c r="AQ38" s="25">
        <f t="shared" si="21"/>
        <v>0.3086910728067509</v>
      </c>
      <c r="AR38" s="25">
        <f t="shared" si="22"/>
        <v>0.23840000306596826</v>
      </c>
      <c r="AS38" s="25">
        <f t="shared" si="23"/>
        <v>0.21010892279385363</v>
      </c>
      <c r="AT38" s="37">
        <f t="shared" si="24"/>
        <v>0.242800001333427</v>
      </c>
      <c r="AU38" s="24">
        <f t="shared" si="32"/>
        <v>0.99999999999999978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0.29705887306296341</v>
      </c>
      <c r="AZ38" s="25">
        <f t="shared" si="47"/>
        <v>0.24280000000000002</v>
      </c>
      <c r="BA38" s="24">
        <f t="shared" si="34"/>
        <v>1.0702588730629634</v>
      </c>
      <c r="BJ38" s="19"/>
      <c r="BK38" s="20" t="str">
        <f t="shared" si="44"/>
        <v>KALIMANTAN</v>
      </c>
      <c r="BL38" s="20">
        <f t="shared" si="45"/>
        <v>2029</v>
      </c>
      <c r="BM38" s="34">
        <f>proj_rukn!E92</f>
        <v>4177.3094603356412</v>
      </c>
      <c r="BN38" s="30">
        <f t="shared" si="26"/>
        <v>4803.9058793859867</v>
      </c>
      <c r="BO38" s="30">
        <f t="shared" si="35"/>
        <v>9729.0278229736141</v>
      </c>
      <c r="BQ38" s="30">
        <f t="shared" si="27"/>
        <v>1921.5623517543947</v>
      </c>
      <c r="BR38" s="30">
        <f t="shared" si="36"/>
        <v>5509.8191131893564</v>
      </c>
      <c r="BS38" s="30"/>
      <c r="BT38" s="30">
        <f t="shared" si="28"/>
        <v>960.78117587719737</v>
      </c>
      <c r="BU38" s="30">
        <f t="shared" si="37"/>
        <v>4219.2087097842568</v>
      </c>
      <c r="BW38" s="30">
        <f t="shared" si="29"/>
        <v>1.937267802946991</v>
      </c>
      <c r="BX38" s="30">
        <f t="shared" si="38"/>
        <v>0</v>
      </c>
      <c r="BZ38" s="24">
        <f t="shared" si="46"/>
        <v>7.8807473371708625E-2</v>
      </c>
      <c r="CA38" s="24">
        <f t="shared" si="30"/>
        <v>0.29948445167330756</v>
      </c>
      <c r="CF38" s="23"/>
    </row>
    <row r="39" spans="1:84" x14ac:dyDescent="0.25">
      <c r="A39" s="19"/>
      <c r="B39" s="20" t="str">
        <f t="shared" si="31"/>
        <v>KALIMANTAN</v>
      </c>
      <c r="C39" s="20">
        <f t="shared" si="31"/>
        <v>2030</v>
      </c>
      <c r="D39" s="30">
        <f>(D15*(VLOOKUP(D$27,tech_data!$B$2:$O$15,6, FALSE)/100)*(1-(VLOOKUP(D$27,tech_data!$B$2:$O$15,7, FALSE)/100))*8760)/1000</f>
        <v>14047.60308698753</v>
      </c>
      <c r="E39" s="30">
        <f>(E15*(VLOOKUP(E$27,tech_data!$B$2:$O$15,6, FALSE)/100)*(1-(VLOOKUP(E$27,tech_data!$B$2:$O$15,7, FALSE)/100))*8760)/1000</f>
        <v>4127.9553002557541</v>
      </c>
      <c r="F39" s="30">
        <f>(F15*(VLOOKUP(F$27,tech_data!$B$2:$O$15,6, FALSE)/100)*(1-(VLOOKUP(F$27,tech_data!$B$2:$O$15,7, FALSE)/100))*8760)/1000</f>
        <v>7308.8385646748111</v>
      </c>
      <c r="G39" s="30">
        <f>(G15*(VLOOKUP(G$27,tech_data!$B$2:$O$15,6, FALSE)/100)*(1-(VLOOKUP(G$27,tech_data!$B$2:$O$15,7, FALSE)/100))*8760)/1000</f>
        <v>10002.609016219467</v>
      </c>
      <c r="H39" s="30">
        <f>(H15*(VLOOKUP(H$27,tech_data!$B$2:$O$15,6, FALSE)/100)*(1-(VLOOKUP(H$27,tech_data!$B$2:$O$15,7, FALSE)/100))*8760)/1000</f>
        <v>52.982623291339046</v>
      </c>
      <c r="I39" s="30">
        <f>(I15*(VLOOKUP(I$27,tech_data!$B$2:$O$15,6, FALSE)/100)*(1-(VLOOKUP(I$27,tech_data!$B$2:$O$15,7, FALSE)/100))*8760)/1000</f>
        <v>4090.8453665428488</v>
      </c>
      <c r="J39" s="30">
        <f>(J15*(VLOOKUP(J$27,tech_data!$B$2:$O$15,6, FALSE)/100)*(1-(VLOOKUP(J$27,tech_data!$B$2:$O$15,7, FALSE)/100))*8760)/1000</f>
        <v>360.56405617702706</v>
      </c>
      <c r="K39" s="30">
        <f>(K15*(VLOOKUP(K$27,tech_data!$B$2:$O$15,6, FALSE)/100)*(1-(VLOOKUP(K$27,tech_data!$B$2:$O$15,7, FALSE)/100))*8760)/1000</f>
        <v>3309.0331851305145</v>
      </c>
      <c r="L39" s="30">
        <f>(L15*(VLOOKUP(L$27,tech_data!$B$2:$O$15,6, FALSE)/100)*(1-(VLOOKUP(L$27,tech_data!$B$2:$O$15,7, FALSE)/100))*8760)/1000</f>
        <v>3324.4708918591955</v>
      </c>
      <c r="M39" s="30">
        <f>(M15*(VLOOKUP(M$27,tech_data!$B$2:$O$15,6, FALSE)/100)*(1-(VLOOKUP(M$27,tech_data!$B$2:$O$15,7, FALSE)/100))*8760)/1000</f>
        <v>440.09266128288203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12.901270201320875</v>
      </c>
      <c r="Q39" s="34">
        <f t="shared" si="17"/>
        <v>47064.994752421364</v>
      </c>
      <c r="R39" s="34">
        <f>proj_rukn!D93</f>
        <v>47065</v>
      </c>
      <c r="S39" s="35"/>
      <c r="T39" s="19"/>
      <c r="U39" s="20" t="str">
        <f t="shared" si="18"/>
        <v>KALIMANTAN</v>
      </c>
      <c r="V39" s="20">
        <f t="shared" si="18"/>
        <v>2030</v>
      </c>
      <c r="W39" s="29">
        <f t="shared" si="19"/>
        <v>0.29847242437575794</v>
      </c>
      <c r="X39" s="29">
        <f t="shared" si="19"/>
        <v>8.7707548295081497E-2</v>
      </c>
      <c r="Y39" s="29">
        <f t="shared" si="19"/>
        <v>0.15529245468148686</v>
      </c>
      <c r="Z39" s="29">
        <f t="shared" si="19"/>
        <v>0.21252757105013509</v>
      </c>
      <c r="AA39" s="29">
        <f t="shared" si="19"/>
        <v>1.1257331180008947E-3</v>
      </c>
      <c r="AB39" s="29">
        <f t="shared" si="19"/>
        <v>8.6919065604110918E-2</v>
      </c>
      <c r="AC39" s="29">
        <f t="shared" si="19"/>
        <v>7.660981544218212E-3</v>
      </c>
      <c r="AD39" s="29">
        <f t="shared" si="19"/>
        <v>7.0307735133876198E-2</v>
      </c>
      <c r="AE39" s="29">
        <f t="shared" si="19"/>
        <v>7.0635743387353941E-2</v>
      </c>
      <c r="AF39" s="29">
        <f t="shared" si="19"/>
        <v>9.3507428099785447E-3</v>
      </c>
      <c r="AG39" s="29">
        <f t="shared" si="19"/>
        <v>0</v>
      </c>
      <c r="AH39" s="29">
        <f t="shared" si="19"/>
        <v>0</v>
      </c>
      <c r="AI39" s="29">
        <f t="shared" si="19"/>
        <v>2.7411604461417984E-4</v>
      </c>
      <c r="AJ39" s="29">
        <f t="shared" si="20"/>
        <v>1</v>
      </c>
      <c r="AM39" s="23"/>
      <c r="AO39" s="20" t="str">
        <f t="shared" si="39"/>
        <v>KALIMANTAN</v>
      </c>
      <c r="AP39" s="20">
        <f t="shared" si="40"/>
        <v>2030</v>
      </c>
      <c r="AQ39" s="25">
        <f t="shared" si="21"/>
        <v>0.29847242437575794</v>
      </c>
      <c r="AR39" s="25">
        <f t="shared" si="22"/>
        <v>0.24300000297656835</v>
      </c>
      <c r="AS39" s="25">
        <f t="shared" si="23"/>
        <v>0.21252757105013509</v>
      </c>
      <c r="AT39" s="37">
        <f t="shared" si="24"/>
        <v>0.24600000159753871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0.29111769560170414</v>
      </c>
      <c r="AZ39" s="25">
        <f t="shared" si="47"/>
        <v>0.246</v>
      </c>
      <c r="BA39" s="24">
        <f t="shared" si="34"/>
        <v>1.0701176956017042</v>
      </c>
      <c r="BJ39" s="19"/>
      <c r="BK39" s="20" t="str">
        <f t="shared" si="44"/>
        <v>KALIMANTAN</v>
      </c>
      <c r="BL39" s="20">
        <f t="shared" si="45"/>
        <v>2030</v>
      </c>
      <c r="BM39" s="34">
        <f>proj_rukn!E93</f>
        <v>4496.2417746481951</v>
      </c>
      <c r="BN39" s="30">
        <f t="shared" si="26"/>
        <v>5170.6780408454242</v>
      </c>
      <c r="BO39" s="30">
        <f t="shared" si="35"/>
        <v>10029.891049665006</v>
      </c>
      <c r="BQ39" s="30">
        <f t="shared" si="27"/>
        <v>2068.2712163381698</v>
      </c>
      <c r="BR39" s="30">
        <f t="shared" si="36"/>
        <v>5722.2596097250835</v>
      </c>
      <c r="BS39" s="30"/>
      <c r="BT39" s="30">
        <f t="shared" si="28"/>
        <v>1034.1356081690849</v>
      </c>
      <c r="BU39" s="30">
        <f t="shared" si="37"/>
        <v>4307.6314399399234</v>
      </c>
      <c r="BW39" s="30">
        <f t="shared" si="29"/>
        <v>2.0232503348454913</v>
      </c>
      <c r="BX39" s="30">
        <f t="shared" si="38"/>
        <v>0</v>
      </c>
      <c r="BZ39" s="24">
        <f t="shared" si="46"/>
        <v>8.2747847040294059E-2</v>
      </c>
      <c r="CA39" s="24">
        <f t="shared" si="30"/>
        <v>0.28580379950119333</v>
      </c>
      <c r="CF39" s="23"/>
    </row>
    <row r="40" spans="1:84" x14ac:dyDescent="0.25">
      <c r="A40" s="19"/>
      <c r="B40" s="20" t="str">
        <f t="shared" si="31"/>
        <v>KALIMANTAN</v>
      </c>
      <c r="C40" s="20">
        <f t="shared" si="31"/>
        <v>2031</v>
      </c>
      <c r="D40" s="30">
        <f>(D16*(VLOOKUP(D$27,tech_data!$B$2:$O$15,6, FALSE)/100)*(1-(VLOOKUP(D$27,tech_data!$B$2:$O$15,7, FALSE)/100))*8760)/1000</f>
        <v>14095.293106802992</v>
      </c>
      <c r="E40" s="30">
        <f>(E16*(VLOOKUP(E$27,tech_data!$B$2:$O$15,6, FALSE)/100)*(1-(VLOOKUP(E$27,tech_data!$B$2:$O$15,7, FALSE)/100))*8760)/1000</f>
        <v>4127.9553002557541</v>
      </c>
      <c r="F40" s="30">
        <f>(F16*(VLOOKUP(F$27,tech_data!$B$2:$O$15,6, FALSE)/100)*(1-(VLOOKUP(F$27,tech_data!$B$2:$O$15,7, FALSE)/100))*8760)/1000</f>
        <v>7990.0827887241849</v>
      </c>
      <c r="G40" s="30">
        <f>(G16*(VLOOKUP(G$27,tech_data!$B$2:$O$15,6, FALSE)/100)*(1-(VLOOKUP(G$27,tech_data!$B$2:$O$15,7, FALSE)/100))*8760)/1000</f>
        <v>10532.31837573389</v>
      </c>
      <c r="H40" s="30">
        <f>(H16*(VLOOKUP(H$27,tech_data!$B$2:$O$15,6, FALSE)/100)*(1-(VLOOKUP(H$27,tech_data!$B$2:$O$15,7, FALSE)/100))*8760)/1000</f>
        <v>52.982623291339046</v>
      </c>
      <c r="I40" s="30">
        <f>(I16*(VLOOKUP(I$27,tech_data!$B$2:$O$15,6, FALSE)/100)*(1-(VLOOKUP(I$27,tech_data!$B$2:$O$15,7, FALSE)/100))*8760)/1000</f>
        <v>4090.8453665428488</v>
      </c>
      <c r="J40" s="30">
        <f>(J16*(VLOOKUP(J$27,tech_data!$B$2:$O$15,6, FALSE)/100)*(1-(VLOOKUP(J$27,tech_data!$B$2:$O$15,7, FALSE)/100))*8760)/1000</f>
        <v>360.56405617702706</v>
      </c>
      <c r="K40" s="30">
        <f>(K16*(VLOOKUP(K$27,tech_data!$B$2:$O$15,6, FALSE)/100)*(1-(VLOOKUP(K$27,tech_data!$B$2:$O$15,7, FALSE)/100))*8760)/1000</f>
        <v>3309.0331851305145</v>
      </c>
      <c r="L40" s="30">
        <f>(L16*(VLOOKUP(L$27,tech_data!$B$2:$O$15,6, FALSE)/100)*(1-(VLOOKUP(L$27,tech_data!$B$2:$O$15,7, FALSE)/100))*8760)/1000</f>
        <v>3942.8272890666244</v>
      </c>
      <c r="M40" s="30">
        <f>(M16*(VLOOKUP(M$27,tech_data!$B$2:$O$15,6, FALSE)/100)*(1-(VLOOKUP(M$27,tech_data!$B$2:$O$15,7, FALSE)/100))*8760)/1000</f>
        <v>440.09266128288203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13.48623929465132</v>
      </c>
      <c r="Q40" s="34">
        <f t="shared" si="17"/>
        <v>48941.994753008061</v>
      </c>
      <c r="R40" s="34">
        <f>proj_rukn!D94</f>
        <v>48942</v>
      </c>
      <c r="S40" s="35"/>
      <c r="T40" s="19"/>
      <c r="U40" s="20" t="str">
        <f t="shared" si="18"/>
        <v>KALIMANTAN</v>
      </c>
      <c r="V40" s="20">
        <f t="shared" si="18"/>
        <v>2031</v>
      </c>
      <c r="W40" s="29">
        <f t="shared" si="19"/>
        <v>0.2879999717611974</v>
      </c>
      <c r="X40" s="29">
        <f t="shared" si="19"/>
        <v>8.4343830305405418E-2</v>
      </c>
      <c r="Y40" s="29">
        <f t="shared" si="19"/>
        <v>0.16325617353863781</v>
      </c>
      <c r="Z40" s="29">
        <f t="shared" si="19"/>
        <v>0.21520002257542956</v>
      </c>
      <c r="AA40" s="29">
        <f t="shared" si="19"/>
        <v>1.0825595392816032E-3</v>
      </c>
      <c r="AB40" s="29">
        <f t="shared" si="19"/>
        <v>8.358558712589903E-2</v>
      </c>
      <c r="AC40" s="29">
        <f t="shared" si="19"/>
        <v>7.3671712400906206E-3</v>
      </c>
      <c r="AD40" s="29">
        <f t="shared" si="19"/>
        <v>6.7611326465747204E-2</v>
      </c>
      <c r="AE40" s="29">
        <f t="shared" si="19"/>
        <v>8.0561229859236402E-2</v>
      </c>
      <c r="AF40" s="29">
        <f t="shared" si="19"/>
        <v>8.9921275890748852E-3</v>
      </c>
      <c r="AG40" s="29">
        <f t="shared" si="19"/>
        <v>0</v>
      </c>
      <c r="AH40" s="29">
        <f t="shared" si="19"/>
        <v>0</v>
      </c>
      <c r="AI40" s="29">
        <f t="shared" si="19"/>
        <v>2.7555557068548848E-4</v>
      </c>
      <c r="AJ40" s="29">
        <f t="shared" si="20"/>
        <v>1</v>
      </c>
      <c r="AM40" s="23"/>
      <c r="AO40" s="20" t="str">
        <f t="shared" si="39"/>
        <v>KALIMANTAN</v>
      </c>
      <c r="AP40" s="20">
        <f t="shared" si="40"/>
        <v>2031</v>
      </c>
      <c r="AQ40" s="25">
        <f t="shared" si="21"/>
        <v>0.2879999717611974</v>
      </c>
      <c r="AR40" s="25">
        <f t="shared" si="22"/>
        <v>0.24760000384404321</v>
      </c>
      <c r="AS40" s="25">
        <f t="shared" si="23"/>
        <v>0.21520002257542956</v>
      </c>
      <c r="AT40" s="37">
        <f t="shared" si="24"/>
        <v>0.24920000181932978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0.28529534168967008</v>
      </c>
      <c r="AZ40" s="25">
        <f t="shared" si="47"/>
        <v>0.2492</v>
      </c>
      <c r="BA40" s="24">
        <f t="shared" si="34"/>
        <v>1.0700953416896701</v>
      </c>
      <c r="BJ40" s="19"/>
      <c r="BK40" s="20" t="str">
        <f t="shared" si="44"/>
        <v>KALIMANTAN</v>
      </c>
      <c r="BL40" s="20">
        <f t="shared" si="45"/>
        <v>2031</v>
      </c>
      <c r="BM40" s="34">
        <f>proj_rukn!E94</f>
        <v>4839.5241693363096</v>
      </c>
      <c r="BN40" s="30">
        <f t="shared" si="26"/>
        <v>5565.452794736756</v>
      </c>
      <c r="BO40" s="30">
        <f t="shared" si="35"/>
        <v>10392.050492619559</v>
      </c>
      <c r="BQ40" s="30">
        <f t="shared" si="27"/>
        <v>2226.1811178947023</v>
      </c>
      <c r="BR40" s="30">
        <f t="shared" si="36"/>
        <v>5978.2542733185228</v>
      </c>
      <c r="BS40" s="30"/>
      <c r="BT40" s="30">
        <f t="shared" si="28"/>
        <v>1113.0905589473512</v>
      </c>
      <c r="BU40" s="30">
        <f t="shared" si="37"/>
        <v>4413.7962193010353</v>
      </c>
      <c r="BW40" s="30">
        <f t="shared" si="29"/>
        <v>2.1237775014504376</v>
      </c>
      <c r="BX40" s="30">
        <f t="shared" si="38"/>
        <v>0</v>
      </c>
      <c r="BZ40" s="24">
        <f t="shared" si="46"/>
        <v>8.6885239392308772E-2</v>
      </c>
      <c r="CA40" s="24">
        <f t="shared" si="30"/>
        <v>0.27131350711131003</v>
      </c>
      <c r="CF40" s="23"/>
    </row>
    <row r="41" spans="1:84" x14ac:dyDescent="0.25">
      <c r="A41" s="19"/>
      <c r="B41" s="20" t="str">
        <f t="shared" si="31"/>
        <v>KALIMANTAN</v>
      </c>
      <c r="C41" s="20">
        <f t="shared" si="31"/>
        <v>2032</v>
      </c>
      <c r="D41" s="30">
        <f>(D17*(VLOOKUP(D$27,tech_data!$B$2:$O$15,6, FALSE)/100)*(1-(VLOOKUP(D$27,tech_data!$B$2:$O$15,7, FALSE)/100))*8760)/1000</f>
        <v>14574.557090495462</v>
      </c>
      <c r="E41" s="30">
        <f>(E17*(VLOOKUP(E$27,tech_data!$B$2:$O$15,6, FALSE)/100)*(1-(VLOOKUP(E$27,tech_data!$B$2:$O$15,7, FALSE)/100))*8760)/1000</f>
        <v>4127.9553002557541</v>
      </c>
      <c r="F41" s="30">
        <f>(F17*(VLOOKUP(F$27,tech_data!$B$2:$O$15,6, FALSE)/100)*(1-(VLOOKUP(F$27,tech_data!$B$2:$O$15,7, FALSE)/100))*8760)/1000</f>
        <v>8724.1555211768609</v>
      </c>
      <c r="G41" s="30">
        <f>(G17*(VLOOKUP(G$27,tech_data!$B$2:$O$15,6, FALSE)/100)*(1-(VLOOKUP(G$27,tech_data!$B$2:$O$15,7, FALSE)/100))*8760)/1000</f>
        <v>10671.024000986637</v>
      </c>
      <c r="H41" s="30">
        <f>(H17*(VLOOKUP(H$27,tech_data!$B$2:$O$15,6, FALSE)/100)*(1-(VLOOKUP(H$27,tech_data!$B$2:$O$15,7, FALSE)/100))*8760)/1000</f>
        <v>52.982623291339046</v>
      </c>
      <c r="I41" s="30">
        <f>(I17*(VLOOKUP(I$27,tech_data!$B$2:$O$15,6, FALSE)/100)*(1-(VLOOKUP(I$27,tech_data!$B$2:$O$15,7, FALSE)/100))*8760)/1000</f>
        <v>4090.8453665428488</v>
      </c>
      <c r="J41" s="30">
        <f>(J17*(VLOOKUP(J$27,tech_data!$B$2:$O$15,6, FALSE)/100)*(1-(VLOOKUP(J$27,tech_data!$B$2:$O$15,7, FALSE)/100))*8760)/1000</f>
        <v>360.56405617702706</v>
      </c>
      <c r="K41" s="30">
        <f>(K17*(VLOOKUP(K$27,tech_data!$B$2:$O$15,6, FALSE)/100)*(1-(VLOOKUP(K$27,tech_data!$B$2:$O$15,7, FALSE)/100))*8760)/1000</f>
        <v>3309.0331851305145</v>
      </c>
      <c r="L41" s="30">
        <f>(L17*(VLOOKUP(L$27,tech_data!$B$2:$O$15,6, FALSE)/100)*(1-(VLOOKUP(L$27,tech_data!$B$2:$O$15,7, FALSE)/100))*8760)/1000</f>
        <v>4608.7848569842427</v>
      </c>
      <c r="M41" s="30">
        <f>(M17*(VLOOKUP(M$27,tech_data!$B$2:$O$15,6, FALSE)/100)*(1-(VLOOKUP(M$27,tech_data!$B$2:$O$15,7, FALSE)/100))*8760)/1000</f>
        <v>440.09266128288203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14.115380231645329</v>
      </c>
      <c r="Q41" s="34">
        <f t="shared" si="17"/>
        <v>50959.994662323566</v>
      </c>
      <c r="R41" s="34">
        <f>proj_rukn!D95</f>
        <v>50960</v>
      </c>
      <c r="S41" s="35"/>
      <c r="T41" s="19"/>
      <c r="U41" s="20" t="str">
        <f t="shared" si="18"/>
        <v>KALIMANTAN</v>
      </c>
      <c r="V41" s="20">
        <f t="shared" si="18"/>
        <v>2032</v>
      </c>
      <c r="W41" s="29">
        <f t="shared" si="19"/>
        <v>0.28599997286245638</v>
      </c>
      <c r="X41" s="29">
        <f t="shared" si="19"/>
        <v>8.100384090714377E-2</v>
      </c>
      <c r="Y41" s="29">
        <f t="shared" si="19"/>
        <v>0.17119616238160484</v>
      </c>
      <c r="Z41" s="29">
        <f t="shared" si="19"/>
        <v>0.2094000219524372</v>
      </c>
      <c r="AA41" s="29">
        <f t="shared" si="19"/>
        <v>1.039690518855389E-3</v>
      </c>
      <c r="AB41" s="29">
        <f t="shared" si="19"/>
        <v>8.0275623921274616E-2</v>
      </c>
      <c r="AC41" s="29">
        <f t="shared" si="19"/>
        <v>7.0754335546193486E-3</v>
      </c>
      <c r="AD41" s="29">
        <f t="shared" si="19"/>
        <v>6.4933939005629326E-2</v>
      </c>
      <c r="AE41" s="29">
        <f t="shared" si="19"/>
        <v>9.0439272757453254E-2</v>
      </c>
      <c r="AF41" s="29">
        <f t="shared" si="19"/>
        <v>8.6360421385259147E-3</v>
      </c>
      <c r="AG41" s="29">
        <f t="shared" si="19"/>
        <v>0</v>
      </c>
      <c r="AH41" s="29">
        <f t="shared" si="19"/>
        <v>0</v>
      </c>
      <c r="AI41" s="29">
        <f t="shared" si="19"/>
        <v>2.7698943701187829E-4</v>
      </c>
      <c r="AJ41" s="29">
        <f t="shared" si="20"/>
        <v>1</v>
      </c>
      <c r="AM41" s="23"/>
      <c r="AO41" s="20" t="str">
        <f t="shared" si="39"/>
        <v>KALIMANTAN</v>
      </c>
      <c r="AP41" s="20">
        <f t="shared" si="40"/>
        <v>2032</v>
      </c>
      <c r="AQ41" s="25">
        <f t="shared" si="21"/>
        <v>0.28599997286245638</v>
      </c>
      <c r="AR41" s="25">
        <f t="shared" si="22"/>
        <v>0.25220000328874864</v>
      </c>
      <c r="AS41" s="25">
        <f t="shared" si="23"/>
        <v>0.2094000219524372</v>
      </c>
      <c r="AT41" s="37">
        <f t="shared" si="24"/>
        <v>0.25240000189635786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0.27958943485587667</v>
      </c>
      <c r="AZ41" s="25">
        <f t="shared" si="47"/>
        <v>0.25240000000000001</v>
      </c>
      <c r="BA41" s="24">
        <f t="shared" si="34"/>
        <v>1.0701894348558767</v>
      </c>
      <c r="BJ41" s="19"/>
      <c r="BK41" s="20" t="str">
        <f t="shared" si="44"/>
        <v>KALIMANTAN</v>
      </c>
      <c r="BL41" s="20">
        <f t="shared" si="45"/>
        <v>2032</v>
      </c>
      <c r="BM41" s="34">
        <f>proj_rukn!E95</f>
        <v>5209.0157423580395</v>
      </c>
      <c r="BN41" s="30">
        <f t="shared" si="26"/>
        <v>5990.3681037117449</v>
      </c>
      <c r="BO41" s="30">
        <f t="shared" si="35"/>
        <v>10784.067433873019</v>
      </c>
      <c r="BQ41" s="30">
        <f t="shared" si="27"/>
        <v>2396.147241484698</v>
      </c>
      <c r="BR41" s="30">
        <f t="shared" si="36"/>
        <v>6342.3379058940545</v>
      </c>
      <c r="BS41" s="30"/>
      <c r="BT41" s="30">
        <f t="shared" si="28"/>
        <v>1198.073620742349</v>
      </c>
      <c r="BU41" s="30">
        <f t="shared" si="37"/>
        <v>4441.7295279789651</v>
      </c>
      <c r="BW41" s="30">
        <f t="shared" si="29"/>
        <v>2.2320432648260886</v>
      </c>
      <c r="BX41" s="30">
        <f t="shared" si="38"/>
        <v>0</v>
      </c>
      <c r="BZ41" s="24">
        <f t="shared" si="46"/>
        <v>9.1229501361924217E-2</v>
      </c>
      <c r="CA41" s="24">
        <f t="shared" si="30"/>
        <v>0.25726600046656467</v>
      </c>
      <c r="CF41" s="23"/>
    </row>
    <row r="42" spans="1:84" x14ac:dyDescent="0.25">
      <c r="A42" s="19"/>
      <c r="B42" s="20" t="str">
        <f t="shared" si="31"/>
        <v>KALIMANTAN</v>
      </c>
      <c r="C42" s="20">
        <f t="shared" si="31"/>
        <v>2033</v>
      </c>
      <c r="D42" s="30">
        <f>(D18*(VLOOKUP(D$27,tech_data!$B$2:$O$15,6, FALSE)/100)*(1-(VLOOKUP(D$27,tech_data!$B$2:$O$15,7, FALSE)/100))*8760)/1000</f>
        <v>15014.509064983831</v>
      </c>
      <c r="E42" s="30">
        <f>(E18*(VLOOKUP(E$27,tech_data!$B$2:$O$15,6, FALSE)/100)*(1-(VLOOKUP(E$27,tech_data!$B$2:$O$15,7, FALSE)/100))*8760)/1000</f>
        <v>4127.9553002557541</v>
      </c>
      <c r="F42" s="30">
        <f>(F18*(VLOOKUP(F$27,tech_data!$B$2:$O$15,6, FALSE)/100)*(1-(VLOOKUP(F$27,tech_data!$B$2:$O$15,7, FALSE)/100))*8760)/1000</f>
        <v>9448.5459907580971</v>
      </c>
      <c r="G42" s="30">
        <f>(G18*(VLOOKUP(G$27,tech_data!$B$2:$O$15,6, FALSE)/100)*(1-(VLOOKUP(G$27,tech_data!$B$2:$O$15,7, FALSE)/100))*8760)/1000</f>
        <v>10763.924722831202</v>
      </c>
      <c r="H42" s="30">
        <f>(H18*(VLOOKUP(H$27,tech_data!$B$2:$O$15,6, FALSE)/100)*(1-(VLOOKUP(H$27,tech_data!$B$2:$O$15,7, FALSE)/100))*8760)/1000</f>
        <v>52.982623291339046</v>
      </c>
      <c r="I42" s="30">
        <f>(I18*(VLOOKUP(I$27,tech_data!$B$2:$O$15,6, FALSE)/100)*(1-(VLOOKUP(I$27,tech_data!$B$2:$O$15,7, FALSE)/100))*8760)/1000</f>
        <v>4090.8453665428488</v>
      </c>
      <c r="J42" s="30">
        <f>(J18*(VLOOKUP(J$27,tech_data!$B$2:$O$15,6, FALSE)/100)*(1-(VLOOKUP(J$27,tech_data!$B$2:$O$15,7, FALSE)/100))*8760)/1000</f>
        <v>360.56405617702706</v>
      </c>
      <c r="K42" s="30">
        <f>(K18*(VLOOKUP(K$27,tech_data!$B$2:$O$15,6, FALSE)/100)*(1-(VLOOKUP(K$27,tech_data!$B$2:$O$15,7, FALSE)/100))*8760)/1000</f>
        <v>3309.0331851305145</v>
      </c>
      <c r="L42" s="30">
        <f>(L18*(VLOOKUP(L$27,tech_data!$B$2:$O$15,6, FALSE)/100)*(1-(VLOOKUP(L$27,tech_data!$B$2:$O$15,7, FALSE)/100))*8760)/1000</f>
        <v>5259.541737046562</v>
      </c>
      <c r="M42" s="30">
        <f>(M18*(VLOOKUP(M$27,tech_data!$B$2:$O$15,6, FALSE)/100)*(1-(VLOOKUP(M$27,tech_data!$B$2:$O$15,7, FALSE)/100))*8760)/1000</f>
        <v>440.09266128288203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14.71442879261312</v>
      </c>
      <c r="Q42" s="34">
        <f t="shared" si="17"/>
        <v>52867.994708300066</v>
      </c>
      <c r="R42" s="34">
        <f>proj_rukn!D96</f>
        <v>52868</v>
      </c>
      <c r="S42" s="35"/>
      <c r="T42" s="19"/>
      <c r="U42" s="20" t="str">
        <f t="shared" si="18"/>
        <v>KALIMANTAN</v>
      </c>
      <c r="V42" s="20">
        <f t="shared" si="18"/>
        <v>2033</v>
      </c>
      <c r="W42" s="29">
        <f t="shared" si="19"/>
        <v>0.28399997291038942</v>
      </c>
      <c r="X42" s="29">
        <f t="shared" si="19"/>
        <v>7.8080421302752404E-2</v>
      </c>
      <c r="Y42" s="29">
        <f t="shared" si="19"/>
        <v>0.17871958342453856</v>
      </c>
      <c r="Z42" s="29">
        <f t="shared" si="19"/>
        <v>0.20360001891922161</v>
      </c>
      <c r="AA42" s="29">
        <f t="shared" si="19"/>
        <v>1.0021682037246059E-3</v>
      </c>
      <c r="AB42" s="29">
        <f t="shared" si="19"/>
        <v>7.7378485586868731E-2</v>
      </c>
      <c r="AC42" s="29">
        <f t="shared" si="19"/>
        <v>6.8200819449734098E-3</v>
      </c>
      <c r="AD42" s="29">
        <f t="shared" si="19"/>
        <v>6.2590480372636662E-2</v>
      </c>
      <c r="AE42" s="29">
        <f t="shared" si="19"/>
        <v>9.9484418996146171E-2</v>
      </c>
      <c r="AF42" s="29">
        <f t="shared" si="19"/>
        <v>8.3243683387482295E-3</v>
      </c>
      <c r="AG42" s="29">
        <f t="shared" si="19"/>
        <v>0</v>
      </c>
      <c r="AH42" s="29">
        <f t="shared" si="19"/>
        <v>0</v>
      </c>
      <c r="AI42" s="29">
        <f t="shared" si="19"/>
        <v>2.7832394388703784E-4</v>
      </c>
      <c r="AJ42" s="29">
        <f t="shared" si="20"/>
        <v>0.99999999999999989</v>
      </c>
      <c r="AM42" s="23"/>
      <c r="AO42" s="20" t="str">
        <f t="shared" si="39"/>
        <v>KALIMANTAN</v>
      </c>
      <c r="AP42" s="20">
        <f t="shared" si="40"/>
        <v>2033</v>
      </c>
      <c r="AQ42" s="25">
        <f t="shared" si="21"/>
        <v>0.28399997291038942</v>
      </c>
      <c r="AR42" s="25">
        <f t="shared" si="22"/>
        <v>0.25680000472729098</v>
      </c>
      <c r="AS42" s="25">
        <f t="shared" si="23"/>
        <v>0.20360001891922161</v>
      </c>
      <c r="AT42" s="37">
        <f t="shared" si="24"/>
        <v>0.2556000034430978</v>
      </c>
      <c r="AU42" s="24">
        <f t="shared" si="32"/>
        <v>0.99999999999999978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0.27399764615875916</v>
      </c>
      <c r="AZ42" s="25">
        <f t="shared" si="47"/>
        <v>0.25559999999999999</v>
      </c>
      <c r="BA42" s="24">
        <f t="shared" si="34"/>
        <v>1.0703976461587592</v>
      </c>
      <c r="BJ42" s="19"/>
      <c r="BK42" s="20" t="str">
        <f t="shared" si="44"/>
        <v>KALIMANTAN</v>
      </c>
      <c r="BL42" s="20">
        <f t="shared" si="45"/>
        <v>2033</v>
      </c>
      <c r="BM42" s="34">
        <f>proj_rukn!E96</f>
        <v>5606.7175314582637</v>
      </c>
      <c r="BN42" s="30">
        <f t="shared" si="26"/>
        <v>6447.7251611770025</v>
      </c>
      <c r="BO42" s="30">
        <f t="shared" si="35"/>
        <v>11155.304308044848</v>
      </c>
      <c r="BQ42" s="30">
        <f t="shared" si="27"/>
        <v>2579.0900644708013</v>
      </c>
      <c r="BR42" s="30">
        <f t="shared" si="36"/>
        <v>6694.815966369134</v>
      </c>
      <c r="BS42" s="30"/>
      <c r="BT42" s="30">
        <f t="shared" si="28"/>
        <v>1289.5450322354006</v>
      </c>
      <c r="BU42" s="30">
        <f t="shared" si="37"/>
        <v>4460.4883416757139</v>
      </c>
      <c r="BW42" s="30">
        <f t="shared" si="29"/>
        <v>2.3378378286031904</v>
      </c>
      <c r="BX42" s="30">
        <f t="shared" si="38"/>
        <v>0</v>
      </c>
      <c r="BZ42" s="24">
        <f t="shared" si="46"/>
        <v>9.5790976430020436E-2</v>
      </c>
      <c r="CA42" s="24">
        <f t="shared" si="30"/>
        <v>0.24487668047536112</v>
      </c>
      <c r="CF42" s="23"/>
    </row>
    <row r="43" spans="1:84" x14ac:dyDescent="0.25">
      <c r="A43" s="19"/>
      <c r="B43" s="20" t="str">
        <f t="shared" si="31"/>
        <v>KALIMANTAN</v>
      </c>
      <c r="C43" s="20">
        <f t="shared" si="31"/>
        <v>2034</v>
      </c>
      <c r="D43" s="30">
        <f>(D19*(VLOOKUP(D$27,tech_data!$B$2:$O$15,6, FALSE)/100)*(1-(VLOOKUP(D$27,tech_data!$B$2:$O$15,7, FALSE)/100))*8760)/1000</f>
        <v>15561.603145894518</v>
      </c>
      <c r="E43" s="30">
        <f>(E19*(VLOOKUP(E$27,tech_data!$B$2:$O$15,6, FALSE)/100)*(1-(VLOOKUP(E$27,tech_data!$B$2:$O$15,7, FALSE)/100))*8760)/1000</f>
        <v>4127.9553002557541</v>
      </c>
      <c r="F43" s="30">
        <f>(F19*(VLOOKUP(F$27,tech_data!$B$2:$O$15,6, FALSE)/100)*(1-(VLOOKUP(F$27,tech_data!$B$2:$O$15,7, FALSE)/100))*8760)/1000</f>
        <v>10296.879792616868</v>
      </c>
      <c r="G43" s="30">
        <f>(G19*(VLOOKUP(G$27,tech_data!$B$2:$O$15,6, FALSE)/100)*(1-(VLOOKUP(G$27,tech_data!$B$2:$O$15,7, FALSE)/100))*8760)/1000</f>
        <v>10915.197430349002</v>
      </c>
      <c r="H43" s="30">
        <f>(H19*(VLOOKUP(H$27,tech_data!$B$2:$O$15,6, FALSE)/100)*(1-(VLOOKUP(H$27,tech_data!$B$2:$O$15,7, FALSE)/100))*8760)/1000</f>
        <v>52.982623291339046</v>
      </c>
      <c r="I43" s="30">
        <f>(I19*(VLOOKUP(I$27,tech_data!$B$2:$O$15,6, FALSE)/100)*(1-(VLOOKUP(I$27,tech_data!$B$2:$O$15,7, FALSE)/100))*8760)/1000</f>
        <v>4090.8453665428488</v>
      </c>
      <c r="J43" s="30">
        <f>(J19*(VLOOKUP(J$27,tech_data!$B$2:$O$15,6, FALSE)/100)*(1-(VLOOKUP(J$27,tech_data!$B$2:$O$15,7, FALSE)/100))*8760)/1000</f>
        <v>360.56405617702706</v>
      </c>
      <c r="K43" s="30">
        <f>(K19*(VLOOKUP(K$27,tech_data!$B$2:$O$15,6, FALSE)/100)*(1-(VLOOKUP(K$27,tech_data!$B$2:$O$15,7, FALSE)/100))*8760)/1000</f>
        <v>3309.0331851305145</v>
      </c>
      <c r="L43" s="30">
        <f>(L19*(VLOOKUP(L$27,tech_data!$B$2:$O$15,6, FALSE)/100)*(1-(VLOOKUP(L$27,tech_data!$B$2:$O$15,7, FALSE)/100))*8760)/1000</f>
        <v>6027.8413104616675</v>
      </c>
      <c r="M43" s="30">
        <f>(M19*(VLOOKUP(M$27,tech_data!$B$2:$O$15,6, FALSE)/100)*(1-(VLOOKUP(M$27,tech_data!$B$2:$O$15,7, FALSE)/100))*8760)/1000</f>
        <v>440.09266128288203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15.437025995161097</v>
      </c>
      <c r="Q43" s="34">
        <f t="shared" si="17"/>
        <v>55182.994872002433</v>
      </c>
      <c r="R43" s="34">
        <f>proj_rukn!D97</f>
        <v>55183</v>
      </c>
      <c r="S43" s="35"/>
      <c r="T43" s="19"/>
      <c r="U43" s="20" t="str">
        <f t="shared" si="18"/>
        <v>KALIMANTAN</v>
      </c>
      <c r="V43" s="20">
        <f t="shared" si="18"/>
        <v>2034</v>
      </c>
      <c r="W43" s="29">
        <f t="shared" si="19"/>
        <v>0.28199997448470909</v>
      </c>
      <c r="X43" s="29">
        <f t="shared" si="19"/>
        <v>7.4804843590504502E-2</v>
      </c>
      <c r="Y43" s="29">
        <f t="shared" si="19"/>
        <v>0.18659516063781234</v>
      </c>
      <c r="Z43" s="29">
        <f t="shared" si="19"/>
        <v>0.19780001893095733</v>
      </c>
      <c r="AA43" s="29">
        <f t="shared" si="19"/>
        <v>9.6012591223497065E-4</v>
      </c>
      <c r="AB43" s="29">
        <f t="shared" si="19"/>
        <v>7.4132355013199439E-2</v>
      </c>
      <c r="AC43" s="29">
        <f t="shared" si="19"/>
        <v>6.5339704199338829E-3</v>
      </c>
      <c r="AD43" s="29">
        <f t="shared" si="19"/>
        <v>5.9964726322046379E-2</v>
      </c>
      <c r="AE43" s="29">
        <f t="shared" si="19"/>
        <v>0.10923367469350498</v>
      </c>
      <c r="AF43" s="29">
        <f t="shared" si="19"/>
        <v>7.9751499950968929E-3</v>
      </c>
      <c r="AG43" s="29">
        <f t="shared" si="19"/>
        <v>0</v>
      </c>
      <c r="AH43" s="29">
        <f t="shared" si="19"/>
        <v>0</v>
      </c>
      <c r="AI43" s="29">
        <f t="shared" si="19"/>
        <v>2.7974244658100653E-4</v>
      </c>
      <c r="AJ43" s="29">
        <f t="shared" si="20"/>
        <v>0.99999999999999978</v>
      </c>
      <c r="AM43" s="23"/>
      <c r="AO43" s="20" t="str">
        <f t="shared" si="39"/>
        <v>KALIMANTAN</v>
      </c>
      <c r="AP43" s="20">
        <f t="shared" si="40"/>
        <v>2034</v>
      </c>
      <c r="AQ43" s="25">
        <f t="shared" si="21"/>
        <v>0.28199997448470909</v>
      </c>
      <c r="AR43" s="25">
        <f t="shared" si="22"/>
        <v>0.26140000422831683</v>
      </c>
      <c r="AS43" s="25">
        <f t="shared" si="23"/>
        <v>0.19780001893095733</v>
      </c>
      <c r="AT43" s="37">
        <f t="shared" si="24"/>
        <v>0.25880000235601652</v>
      </c>
      <c r="AU43" s="24">
        <f t="shared" si="32"/>
        <v>0.99999999999999978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0.26851769323558394</v>
      </c>
      <c r="AZ43" s="25">
        <f t="shared" si="47"/>
        <v>0.25880000000000003</v>
      </c>
      <c r="BA43" s="24">
        <f t="shared" si="34"/>
        <v>1.070717693235584</v>
      </c>
      <c r="BJ43" s="19"/>
      <c r="BK43" s="20" t="str">
        <f t="shared" si="44"/>
        <v>KALIMANTAN</v>
      </c>
      <c r="BL43" s="20">
        <f t="shared" si="45"/>
        <v>2034</v>
      </c>
      <c r="BM43" s="34">
        <f>proj_rukn!E97</f>
        <v>6034.7833510925793</v>
      </c>
      <c r="BN43" s="30">
        <f t="shared" si="26"/>
        <v>6940.0008537564654</v>
      </c>
      <c r="BO43" s="30">
        <f t="shared" si="35"/>
        <v>11605.137327730105</v>
      </c>
      <c r="BQ43" s="30">
        <f t="shared" si="27"/>
        <v>2776.0003415025863</v>
      </c>
      <c r="BR43" s="30">
        <f t="shared" si="36"/>
        <v>7114.1745996374057</v>
      </c>
      <c r="BS43" s="30"/>
      <c r="BT43" s="30">
        <f t="shared" si="28"/>
        <v>1388.0001707512931</v>
      </c>
      <c r="BU43" s="30">
        <f t="shared" si="37"/>
        <v>4490.9627280927007</v>
      </c>
      <c r="BW43" s="30">
        <f t="shared" si="29"/>
        <v>2.4627414918757178</v>
      </c>
      <c r="BX43" s="30">
        <f t="shared" si="38"/>
        <v>0</v>
      </c>
      <c r="BZ43" s="24">
        <f t="shared" si="46"/>
        <v>0.10058052525152146</v>
      </c>
      <c r="CA43" s="24">
        <f t="shared" si="30"/>
        <v>0.2317029589495764</v>
      </c>
      <c r="CF43" s="23"/>
    </row>
    <row r="44" spans="1:84" x14ac:dyDescent="0.25">
      <c r="A44" s="19"/>
      <c r="B44" s="20" t="str">
        <f t="shared" si="31"/>
        <v>KALIMANTAN</v>
      </c>
      <c r="C44" s="20">
        <f t="shared" si="31"/>
        <v>2035</v>
      </c>
      <c r="D44" s="30">
        <f>(D20*(VLOOKUP(D$27,tech_data!$B$2:$O$15,6, FALSE)/100)*(1-(VLOOKUP(D$27,tech_data!$B$2:$O$15,7, FALSE)/100))*8760)/1000</f>
        <v>16083.75708511694</v>
      </c>
      <c r="E44" s="30">
        <f>(E20*(VLOOKUP(E$27,tech_data!$B$2:$O$15,6, FALSE)/100)*(1-(VLOOKUP(E$27,tech_data!$B$2:$O$15,7, FALSE)/100))*8760)/1000</f>
        <v>4127.9553002557541</v>
      </c>
      <c r="F44" s="30">
        <f>(F20*(VLOOKUP(F$27,tech_data!$B$2:$O$15,6, FALSE)/100)*(1-(VLOOKUP(F$27,tech_data!$B$2:$O$15,7, FALSE)/100))*8760)/1000</f>
        <v>11151.61550779658</v>
      </c>
      <c r="G44" s="30">
        <f>(G20*(VLOOKUP(G$27,tech_data!$B$2:$O$15,6, FALSE)/100)*(1-(VLOOKUP(G$27,tech_data!$B$2:$O$15,7, FALSE)/100))*8760)/1000</f>
        <v>11028.863676592911</v>
      </c>
      <c r="H44" s="30">
        <f>(H20*(VLOOKUP(H$27,tech_data!$B$2:$O$15,6, FALSE)/100)*(1-(VLOOKUP(H$27,tech_data!$B$2:$O$15,7, FALSE)/100))*8760)/1000</f>
        <v>52.982623291339046</v>
      </c>
      <c r="I44" s="30">
        <f>(I20*(VLOOKUP(I$27,tech_data!$B$2:$O$15,6, FALSE)/100)*(1-(VLOOKUP(I$27,tech_data!$B$2:$O$15,7, FALSE)/100))*8760)/1000</f>
        <v>4090.8453665428488</v>
      </c>
      <c r="J44" s="30">
        <f>(J20*(VLOOKUP(J$27,tech_data!$B$2:$O$15,6, FALSE)/100)*(1-(VLOOKUP(J$27,tech_data!$B$2:$O$15,7, FALSE)/100))*8760)/1000</f>
        <v>360.56405617702706</v>
      </c>
      <c r="K44" s="30">
        <f>(K20*(VLOOKUP(K$27,tech_data!$B$2:$O$15,6, FALSE)/100)*(1-(VLOOKUP(K$27,tech_data!$B$2:$O$15,7, FALSE)/100))*8760)/1000</f>
        <v>3309.0331851305145</v>
      </c>
      <c r="L44" s="30">
        <f>(L20*(VLOOKUP(L$27,tech_data!$B$2:$O$15,6, FALSE)/100)*(1-(VLOOKUP(L$27,tech_data!$B$2:$O$15,7, FALSE)/100))*8760)/1000</f>
        <v>6796.2850306432701</v>
      </c>
      <c r="M44" s="30">
        <f>(M20*(VLOOKUP(M$27,tech_data!$B$2:$O$15,6, FALSE)/100)*(1-(VLOOKUP(M$27,tech_data!$B$2:$O$15,7, FALSE)/100))*8760)/1000</f>
        <v>440.09266128288203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16.145872969561967</v>
      </c>
      <c r="Q44" s="34">
        <f t="shared" si="17"/>
        <v>57441.994492830076</v>
      </c>
      <c r="R44" s="34">
        <f>proj_rukn!D98</f>
        <v>57442</v>
      </c>
      <c r="S44" s="35"/>
      <c r="T44" s="19"/>
      <c r="U44" s="20" t="str">
        <f t="shared" si="18"/>
        <v>KALIMANTAN</v>
      </c>
      <c r="V44" s="20">
        <f t="shared" si="18"/>
        <v>2035</v>
      </c>
      <c r="W44" s="29">
        <f t="shared" si="19"/>
        <v>0.27999997609979438</v>
      </c>
      <c r="X44" s="29">
        <f t="shared" si="19"/>
        <v>7.1863021761387591E-2</v>
      </c>
      <c r="Y44" s="29">
        <f t="shared" si="19"/>
        <v>0.19413698299052842</v>
      </c>
      <c r="Z44" s="29">
        <f t="shared" si="19"/>
        <v>0.1920000127775775</v>
      </c>
      <c r="AA44" s="29">
        <f t="shared" si="19"/>
        <v>9.2236740313660851E-4</v>
      </c>
      <c r="AB44" s="29">
        <f t="shared" si="19"/>
        <v>7.1216979888354487E-2</v>
      </c>
      <c r="AC44" s="29">
        <f t="shared" si="19"/>
        <v>6.2770114331951472E-3</v>
      </c>
      <c r="AD44" s="29">
        <f t="shared" si="19"/>
        <v>5.7606516179439918E-2</v>
      </c>
      <c r="AE44" s="29">
        <f t="shared" si="19"/>
        <v>0.11831561718302773</v>
      </c>
      <c r="AF44" s="29">
        <f t="shared" si="19"/>
        <v>7.6615142835580775E-3</v>
      </c>
      <c r="AG44" s="29">
        <f t="shared" si="19"/>
        <v>0</v>
      </c>
      <c r="AH44" s="29">
        <f t="shared" si="19"/>
        <v>0</v>
      </c>
      <c r="AI44" s="29">
        <f t="shared" si="19"/>
        <v>2.8108134322489965E-4</v>
      </c>
      <c r="AJ44" s="29">
        <f t="shared" si="20"/>
        <v>0.99999999999999989</v>
      </c>
      <c r="AM44" s="23"/>
      <c r="AO44" s="20" t="str">
        <f t="shared" si="39"/>
        <v>KALIMANTAN</v>
      </c>
      <c r="AP44" s="20">
        <f t="shared" si="40"/>
        <v>2035</v>
      </c>
      <c r="AQ44" s="25">
        <f t="shared" si="21"/>
        <v>0.27999997609979438</v>
      </c>
      <c r="AR44" s="25">
        <f t="shared" si="22"/>
        <v>0.26600000475191599</v>
      </c>
      <c r="AS44" s="25">
        <f t="shared" si="23"/>
        <v>0.1920000127775775</v>
      </c>
      <c r="AT44" s="37">
        <f t="shared" si="24"/>
        <v>0.26200000637071197</v>
      </c>
      <c r="AU44" s="24">
        <f t="shared" si="32"/>
        <v>0.99999999999999989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0.26314733937087226</v>
      </c>
      <c r="AZ44" s="25">
        <f t="shared" si="47"/>
        <v>0.26200000000000001</v>
      </c>
      <c r="BA44" s="24">
        <f t="shared" si="34"/>
        <v>1.0711473393708724</v>
      </c>
      <c r="BJ44" s="19"/>
      <c r="BK44" s="20" t="str">
        <f t="shared" si="44"/>
        <v>KALIMANTAN</v>
      </c>
      <c r="BL44" s="20">
        <f t="shared" si="45"/>
        <v>2035</v>
      </c>
      <c r="BM44" s="34">
        <f>proj_rukn!E98</f>
        <v>6495.5314567366804</v>
      </c>
      <c r="BN44" s="30">
        <f t="shared" si="26"/>
        <v>7469.8611752471816</v>
      </c>
      <c r="BO44" s="30">
        <f t="shared" si="35"/>
        <v>12044.611097164434</v>
      </c>
      <c r="BQ44" s="30">
        <f t="shared" si="27"/>
        <v>2987.9444700988729</v>
      </c>
      <c r="BR44" s="30">
        <f t="shared" si="36"/>
        <v>7530.7032901155444</v>
      </c>
      <c r="BS44" s="30"/>
      <c r="BT44" s="30">
        <f t="shared" si="28"/>
        <v>1493.9722350494364</v>
      </c>
      <c r="BU44" s="30">
        <f t="shared" si="37"/>
        <v>4513.9078070488895</v>
      </c>
      <c r="BW44" s="30">
        <f t="shared" si="29"/>
        <v>2.5876685893135201</v>
      </c>
      <c r="BX44" s="30">
        <f t="shared" si="38"/>
        <v>0</v>
      </c>
      <c r="BZ44" s="24">
        <f t="shared" si="46"/>
        <v>0.10560955151409754</v>
      </c>
      <c r="CA44" s="24">
        <f t="shared" si="30"/>
        <v>0.21987219381182252</v>
      </c>
      <c r="CF44" s="23"/>
    </row>
    <row r="45" spans="1:84" x14ac:dyDescent="0.25">
      <c r="A45" s="19"/>
      <c r="B45" s="20" t="str">
        <f t="shared" ref="B45:C47" si="50">B21</f>
        <v>KALIMANTAN</v>
      </c>
      <c r="C45" s="20">
        <f t="shared" si="50"/>
        <v>2036</v>
      </c>
      <c r="D45" s="30">
        <f>(D21*(VLOOKUP(D$27,tech_data!$B$2:$O$15,6, FALSE)/100)*(1-(VLOOKUP(D$27,tech_data!$B$2:$O$15,7, FALSE)/100))*8760)/1000</f>
        <v>16686.668871122431</v>
      </c>
      <c r="E45" s="30">
        <f>(E21*(VLOOKUP(E$27,tech_data!$B$2:$O$15,6, FALSE)/100)*(1-(VLOOKUP(E$27,tech_data!$B$2:$O$15,7, FALSE)/100))*8760)/1000</f>
        <v>4127.9553002557541</v>
      </c>
      <c r="F45" s="30">
        <f>(F21*(VLOOKUP(F$27,tech_data!$B$2:$O$15,6, FALSE)/100)*(1-(VLOOKUP(F$27,tech_data!$B$2:$O$15,7, FALSE)/100))*8760)/1000</f>
        <v>12114.537896218317</v>
      </c>
      <c r="G45" s="30">
        <f>(G21*(VLOOKUP(G$27,tech_data!$B$2:$O$15,6, FALSE)/100)*(1-(VLOOKUP(G$27,tech_data!$B$2:$O$15,7, FALSE)/100))*8760)/1000</f>
        <v>11176.468648842902</v>
      </c>
      <c r="H45" s="30">
        <f>(H21*(VLOOKUP(H$27,tech_data!$B$2:$O$15,6, FALSE)/100)*(1-(VLOOKUP(H$27,tech_data!$B$2:$O$15,7, FALSE)/100))*8760)/1000</f>
        <v>52.982623291339046</v>
      </c>
      <c r="I45" s="30">
        <f>(I21*(VLOOKUP(I$27,tech_data!$B$2:$O$15,6, FALSE)/100)*(1-(VLOOKUP(I$27,tech_data!$B$2:$O$15,7, FALSE)/100))*8760)/1000</f>
        <v>4090.8453665428488</v>
      </c>
      <c r="J45" s="30">
        <f>(J21*(VLOOKUP(J$27,tech_data!$B$2:$O$15,6, FALSE)/100)*(1-(VLOOKUP(J$27,tech_data!$B$2:$O$15,7, FALSE)/100))*8760)/1000</f>
        <v>742.82447435638096</v>
      </c>
      <c r="K45" s="30">
        <f>(K21*(VLOOKUP(K$27,tech_data!$B$2:$O$15,6, FALSE)/100)*(1-(VLOOKUP(K$27,tech_data!$B$2:$O$15,7, FALSE)/100))*8760)/1000</f>
        <v>3309.0331851305145</v>
      </c>
      <c r="L45" s="30">
        <f>(L21*(VLOOKUP(L$27,tech_data!$B$2:$O$15,6, FALSE)/100)*(1-(VLOOKUP(L$27,tech_data!$B$2:$O$15,7, FALSE)/100))*8760)/1000</f>
        <v>7282.585676552404</v>
      </c>
      <c r="M45" s="30">
        <f>(M21*(VLOOKUP(M$27,tech_data!$B$2:$O$15,6, FALSE)/100)*(1-(VLOOKUP(M$27,tech_data!$B$2:$O$15,7, FALSE)/100))*8760)/1000</f>
        <v>440.09266128288203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16.878011087653451</v>
      </c>
      <c r="Q45" s="34">
        <f t="shared" si="17"/>
        <v>60023.994703595767</v>
      </c>
      <c r="R45" s="34">
        <f>proj_rukn!D99</f>
        <v>60024</v>
      </c>
      <c r="S45" s="35"/>
      <c r="T45" s="19"/>
      <c r="U45" s="20" t="str">
        <f t="shared" si="18"/>
        <v>KALIMANTAN</v>
      </c>
      <c r="V45" s="20">
        <f t="shared" si="18"/>
        <v>2036</v>
      </c>
      <c r="W45" s="29">
        <f t="shared" si="19"/>
        <v>0.27799997240308311</v>
      </c>
      <c r="X45" s="29">
        <f t="shared" si="19"/>
        <v>6.8771752374029632E-2</v>
      </c>
      <c r="Y45" s="29">
        <f t="shared" si="19"/>
        <v>0.20182825145245772</v>
      </c>
      <c r="Z45" s="29">
        <f t="shared" si="19"/>
        <v>0.18620001391165938</v>
      </c>
      <c r="AA45" s="29">
        <f t="shared" si="19"/>
        <v>8.8269072315117164E-4</v>
      </c>
      <c r="AB45" s="29">
        <f t="shared" si="19"/>
        <v>6.8153500724899022E-2</v>
      </c>
      <c r="AC45" s="29">
        <f t="shared" si="19"/>
        <v>1.2375458814837622E-2</v>
      </c>
      <c r="AD45" s="29">
        <f t="shared" si="19"/>
        <v>5.512850654926979E-2</v>
      </c>
      <c r="AE45" s="29">
        <f t="shared" si="19"/>
        <v>0.12132790748957162</v>
      </c>
      <c r="AF45" s="29">
        <f t="shared" si="19"/>
        <v>7.3319455570410091E-3</v>
      </c>
      <c r="AG45" s="29">
        <f t="shared" si="19"/>
        <v>0</v>
      </c>
      <c r="AH45" s="29">
        <f t="shared" si="19"/>
        <v>0</v>
      </c>
      <c r="AI45" s="29">
        <f t="shared" si="19"/>
        <v>2.8118773452181394E-4</v>
      </c>
      <c r="AJ45" s="29">
        <f t="shared" si="20"/>
        <v>1.0000000000000002</v>
      </c>
      <c r="AM45" s="23"/>
      <c r="AO45" s="20" t="str">
        <f t="shared" si="39"/>
        <v>KALIMANTAN</v>
      </c>
      <c r="AP45" s="20">
        <f t="shared" si="40"/>
        <v>2036</v>
      </c>
      <c r="AQ45" s="25">
        <f t="shared" si="21"/>
        <v>0.27799997240308311</v>
      </c>
      <c r="AR45" s="25">
        <f t="shared" si="22"/>
        <v>0.27060000382648736</v>
      </c>
      <c r="AS45" s="25">
        <f t="shared" si="23"/>
        <v>0.18620001391165938</v>
      </c>
      <c r="AT45" s="37">
        <f t="shared" si="24"/>
        <v>0.26520000985877024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0.2578843925834548</v>
      </c>
      <c r="AZ45" s="25">
        <f t="shared" si="47"/>
        <v>0.26519999999999999</v>
      </c>
      <c r="BA45" s="24">
        <f t="shared" si="34"/>
        <v>1.0716843925834549</v>
      </c>
      <c r="BJ45" s="19"/>
      <c r="BK45" s="20" t="str">
        <f t="shared" si="44"/>
        <v>KALIMANTAN</v>
      </c>
      <c r="BL45" s="20">
        <f t="shared" si="45"/>
        <v>2036</v>
      </c>
      <c r="BM45" s="34">
        <f>proj_rukn!E99</f>
        <v>6991.4570997510655</v>
      </c>
      <c r="BN45" s="30">
        <f t="shared" si="26"/>
        <v>8040.1756647137245</v>
      </c>
      <c r="BO45" s="30">
        <f t="shared" si="35"/>
        <v>12546.628975076032</v>
      </c>
      <c r="BQ45" s="30">
        <f t="shared" si="27"/>
        <v>3216.0702658854898</v>
      </c>
      <c r="BR45" s="30">
        <f t="shared" si="36"/>
        <v>8002.9780509828715</v>
      </c>
      <c r="BS45" s="30"/>
      <c r="BT45" s="30">
        <f t="shared" si="28"/>
        <v>1608.0351329427449</v>
      </c>
      <c r="BU45" s="30">
        <f t="shared" si="37"/>
        <v>4543.6509240931609</v>
      </c>
      <c r="BW45" s="30">
        <f t="shared" si="29"/>
        <v>2.6990178562372549</v>
      </c>
      <c r="BX45" s="30">
        <f t="shared" si="38"/>
        <v>0</v>
      </c>
      <c r="BZ45" s="24">
        <f t="shared" si="46"/>
        <v>0.11089002908980242</v>
      </c>
      <c r="CA45" s="24">
        <f t="shared" si="30"/>
        <v>0.20787520550481109</v>
      </c>
      <c r="CF45" s="23"/>
    </row>
    <row r="46" spans="1:84" x14ac:dyDescent="0.25">
      <c r="A46" s="19"/>
      <c r="B46" s="20" t="str">
        <f t="shared" si="50"/>
        <v>KALIMANTAN</v>
      </c>
      <c r="C46" s="20">
        <f t="shared" si="50"/>
        <v>2037</v>
      </c>
      <c r="D46" s="30">
        <f>(D22*(VLOOKUP(D$27,tech_data!$B$2:$O$15,6, FALSE)/100)*(1-(VLOOKUP(D$27,tech_data!$B$2:$O$15,7, FALSE)/100))*8760)/1000</f>
        <v>17289.188476548457</v>
      </c>
      <c r="E46" s="30">
        <f>(E22*(VLOOKUP(E$27,tech_data!$B$2:$O$15,6, FALSE)/100)*(1-(VLOOKUP(E$27,tech_data!$B$2:$O$15,7, FALSE)/100))*8760)/1000</f>
        <v>4127.9553002557586</v>
      </c>
      <c r="F46" s="30">
        <f>(F22*(VLOOKUP(F$27,tech_data!$B$2:$O$15,6, FALSE)/100)*(1-(VLOOKUP(F$27,tech_data!$B$2:$O$15,7, FALSE)/100))*8760)/1000</f>
        <v>13111.122351484304</v>
      </c>
      <c r="G46" s="30">
        <f>(G22*(VLOOKUP(G$27,tech_data!$B$2:$O$15,6, FALSE)/100)*(1-(VLOOKUP(G$27,tech_data!$B$2:$O$15,7, FALSE)/100))*8760)/1000</f>
        <v>11300.616718957295</v>
      </c>
      <c r="H46" s="30">
        <f>(H22*(VLOOKUP(H$27,tech_data!$B$2:$O$15,6, FALSE)/100)*(1-(VLOOKUP(H$27,tech_data!$B$2:$O$15,7, FALSE)/100))*8760)/1000</f>
        <v>52.982623291339046</v>
      </c>
      <c r="I46" s="30">
        <f>(I22*(VLOOKUP(I$27,tech_data!$B$2:$O$15,6, FALSE)/100)*(1-(VLOOKUP(I$27,tech_data!$B$2:$O$15,7, FALSE)/100))*8760)/1000</f>
        <v>4090.8453665428488</v>
      </c>
      <c r="J46" s="30">
        <f>(J22*(VLOOKUP(J$27,tech_data!$B$2:$O$15,6, FALSE)/100)*(1-(VLOOKUP(J$27,tech_data!$B$2:$O$15,7, FALSE)/100))*8760)/1000</f>
        <v>1394.4210820409892</v>
      </c>
      <c r="K46" s="30">
        <f>(K22*(VLOOKUP(K$27,tech_data!$B$2:$O$15,6, FALSE)/100)*(1-(VLOOKUP(K$27,tech_data!$B$2:$O$15,7, FALSE)/100))*8760)/1000</f>
        <v>3309.0331851305145</v>
      </c>
      <c r="L46" s="30">
        <f>(L22*(VLOOKUP(L$27,tech_data!$B$2:$O$15,6, FALSE)/100)*(1-(VLOOKUP(L$27,tech_data!$B$2:$O$15,7, FALSE)/100))*8760)/1000</f>
        <v>7525.735999506971</v>
      </c>
      <c r="M46" s="30">
        <f>(M22*(VLOOKUP(M$27,tech_data!$B$2:$O$15,6, FALSE)/100)*(1-(VLOOKUP(M$27,tech_data!$B$2:$O$15,7, FALSE)/100))*8760)/1000</f>
        <v>440.09266128288203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17.570588204639531</v>
      </c>
      <c r="Q46" s="34">
        <f t="shared" si="17"/>
        <v>62641.993765041363</v>
      </c>
      <c r="R46" s="34">
        <f>proj_rukn!D100</f>
        <v>62642</v>
      </c>
      <c r="S46" s="35"/>
      <c r="T46" s="19"/>
      <c r="U46" s="20" t="str">
        <f t="shared" si="18"/>
        <v>KALIMANTAN</v>
      </c>
      <c r="V46" s="20">
        <f t="shared" si="18"/>
        <v>2037</v>
      </c>
      <c r="W46" s="29">
        <f t="shared" si="19"/>
        <v>0.27599997122372949</v>
      </c>
      <c r="X46" s="29">
        <f t="shared" si="19"/>
        <v>6.5897572094192308E-2</v>
      </c>
      <c r="Y46" s="29">
        <f t="shared" si="19"/>
        <v>0.20930244335232562</v>
      </c>
      <c r="Z46" s="29">
        <f t="shared" si="19"/>
        <v>0.18040001666204683</v>
      </c>
      <c r="AA46" s="29">
        <f t="shared" si="19"/>
        <v>8.4580039853244702E-4</v>
      </c>
      <c r="AB46" s="29">
        <f t="shared" si="19"/>
        <v>6.5305159058105008E-2</v>
      </c>
      <c r="AC46" s="29">
        <f t="shared" si="19"/>
        <v>2.2260164439708081E-2</v>
      </c>
      <c r="AD46" s="29">
        <f t="shared" si="19"/>
        <v>5.2824518924830068E-2</v>
      </c>
      <c r="AE46" s="29">
        <f t="shared" si="19"/>
        <v>0.12013883254952944</v>
      </c>
      <c r="AF46" s="29">
        <f t="shared" si="19"/>
        <v>7.0255212970006817E-3</v>
      </c>
      <c r="AG46" s="29">
        <f t="shared" si="19"/>
        <v>0</v>
      </c>
      <c r="AH46" s="29">
        <f t="shared" si="19"/>
        <v>0</v>
      </c>
      <c r="AI46" s="29">
        <f t="shared" si="19"/>
        <v>2.804921610660029E-4</v>
      </c>
      <c r="AJ46" s="29">
        <f t="shared" si="20"/>
        <v>1</v>
      </c>
      <c r="AM46" s="23"/>
      <c r="AO46" s="20" t="str">
        <f t="shared" si="39"/>
        <v>KALIMANTAN</v>
      </c>
      <c r="AP46" s="20">
        <f t="shared" si="40"/>
        <v>2037</v>
      </c>
      <c r="AQ46" s="25">
        <f t="shared" si="21"/>
        <v>0.27599997122372949</v>
      </c>
      <c r="AR46" s="25">
        <f t="shared" si="22"/>
        <v>0.2752000154465179</v>
      </c>
      <c r="AS46" s="25">
        <f t="shared" si="23"/>
        <v>0.18040001666204683</v>
      </c>
      <c r="AT46" s="37">
        <f t="shared" si="24"/>
        <v>0.2683999966677057</v>
      </c>
      <c r="AU46" s="24">
        <f t="shared" si="32"/>
        <v>1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0.25272670473178571</v>
      </c>
      <c r="AZ46" s="25">
        <f t="shared" si="47"/>
        <v>0.26840000000000003</v>
      </c>
      <c r="BA46" s="24">
        <f t="shared" si="34"/>
        <v>1.0723267047317857</v>
      </c>
      <c r="BJ46" s="19"/>
      <c r="BK46" s="20" t="str">
        <f t="shared" si="44"/>
        <v>KALIMANTAN</v>
      </c>
      <c r="BL46" s="20">
        <f t="shared" si="45"/>
        <v>2037</v>
      </c>
      <c r="BM46" s="34">
        <f>proj_rukn!E100</f>
        <v>7525.2460407938452</v>
      </c>
      <c r="BN46" s="30">
        <f t="shared" si="26"/>
        <v>8654.032946912921</v>
      </c>
      <c r="BO46" s="30">
        <f t="shared" si="35"/>
        <v>13056.024295146261</v>
      </c>
      <c r="BQ46" s="30">
        <f t="shared" si="27"/>
        <v>3461.6131787651684</v>
      </c>
      <c r="BR46" s="30">
        <f t="shared" si="36"/>
        <v>8487.3353449535771</v>
      </c>
      <c r="BS46" s="30"/>
      <c r="BT46" s="30">
        <f t="shared" si="28"/>
        <v>1730.8065893825842</v>
      </c>
      <c r="BU46" s="30">
        <f t="shared" si="37"/>
        <v>4568.6889501926844</v>
      </c>
      <c r="BW46" s="30">
        <f t="shared" si="29"/>
        <v>2.7935893786938886</v>
      </c>
      <c r="BX46" s="30">
        <f t="shared" si="38"/>
        <v>0</v>
      </c>
      <c r="BZ46" s="24">
        <f t="shared" si="46"/>
        <v>0.11643453054429254</v>
      </c>
      <c r="CA46" s="24">
        <f t="shared" si="30"/>
        <v>0.19681266609786807</v>
      </c>
      <c r="CF46" s="23"/>
    </row>
    <row r="47" spans="1:84" x14ac:dyDescent="0.25">
      <c r="A47" s="19"/>
      <c r="B47" s="20" t="str">
        <f t="shared" si="50"/>
        <v>KALIMANTAN</v>
      </c>
      <c r="C47" s="20">
        <f t="shared" si="50"/>
        <v>2038</v>
      </c>
      <c r="D47" s="30">
        <f>(D23*(VLOOKUP(D$27,tech_data!$B$2:$O$15,6, FALSE)/100)*(1-(VLOOKUP(D$27,tech_data!$B$2:$O$15,7, FALSE)/100))*8760)/1000</f>
        <v>17983.16538200654</v>
      </c>
      <c r="E47" s="30">
        <f>(E23*(VLOOKUP(E$27,tech_data!$B$2:$O$15,6, FALSE)/100)*(1-(VLOOKUP(E$27,tech_data!$B$2:$O$15,7, FALSE)/100))*8760)/1000</f>
        <v>4127.9553002557586</v>
      </c>
      <c r="F47" s="30">
        <f>(F23*(VLOOKUP(F$27,tech_data!$B$2:$O$15,6, FALSE)/100)*(1-(VLOOKUP(F$27,tech_data!$B$2:$O$15,7, FALSE)/100))*8760)/1000</f>
        <v>14235.877143471609</v>
      </c>
      <c r="G47" s="30">
        <f>(G23*(VLOOKUP(G$27,tech_data!$B$2:$O$15,6, FALSE)/100)*(1-(VLOOKUP(G$27,tech_data!$B$2:$O$15,7, FALSE)/100))*8760)/1000</f>
        <v>11459.348090335756</v>
      </c>
      <c r="H47" s="30">
        <f>(H23*(VLOOKUP(H$27,tech_data!$B$2:$O$15,6, FALSE)/100)*(1-(VLOOKUP(H$27,tech_data!$B$2:$O$15,7, FALSE)/100))*8760)/1000</f>
        <v>52.982623291339046</v>
      </c>
      <c r="I47" s="30">
        <f>(I23*(VLOOKUP(I$27,tech_data!$B$2:$O$15,6, FALSE)/100)*(1-(VLOOKUP(I$27,tech_data!$B$2:$O$15,7, FALSE)/100))*8760)/1000</f>
        <v>4090.8453665428488</v>
      </c>
      <c r="J47" s="30">
        <f>(J23*(VLOOKUP(J$27,tech_data!$B$2:$O$15,6, FALSE)/100)*(1-(VLOOKUP(J$27,tech_data!$B$2:$O$15,7, FALSE)/100))*8760)/1000</f>
        <v>2285.3839758622994</v>
      </c>
      <c r="K47" s="30">
        <f>(K23*(VLOOKUP(K$27,tech_data!$B$2:$O$15,6, FALSE)/100)*(1-(VLOOKUP(K$27,tech_data!$B$2:$O$15,7, FALSE)/100))*8760)/1000</f>
        <v>3309.0331851305145</v>
      </c>
      <c r="L47" s="30">
        <f>(L23*(VLOOKUP(L$27,tech_data!$B$2:$O$15,6, FALSE)/100)*(1-(VLOOKUP(L$27,tech_data!$B$2:$O$15,7, FALSE)/100))*8760)/1000</f>
        <v>7647.3111609842545</v>
      </c>
      <c r="M47" s="30">
        <f>(M23*(VLOOKUP(M$27,tech_data!$B$2:$O$15,6, FALSE)/100)*(1-(VLOOKUP(M$27,tech_data!$B$2:$O$15,7, FALSE)/100))*8760)/1000</f>
        <v>440.09266128288203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18.330487160599649</v>
      </c>
      <c r="Q47" s="34">
        <f t="shared" si="17"/>
        <v>65631.994889163805</v>
      </c>
      <c r="R47" s="34">
        <f>proj_rukn!D101</f>
        <v>65632</v>
      </c>
      <c r="S47" s="35"/>
      <c r="T47" s="19"/>
      <c r="U47" s="20" t="str">
        <f t="shared" si="18"/>
        <v>KALIMANTAN</v>
      </c>
      <c r="V47" s="20">
        <f t="shared" si="18"/>
        <v>2038</v>
      </c>
      <c r="W47" s="29">
        <f t="shared" si="19"/>
        <v>0.27399998144770177</v>
      </c>
      <c r="X47" s="29">
        <f t="shared" si="19"/>
        <v>6.2895472051807261E-2</v>
      </c>
      <c r="Y47" s="29">
        <f t="shared" si="19"/>
        <v>0.21690453211901425</v>
      </c>
      <c r="Z47" s="29">
        <f t="shared" si="19"/>
        <v>0.17460002716187065</v>
      </c>
      <c r="AA47" s="29">
        <f t="shared" si="19"/>
        <v>8.0726821393763181E-4</v>
      </c>
      <c r="AB47" s="29">
        <f t="shared" si="19"/>
        <v>6.2330047615515485E-2</v>
      </c>
      <c r="AC47" s="29">
        <f t="shared" si="19"/>
        <v>3.4821187131699217E-2</v>
      </c>
      <c r="AD47" s="29">
        <f t="shared" si="19"/>
        <v>5.0417988828751169E-2</v>
      </c>
      <c r="AE47" s="29">
        <f t="shared" ref="AE47:AI47" si="51">L47/$Q47</f>
        <v>0.11651803627024701</v>
      </c>
      <c r="AF47" s="29">
        <f t="shared" si="51"/>
        <v>6.7054591594555308E-3</v>
      </c>
      <c r="AG47" s="29">
        <f t="shared" si="51"/>
        <v>0</v>
      </c>
      <c r="AH47" s="29">
        <f t="shared" si="51"/>
        <v>0</v>
      </c>
      <c r="AI47" s="29">
        <f t="shared" si="51"/>
        <v>2.7929193972475323E-4</v>
      </c>
      <c r="AJ47" s="29">
        <f t="shared" si="20"/>
        <v>1</v>
      </c>
      <c r="AM47" s="23"/>
      <c r="AO47" s="20" t="str">
        <f t="shared" si="39"/>
        <v>KALIMANTAN</v>
      </c>
      <c r="AP47" s="20">
        <f t="shared" si="40"/>
        <v>2038</v>
      </c>
      <c r="AQ47" s="25">
        <f t="shared" si="21"/>
        <v>0.27399998144770177</v>
      </c>
      <c r="AR47" s="25">
        <f t="shared" si="22"/>
        <v>0.27980000417082151</v>
      </c>
      <c r="AS47" s="25">
        <f t="shared" si="23"/>
        <v>0.17460002716187065</v>
      </c>
      <c r="AT47" s="37">
        <f t="shared" si="24"/>
        <v>0.27159998721960599</v>
      </c>
      <c r="AU47" s="24">
        <f t="shared" si="32"/>
        <v>0.99999999999999989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0.24767217063715</v>
      </c>
      <c r="AZ47" s="25">
        <f t="shared" si="47"/>
        <v>0.27160000000000001</v>
      </c>
      <c r="BA47" s="24">
        <f t="shared" si="34"/>
        <v>1.07307217063715</v>
      </c>
      <c r="BJ47" s="19"/>
      <c r="BK47" s="20" t="str">
        <f t="shared" si="44"/>
        <v>KALIMANTAN</v>
      </c>
      <c r="BL47" s="20">
        <f t="shared" si="45"/>
        <v>2038</v>
      </c>
      <c r="BM47" s="34">
        <f>proj_rukn!E101</f>
        <v>8099.7890949655912</v>
      </c>
      <c r="BN47" s="30">
        <f t="shared" si="26"/>
        <v>9314.7574592104284</v>
      </c>
      <c r="BO47" s="30">
        <f t="shared" si="35"/>
        <v>13637.53242195247</v>
      </c>
      <c r="BQ47" s="30">
        <f t="shared" si="27"/>
        <v>3725.9029836841714</v>
      </c>
      <c r="BR47" s="30">
        <f t="shared" si="36"/>
        <v>9036.8660424366262</v>
      </c>
      <c r="BS47" s="30"/>
      <c r="BT47" s="30">
        <f t="shared" si="28"/>
        <v>1862.9514918420857</v>
      </c>
      <c r="BU47" s="30">
        <f t="shared" si="37"/>
        <v>4600.666379515842</v>
      </c>
      <c r="BW47" s="30">
        <f t="shared" si="29"/>
        <v>2.8886161789801381</v>
      </c>
      <c r="BX47" s="30">
        <f t="shared" si="38"/>
        <v>0</v>
      </c>
      <c r="BZ47" s="24">
        <f t="shared" si="46"/>
        <v>0.12225625707150717</v>
      </c>
      <c r="CA47" s="24">
        <f t="shared" si="30"/>
        <v>0.1856332518454244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KALIMANTAN</v>
      </c>
      <c r="C52" s="20">
        <f t="shared" si="52"/>
        <v>2019</v>
      </c>
      <c r="D52" s="30">
        <f>(kalimantan!D28*3.6/(VLOOKUP(D$51,tech_data!$B$2:$J$15,4,FALSE)/100))/1000</f>
        <v>110.63328120000001</v>
      </c>
      <c r="E52" s="30">
        <f>(kalimantan!E28*3.6/(VLOOKUP(E$51,tech_data!$B$2:$J$15,4,FALSE)/100))/1000</f>
        <v>16.143577135018838</v>
      </c>
      <c r="F52" s="30">
        <f>(kalimantan!F28*3.6/(VLOOKUP(F$51,tech_data!$B$2:$J$15,4,FALSE)/100))/1000</f>
        <v>1.0247605872527472</v>
      </c>
      <c r="G52" s="30">
        <f>(kalimantan!G28*3.6/(VLOOKUP(G$51,tech_data!$B$2:$J$15,4,FALSE)/100))/1000</f>
        <v>67.449875615036788</v>
      </c>
      <c r="H52" s="30">
        <f>(kalimantan!H28*3.6/(VLOOKUP(H$51,tech_data!$B$2:$J$15,4,FALSE)/100))/1000</f>
        <v>0</v>
      </c>
      <c r="I52" s="30">
        <f>(kalimantan!I28*3.6/(VLOOKUP(I$51,tech_data!$B$2:$J$15,4,FALSE)/100))/1000</f>
        <v>4.4457097431060726</v>
      </c>
      <c r="J52" s="30">
        <f>(kalimantan!J28*3.6/(VLOOKUP(J$51,tech_data!$B$2:$J$15,4,FALSE)/100))/1000</f>
        <v>9.2159836061538492E-2</v>
      </c>
      <c r="K52" s="30">
        <f>K28*3.6/1000</f>
        <v>4.0397616000000004E-3</v>
      </c>
      <c r="L52" s="30">
        <f>L28*3.6/1000</f>
        <v>0</v>
      </c>
      <c r="M52" s="30">
        <f>(kalimantan!M28*3.6/(VLOOKUP(M$51,tech_data!$B$2:$J$15,4,FALSE)/100))/1000</f>
        <v>2.8351910635235731</v>
      </c>
      <c r="N52" s="30">
        <f>N28*3.6/1000</f>
        <v>0</v>
      </c>
      <c r="O52" s="30">
        <f>(kalimantan!O28*3.6/(VLOOKUP(O$51,tech_data!$B$2:$J$15,4,FALSE)/100))/1000</f>
        <v>0</v>
      </c>
      <c r="P52" s="30">
        <v>0</v>
      </c>
      <c r="Q52" s="30">
        <f t="shared" ref="Q52:Q71" si="53">SUM(D52:O52)</f>
        <v>202.6285949415996</v>
      </c>
      <c r="R52" s="30"/>
      <c r="T52" s="19"/>
      <c r="U52" s="20" t="str">
        <f t="shared" ref="U52:V71" si="54">B52</f>
        <v>KALIMANTAN</v>
      </c>
      <c r="V52" s="20">
        <f t="shared" si="54"/>
        <v>2019</v>
      </c>
      <c r="W52" s="30">
        <f>D52*VLOOKUP(W$51,tech_data!$B$2:$K$15,10,FALSE)*1000</f>
        <v>11032350.801264001</v>
      </c>
      <c r="X52" s="30">
        <f>E52*VLOOKUP(X$51,tech_data!$B$2:$K$15,10,FALSE)*1000</f>
        <v>1002516.1400846698</v>
      </c>
      <c r="Y52" s="30">
        <f>F52*VLOOKUP(Y$51,tech_data!$B$2:$K$15,10,FALSE)*1000</f>
        <v>63637.632468395605</v>
      </c>
      <c r="Z52" s="30">
        <f>G52*VLOOKUP(Z$51,tech_data!$B$2:$K$15,10,FALSE)*1000</f>
        <v>5070207.1499823155</v>
      </c>
      <c r="AA52" s="30">
        <f>H28*VLOOKUP(AA$51,tech_data!$B$2:$K$15,10,FALSE)/1000</f>
        <v>0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318562.06789750868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17487273.791696891</v>
      </c>
      <c r="AK52" s="25"/>
      <c r="AM52" s="23"/>
      <c r="AO52" s="20" t="str">
        <f t="shared" ref="AO52:AP71" si="56">U52</f>
        <v>KALIMANTAN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113.37791452865655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12.03874380158978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1.3680229644162982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13.668916103575459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0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9.9938129303213241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0.17426871059618854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6.5880000000000001E-3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4.2195962242787868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154.84786326343436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KALIMANTAN</v>
      </c>
      <c r="C53" s="20">
        <f t="shared" si="52"/>
        <v>2020</v>
      </c>
      <c r="D53" s="30">
        <f>(kalimantan!D29*3.6/(VLOOKUP(D$51,tech_data!$B$2:$J$15,4,FALSE)/100))/1000</f>
        <v>120.19911416537671</v>
      </c>
      <c r="E53" s="30">
        <f>(kalimantan!E29*3.6/(VLOOKUP(E$51,tech_data!$B$2:$J$15,4,FALSE)/100))/1000</f>
        <v>16.143577135018838</v>
      </c>
      <c r="F53" s="30">
        <f>(kalimantan!F29*3.6/(VLOOKUP(F$51,tech_data!$B$2:$J$15,4,FALSE)/100))/1000</f>
        <v>4.5310807184577415</v>
      </c>
      <c r="G53" s="30">
        <f>(kalimantan!G29*3.6/(VLOOKUP(G$51,tech_data!$B$2:$J$15,4,FALSE)/100))/1000</f>
        <v>67.449875615036788</v>
      </c>
      <c r="H53" s="30">
        <f>(kalimantan!H29*3.6/(VLOOKUP(H$51,tech_data!$B$2:$J$15,4,FALSE)/100))/1000</f>
        <v>0</v>
      </c>
      <c r="I53" s="30">
        <f>(kalimantan!I29*3.6/(VLOOKUP(I$51,tech_data!$B$2:$J$15,4,FALSE)/100))/1000</f>
        <v>4.4458287532821803</v>
      </c>
      <c r="J53" s="30">
        <f>(kalimantan!J29*3.6/(VLOOKUP(J$51,tech_data!$B$2:$J$15,4,FALSE)/100))/1000</f>
        <v>1.5995534010237626</v>
      </c>
      <c r="K53" s="30">
        <f t="shared" ref="K53:L53" si="57">K29*3.6/1000</f>
        <v>6.7150293591014467</v>
      </c>
      <c r="L53" s="30">
        <f t="shared" si="57"/>
        <v>0.36744612141705624</v>
      </c>
      <c r="M53" s="30">
        <f>(kalimantan!M29*3.6/(VLOOKUP(M$51,tech_data!$B$2:$J$15,4,FALSE)/100))/1000</f>
        <v>2.8351910635235731</v>
      </c>
      <c r="N53" s="30">
        <f t="shared" ref="N53:N71" si="58">N29*3.6/1000</f>
        <v>0</v>
      </c>
      <c r="O53" s="30">
        <f>(kalimantan!O29*3.6/(VLOOKUP(O$51,tech_data!$B$2:$J$15,4,FALSE)/100))/1000</f>
        <v>0</v>
      </c>
      <c r="P53" s="30">
        <v>0</v>
      </c>
      <c r="Q53" s="30">
        <f t="shared" si="53"/>
        <v>224.28669633223808</v>
      </c>
      <c r="R53" s="30"/>
      <c r="T53" s="19"/>
      <c r="U53" s="20" t="str">
        <f t="shared" si="54"/>
        <v>KALIMANTAN</v>
      </c>
      <c r="V53" s="20">
        <f t="shared" si="54"/>
        <v>2020</v>
      </c>
      <c r="W53" s="30">
        <f>D53*VLOOKUP(W$51,tech_data!$B$2:$K$15,10,FALSE)*1000</f>
        <v>11986255.664571365</v>
      </c>
      <c r="X53" s="30">
        <f>E53*VLOOKUP(X$51,tech_data!$B$2:$K$15,10,FALSE)*1000</f>
        <v>1002516.1400846698</v>
      </c>
      <c r="Y53" s="30">
        <f>F53*VLOOKUP(Y$51,tech_data!$B$2:$K$15,10,FALSE)*1000</f>
        <v>281380.11261622573</v>
      </c>
      <c r="Z53" s="30">
        <f>G53*VLOOKUP(Z$51,tech_data!$B$2:$K$15,10,FALSE)*1000</f>
        <v>5070207.1499823155</v>
      </c>
      <c r="AA53" s="30">
        <f>H29*VLOOKUP(AA$51,tech_data!$B$2:$K$15,10,FALSE)/1000</f>
        <v>0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318562.06789750868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18658921.135152087</v>
      </c>
      <c r="AK53" s="25">
        <f>(AJ53-AJ52)/AJ52</f>
        <v>6.6999999966347173E-2</v>
      </c>
      <c r="AL53" s="24">
        <f>bali_nt!AL53</f>
        <v>5.2999999999999999E-2</v>
      </c>
      <c r="AM53" s="26"/>
      <c r="AN53" s="24"/>
      <c r="AO53" s="20" t="str">
        <f t="shared" si="56"/>
        <v>KALIMANTAN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436.52929552349292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12.03874380158978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140.17554286002309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13.668916103575459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0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10.008771674196934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148.09083007777383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1144.8925606838468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44.406188501633316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4.2195962242787868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1.7529832878476108</v>
      </c>
      <c r="BD53" s="30">
        <f>SUM(AQ53:BC53)</f>
        <v>1955.7834287382586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KALIMANTAN</v>
      </c>
      <c r="C54" s="20">
        <f t="shared" si="52"/>
        <v>2021</v>
      </c>
      <c r="D54" s="30">
        <f>(kalimantan!D30*3.6/(VLOOKUP(D$51,tech_data!$B$2:$J$15,4,FALSE)/100))/1000</f>
        <v>125.67019443394099</v>
      </c>
      <c r="E54" s="30">
        <f>(kalimantan!E30*3.6/(VLOOKUP(E$51,tech_data!$B$2:$J$15,4,FALSE)/100))/1000</f>
        <v>16.143577135018838</v>
      </c>
      <c r="F54" s="30">
        <f>(kalimantan!F30*3.6/(VLOOKUP(F$51,tech_data!$B$2:$J$15,4,FALSE)/100))/1000</f>
        <v>15.876838907100984</v>
      </c>
      <c r="G54" s="30">
        <f>(kalimantan!G30*3.6/(VLOOKUP(G$51,tech_data!$B$2:$J$15,4,FALSE)/100))/1000</f>
        <v>67.449875615036788</v>
      </c>
      <c r="H54" s="30">
        <f>(kalimantan!H30*3.6/(VLOOKUP(H$51,tech_data!$B$2:$J$15,4,FALSE)/100))/1000</f>
        <v>0</v>
      </c>
      <c r="I54" s="30">
        <f>(kalimantan!I30*3.6/(VLOOKUP(I$51,tech_data!$B$2:$J$15,4,FALSE)/100))/1000</f>
        <v>8.4623965272407382</v>
      </c>
      <c r="J54" s="30">
        <f>(kalimantan!J30*3.6/(VLOOKUP(J$51,tech_data!$B$2:$J$15,4,FALSE)/100))/1000</f>
        <v>1.599553374387972</v>
      </c>
      <c r="K54" s="30">
        <f t="shared" ref="K54:L54" si="59">K30*3.6/1000</f>
        <v>6.715025563483457</v>
      </c>
      <c r="L54" s="30">
        <f t="shared" si="59"/>
        <v>0.36744610129797273</v>
      </c>
      <c r="M54" s="30">
        <f>(kalimantan!M30*3.6/(VLOOKUP(M$51,tech_data!$B$2:$J$15,4,FALSE)/100))/1000</f>
        <v>2.8351910635235731</v>
      </c>
      <c r="N54" s="30">
        <f t="shared" si="58"/>
        <v>0</v>
      </c>
      <c r="O54" s="30">
        <f>(kalimantan!O30*3.6/(VLOOKUP(O$51,tech_data!$B$2:$J$15,4,FALSE)/100))/1000</f>
        <v>0</v>
      </c>
      <c r="P54" s="30">
        <v>0</v>
      </c>
      <c r="Q54" s="30">
        <f t="shared" si="53"/>
        <v>245.12009872103135</v>
      </c>
      <c r="R54" s="30"/>
      <c r="T54" s="19"/>
      <c r="U54" s="20" t="str">
        <f t="shared" si="54"/>
        <v>KALIMANTAN</v>
      </c>
      <c r="V54" s="20">
        <f t="shared" si="54"/>
        <v>2021</v>
      </c>
      <c r="W54" s="30">
        <f>D54*VLOOKUP(W$51,tech_data!$B$2:$K$15,10,FALSE)*1000</f>
        <v>12531831.788952595</v>
      </c>
      <c r="X54" s="30">
        <f>E54*VLOOKUP(X$51,tech_data!$B$2:$K$15,10,FALSE)*1000</f>
        <v>1002516.1400846698</v>
      </c>
      <c r="Y54" s="30">
        <f>F54*VLOOKUP(Y$51,tech_data!$B$2:$K$15,10,FALSE)*1000</f>
        <v>985951.69613097108</v>
      </c>
      <c r="Z54" s="30">
        <f>G54*VLOOKUP(Z$51,tech_data!$B$2:$K$15,10,FALSE)*1000</f>
        <v>5070207.1499823155</v>
      </c>
      <c r="AA54" s="30">
        <f>H30*VLOOKUP(AA$51,tech_data!$B$2:$K$15,10,FALSE)/1000</f>
        <v>0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318562.06789750868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19909068.843048058</v>
      </c>
      <c r="AK54" s="25">
        <f t="shared" ref="AK54:AK71" si="60">(AJ54-AJ53)/AJ53</f>
        <v>6.6999999562717585E-2</v>
      </c>
      <c r="AL54" s="24">
        <f>AL53</f>
        <v>5.2999999999999999E-2</v>
      </c>
      <c r="AM54" s="26"/>
      <c r="AN54" s="24"/>
      <c r="AO54" s="20" t="str">
        <f t="shared" si="56"/>
        <v>KALIMANTAN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308.00418564073311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12.03874380158978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455.20251951982641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13.668916103575459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0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514.84845976070972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3.0246567242357325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10.950150514165184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1.7058005347988923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4.2195962242787868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0.22547054496986971</v>
      </c>
      <c r="BD54" s="30">
        <f t="shared" ref="BD54:BD71" si="61">SUM(AQ54:BC54)</f>
        <v>1323.888499368883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KALIMANTAN</v>
      </c>
      <c r="C55" s="20">
        <f t="shared" si="52"/>
        <v>2022</v>
      </c>
      <c r="D55" s="30">
        <f>(kalimantan!D31*3.6/(VLOOKUP(D$51,tech_data!$B$2:$J$15,4,FALSE)/100))/1000</f>
        <v>130.78802874091841</v>
      </c>
      <c r="E55" s="30">
        <f>(kalimantan!E31*3.6/(VLOOKUP(E$51,tech_data!$B$2:$J$15,4,FALSE)/100))/1000</f>
        <v>16.143577135018838</v>
      </c>
      <c r="F55" s="30">
        <f>(kalimantan!F31*3.6/(VLOOKUP(F$51,tech_data!$B$2:$J$15,4,FALSE)/100))/1000</f>
        <v>29.138629548587595</v>
      </c>
      <c r="G55" s="30">
        <f>(kalimantan!G31*3.6/(VLOOKUP(G$51,tech_data!$B$2:$J$15,4,FALSE)/100))/1000</f>
        <v>67.449875615036788</v>
      </c>
      <c r="H55" s="30">
        <f>(kalimantan!H31*3.6/(VLOOKUP(H$51,tech_data!$B$2:$J$15,4,FALSE)/100))/1000</f>
        <v>0</v>
      </c>
      <c r="I55" s="30">
        <f>(kalimantan!I31*3.6/(VLOOKUP(I$51,tech_data!$B$2:$J$15,4,FALSE)/100))/1000</f>
        <v>8.4784530847491233</v>
      </c>
      <c r="J55" s="30">
        <f>(kalimantan!J31*3.6/(VLOOKUP(J$51,tech_data!$B$2:$J$15,4,FALSE)/100))/1000</f>
        <v>1.5995500508572504</v>
      </c>
      <c r="K55" s="30">
        <f t="shared" ref="K55:L55" si="62">K31*3.6/1000</f>
        <v>11.294985809040352</v>
      </c>
      <c r="L55" s="30">
        <f t="shared" si="62"/>
        <v>0.36744438629224635</v>
      </c>
      <c r="M55" s="30">
        <f>(kalimantan!M31*3.6/(VLOOKUP(M$51,tech_data!$B$2:$J$15,4,FALSE)/100))/1000</f>
        <v>2.8351910635235731</v>
      </c>
      <c r="N55" s="30">
        <f t="shared" si="58"/>
        <v>0</v>
      </c>
      <c r="O55" s="30">
        <f>(kalimantan!O31*3.6/(VLOOKUP(O$51,tech_data!$B$2:$J$15,4,FALSE)/100))/1000</f>
        <v>0</v>
      </c>
      <c r="P55" s="30">
        <v>0</v>
      </c>
      <c r="Q55" s="30">
        <f t="shared" si="53"/>
        <v>268.09573543402416</v>
      </c>
      <c r="R55" s="30"/>
      <c r="T55" s="19"/>
      <c r="U55" s="20" t="str">
        <f t="shared" si="54"/>
        <v>KALIMANTAN</v>
      </c>
      <c r="V55" s="20">
        <f t="shared" si="54"/>
        <v>2022</v>
      </c>
      <c r="W55" s="30">
        <f>D55*VLOOKUP(W$51,tech_data!$B$2:$K$15,10,FALSE)*1000</f>
        <v>13042182.226044385</v>
      </c>
      <c r="X55" s="30">
        <f>E55*VLOOKUP(X$51,tech_data!$B$2:$K$15,10,FALSE)*1000</f>
        <v>1002516.1400846698</v>
      </c>
      <c r="Y55" s="30">
        <f>F55*VLOOKUP(Y$51,tech_data!$B$2:$K$15,10,FALSE)*1000</f>
        <v>1809508.8949672896</v>
      </c>
      <c r="Z55" s="30">
        <f>G55*VLOOKUP(Z$51,tech_data!$B$2:$K$15,10,FALSE)*1000</f>
        <v>5070207.1499823155</v>
      </c>
      <c r="AA55" s="30">
        <f>H31*VLOOKUP(AA$51,tech_data!$B$2:$K$15,10,FALSE)/1000</f>
        <v>0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318562.06789750868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21242976.478976168</v>
      </c>
      <c r="AK55" s="25">
        <f t="shared" si="60"/>
        <v>6.7000001177548257E-2</v>
      </c>
      <c r="AL55" s="24">
        <f>AL54</f>
        <v>5.2999999999999999E-2</v>
      </c>
      <c r="AM55" s="26"/>
      <c r="AN55" s="24"/>
      <c r="AO55" s="20" t="str">
        <f t="shared" si="56"/>
        <v>KALIMANTAN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301.67769816561446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12.03874380158978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546.20026812400408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13.668916103575459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0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21.041392594903154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3.0243331582506219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792.28596819293477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1.705595612851025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4.2195962242787868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0.31858642812611959</v>
      </c>
      <c r="BD55" s="30">
        <f t="shared" si="61"/>
        <v>1696.1810984061285</v>
      </c>
      <c r="BE55" s="20">
        <v>2022</v>
      </c>
      <c r="BF55" s="23"/>
      <c r="BG55" s="19"/>
      <c r="BH55" s="30"/>
      <c r="BI55" s="30">
        <f>MIN($BD$53)</f>
        <v>1955.7834287382586</v>
      </c>
      <c r="BJ55" s="30">
        <f>MIN($BD$54)</f>
        <v>1323.888499368883</v>
      </c>
      <c r="BK55" s="30">
        <f t="shared" ref="BK55" si="63">MIN($BD$55)</f>
        <v>1696.1810984061285</v>
      </c>
      <c r="BL55" s="30">
        <f>MIN($BD$56)</f>
        <v>1303.9818015793016</v>
      </c>
      <c r="BM55" s="30">
        <f>MIN($BD$57)</f>
        <v>856.75284497118355</v>
      </c>
      <c r="BN55" s="30">
        <f>MIN($BD$58)</f>
        <v>977.21747021687258</v>
      </c>
      <c r="BO55" s="30">
        <f>MIN($BD$59)</f>
        <v>513.56835934463493</v>
      </c>
      <c r="BP55" s="30">
        <f>MIN($BD$60)</f>
        <v>540.25156968561339</v>
      </c>
      <c r="BQ55" s="30">
        <f>MIN($BD$61)</f>
        <v>730.64039635814083</v>
      </c>
      <c r="BR55" s="30">
        <f>MIN($BD$62)</f>
        <v>769.7136282370451</v>
      </c>
      <c r="BS55" s="30">
        <f>MIN($BD$63)</f>
        <v>792.3373494546621</v>
      </c>
      <c r="BT55" s="30">
        <f>MIN($BD$64)</f>
        <v>897.66039034100061</v>
      </c>
      <c r="BU55" s="30">
        <f>MIN($BD$65)</f>
        <v>1021.5758371143262</v>
      </c>
      <c r="BV55" s="30">
        <f>MIN($BD$66)</f>
        <v>1014.8526356612473</v>
      </c>
      <c r="BW55" s="30">
        <f>MIN($BD$67)</f>
        <v>1160.5501538565268</v>
      </c>
      <c r="BX55" s="30">
        <f>MIN($BD$68)</f>
        <v>1173.5903427717365</v>
      </c>
      <c r="BY55" s="30">
        <f>MIN($BD$69)</f>
        <v>1301.9633752148227</v>
      </c>
      <c r="BZ55" s="30">
        <f>MIN($BD$70)</f>
        <v>1344.7407388184427</v>
      </c>
      <c r="CA55" s="30">
        <f>MIN($BD$71)</f>
        <v>1486.9520351598442</v>
      </c>
      <c r="CD55" s="23"/>
    </row>
    <row r="56" spans="1:82" x14ac:dyDescent="0.25">
      <c r="A56" s="19"/>
      <c r="B56" s="20" t="str">
        <f t="shared" si="52"/>
        <v>KALIMANTAN</v>
      </c>
      <c r="C56" s="20">
        <f t="shared" si="52"/>
        <v>2023</v>
      </c>
      <c r="D56" s="30">
        <f>(kalimantan!D32*3.6/(VLOOKUP(D$51,tech_data!$B$2:$J$15,4,FALSE)/100))/1000</f>
        <v>130.78802874091841</v>
      </c>
      <c r="E56" s="30">
        <f>(kalimantan!E32*3.6/(VLOOKUP(E$51,tech_data!$B$2:$J$15,4,FALSE)/100))/1000</f>
        <v>33.125495017151344</v>
      </c>
      <c r="F56" s="30">
        <f>(kalimantan!F32*3.6/(VLOOKUP(F$51,tech_data!$B$2:$J$15,4,FALSE)/100))/1000</f>
        <v>29.138631485899083</v>
      </c>
      <c r="G56" s="30">
        <f>(kalimantan!G32*3.6/(VLOOKUP(G$51,tech_data!$B$2:$J$15,4,FALSE)/100))/1000</f>
        <v>67.449875615036831</v>
      </c>
      <c r="H56" s="30">
        <f>(kalimantan!H32*3.6/(VLOOKUP(H$51,tech_data!$B$2:$J$15,4,FALSE)/100))/1000</f>
        <v>9.8177395739074916E-3</v>
      </c>
      <c r="I56" s="30">
        <f>(kalimantan!I32*3.6/(VLOOKUP(I$51,tech_data!$B$2:$J$15,4,FALSE)/100))/1000</f>
        <v>11.439333040253539</v>
      </c>
      <c r="J56" s="30">
        <f>(kalimantan!J32*3.6/(VLOOKUP(J$51,tech_data!$B$2:$J$15,4,FALSE)/100))/1000</f>
        <v>1.5995484155507156</v>
      </c>
      <c r="K56" s="30">
        <f t="shared" ref="K56:L56" si="64">K32*3.6/1000</f>
        <v>11.911761001448284</v>
      </c>
      <c r="L56" s="30">
        <f t="shared" si="64"/>
        <v>0.82429478437083215</v>
      </c>
      <c r="M56" s="30">
        <f>(kalimantan!M32*3.6/(VLOOKUP(M$51,tech_data!$B$2:$J$15,4,FALSE)/100))/1000</f>
        <v>4.4697221717905693</v>
      </c>
      <c r="N56" s="30">
        <f t="shared" si="58"/>
        <v>0</v>
      </c>
      <c r="O56" s="30">
        <f>(kalimantan!O32*3.6/(VLOOKUP(O$51,tech_data!$B$2:$J$15,4,FALSE)/100))/1000</f>
        <v>0</v>
      </c>
      <c r="P56" s="30">
        <v>0</v>
      </c>
      <c r="Q56" s="30">
        <f t="shared" si="53"/>
        <v>290.7565080119935</v>
      </c>
      <c r="R56" s="30"/>
      <c r="T56" s="19"/>
      <c r="U56" s="20" t="str">
        <f t="shared" si="54"/>
        <v>KALIMANTAN</v>
      </c>
      <c r="V56" s="20">
        <f t="shared" si="54"/>
        <v>2023</v>
      </c>
      <c r="W56" s="30">
        <f>D56*VLOOKUP(W$51,tech_data!$B$2:$K$15,10,FALSE)*1000</f>
        <v>13042182.226044385</v>
      </c>
      <c r="X56" s="30">
        <f>E56*VLOOKUP(X$51,tech_data!$B$2:$K$15,10,FALSE)*1000</f>
        <v>2057093.2405650984</v>
      </c>
      <c r="Y56" s="30">
        <f>F56*VLOOKUP(Y$51,tech_data!$B$2:$K$15,10,FALSE)*1000</f>
        <v>1809509.0152743331</v>
      </c>
      <c r="Z56" s="30">
        <f>G56*VLOOKUP(Z$51,tech_data!$B$2:$K$15,10,FALSE)*1000</f>
        <v>5070207.1499823183</v>
      </c>
      <c r="AA56" s="30">
        <f>H32*VLOOKUP(AA$51,tech_data!$B$2:$K$15,10,FALSE)/1000</f>
        <v>2.3157593219954298E-2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502217.98322238831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22481209.638246115</v>
      </c>
      <c r="AK56" s="25">
        <f t="shared" si="60"/>
        <v>5.8289061351426294E-2</v>
      </c>
      <c r="AL56" s="24">
        <f t="shared" ref="AL56:AL70" si="65">AL55</f>
        <v>5.2999999999999999E-2</v>
      </c>
      <c r="AM56" s="26"/>
      <c r="AN56" s="24"/>
      <c r="AO56" s="20" t="str">
        <f t="shared" si="56"/>
        <v>KALIMANTAN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134.03266885985951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433.68103015278189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38.899225304761131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13.668916103576313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0.22151095658143638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391.22112039495568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3.0244925346479405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123.64077624364528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56.916569257891979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108.46582605827656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0.20966571232373285</v>
      </c>
      <c r="BD56" s="30">
        <f t="shared" si="61"/>
        <v>1303.9818015793016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KALIMANTAN</v>
      </c>
      <c r="C57" s="20">
        <f t="shared" si="52"/>
        <v>2024</v>
      </c>
      <c r="D57" s="30">
        <f>(kalimantan!D33*3.6/(VLOOKUP(D$51,tech_data!$B$2:$J$15,4,FALSE)/100))/1000</f>
        <v>130.78802874091841</v>
      </c>
      <c r="E57" s="30">
        <f>(kalimantan!E33*3.6/(VLOOKUP(E$51,tech_data!$B$2:$J$15,4,FALSE)/100))/1000</f>
        <v>37.934110846436532</v>
      </c>
      <c r="F57" s="30">
        <f>(kalimantan!F33*3.6/(VLOOKUP(F$51,tech_data!$B$2:$J$15,4,FALSE)/100))/1000</f>
        <v>29.344379959483465</v>
      </c>
      <c r="G57" s="30">
        <f>(kalimantan!G33*3.6/(VLOOKUP(G$51,tech_data!$B$2:$J$15,4,FALSE)/100))/1000</f>
        <v>67.449875615036831</v>
      </c>
      <c r="H57" s="30">
        <f>(kalimantan!H33*3.6/(VLOOKUP(H$51,tech_data!$B$2:$J$15,4,FALSE)/100))/1000</f>
        <v>2.5464177038848228E-2</v>
      </c>
      <c r="I57" s="30">
        <f>(kalimantan!I33*3.6/(VLOOKUP(I$51,tech_data!$B$2:$J$15,4,FALSE)/100))/1000</f>
        <v>11.61610427101612</v>
      </c>
      <c r="J57" s="30">
        <f>(kalimantan!J33*3.6/(VLOOKUP(J$51,tech_data!$B$2:$J$15,4,FALSE)/100))/1000</f>
        <v>1.6225390210002415</v>
      </c>
      <c r="K57" s="30">
        <f t="shared" ref="K57:L57" si="66">K33*3.6/1000</f>
        <v>11.912519464675224</v>
      </c>
      <c r="L57" s="30">
        <f t="shared" si="66"/>
        <v>4.3778841100887051</v>
      </c>
      <c r="M57" s="30">
        <f>(kalimantan!M33*3.6/(VLOOKUP(M$51,tech_data!$B$2:$J$15,4,FALSE)/100))/1000</f>
        <v>4.5432402784251433</v>
      </c>
      <c r="N57" s="30">
        <f t="shared" si="58"/>
        <v>0</v>
      </c>
      <c r="O57" s="30">
        <f>(kalimantan!O33*3.6/(VLOOKUP(O$51,tech_data!$B$2:$J$15,4,FALSE)/100))/1000</f>
        <v>0</v>
      </c>
      <c r="P57" s="30">
        <v>0</v>
      </c>
      <c r="Q57" s="30">
        <f t="shared" si="53"/>
        <v>299.61414648411949</v>
      </c>
      <c r="R57" s="30"/>
      <c r="T57" s="19"/>
      <c r="U57" s="20" t="str">
        <f t="shared" si="54"/>
        <v>KALIMANTAN</v>
      </c>
      <c r="V57" s="20">
        <f t="shared" si="54"/>
        <v>2024</v>
      </c>
      <c r="W57" s="30">
        <f>D57*VLOOKUP(W$51,tech_data!$B$2:$K$15,10,FALSE)*1000</f>
        <v>13042182.226044385</v>
      </c>
      <c r="X57" s="30">
        <f>E57*VLOOKUP(X$51,tech_data!$B$2:$K$15,10,FALSE)*1000</f>
        <v>2355708.2835637089</v>
      </c>
      <c r="Y57" s="30">
        <f>F57*VLOOKUP(Y$51,tech_data!$B$2:$K$15,10,FALSE)*1000</f>
        <v>1822285.9954839232</v>
      </c>
      <c r="Z57" s="30">
        <f>G57*VLOOKUP(Z$51,tech_data!$B$2:$K$15,10,FALSE)*1000</f>
        <v>5070207.1499823183</v>
      </c>
      <c r="AA57" s="30">
        <f>H33*VLOOKUP(AA$51,tech_data!$B$2:$K$15,10,FALSE)/1000</f>
        <v>6.0063627590383264E-2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510478.47768384911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22800862.192821812</v>
      </c>
      <c r="AK57" s="25">
        <f t="shared" si="60"/>
        <v>1.4218654588402943E-2</v>
      </c>
      <c r="AL57" s="24">
        <f t="shared" si="65"/>
        <v>5.2999999999999999E-2</v>
      </c>
      <c r="AM57" s="26"/>
      <c r="AN57" s="24"/>
      <c r="AO57" s="20" t="str">
        <f t="shared" si="56"/>
        <v>KALIMANTAN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134.03266885985951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144.09528925483065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47.044281781836659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13.668916103575468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0.35581506556750403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47.93415687483018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5.280657486224869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19.554965235413729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433.28105173472989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11.341055670060047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0.16398690425502974</v>
      </c>
      <c r="BD57" s="30">
        <f t="shared" si="61"/>
        <v>856.75284497118355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KALIMANTAN</v>
      </c>
      <c r="C58" s="20">
        <f t="shared" si="52"/>
        <v>2025</v>
      </c>
      <c r="D58" s="30">
        <f>(kalimantan!D34*3.6/(VLOOKUP(D$51,tech_data!$B$2:$J$15,4,FALSE)/100))/1000</f>
        <v>130.78802874091841</v>
      </c>
      <c r="E58" s="30">
        <f>(kalimantan!E34*3.6/(VLOOKUP(E$51,tech_data!$B$2:$J$15,4,FALSE)/100))/1000</f>
        <v>38.436427995702836</v>
      </c>
      <c r="F58" s="30">
        <f>(kalimantan!F34*3.6/(VLOOKUP(F$51,tech_data!$B$2:$J$15,4,FALSE)/100))/1000</f>
        <v>32.451998940954056</v>
      </c>
      <c r="G58" s="30">
        <f>(kalimantan!G34*3.6/(VLOOKUP(G$51,tech_data!$B$2:$J$15,4,FALSE)/100))/1000</f>
        <v>67.449875615036831</v>
      </c>
      <c r="H58" s="30">
        <f>(kalimantan!H34*3.6/(VLOOKUP(H$51,tech_data!$B$2:$J$15,4,FALSE)/100))/1000</f>
        <v>2.5464177038848228E-2</v>
      </c>
      <c r="I58" s="30">
        <f>(kalimantan!I34*3.6/(VLOOKUP(I$51,tech_data!$B$2:$J$15,4,FALSE)/100))/1000</f>
        <v>15.502150862688692</v>
      </c>
      <c r="J58" s="30">
        <f>(kalimantan!J34*3.6/(VLOOKUP(J$51,tech_data!$B$2:$J$15,4,FALSE)/100))/1000</f>
        <v>1.6225390210002415</v>
      </c>
      <c r="K58" s="30">
        <f t="shared" ref="K58:L58" si="67">K34*3.6/1000</f>
        <v>11.912519464675224</v>
      </c>
      <c r="L58" s="30">
        <f t="shared" si="67"/>
        <v>4.603017571938369</v>
      </c>
      <c r="M58" s="30">
        <f>(kalimantan!M34*3.6/(VLOOKUP(M$51,tech_data!$B$2:$J$15,4,FALSE)/100))/1000</f>
        <v>5.0931674243765039</v>
      </c>
      <c r="N58" s="30">
        <f t="shared" si="58"/>
        <v>0</v>
      </c>
      <c r="O58" s="30">
        <f>(kalimantan!O34*3.6/(VLOOKUP(O$51,tech_data!$B$2:$J$15,4,FALSE)/100))/1000</f>
        <v>0</v>
      </c>
      <c r="P58" s="30">
        <v>0</v>
      </c>
      <c r="Q58" s="30">
        <f t="shared" si="53"/>
        <v>307.88518981432998</v>
      </c>
      <c r="R58" s="30"/>
      <c r="T58" s="19"/>
      <c r="U58" s="20" t="str">
        <f t="shared" si="54"/>
        <v>KALIMANTAN</v>
      </c>
      <c r="V58" s="20">
        <f t="shared" si="54"/>
        <v>2025</v>
      </c>
      <c r="W58" s="30">
        <f>D58*VLOOKUP(W$51,tech_data!$B$2:$K$15,10,FALSE)*1000</f>
        <v>13042182.226044385</v>
      </c>
      <c r="X58" s="30">
        <f>E58*VLOOKUP(X$51,tech_data!$B$2:$K$15,10,FALSE)*1000</f>
        <v>2386902.1785331462</v>
      </c>
      <c r="Y58" s="30">
        <f>F58*VLOOKUP(Y$51,tech_data!$B$2:$K$15,10,FALSE)*1000</f>
        <v>2015269.1342332468</v>
      </c>
      <c r="Z58" s="30">
        <f>G58*VLOOKUP(Z$51,tech_data!$B$2:$K$15,10,FALSE)*1000</f>
        <v>5070207.1499823183</v>
      </c>
      <c r="AA58" s="30">
        <f>H34*VLOOKUP(AA$51,tech_data!$B$2:$K$15,10,FALSE)/1000</f>
        <v>6.0063627590383264E-2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572268.29180294392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23086829.040659666</v>
      </c>
      <c r="AK58" s="25">
        <f t="shared" si="60"/>
        <v>1.2541931327837354E-2</v>
      </c>
      <c r="AL58" s="24">
        <f t="shared" si="65"/>
        <v>5.2999999999999999E-2</v>
      </c>
      <c r="AM58" s="26"/>
      <c r="AN58" s="24"/>
      <c r="AO58" s="20" t="str">
        <f t="shared" si="56"/>
        <v>KALIMANTAN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134.03266885985951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40.760571094540666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162.19763516831142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13.668916103575468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7.2498239053248219E-3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514.56141261340747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3.0681237637283392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19.426809303123328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47.531122599065704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41.834626977966366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0.12833390938898687</v>
      </c>
      <c r="BD58" s="30">
        <f t="shared" si="61"/>
        <v>977.21747021687258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0</v>
      </c>
      <c r="BK58" s="20" t="b">
        <f>$AK$55&lt;=$AL$55</f>
        <v>0</v>
      </c>
      <c r="BL58" s="20" t="b">
        <f>$AK$56&lt;=$AL$56</f>
        <v>0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KALIMANTAN</v>
      </c>
      <c r="C59" s="20">
        <f t="shared" si="52"/>
        <v>2026</v>
      </c>
      <c r="D59" s="30">
        <f>(kalimantan!D35*3.6/(VLOOKUP(D$51,tech_data!$B$2:$J$15,4,FALSE)/100))/1000</f>
        <v>130.78802874091841</v>
      </c>
      <c r="E59" s="30">
        <f>(kalimantan!E35*3.6/(VLOOKUP(E$51,tech_data!$B$2:$J$15,4,FALSE)/100))/1000</f>
        <v>41.665343217534719</v>
      </c>
      <c r="F59" s="30">
        <f>(kalimantan!F35*3.6/(VLOOKUP(F$51,tech_data!$B$2:$J$15,4,FALSE)/100))/1000</f>
        <v>32.469368848067035</v>
      </c>
      <c r="G59" s="30">
        <f>(kalimantan!G35*3.6/(VLOOKUP(G$51,tech_data!$B$2:$J$15,4,FALSE)/100))/1000</f>
        <v>67.449875615036831</v>
      </c>
      <c r="H59" s="30">
        <f>(kalimantan!H35*3.6/(VLOOKUP(H$51,tech_data!$B$2:$J$15,4,FALSE)/100))/1000</f>
        <v>1.4128699544357077</v>
      </c>
      <c r="I59" s="30">
        <f>(kalimantan!I35*3.6/(VLOOKUP(I$51,tech_data!$B$2:$J$15,4,FALSE)/100))/1000</f>
        <v>15.502150862688692</v>
      </c>
      <c r="J59" s="30">
        <f>(kalimantan!J35*3.6/(VLOOKUP(J$51,tech_data!$B$2:$J$15,4,FALSE)/100))/1000</f>
        <v>1.6225382527966217</v>
      </c>
      <c r="K59" s="30">
        <f t="shared" ref="K59:L59" si="68">K35*3.6/1000</f>
        <v>11.912519466469853</v>
      </c>
      <c r="L59" s="30">
        <f t="shared" si="68"/>
        <v>5.3827241857441477</v>
      </c>
      <c r="M59" s="30">
        <f>(kalimantan!M35*3.6/(VLOOKUP(M$51,tech_data!$B$2:$J$15,4,FALSE)/100))/1000</f>
        <v>5.1107534858657271</v>
      </c>
      <c r="N59" s="30">
        <f t="shared" si="58"/>
        <v>0</v>
      </c>
      <c r="O59" s="30">
        <f>(kalimantan!O35*3.6/(VLOOKUP(O$51,tech_data!$B$2:$J$15,4,FALSE)/100))/1000</f>
        <v>0</v>
      </c>
      <c r="P59" s="30">
        <v>0</v>
      </c>
      <c r="Q59" s="30">
        <f t="shared" si="53"/>
        <v>313.31617262955774</v>
      </c>
      <c r="R59" s="30"/>
      <c r="T59" s="19"/>
      <c r="U59" s="20" t="str">
        <f t="shared" si="54"/>
        <v>KALIMANTAN</v>
      </c>
      <c r="V59" s="20">
        <f t="shared" si="54"/>
        <v>2026</v>
      </c>
      <c r="W59" s="30">
        <f>D59*VLOOKUP(W$51,tech_data!$B$2:$K$15,10,FALSE)*1000</f>
        <v>13042182.226044385</v>
      </c>
      <c r="X59" s="30">
        <f>E59*VLOOKUP(X$51,tech_data!$B$2:$K$15,10,FALSE)*1000</f>
        <v>2587417.8138089059</v>
      </c>
      <c r="Y59" s="30">
        <f>F59*VLOOKUP(Y$51,tech_data!$B$2:$K$15,10,FALSE)*1000</f>
        <v>2016347.805464963</v>
      </c>
      <c r="Z59" s="30">
        <f>G59*VLOOKUP(Z$51,tech_data!$B$2:$K$15,10,FALSE)*1000</f>
        <v>5070207.1499823183</v>
      </c>
      <c r="AA59" s="30">
        <f>H35*VLOOKUP(AA$51,tech_data!$B$2:$K$15,10,FALSE)/1000</f>
        <v>3.3326070050252259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574244.26167187316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23290402.589579452</v>
      </c>
      <c r="AK59" s="25">
        <f t="shared" si="60"/>
        <v>8.8177353659638393E-3</v>
      </c>
      <c r="AL59" s="24">
        <f t="shared" si="65"/>
        <v>5.2999999999999999E-2</v>
      </c>
      <c r="AM59" s="26"/>
      <c r="AN59" s="24"/>
      <c r="AO59" s="20" t="str">
        <f t="shared" si="56"/>
        <v>KALIMANTAN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134.03266885985951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108.83358600137407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44.010028434050675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13.668916103575468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31.310339359358665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34.848337991379665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3.06804838192991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19.426809609284437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115.59691998528091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8.7017217988182676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7.0982819723445667E-2</v>
      </c>
      <c r="BD59" s="30">
        <f t="shared" si="61"/>
        <v>513.56835934463493</v>
      </c>
      <c r="BE59" s="20">
        <v>2026</v>
      </c>
      <c r="BF59" s="23"/>
      <c r="BG59" s="19"/>
      <c r="BI59" s="20" t="b">
        <f>$AQ$29&gt;=$AW$29</f>
        <v>1</v>
      </c>
      <c r="BJ59" s="20" t="b">
        <f>$AQ$30&gt;=$AW$30</f>
        <v>0</v>
      </c>
      <c r="BK59" s="20" t="b">
        <f>$AQ$31&gt;=$AW$31</f>
        <v>0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0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KALIMANTAN</v>
      </c>
      <c r="C60" s="20">
        <f t="shared" si="52"/>
        <v>2027</v>
      </c>
      <c r="D60" s="30">
        <f>(kalimantan!D36*3.6/(VLOOKUP(D$51,tech_data!$B$2:$J$15,4,FALSE)/100))/1000</f>
        <v>130.78802874091841</v>
      </c>
      <c r="E60" s="30">
        <f>(kalimantan!E36*3.6/(VLOOKUP(E$51,tech_data!$B$2:$J$15,4,FALSE)/100))/1000</f>
        <v>41.665343217534719</v>
      </c>
      <c r="F60" s="30">
        <f>(kalimantan!F36*3.6/(VLOOKUP(F$51,tech_data!$B$2:$J$15,4,FALSE)/100))/1000</f>
        <v>34.667373037641802</v>
      </c>
      <c r="G60" s="30">
        <f>(kalimantan!G36*3.6/(VLOOKUP(G$51,tech_data!$B$2:$J$15,4,FALSE)/100))/1000</f>
        <v>67.88776394885717</v>
      </c>
      <c r="H60" s="30">
        <f>(kalimantan!H36*3.6/(VLOOKUP(H$51,tech_data!$B$2:$J$15,4,FALSE)/100))/1000</f>
        <v>1.4128699544357077</v>
      </c>
      <c r="I60" s="30">
        <f>(kalimantan!I36*3.6/(VLOOKUP(I$51,tech_data!$B$2:$J$15,4,FALSE)/100))/1000</f>
        <v>15.502150862688692</v>
      </c>
      <c r="J60" s="30">
        <f>(kalimantan!J36*3.6/(VLOOKUP(J$51,tech_data!$B$2:$J$15,4,FALSE)/100))/1000</f>
        <v>1.6225382527966217</v>
      </c>
      <c r="K60" s="30">
        <f t="shared" ref="K60:L60" si="69">K36*3.6/1000</f>
        <v>11.912519466469853</v>
      </c>
      <c r="L60" s="30">
        <f t="shared" si="69"/>
        <v>6.4727009901944745</v>
      </c>
      <c r="M60" s="30">
        <f>(kalimantan!M36*3.6/(VLOOKUP(M$51,tech_data!$B$2:$J$15,4,FALSE)/100))/1000</f>
        <v>5.1107534858657271</v>
      </c>
      <c r="N60" s="30">
        <f t="shared" si="58"/>
        <v>0</v>
      </c>
      <c r="O60" s="30">
        <f>(kalimantan!O36*3.6/(VLOOKUP(O$51,tech_data!$B$2:$J$15,4,FALSE)/100))/1000</f>
        <v>0</v>
      </c>
      <c r="P60" s="30">
        <v>0</v>
      </c>
      <c r="Q60" s="30">
        <f t="shared" si="53"/>
        <v>317.04204195740317</v>
      </c>
      <c r="R60" s="30"/>
      <c r="T60" s="19"/>
      <c r="U60" s="20" t="str">
        <f t="shared" si="54"/>
        <v>KALIMANTAN</v>
      </c>
      <c r="V60" s="20">
        <f t="shared" si="54"/>
        <v>2027</v>
      </c>
      <c r="W60" s="30">
        <f>D60*VLOOKUP(W$51,tech_data!$B$2:$K$15,10,FALSE)*1000</f>
        <v>13042182.226044385</v>
      </c>
      <c r="X60" s="30">
        <f>E60*VLOOKUP(X$51,tech_data!$B$2:$K$15,10,FALSE)*1000</f>
        <v>2587417.8138089059</v>
      </c>
      <c r="Y60" s="30">
        <f>F60*VLOOKUP(Y$51,tech_data!$B$2:$K$15,10,FALSE)*1000</f>
        <v>2152843.8656375562</v>
      </c>
      <c r="Z60" s="30">
        <f>G60*VLOOKUP(Z$51,tech_data!$B$2:$K$15,10,FALSE)*1000</f>
        <v>5103123.2160355942</v>
      </c>
      <c r="AA60" s="30">
        <f>H36*VLOOKUP(AA$51,tech_data!$B$2:$K$15,10,FALSE)/1000</f>
        <v>3.3326070050252259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574244.26167187316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23459814.715805318</v>
      </c>
      <c r="AK60" s="25">
        <f t="shared" si="60"/>
        <v>7.2739028694018557E-3</v>
      </c>
      <c r="AL60" s="24">
        <f t="shared" si="65"/>
        <v>5.2999999999999999E-2</v>
      </c>
      <c r="AM60" s="26"/>
      <c r="AN60" s="24"/>
      <c r="AO60" s="20" t="str">
        <f t="shared" si="56"/>
        <v>KALIMANTAN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134.03266885985951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31.071080975797727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130.35974287510626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22.640333753309047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0.40225365835135152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34.848337991379665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3.0681223111014684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19.426809306049989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156.7129953667208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7.6063008202972098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8.2923767640247295E-2</v>
      </c>
      <c r="BD60" s="30">
        <f t="shared" si="61"/>
        <v>540.25156968561339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1</v>
      </c>
      <c r="BM60" s="20" t="b">
        <f>$AR$33&gt;=$AX$33</f>
        <v>1</v>
      </c>
      <c r="BN60" s="20" t="b">
        <f>$AR$34&gt;=$AX$34</f>
        <v>0</v>
      </c>
      <c r="BO60" s="20" t="b">
        <f>$AR$35&gt;=$AX$35</f>
        <v>0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KALIMANTAN</v>
      </c>
      <c r="C61" s="20">
        <f t="shared" si="52"/>
        <v>2028</v>
      </c>
      <c r="D61" s="30">
        <f>(kalimantan!D37*3.6/(VLOOKUP(D$51,tech_data!$B$2:$J$15,4,FALSE)/100))/1000</f>
        <v>130.78802874091841</v>
      </c>
      <c r="E61" s="30">
        <f>(kalimantan!E37*3.6/(VLOOKUP(E$51,tech_data!$B$2:$J$15,4,FALSE)/100))/1000</f>
        <v>41.665343217534719</v>
      </c>
      <c r="F61" s="30">
        <f>(kalimantan!F37*3.6/(VLOOKUP(F$51,tech_data!$B$2:$J$15,4,FALSE)/100))/1000</f>
        <v>37.965160148639264</v>
      </c>
      <c r="G61" s="30">
        <f>(kalimantan!G37*3.6/(VLOOKUP(G$51,tech_data!$B$2:$J$15,4,FALSE)/100))/1000</f>
        <v>71.263901718385867</v>
      </c>
      <c r="H61" s="30">
        <f>(kalimantan!H37*3.6/(VLOOKUP(H$51,tech_data!$B$2:$J$15,4,FALSE)/100))/1000</f>
        <v>1.4128699544357077</v>
      </c>
      <c r="I61" s="30">
        <f>(kalimantan!I37*3.6/(VLOOKUP(I$51,tech_data!$B$2:$J$15,4,FALSE)/100))/1000</f>
        <v>15.502150862688692</v>
      </c>
      <c r="J61" s="30">
        <f>(kalimantan!J37*3.6/(VLOOKUP(J$51,tech_data!$B$2:$J$15,4,FALSE)/100))/1000</f>
        <v>1.6225382527966217</v>
      </c>
      <c r="K61" s="30">
        <f t="shared" ref="K61:L61" si="70">K37*3.6/1000</f>
        <v>11.912519466469853</v>
      </c>
      <c r="L61" s="30">
        <f t="shared" si="70"/>
        <v>8.2123696063524712</v>
      </c>
      <c r="M61" s="30">
        <f>(kalimantan!M37*3.6/(VLOOKUP(M$51,tech_data!$B$2:$J$15,4,FALSE)/100))/1000</f>
        <v>5.1107534858657271</v>
      </c>
      <c r="N61" s="30">
        <f t="shared" si="58"/>
        <v>0</v>
      </c>
      <c r="O61" s="30">
        <f>(kalimantan!O37*3.6/(VLOOKUP(O$51,tech_data!$B$2:$J$15,4,FALSE)/100))/1000</f>
        <v>0</v>
      </c>
      <c r="P61" s="30">
        <v>0</v>
      </c>
      <c r="Q61" s="30">
        <f t="shared" si="53"/>
        <v>325.45563545408731</v>
      </c>
      <c r="R61" s="30"/>
      <c r="T61" s="19"/>
      <c r="U61" s="20" t="str">
        <f t="shared" si="54"/>
        <v>KALIMANTAN</v>
      </c>
      <c r="V61" s="20">
        <f t="shared" si="54"/>
        <v>2028</v>
      </c>
      <c r="W61" s="30">
        <f>D61*VLOOKUP(W$51,tech_data!$B$2:$K$15,10,FALSE)*1000</f>
        <v>13042182.226044385</v>
      </c>
      <c r="X61" s="30">
        <f>E61*VLOOKUP(X$51,tech_data!$B$2:$K$15,10,FALSE)*1000</f>
        <v>2587417.8138089059</v>
      </c>
      <c r="Y61" s="30">
        <f>F61*VLOOKUP(Y$51,tech_data!$B$2:$K$15,10,FALSE)*1000</f>
        <v>2357636.4452304984</v>
      </c>
      <c r="Z61" s="30">
        <f>G61*VLOOKUP(Z$51,tech_data!$B$2:$K$15,10,FALSE)*1000</f>
        <v>5356907.492171065</v>
      </c>
      <c r="AA61" s="30">
        <f>H37*VLOOKUP(AA$51,tech_data!$B$2:$K$15,10,FALSE)/1000</f>
        <v>3.3326070050252259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574244.26167187316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23918391.571533732</v>
      </c>
      <c r="AK61" s="25">
        <f t="shared" si="60"/>
        <v>1.9547334933530489E-2</v>
      </c>
      <c r="AL61" s="24">
        <f t="shared" si="65"/>
        <v>5.2999999999999999E-2</v>
      </c>
      <c r="AM61" s="26"/>
      <c r="AN61" s="24"/>
      <c r="AO61" s="20" t="str">
        <f t="shared" si="56"/>
        <v>KALIMANTAN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134.03266885985951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31.071080975797727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176.83200148044699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82.927668991683788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0.40225365835135152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34.848337991379665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3.0681223111014684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19.426809306049989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240.28884753888673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7.6063008202972098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0.1363044242863248</v>
      </c>
      <c r="BD61" s="30">
        <f t="shared" si="61"/>
        <v>730.64039635814083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KALIMANTAN</v>
      </c>
      <c r="C62" s="20">
        <f t="shared" si="52"/>
        <v>2029</v>
      </c>
      <c r="D62" s="30">
        <f>(kalimantan!D38*3.6/(VLOOKUP(D$51,tech_data!$B$2:$J$15,4,FALSE)/100))/1000</f>
        <v>130.78802874091841</v>
      </c>
      <c r="E62" s="30">
        <f>(kalimantan!E38*3.6/(VLOOKUP(E$51,tech_data!$B$2:$J$15,4,FALSE)/100))/1000</f>
        <v>41.665343217534719</v>
      </c>
      <c r="F62" s="30">
        <f>(kalimantan!F38*3.6/(VLOOKUP(F$51,tech_data!$B$2:$J$15,4,FALSE)/100))/1000</f>
        <v>41.47763100888951</v>
      </c>
      <c r="G62" s="30">
        <f>(kalimantan!G38*3.6/(VLOOKUP(G$51,tech_data!$B$2:$J$15,4,FALSE)/100))/1000</f>
        <v>74.828548843640377</v>
      </c>
      <c r="H62" s="30">
        <f>(kalimantan!H38*3.6/(VLOOKUP(H$51,tech_data!$B$2:$J$15,4,FALSE)/100))/1000</f>
        <v>1.4128699544357077</v>
      </c>
      <c r="I62" s="30">
        <f>(kalimantan!I38*3.6/(VLOOKUP(I$51,tech_data!$B$2:$J$15,4,FALSE)/100))/1000</f>
        <v>15.502150862688692</v>
      </c>
      <c r="J62" s="30">
        <f>(kalimantan!J38*3.6/(VLOOKUP(J$51,tech_data!$B$2:$J$15,4,FALSE)/100))/1000</f>
        <v>1.6225382527966217</v>
      </c>
      <c r="K62" s="30">
        <f t="shared" ref="K62:L62" si="71">K38*3.6/1000</f>
        <v>11.912519466469853</v>
      </c>
      <c r="L62" s="30">
        <f t="shared" si="71"/>
        <v>10.064089939329103</v>
      </c>
      <c r="M62" s="30">
        <f>(kalimantan!M38*3.6/(VLOOKUP(M$51,tech_data!$B$2:$J$15,4,FALSE)/100))/1000</f>
        <v>5.1107534858657271</v>
      </c>
      <c r="N62" s="30">
        <f t="shared" si="58"/>
        <v>0</v>
      </c>
      <c r="O62" s="30">
        <f>(kalimantan!O38*3.6/(VLOOKUP(O$51,tech_data!$B$2:$J$15,4,FALSE)/100))/1000</f>
        <v>0</v>
      </c>
      <c r="P62" s="30">
        <v>0</v>
      </c>
      <c r="Q62" s="30">
        <f t="shared" si="53"/>
        <v>334.3844737725687</v>
      </c>
      <c r="R62" s="30"/>
      <c r="T62" s="19"/>
      <c r="U62" s="20" t="str">
        <f t="shared" si="54"/>
        <v>KALIMANTAN</v>
      </c>
      <c r="V62" s="20">
        <f t="shared" si="54"/>
        <v>2029</v>
      </c>
      <c r="W62" s="30">
        <f>D62*VLOOKUP(W$51,tech_data!$B$2:$K$15,10,FALSE)*1000</f>
        <v>13042182.226044385</v>
      </c>
      <c r="X62" s="30">
        <f>E62*VLOOKUP(X$51,tech_data!$B$2:$K$15,10,FALSE)*1000</f>
        <v>2587417.8138089059</v>
      </c>
      <c r="Y62" s="30">
        <f>F62*VLOOKUP(Y$51,tech_data!$B$2:$K$15,10,FALSE)*1000</f>
        <v>2575760.8856520387</v>
      </c>
      <c r="Z62" s="30">
        <f>G62*VLOOKUP(Z$51,tech_data!$B$2:$K$15,10,FALSE)*1000</f>
        <v>5624862.0165764466</v>
      </c>
      <c r="AA62" s="30">
        <f>H38*VLOOKUP(AA$51,tech_data!$B$2:$K$15,10,FALSE)/1000</f>
        <v>3.3326070050252259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574244.26167187316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24404470.536360655</v>
      </c>
      <c r="AK62" s="25">
        <f t="shared" si="60"/>
        <v>2.032239347588178E-2</v>
      </c>
      <c r="AL62" s="24">
        <f t="shared" si="65"/>
        <v>5.2999999999999999E-2</v>
      </c>
      <c r="AM62" s="26"/>
      <c r="AN62" s="24"/>
      <c r="AO62" s="20" t="str">
        <f t="shared" si="56"/>
        <v>KALIMANTAN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134.03266885985951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31.071080975797727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189.73330148537588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87.474016353472294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0.40225365835135152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34.848337991379665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3.0681223111014684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19.426809306049989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261.90649726126674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7.6063008202972098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0.14423921409332197</v>
      </c>
      <c r="BD62" s="30">
        <f t="shared" si="61"/>
        <v>769.7136282370451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0</v>
      </c>
      <c r="BK62" s="20" t="b">
        <f>$AT$31&gt;=$AZ$31</f>
        <v>0</v>
      </c>
      <c r="BL62" s="20" t="b">
        <f>$AT$32&gt;=$AZ$32</f>
        <v>0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1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0</v>
      </c>
      <c r="CA62" s="20" t="b">
        <f>$AT$47&gt;=$AZ$47</f>
        <v>0</v>
      </c>
      <c r="CD62" s="23"/>
    </row>
    <row r="63" spans="1:82" x14ac:dyDescent="0.25">
      <c r="A63" s="19"/>
      <c r="B63" s="20" t="str">
        <f t="shared" si="52"/>
        <v>KALIMANTAN</v>
      </c>
      <c r="C63" s="20">
        <f t="shared" si="52"/>
        <v>2030</v>
      </c>
      <c r="D63" s="30">
        <f>(kalimantan!D39*3.6/(VLOOKUP(D$51,tech_data!$B$2:$J$15,4,FALSE)/100))/1000</f>
        <v>130.78802874091841</v>
      </c>
      <c r="E63" s="30">
        <f>(kalimantan!E39*3.6/(VLOOKUP(E$51,tech_data!$B$2:$J$15,4,FALSE)/100))/1000</f>
        <v>41.665343217534719</v>
      </c>
      <c r="F63" s="30">
        <f>(kalimantan!F39*3.6/(VLOOKUP(F$51,tech_data!$B$2:$J$15,4,FALSE)/100))/1000</f>
        <v>45.10597514199312</v>
      </c>
      <c r="G63" s="30">
        <f>(kalimantan!G39*3.6/(VLOOKUP(G$51,tech_data!$B$2:$J$15,4,FALSE)/100))/1000</f>
        <v>78.281287953021902</v>
      </c>
      <c r="H63" s="30">
        <f>(kalimantan!H39*3.6/(VLOOKUP(H$51,tech_data!$B$2:$J$15,4,FALSE)/100))/1000</f>
        <v>1.4128699544357077</v>
      </c>
      <c r="I63" s="30">
        <f>(kalimantan!I39*3.6/(VLOOKUP(I$51,tech_data!$B$2:$J$15,4,FALSE)/100))/1000</f>
        <v>15.502150862688692</v>
      </c>
      <c r="J63" s="30">
        <f>(kalimantan!J39*3.6/(VLOOKUP(J$51,tech_data!$B$2:$J$15,4,FALSE)/100))/1000</f>
        <v>1.6225382527966217</v>
      </c>
      <c r="K63" s="30">
        <f t="shared" ref="K63:L63" si="72">K39*3.6/1000</f>
        <v>11.912519466469853</v>
      </c>
      <c r="L63" s="30">
        <f t="shared" si="72"/>
        <v>11.968095210693104</v>
      </c>
      <c r="M63" s="30">
        <f>(kalimantan!M39*3.6/(VLOOKUP(M$51,tech_data!$B$2:$J$15,4,FALSE)/100))/1000</f>
        <v>5.1107534858657271</v>
      </c>
      <c r="N63" s="30">
        <f t="shared" si="58"/>
        <v>0</v>
      </c>
      <c r="O63" s="30">
        <f>(kalimantan!O39*3.6/(VLOOKUP(O$51,tech_data!$B$2:$J$15,4,FALSE)/100))/1000</f>
        <v>0</v>
      </c>
      <c r="P63" s="30">
        <v>0</v>
      </c>
      <c r="Q63" s="30">
        <f t="shared" si="53"/>
        <v>343.36956228641782</v>
      </c>
      <c r="R63" s="30"/>
      <c r="T63" s="19"/>
      <c r="U63" s="20" t="str">
        <f t="shared" si="54"/>
        <v>KALIMANTAN</v>
      </c>
      <c r="V63" s="20">
        <f t="shared" si="54"/>
        <v>2030</v>
      </c>
      <c r="W63" s="30">
        <f>D63*VLOOKUP(W$51,tech_data!$B$2:$K$15,10,FALSE)*1000</f>
        <v>13042182.226044385</v>
      </c>
      <c r="X63" s="30">
        <f>E63*VLOOKUP(X$51,tech_data!$B$2:$K$15,10,FALSE)*1000</f>
        <v>2587417.8138089059</v>
      </c>
      <c r="Y63" s="30">
        <f>F63*VLOOKUP(Y$51,tech_data!$B$2:$K$15,10,FALSE)*1000</f>
        <v>2801081.0563177727</v>
      </c>
      <c r="Z63" s="30">
        <f>G63*VLOOKUP(Z$51,tech_data!$B$2:$K$15,10,FALSE)*1000</f>
        <v>5884404.4154286571</v>
      </c>
      <c r="AA63" s="30">
        <f>H39*VLOOKUP(AA$51,tech_data!$B$2:$K$15,10,FALSE)/1000</f>
        <v>3.3326070050252259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574244.26167187316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24889333.105878599</v>
      </c>
      <c r="AK63" s="25">
        <f t="shared" si="60"/>
        <v>1.986777663524962E-2</v>
      </c>
      <c r="AL63" s="24">
        <f t="shared" si="65"/>
        <v>5.2999999999999999E-2</v>
      </c>
      <c r="AM63" s="26"/>
      <c r="AN63" s="24"/>
      <c r="AO63" s="20" t="str">
        <f t="shared" si="56"/>
        <v>KALIMANTAN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134.03266885985951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31.071080975797727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199.00950756803402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85.903641018839664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0.40225365835135152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34.848337991379665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3.0681223111014684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19.426809306049989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276.82145906646855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7.6063008202972098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0.14716787848306381</v>
      </c>
      <c r="BD63" s="30">
        <f t="shared" si="61"/>
        <v>792.3373494546621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KALIMANTAN</v>
      </c>
      <c r="C64" s="20">
        <f t="shared" si="52"/>
        <v>2031</v>
      </c>
      <c r="D64" s="30">
        <f>(kalimantan!D40*3.6/(VLOOKUP(D$51,tech_data!$B$2:$J$15,4,FALSE)/100))/1000</f>
        <v>131.23203927023476</v>
      </c>
      <c r="E64" s="30">
        <f>(kalimantan!E40*3.6/(VLOOKUP(E$51,tech_data!$B$2:$J$15,4,FALSE)/100))/1000</f>
        <v>41.665343217534719</v>
      </c>
      <c r="F64" s="30">
        <f>(kalimantan!F40*3.6/(VLOOKUP(F$51,tech_data!$B$2:$J$15,4,FALSE)/100))/1000</f>
        <v>49.310225210412106</v>
      </c>
      <c r="G64" s="30">
        <f>(kalimantan!G40*3.6/(VLOOKUP(G$51,tech_data!$B$2:$J$15,4,FALSE)/100))/1000</f>
        <v>82.426839462265221</v>
      </c>
      <c r="H64" s="30">
        <f>(kalimantan!H40*3.6/(VLOOKUP(H$51,tech_data!$B$2:$J$15,4,FALSE)/100))/1000</f>
        <v>1.4128699544357077</v>
      </c>
      <c r="I64" s="30">
        <f>(kalimantan!I40*3.6/(VLOOKUP(I$51,tech_data!$B$2:$J$15,4,FALSE)/100))/1000</f>
        <v>15.502150862688692</v>
      </c>
      <c r="J64" s="30">
        <f>(kalimantan!J40*3.6/(VLOOKUP(J$51,tech_data!$B$2:$J$15,4,FALSE)/100))/1000</f>
        <v>1.6225382527966217</v>
      </c>
      <c r="K64" s="30">
        <f t="shared" ref="K64:L64" si="73">K40*3.6/1000</f>
        <v>11.912519466469853</v>
      </c>
      <c r="L64" s="30">
        <f t="shared" si="73"/>
        <v>14.194178240639848</v>
      </c>
      <c r="M64" s="30">
        <f>(kalimantan!M40*3.6/(VLOOKUP(M$51,tech_data!$B$2:$J$15,4,FALSE)/100))/1000</f>
        <v>5.1107534858657271</v>
      </c>
      <c r="N64" s="30">
        <f t="shared" si="58"/>
        <v>0</v>
      </c>
      <c r="O64" s="30">
        <f>(kalimantan!O40*3.6/(VLOOKUP(O$51,tech_data!$B$2:$J$15,4,FALSE)/100))/1000</f>
        <v>0</v>
      </c>
      <c r="P64" s="30">
        <v>0</v>
      </c>
      <c r="Q64" s="30">
        <f t="shared" si="53"/>
        <v>354.38945742334329</v>
      </c>
      <c r="R64" s="30"/>
      <c r="T64" s="19"/>
      <c r="U64" s="20" t="str">
        <f t="shared" si="54"/>
        <v>KALIMANTAN</v>
      </c>
      <c r="V64" s="20">
        <f t="shared" si="54"/>
        <v>2031</v>
      </c>
      <c r="W64" s="30">
        <f>D64*VLOOKUP(W$51,tech_data!$B$2:$K$15,10,FALSE)*1000</f>
        <v>13086458.956027811</v>
      </c>
      <c r="X64" s="30">
        <f>E64*VLOOKUP(X$51,tech_data!$B$2:$K$15,10,FALSE)*1000</f>
        <v>2587417.8138089059</v>
      </c>
      <c r="Y64" s="30">
        <f>F64*VLOOKUP(Y$51,tech_data!$B$2:$K$15,10,FALSE)*1000</f>
        <v>3062164.9855665918</v>
      </c>
      <c r="Z64" s="30">
        <f>G64*VLOOKUP(Z$51,tech_data!$B$2:$K$15,10,FALSE)*1000</f>
        <v>6196025.5223784773</v>
      </c>
      <c r="AA64" s="30">
        <f>H40*VLOOKUP(AA$51,tech_data!$B$2:$K$15,10,FALSE)/1000</f>
        <v>3.3326070050252259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574244.26167187316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25506314.872060668</v>
      </c>
      <c r="AK64" s="25">
        <f t="shared" si="60"/>
        <v>2.4789003528437013E-2</v>
      </c>
      <c r="AL64" s="24">
        <f t="shared" si="65"/>
        <v>5.2999999999999999E-2</v>
      </c>
      <c r="AM64" s="26"/>
      <c r="AN64" s="24"/>
      <c r="AO64" s="20" t="str">
        <f t="shared" si="56"/>
        <v>KALIMANTAN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149.03215884093729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31.071080975797727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226.65208443767176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100.797628258209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0.40225365835135152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34.848337991379665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3.0681223111014684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19.426809306049989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324.58384510471268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7.6063008202972098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0.17176863649252866</v>
      </c>
      <c r="BD64" s="30">
        <f t="shared" si="61"/>
        <v>897.66039034100061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KALIMANTAN</v>
      </c>
      <c r="C65" s="20">
        <f t="shared" si="52"/>
        <v>2032</v>
      </c>
      <c r="D65" s="30">
        <f>(kalimantan!D41*3.6/(VLOOKUP(D$51,tech_data!$B$2:$J$15,4,FALSE)/100))/1000</f>
        <v>135.69415222185432</v>
      </c>
      <c r="E65" s="30">
        <f>(kalimantan!E41*3.6/(VLOOKUP(E$51,tech_data!$B$2:$J$15,4,FALSE)/100))/1000</f>
        <v>41.665343217534719</v>
      </c>
      <c r="F65" s="30">
        <f>(kalimantan!F41*3.6/(VLOOKUP(F$51,tech_data!$B$2:$J$15,4,FALSE)/100))/1000</f>
        <v>53.8405026449772</v>
      </c>
      <c r="G65" s="30">
        <f>(kalimantan!G41*3.6/(VLOOKUP(G$51,tech_data!$B$2:$J$15,4,FALSE)/100))/1000</f>
        <v>83.512361746851937</v>
      </c>
      <c r="H65" s="30">
        <f>(kalimantan!H41*3.6/(VLOOKUP(H$51,tech_data!$B$2:$J$15,4,FALSE)/100))/1000</f>
        <v>1.4128699544357077</v>
      </c>
      <c r="I65" s="30">
        <f>(kalimantan!I41*3.6/(VLOOKUP(I$51,tech_data!$B$2:$J$15,4,FALSE)/100))/1000</f>
        <v>15.502150862688692</v>
      </c>
      <c r="J65" s="30">
        <f>(kalimantan!J41*3.6/(VLOOKUP(J$51,tech_data!$B$2:$J$15,4,FALSE)/100))/1000</f>
        <v>1.6225382527966217</v>
      </c>
      <c r="K65" s="30">
        <f t="shared" ref="K65:L65" si="74">K41*3.6/1000</f>
        <v>11.912519466469853</v>
      </c>
      <c r="L65" s="30">
        <f t="shared" si="74"/>
        <v>16.591625485143275</v>
      </c>
      <c r="M65" s="30">
        <f>(kalimantan!M41*3.6/(VLOOKUP(M$51,tech_data!$B$2:$J$15,4,FALSE)/100))/1000</f>
        <v>5.1107534858657271</v>
      </c>
      <c r="N65" s="30">
        <f t="shared" si="58"/>
        <v>0</v>
      </c>
      <c r="O65" s="30">
        <f>(kalimantan!O41*3.6/(VLOOKUP(O$51,tech_data!$B$2:$J$15,4,FALSE)/100))/1000</f>
        <v>0</v>
      </c>
      <c r="P65" s="30">
        <v>0</v>
      </c>
      <c r="Q65" s="30">
        <f t="shared" si="53"/>
        <v>366.86481733861802</v>
      </c>
      <c r="R65" s="30"/>
      <c r="T65" s="19"/>
      <c r="U65" s="20" t="str">
        <f t="shared" si="54"/>
        <v>KALIMANTAN</v>
      </c>
      <c r="V65" s="20">
        <f t="shared" si="54"/>
        <v>2032</v>
      </c>
      <c r="W65" s="30">
        <f>D65*VLOOKUP(W$51,tech_data!$B$2:$K$15,10,FALSE)*1000</f>
        <v>13531420.859563313</v>
      </c>
      <c r="X65" s="30">
        <f>E65*VLOOKUP(X$51,tech_data!$B$2:$K$15,10,FALSE)*1000</f>
        <v>2587417.8138089059</v>
      </c>
      <c r="Y65" s="30">
        <f>F65*VLOOKUP(Y$51,tech_data!$B$2:$K$15,10,FALSE)*1000</f>
        <v>3343495.2142530843</v>
      </c>
      <c r="Z65" s="30">
        <f>G65*VLOOKUP(Z$51,tech_data!$B$2:$K$15,10,FALSE)*1000</f>
        <v>6277624.232510861</v>
      </c>
      <c r="AA65" s="30">
        <f>H41*VLOOKUP(AA$51,tech_data!$B$2:$K$15,10,FALSE)/1000</f>
        <v>3.3326070050252259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574244.26167187316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26314205.714415044</v>
      </c>
      <c r="AK65" s="25">
        <f t="shared" si="60"/>
        <v>3.1674149966655137E-2</v>
      </c>
      <c r="AL65" s="24">
        <f t="shared" si="65"/>
        <v>5.2999999999999999E-2</v>
      </c>
      <c r="AM65" s="26"/>
      <c r="AN65" s="24"/>
      <c r="AO65" s="20" t="str">
        <f t="shared" si="56"/>
        <v>KALIMANTAN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285.22605344925751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31.071080975797731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245.17133327945797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38.944127014318518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0.40225365835135152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34.848337991379665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3.0681223111014684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19.426809306049989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355.62755460300895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7.6063008202972098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0.18386370530588131</v>
      </c>
      <c r="BD65" s="30">
        <f t="shared" si="61"/>
        <v>1021.5758371143262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KALIMANTAN</v>
      </c>
      <c r="C66" s="20">
        <f t="shared" si="52"/>
        <v>2033</v>
      </c>
      <c r="D66" s="30">
        <f>(kalimantan!D42*3.6/(VLOOKUP(D$51,tech_data!$B$2:$J$15,4,FALSE)/100))/1000</f>
        <v>139.79025681191843</v>
      </c>
      <c r="E66" s="30">
        <f>(kalimantan!E42*3.6/(VLOOKUP(E$51,tech_data!$B$2:$J$15,4,FALSE)/100))/1000</f>
        <v>41.665343217534719</v>
      </c>
      <c r="F66" s="30">
        <f>(kalimantan!F42*3.6/(VLOOKUP(F$51,tech_data!$B$2:$J$15,4,FALSE)/100))/1000</f>
        <v>58.311026685821396</v>
      </c>
      <c r="G66" s="30">
        <f>(kalimantan!G42*3.6/(VLOOKUP(G$51,tech_data!$B$2:$J$15,4,FALSE)/100))/1000</f>
        <v>84.239410874331142</v>
      </c>
      <c r="H66" s="30">
        <f>(kalimantan!H42*3.6/(VLOOKUP(H$51,tech_data!$B$2:$J$15,4,FALSE)/100))/1000</f>
        <v>1.4128699544357077</v>
      </c>
      <c r="I66" s="30">
        <f>(kalimantan!I42*3.6/(VLOOKUP(I$51,tech_data!$B$2:$J$15,4,FALSE)/100))/1000</f>
        <v>15.502150862688692</v>
      </c>
      <c r="J66" s="30">
        <f>(kalimantan!J42*3.6/(VLOOKUP(J$51,tech_data!$B$2:$J$15,4,FALSE)/100))/1000</f>
        <v>1.6225382527966217</v>
      </c>
      <c r="K66" s="30">
        <f t="shared" ref="K66:L66" si="75">K42*3.6/1000</f>
        <v>11.912519466469853</v>
      </c>
      <c r="L66" s="30">
        <f t="shared" si="75"/>
        <v>18.934350253367626</v>
      </c>
      <c r="M66" s="30">
        <f>(kalimantan!M42*3.6/(VLOOKUP(M$51,tech_data!$B$2:$J$15,4,FALSE)/100))/1000</f>
        <v>5.1107534858657271</v>
      </c>
      <c r="N66" s="30">
        <f t="shared" si="58"/>
        <v>0</v>
      </c>
      <c r="O66" s="30">
        <f>(kalimantan!O42*3.6/(VLOOKUP(O$51,tech_data!$B$2:$J$15,4,FALSE)/100))/1000</f>
        <v>0</v>
      </c>
      <c r="P66" s="30">
        <v>0</v>
      </c>
      <c r="Q66" s="30">
        <f t="shared" si="53"/>
        <v>378.50121986522987</v>
      </c>
      <c r="R66" s="30"/>
      <c r="T66" s="19"/>
      <c r="U66" s="20" t="str">
        <f t="shared" si="54"/>
        <v>KALIMANTAN</v>
      </c>
      <c r="V66" s="20">
        <f t="shared" si="54"/>
        <v>2033</v>
      </c>
      <c r="W66" s="30">
        <f>D66*VLOOKUP(W$51,tech_data!$B$2:$K$15,10,FALSE)*1000</f>
        <v>13939884.409284504</v>
      </c>
      <c r="X66" s="30">
        <f>E66*VLOOKUP(X$51,tech_data!$B$2:$K$15,10,FALSE)*1000</f>
        <v>2587417.8138089059</v>
      </c>
      <c r="Y66" s="30">
        <f>F66*VLOOKUP(Y$51,tech_data!$B$2:$K$15,10,FALSE)*1000</f>
        <v>3621114.757189509</v>
      </c>
      <c r="Z66" s="30">
        <f>G66*VLOOKUP(Z$51,tech_data!$B$2:$K$15,10,FALSE)*1000</f>
        <v>6332276.515423472</v>
      </c>
      <c r="AA66" s="30">
        <f>H42*VLOOKUP(AA$51,tech_data!$B$2:$K$15,10,FALSE)/1000</f>
        <v>3.3326070050252259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574244.26167187316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27054941.08998527</v>
      </c>
      <c r="AK66" s="25">
        <f t="shared" si="60"/>
        <v>2.8149638397196544E-2</v>
      </c>
      <c r="AL66" s="24">
        <f t="shared" si="65"/>
        <v>5.2999999999999999E-2</v>
      </c>
      <c r="AM66" s="26"/>
      <c r="AN66" s="24"/>
      <c r="AO66" s="20" t="str">
        <f t="shared" si="56"/>
        <v>KALIMANTAN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277.43443052809403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31.071080975797727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248.85360459622308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31.81974480722532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0.40225365835135152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34.848337991379665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3.0681223111014684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19.426809306049989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360.14401545902803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7.6063008202972098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0.17793520769944415</v>
      </c>
      <c r="BD66" s="30">
        <f t="shared" si="61"/>
        <v>1014.8526356612473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KALIMANTAN</v>
      </c>
      <c r="C67" s="20">
        <f t="shared" si="52"/>
        <v>2034</v>
      </c>
      <c r="D67" s="30">
        <f>(kalimantan!D43*3.6/(VLOOKUP(D$51,tech_data!$B$2:$J$15,4,FALSE)/100))/1000</f>
        <v>144.8838913583283</v>
      </c>
      <c r="E67" s="30">
        <f>(kalimantan!E43*3.6/(VLOOKUP(E$51,tech_data!$B$2:$J$15,4,FALSE)/100))/1000</f>
        <v>41.665343217534719</v>
      </c>
      <c r="F67" s="30">
        <f>(kalimantan!F43*3.6/(VLOOKUP(F$51,tech_data!$B$2:$J$15,4,FALSE)/100))/1000</f>
        <v>63.546458148721236</v>
      </c>
      <c r="G67" s="30">
        <f>(kalimantan!G43*3.6/(VLOOKUP(G$51,tech_data!$B$2:$J$15,4,FALSE)/100))/1000</f>
        <v>85.423284237513926</v>
      </c>
      <c r="H67" s="30">
        <f>(kalimantan!H43*3.6/(VLOOKUP(H$51,tech_data!$B$2:$J$15,4,FALSE)/100))/1000</f>
        <v>1.4128699544357077</v>
      </c>
      <c r="I67" s="30">
        <f>(kalimantan!I43*3.6/(VLOOKUP(I$51,tech_data!$B$2:$J$15,4,FALSE)/100))/1000</f>
        <v>15.502150862688692</v>
      </c>
      <c r="J67" s="30">
        <f>(kalimantan!J43*3.6/(VLOOKUP(J$51,tech_data!$B$2:$J$15,4,FALSE)/100))/1000</f>
        <v>1.6225382527966217</v>
      </c>
      <c r="K67" s="30">
        <f t="shared" ref="K67:L67" si="76">K43*3.6/1000</f>
        <v>11.912519466469853</v>
      </c>
      <c r="L67" s="30">
        <f t="shared" si="76"/>
        <v>21.700228717662004</v>
      </c>
      <c r="M67" s="30">
        <f>(kalimantan!M43*3.6/(VLOOKUP(M$51,tech_data!$B$2:$J$15,4,FALSE)/100))/1000</f>
        <v>5.1107534858657271</v>
      </c>
      <c r="N67" s="30">
        <f t="shared" si="58"/>
        <v>0</v>
      </c>
      <c r="O67" s="30">
        <f>(kalimantan!O43*3.6/(VLOOKUP(O$51,tech_data!$B$2:$J$15,4,FALSE)/100))/1000</f>
        <v>0</v>
      </c>
      <c r="P67" s="30">
        <v>0</v>
      </c>
      <c r="Q67" s="30">
        <f t="shared" si="53"/>
        <v>392.78003770201678</v>
      </c>
      <c r="R67" s="30"/>
      <c r="T67" s="19"/>
      <c r="U67" s="20" t="str">
        <f t="shared" si="54"/>
        <v>KALIMANTAN</v>
      </c>
      <c r="V67" s="20">
        <f t="shared" si="54"/>
        <v>2034</v>
      </c>
      <c r="W67" s="30">
        <f>D67*VLOOKUP(W$51,tech_data!$B$2:$K$15,10,FALSE)*1000</f>
        <v>14447821.646252498</v>
      </c>
      <c r="X67" s="30">
        <f>E67*VLOOKUP(X$51,tech_data!$B$2:$K$15,10,FALSE)*1000</f>
        <v>2587417.8138089059</v>
      </c>
      <c r="Y67" s="30">
        <f>F67*VLOOKUP(Y$51,tech_data!$B$2:$K$15,10,FALSE)*1000</f>
        <v>3946235.0510355886</v>
      </c>
      <c r="Z67" s="30">
        <f>G67*VLOOKUP(Z$51,tech_data!$B$2:$K$15,10,FALSE)*1000</f>
        <v>6421268.2761339219</v>
      </c>
      <c r="AA67" s="30">
        <f>H43*VLOOKUP(AA$51,tech_data!$B$2:$K$15,10,FALSE)/1000</f>
        <v>3.3326070050252259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574244.26167187316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27976990.381509792</v>
      </c>
      <c r="AK67" s="25">
        <f t="shared" si="60"/>
        <v>3.4080624624454652E-2</v>
      </c>
      <c r="AL67" s="24">
        <f t="shared" si="65"/>
        <v>5.2999999999999999E-2</v>
      </c>
      <c r="AM67" s="26"/>
      <c r="AN67" s="24"/>
      <c r="AO67" s="20" t="str">
        <f t="shared" si="56"/>
        <v>KALIMANTAN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315.33054423137787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31.071080975797727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285.10261912364558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41.326458197088428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0.40225365835135152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34.848337991379665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3.0681223111014684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19.426809306049989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422.15819474500518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7.6063008202972098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0.20943249643235054</v>
      </c>
      <c r="BD67" s="30">
        <f t="shared" si="61"/>
        <v>1160.5501538565268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KALIMANTAN</v>
      </c>
      <c r="C68" s="20">
        <f t="shared" si="77"/>
        <v>2035</v>
      </c>
      <c r="D68" s="30">
        <f>(kalimantan!D44*3.6/(VLOOKUP(D$51,tech_data!$B$2:$J$15,4,FALSE)/100))/1000</f>
        <v>149.7453245855715</v>
      </c>
      <c r="E68" s="30">
        <f>(kalimantan!E44*3.6/(VLOOKUP(E$51,tech_data!$B$2:$J$15,4,FALSE)/100))/1000</f>
        <v>41.665343217534719</v>
      </c>
      <c r="F68" s="30">
        <f>(kalimantan!F44*3.6/(VLOOKUP(F$51,tech_data!$B$2:$J$15,4,FALSE)/100))/1000</f>
        <v>68.821398562401754</v>
      </c>
      <c r="G68" s="30">
        <f>(kalimantan!G44*3.6/(VLOOKUP(G$51,tech_data!$B$2:$J$15,4,FALSE)/100))/1000</f>
        <v>86.312846164640192</v>
      </c>
      <c r="H68" s="30">
        <f>(kalimantan!H44*3.6/(VLOOKUP(H$51,tech_data!$B$2:$J$15,4,FALSE)/100))/1000</f>
        <v>1.4128699544357077</v>
      </c>
      <c r="I68" s="30">
        <f>(kalimantan!I44*3.6/(VLOOKUP(I$51,tech_data!$B$2:$J$15,4,FALSE)/100))/1000</f>
        <v>15.502150862688692</v>
      </c>
      <c r="J68" s="30">
        <f>(kalimantan!J44*3.6/(VLOOKUP(J$51,tech_data!$B$2:$J$15,4,FALSE)/100))/1000</f>
        <v>1.6225382527966217</v>
      </c>
      <c r="K68" s="30">
        <f t="shared" ref="K68:L68" si="78">K44*3.6/1000</f>
        <v>11.912519466469853</v>
      </c>
      <c r="L68" s="30">
        <f t="shared" si="78"/>
        <v>24.466626110315772</v>
      </c>
      <c r="M68" s="30">
        <f>(kalimantan!M44*3.6/(VLOOKUP(M$51,tech_data!$B$2:$J$15,4,FALSE)/100))/1000</f>
        <v>5.1107534858657271</v>
      </c>
      <c r="N68" s="30">
        <f t="shared" si="58"/>
        <v>0</v>
      </c>
      <c r="O68" s="30">
        <f>(kalimantan!O44*3.6/(VLOOKUP(O$51,tech_data!$B$2:$J$15,4,FALSE)/100))/1000</f>
        <v>0</v>
      </c>
      <c r="P68" s="30">
        <v>0</v>
      </c>
      <c r="Q68" s="30">
        <f t="shared" si="53"/>
        <v>406.57237066272052</v>
      </c>
      <c r="R68" s="30"/>
      <c r="T68" s="19"/>
      <c r="U68" s="20" t="str">
        <f t="shared" si="54"/>
        <v>KALIMANTAN</v>
      </c>
      <c r="V68" s="20">
        <f t="shared" si="54"/>
        <v>2035</v>
      </c>
      <c r="W68" s="30">
        <f>D68*VLOOKUP(W$51,tech_data!$B$2:$K$15,10,FALSE)*1000</f>
        <v>14932603.767673189</v>
      </c>
      <c r="X68" s="30">
        <f>E68*VLOOKUP(X$51,tech_data!$B$2:$K$15,10,FALSE)*1000</f>
        <v>2587417.8138089059</v>
      </c>
      <c r="Y68" s="30">
        <f>F68*VLOOKUP(Y$51,tech_data!$B$2:$K$15,10,FALSE)*1000</f>
        <v>4273808.8507251488</v>
      </c>
      <c r="Z68" s="30">
        <f>G68*VLOOKUP(Z$51,tech_data!$B$2:$K$15,10,FALSE)*1000</f>
        <v>6488136.6461960031</v>
      </c>
      <c r="AA68" s="30">
        <f>H44*VLOOKUP(AA$51,tech_data!$B$2:$K$15,10,FALSE)/1000</f>
        <v>3.3326070050252259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574244.26167187316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28856214.672682125</v>
      </c>
      <c r="AK68" s="25">
        <f t="shared" si="60"/>
        <v>3.1426693121123533E-2</v>
      </c>
      <c r="AL68" s="24">
        <f t="shared" si="65"/>
        <v>5.2999999999999999E-2</v>
      </c>
      <c r="AM68" s="26"/>
      <c r="AN68" s="24"/>
      <c r="AO68" s="20" t="str">
        <f t="shared" si="56"/>
        <v>KALIMANTAN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312.70635722717469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31.071080975797727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293.65582716216181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35.536546820712928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0.40225365835135152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34.848337991379665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3.0681223111014684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19.426809306049989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435.0610042802536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7.6063008202972098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0.20770221845567621</v>
      </c>
      <c r="BD68" s="30">
        <f t="shared" si="61"/>
        <v>1173.5903427717365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KALIMANTAN</v>
      </c>
      <c r="C69" s="20">
        <f t="shared" si="77"/>
        <v>2036</v>
      </c>
      <c r="D69" s="30">
        <f>(kalimantan!D45*3.6/(VLOOKUP(D$51,tech_data!$B$2:$J$15,4,FALSE)/100))/1000</f>
        <v>155.35864121389852</v>
      </c>
      <c r="E69" s="30">
        <f>(kalimantan!E45*3.6/(VLOOKUP(E$51,tech_data!$B$2:$J$15,4,FALSE)/100))/1000</f>
        <v>41.665343217534719</v>
      </c>
      <c r="F69" s="30">
        <f>(kalimantan!F45*3.6/(VLOOKUP(F$51,tech_data!$B$2:$J$15,4,FALSE)/100))/1000</f>
        <v>74.764005302375892</v>
      </c>
      <c r="G69" s="30">
        <f>(kalimantan!G45*3.6/(VLOOKUP(G$51,tech_data!$B$2:$J$15,4,FALSE)/100))/1000</f>
        <v>87.468015512683579</v>
      </c>
      <c r="H69" s="30">
        <f>(kalimantan!H45*3.6/(VLOOKUP(H$51,tech_data!$B$2:$J$15,4,FALSE)/100))/1000</f>
        <v>1.4128699544357077</v>
      </c>
      <c r="I69" s="30">
        <f>(kalimantan!I45*3.6/(VLOOKUP(I$51,tech_data!$B$2:$J$15,4,FALSE)/100))/1000</f>
        <v>15.502150862688692</v>
      </c>
      <c r="J69" s="30">
        <f>(kalimantan!J45*3.6/(VLOOKUP(J$51,tech_data!$B$2:$J$15,4,FALSE)/100))/1000</f>
        <v>3.3427101346037138</v>
      </c>
      <c r="K69" s="30">
        <f t="shared" ref="K69:L69" si="79">K45*3.6/1000</f>
        <v>11.912519466469853</v>
      </c>
      <c r="L69" s="30">
        <f t="shared" si="79"/>
        <v>26.217308435588656</v>
      </c>
      <c r="M69" s="30">
        <f>(kalimantan!M45*3.6/(VLOOKUP(M$51,tech_data!$B$2:$J$15,4,FALSE)/100))/1000</f>
        <v>5.1107534858657271</v>
      </c>
      <c r="N69" s="30">
        <f t="shared" si="58"/>
        <v>0</v>
      </c>
      <c r="O69" s="30">
        <f>(kalimantan!O45*3.6/(VLOOKUP(O$51,tech_data!$B$2:$J$15,4,FALSE)/100))/1000</f>
        <v>0</v>
      </c>
      <c r="P69" s="30">
        <v>0</v>
      </c>
      <c r="Q69" s="30">
        <f t="shared" si="53"/>
        <v>422.75431758614502</v>
      </c>
      <c r="R69" s="30"/>
      <c r="T69" s="19"/>
      <c r="U69" s="20" t="str">
        <f t="shared" si="54"/>
        <v>KALIMANTAN</v>
      </c>
      <c r="V69" s="20">
        <f t="shared" si="54"/>
        <v>2036</v>
      </c>
      <c r="W69" s="30">
        <f>D69*VLOOKUP(W$51,tech_data!$B$2:$K$15,10,FALSE)*1000</f>
        <v>15492363.701849962</v>
      </c>
      <c r="X69" s="30">
        <f>E69*VLOOKUP(X$51,tech_data!$B$2:$K$15,10,FALSE)*1000</f>
        <v>2587417.8138089059</v>
      </c>
      <c r="Y69" s="30">
        <f>F69*VLOOKUP(Y$51,tech_data!$B$2:$K$15,10,FALSE)*1000</f>
        <v>4642844.7292775428</v>
      </c>
      <c r="Z69" s="30">
        <f>G69*VLOOKUP(Z$51,tech_data!$B$2:$K$15,10,FALSE)*1000</f>
        <v>6574970.7260884251</v>
      </c>
      <c r="AA69" s="30">
        <f>H45*VLOOKUP(AA$51,tech_data!$B$2:$K$15,10,FALSE)/1000</f>
        <v>3.3326070050252259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574244.26167187316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29871844.565303713</v>
      </c>
      <c r="AK69" s="25">
        <f t="shared" si="60"/>
        <v>3.5196227368764141E-2</v>
      </c>
      <c r="AL69" s="24">
        <f t="shared" si="65"/>
        <v>5.2999999999999999E-2</v>
      </c>
      <c r="AM69" s="26"/>
      <c r="AN69" s="24"/>
      <c r="AO69" s="20" t="str">
        <f t="shared" si="56"/>
        <v>KALIMANTAN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343.08839499267162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31.071080975797727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327.12915049854183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41.15856063390995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0.40225365835135152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34.848337991379665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171.86405963738861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19.426809306049989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325.15344637157017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7.6063008202972098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0.21498032886441593</v>
      </c>
      <c r="BD69" s="30">
        <f t="shared" si="61"/>
        <v>1301.9633752148227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KALIMANTAN</v>
      </c>
      <c r="C70" s="20">
        <f t="shared" si="77"/>
        <v>2037</v>
      </c>
      <c r="D70" s="30">
        <f>(kalimantan!D46*3.6/(VLOOKUP(D$51,tech_data!$B$2:$J$15,4,FALSE)/100))/1000</f>
        <v>160.96830650579597</v>
      </c>
      <c r="E70" s="30">
        <f>(kalimantan!E46*3.6/(VLOOKUP(E$51,tech_data!$B$2:$J$15,4,FALSE)/100))/1000</f>
        <v>41.665343217534762</v>
      </c>
      <c r="F70" s="30">
        <f>(kalimantan!F46*3.6/(VLOOKUP(F$51,tech_data!$B$2:$J$15,4,FALSE)/100))/1000</f>
        <v>80.914355083445983</v>
      </c>
      <c r="G70" s="30">
        <f>(kalimantan!G46*3.6/(VLOOKUP(G$51,tech_data!$B$2:$J$15,4,FALSE)/100))/1000</f>
        <v>88.439609104883175</v>
      </c>
      <c r="H70" s="30">
        <f>(kalimantan!H46*3.6/(VLOOKUP(H$51,tech_data!$B$2:$J$15,4,FALSE)/100))/1000</f>
        <v>1.4128699544357077</v>
      </c>
      <c r="I70" s="30">
        <f>(kalimantan!I46*3.6/(VLOOKUP(I$51,tech_data!$B$2:$J$15,4,FALSE)/100))/1000</f>
        <v>15.502150862688692</v>
      </c>
      <c r="J70" s="30">
        <f>(kalimantan!J46*3.6/(VLOOKUP(J$51,tech_data!$B$2:$J$15,4,FALSE)/100))/1000</f>
        <v>6.2748948691844504</v>
      </c>
      <c r="K70" s="30">
        <f t="shared" ref="K70:L70" si="80">K46*3.6/1000</f>
        <v>11.912519466469853</v>
      </c>
      <c r="L70" s="30">
        <f t="shared" si="80"/>
        <v>27.092649598225098</v>
      </c>
      <c r="M70" s="30">
        <f>(kalimantan!M46*3.6/(VLOOKUP(M$51,tech_data!$B$2:$J$15,4,FALSE)/100))/1000</f>
        <v>5.1107534858657271</v>
      </c>
      <c r="N70" s="30">
        <f t="shared" si="58"/>
        <v>0</v>
      </c>
      <c r="O70" s="30">
        <f>(kalimantan!O46*3.6/(VLOOKUP(O$51,tech_data!$B$2:$J$15,4,FALSE)/100))/1000</f>
        <v>0</v>
      </c>
      <c r="P70" s="30">
        <v>0</v>
      </c>
      <c r="Q70" s="30">
        <f t="shared" si="53"/>
        <v>439.29345214852935</v>
      </c>
      <c r="R70" s="30"/>
      <c r="T70" s="19"/>
      <c r="U70" s="20" t="str">
        <f t="shared" si="54"/>
        <v>KALIMANTAN</v>
      </c>
      <c r="V70" s="20">
        <f t="shared" si="54"/>
        <v>2037</v>
      </c>
      <c r="W70" s="30">
        <f>D70*VLOOKUP(W$51,tech_data!$B$2:$K$15,10,FALSE)*1000</f>
        <v>16051759.524757974</v>
      </c>
      <c r="X70" s="30">
        <f>E70*VLOOKUP(X$51,tech_data!$B$2:$K$15,10,FALSE)*1000</f>
        <v>2587417.8138089087</v>
      </c>
      <c r="Y70" s="30">
        <f>F70*VLOOKUP(Y$51,tech_data!$B$2:$K$15,10,FALSE)*1000</f>
        <v>5024781.4506819956</v>
      </c>
      <c r="Z70" s="30">
        <f>G70*VLOOKUP(Z$51,tech_data!$B$2:$K$15,10,FALSE)*1000</f>
        <v>6648005.4164140681</v>
      </c>
      <c r="AA70" s="30">
        <f>H46*VLOOKUP(AA$51,tech_data!$B$2:$K$15,10,FALSE)/1000</f>
        <v>3.3326070050252259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574244.26167187316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30886211.799941827</v>
      </c>
      <c r="AK70" s="25">
        <f t="shared" si="60"/>
        <v>3.3957301579437979E-2</v>
      </c>
      <c r="AL70" s="24">
        <f t="shared" si="65"/>
        <v>5.2999999999999999E-2</v>
      </c>
      <c r="AM70" s="26"/>
      <c r="AN70" s="24"/>
      <c r="AO70" s="20" t="str">
        <f t="shared" si="56"/>
        <v>KALIMANTAN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348.71762011498083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31.071080975798598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343.28643363044586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37.631575175870985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0.40225365835135152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34.848337991379665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294.0484311283418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19.426809306049989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227.4949231857851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7.6063008202972098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0.20697283114077547</v>
      </c>
      <c r="BD70" s="30">
        <f t="shared" si="61"/>
        <v>1344.7407388184427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KALIMANTAN</v>
      </c>
      <c r="C71" s="20">
        <f t="shared" si="77"/>
        <v>2038</v>
      </c>
      <c r="D71" s="30">
        <f>(kalimantan!D47*3.6/(VLOOKUP(D$51,tech_data!$B$2:$J$15,4,FALSE)/100))/1000</f>
        <v>167.42947079799194</v>
      </c>
      <c r="E71" s="30">
        <f>(kalimantan!E47*3.6/(VLOOKUP(E$51,tech_data!$B$2:$J$15,4,FALSE)/100))/1000</f>
        <v>41.665343217534762</v>
      </c>
      <c r="F71" s="30">
        <f>(kalimantan!F47*3.6/(VLOOKUP(F$51,tech_data!$B$2:$J$15,4,FALSE)/100))/1000</f>
        <v>87.855698942567642</v>
      </c>
      <c r="G71" s="30">
        <f>(kalimantan!G47*3.6/(VLOOKUP(G$51,tech_data!$B$2:$J$15,4,FALSE)/100))/1000</f>
        <v>89.681854620018953</v>
      </c>
      <c r="H71" s="30">
        <f>(kalimantan!H47*3.6/(VLOOKUP(H$51,tech_data!$B$2:$J$15,4,FALSE)/100))/1000</f>
        <v>1.4128699544357077</v>
      </c>
      <c r="I71" s="30">
        <f>(kalimantan!I47*3.6/(VLOOKUP(I$51,tech_data!$B$2:$J$15,4,FALSE)/100))/1000</f>
        <v>15.502150862688692</v>
      </c>
      <c r="J71" s="30">
        <f>(kalimantan!J47*3.6/(VLOOKUP(J$51,tech_data!$B$2:$J$15,4,FALSE)/100))/1000</f>
        <v>10.284227891380345</v>
      </c>
      <c r="K71" s="30">
        <f t="shared" ref="K71:L71" si="81">K47*3.6/1000</f>
        <v>11.912519466469853</v>
      </c>
      <c r="L71" s="30">
        <f t="shared" si="81"/>
        <v>27.530320179543317</v>
      </c>
      <c r="M71" s="30">
        <f>(kalimantan!M47*3.6/(VLOOKUP(M$51,tech_data!$B$2:$J$15,4,FALSE)/100))/1000</f>
        <v>5.1107534858657271</v>
      </c>
      <c r="N71" s="30">
        <f t="shared" si="58"/>
        <v>0</v>
      </c>
      <c r="O71" s="30">
        <f>(kalimantan!O47*3.6/(VLOOKUP(O$51,tech_data!$B$2:$J$15,4,FALSE)/100))/1000</f>
        <v>0</v>
      </c>
      <c r="P71" s="30">
        <v>0</v>
      </c>
      <c r="Q71" s="30">
        <f t="shared" si="53"/>
        <v>458.38520941849691</v>
      </c>
      <c r="R71" s="30"/>
      <c r="T71" s="19"/>
      <c r="U71" s="20" t="str">
        <f t="shared" si="54"/>
        <v>KALIMANTAN</v>
      </c>
      <c r="V71" s="20">
        <f t="shared" si="54"/>
        <v>2038</v>
      </c>
      <c r="W71" s="30">
        <f>D71*VLOOKUP(W$51,tech_data!$B$2:$K$15,10,FALSE)*1000</f>
        <v>16696066.827975756</v>
      </c>
      <c r="X71" s="30">
        <f>E71*VLOOKUP(X$51,tech_data!$B$2:$K$15,10,FALSE)*1000</f>
        <v>2587417.8138089087</v>
      </c>
      <c r="Y71" s="30">
        <f>F71*VLOOKUP(Y$51,tech_data!$B$2:$K$15,10,FALSE)*1000</f>
        <v>5455838.9043334508</v>
      </c>
      <c r="Z71" s="30">
        <f>G71*VLOOKUP(Z$51,tech_data!$B$2:$K$15,10,FALSE)*1000</f>
        <v>6741385.011786825</v>
      </c>
      <c r="AA71" s="30">
        <f>H47*VLOOKUP(AA$51,tech_data!$B$2:$K$15,10,FALSE)/1000</f>
        <v>3.3326070050252259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574244.26167187316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32054956.15218382</v>
      </c>
      <c r="AK71" s="25">
        <f t="shared" si="60"/>
        <v>3.7840326933333862E-2</v>
      </c>
      <c r="AL71" s="24">
        <f>AL70</f>
        <v>5.2999999999999999E-2</v>
      </c>
      <c r="AM71" s="26"/>
      <c r="AN71" s="24"/>
      <c r="AO71" s="20" t="str">
        <f t="shared" si="56"/>
        <v>KALIMANTAN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383.23165000947802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31.071080975797752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382.81067584529592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43.373564261241654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0.40225365835135152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34.848337991379665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405.29074141103018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19.426809306049989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178.66566159289252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7.6063008202972098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0.22495928802972323</v>
      </c>
      <c r="BD71" s="30">
        <f t="shared" si="61"/>
        <v>1486.9520351598442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KALIMANTAN</v>
      </c>
      <c r="C76" s="20">
        <f t="shared" si="82"/>
        <v>2019</v>
      </c>
      <c r="D76" s="30">
        <f>D28*3.6/1000</f>
        <v>42.778202064000006</v>
      </c>
      <c r="E76" s="30">
        <f t="shared" ref="E76:O76" si="83">E28*3.6/1000</f>
        <v>5.7578758448233849</v>
      </c>
      <c r="F76" s="30">
        <f t="shared" si="83"/>
        <v>0.59777700923076915</v>
      </c>
      <c r="G76" s="30">
        <f t="shared" si="83"/>
        <v>31.026942782916922</v>
      </c>
      <c r="H76" s="30">
        <f t="shared" si="83"/>
        <v>0</v>
      </c>
      <c r="I76" s="30">
        <f t="shared" si="83"/>
        <v>4.2234242559507695</v>
      </c>
      <c r="J76" s="30">
        <f t="shared" si="83"/>
        <v>7.3727868849230785E-2</v>
      </c>
      <c r="K76" s="30">
        <f t="shared" si="83"/>
        <v>4.0397616000000004E-3</v>
      </c>
      <c r="L76" s="30">
        <f t="shared" si="83"/>
        <v>0</v>
      </c>
      <c r="M76" s="30">
        <f t="shared" si="83"/>
        <v>0.87890922969230767</v>
      </c>
      <c r="N76" s="30">
        <f t="shared" si="83"/>
        <v>0</v>
      </c>
      <c r="O76" s="30">
        <f t="shared" si="83"/>
        <v>0</v>
      </c>
      <c r="P76" s="30">
        <f>(kalimantan!P52*3.6/(VLOOKUP(P$51,tech_data!$B$2:$J$15,4,FALSE)/100))/1000</f>
        <v>0</v>
      </c>
      <c r="Q76" s="30">
        <f t="shared" ref="Q76:Q95" si="84">SUM(D76:O76)</f>
        <v>85.34089881706339</v>
      </c>
      <c r="R76" s="30"/>
      <c r="S76" s="23"/>
      <c r="T76" s="19"/>
      <c r="U76" s="20" t="str">
        <f t="shared" ref="U76:V91" si="85">U28</f>
        <v>KALIMANTAN</v>
      </c>
      <c r="V76" s="20">
        <f t="shared" si="85"/>
        <v>2019</v>
      </c>
      <c r="W76" s="30">
        <f>D52*(1-(VLOOKUP(W$75,tech_data!$B$2:$O$15,4,FALSE)/100))</f>
        <v>67.855079136000001</v>
      </c>
      <c r="X76" s="30">
        <f>E52*(1-(VLOOKUP(X$75,tech_data!$B$2:$O$15,4,FALSE)/100))</f>
        <v>10.385701290195453</v>
      </c>
      <c r="Y76" s="30">
        <f>F52*(1-(VLOOKUP(Y$75,tech_data!$B$2:$O$15,4,FALSE)/100))</f>
        <v>0.42698357802197795</v>
      </c>
      <c r="Z76" s="30">
        <f>G52*(1-(VLOOKUP(Z$75,tech_data!$B$2:$O$15,4,FALSE)/100))</f>
        <v>36.422932832119869</v>
      </c>
      <c r="AA76" s="30">
        <f>H52*(1-(VLOOKUP(AA$75,tech_data!$B$2:$O$15,4,FALSE)/100))</f>
        <v>0</v>
      </c>
      <c r="AB76" s="30">
        <f>I52*(1-(VLOOKUP(AB$75,tech_data!$B$2:$O$15,4,FALSE)/100))</f>
        <v>0.22228548715530383</v>
      </c>
      <c r="AC76" s="30">
        <f>J52*(1-(VLOOKUP(AC$75,tech_data!$B$2:$O$15,4,FALSE)/100))</f>
        <v>1.8431967212307693E-2</v>
      </c>
      <c r="AD76" s="30">
        <f>K52*(1-(VLOOKUP(AD$75,tech_data!$B$2:$O$15,4,FALSE)/100))</f>
        <v>3.3933997440000001E-3</v>
      </c>
      <c r="AE76" s="30">
        <f>L52*(1-(VLOOKUP(AE$75,tech_data!$B$2:$O$15,4,FALSE)/100))</f>
        <v>0</v>
      </c>
      <c r="AF76" s="30">
        <f>M52*(1-(VLOOKUP(AF$75,tech_data!$B$2:$O$15,4,FALSE)/100))</f>
        <v>1.9562818338312653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(kalimantan!AI52*3.6/(VLOOKUP(AI$51,tech_data!$B$2:$J$15,4,FALSE)/100))/1000</f>
        <v>0</v>
      </c>
      <c r="AJ76" s="30">
        <f t="shared" ref="AJ76:AJ95" si="86">SUM(W76:AH76)</f>
        <v>117.29108952428018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KALIMANTAN</v>
      </c>
      <c r="C77" s="20">
        <f t="shared" si="82"/>
        <v>2020</v>
      </c>
      <c r="D77" s="30">
        <f t="shared" ref="D77:O92" si="87">D29*3.6/1000</f>
        <v>46.476990810612328</v>
      </c>
      <c r="E77" s="30">
        <f t="shared" si="87"/>
        <v>5.7578758448233849</v>
      </c>
      <c r="F77" s="30">
        <f t="shared" si="87"/>
        <v>2.6431304191003497</v>
      </c>
      <c r="G77" s="30">
        <f t="shared" si="87"/>
        <v>31.026942782916922</v>
      </c>
      <c r="H77" s="30">
        <f t="shared" si="87"/>
        <v>0</v>
      </c>
      <c r="I77" s="30">
        <f t="shared" si="87"/>
        <v>4.2235373156180716</v>
      </c>
      <c r="J77" s="30">
        <f t="shared" si="87"/>
        <v>1.2796427208190102</v>
      </c>
      <c r="K77" s="30">
        <f t="shared" si="87"/>
        <v>6.7150293591014467</v>
      </c>
      <c r="L77" s="30">
        <f t="shared" si="87"/>
        <v>0.36744612141705624</v>
      </c>
      <c r="M77" s="30">
        <f t="shared" si="87"/>
        <v>0.87890922969230767</v>
      </c>
      <c r="N77" s="30">
        <f t="shared" si="87"/>
        <v>0</v>
      </c>
      <c r="O77" s="30">
        <f t="shared" si="87"/>
        <v>0</v>
      </c>
      <c r="P77" s="30">
        <f>(kalimantan!P53*3.6/(VLOOKUP(P$51,tech_data!$B$2:$J$15,4,FALSE)/100))/1000</f>
        <v>0</v>
      </c>
      <c r="Q77" s="30">
        <f t="shared" si="84"/>
        <v>99.369504604100896</v>
      </c>
      <c r="R77" s="30"/>
      <c r="S77" s="23"/>
      <c r="T77" s="19"/>
      <c r="U77" s="20" t="str">
        <f t="shared" si="85"/>
        <v>KALIMANTAN</v>
      </c>
      <c r="V77" s="20">
        <f t="shared" si="85"/>
        <v>2020</v>
      </c>
      <c r="W77" s="30">
        <f>D53*(1-(VLOOKUP(W$75,tech_data!$B$2:$O$15,4,FALSE)/100))</f>
        <v>73.722123354764378</v>
      </c>
      <c r="X77" s="30">
        <f>E53*(1-(VLOOKUP(X$75,tech_data!$B$2:$O$15,4,FALSE)/100))</f>
        <v>10.385701290195453</v>
      </c>
      <c r="Y77" s="30">
        <f>F53*(1-(VLOOKUP(Y$75,tech_data!$B$2:$O$15,4,FALSE)/100))</f>
        <v>1.8879502993573922</v>
      </c>
      <c r="Z77" s="30">
        <f>G53*(1-(VLOOKUP(Z$75,tech_data!$B$2:$O$15,4,FALSE)/100))</f>
        <v>36.422932832119869</v>
      </c>
      <c r="AA77" s="30">
        <f>H53*(1-(VLOOKUP(AA$75,tech_data!$B$2:$O$15,4,FALSE)/100))</f>
        <v>0</v>
      </c>
      <c r="AB77" s="30">
        <f>I53*(1-(VLOOKUP(AB$75,tech_data!$B$2:$O$15,4,FALSE)/100))</f>
        <v>0.22229143766410922</v>
      </c>
      <c r="AC77" s="30">
        <f>J53*(1-(VLOOKUP(AC$75,tech_data!$B$2:$O$15,4,FALSE)/100))</f>
        <v>0.31991068020475244</v>
      </c>
      <c r="AD77" s="30">
        <f>K53*(1-(VLOOKUP(AD$75,tech_data!$B$2:$O$15,4,FALSE)/100))</f>
        <v>5.6406246616452149</v>
      </c>
      <c r="AE77" s="30">
        <f>L53*(1-(VLOOKUP(AE$75,tech_data!$B$2:$O$15,4,FALSE)/100))</f>
        <v>0.14955057141674191</v>
      </c>
      <c r="AF77" s="30">
        <f>M53*(1-(VLOOKUP(AF$75,tech_data!$B$2:$O$15,4,FALSE)/100))</f>
        <v>1.9562818338312653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(kalimantan!AI53*3.6/(VLOOKUP(AI$51,tech_data!$B$2:$J$15,4,FALSE)/100))/1000</f>
        <v>0</v>
      </c>
      <c r="AJ77" s="30">
        <f t="shared" si="86"/>
        <v>130.70736696119917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KALIMANTAN</v>
      </c>
      <c r="C78" s="20">
        <f t="shared" si="82"/>
        <v>2021</v>
      </c>
      <c r="D78" s="30">
        <f t="shared" si="87"/>
        <v>48.592475181123852</v>
      </c>
      <c r="E78" s="30">
        <f t="shared" si="87"/>
        <v>5.7578758448233849</v>
      </c>
      <c r="F78" s="30">
        <f t="shared" si="87"/>
        <v>9.2614893624755759</v>
      </c>
      <c r="G78" s="30">
        <f t="shared" si="87"/>
        <v>31.026942782916922</v>
      </c>
      <c r="H78" s="30">
        <f t="shared" si="87"/>
        <v>0</v>
      </c>
      <c r="I78" s="30">
        <f t="shared" si="87"/>
        <v>8.0392767008787001</v>
      </c>
      <c r="J78" s="30">
        <f t="shared" si="87"/>
        <v>1.2796426995103776</v>
      </c>
      <c r="K78" s="30">
        <f t="shared" si="87"/>
        <v>6.715025563483457</v>
      </c>
      <c r="L78" s="30">
        <f t="shared" si="87"/>
        <v>0.36744610129797273</v>
      </c>
      <c r="M78" s="30">
        <f t="shared" si="87"/>
        <v>0.87890922969230767</v>
      </c>
      <c r="N78" s="30">
        <f t="shared" si="87"/>
        <v>0</v>
      </c>
      <c r="O78" s="30">
        <f t="shared" si="87"/>
        <v>0</v>
      </c>
      <c r="P78" s="30">
        <f>(kalimantan!P54*3.6/(VLOOKUP(P$51,tech_data!$B$2:$J$15,4,FALSE)/100))/1000</f>
        <v>0</v>
      </c>
      <c r="Q78" s="30">
        <f t="shared" si="84"/>
        <v>111.91908346620254</v>
      </c>
      <c r="R78" s="30"/>
      <c r="S78" s="23"/>
      <c r="T78" s="19"/>
      <c r="U78" s="20" t="str">
        <f t="shared" si="85"/>
        <v>KALIMANTAN</v>
      </c>
      <c r="V78" s="20">
        <f t="shared" si="85"/>
        <v>2021</v>
      </c>
      <c r="W78" s="30">
        <f>D54*(1-(VLOOKUP(W$75,tech_data!$B$2:$O$15,4,FALSE)/100))</f>
        <v>77.077719252817133</v>
      </c>
      <c r="X78" s="30">
        <f>E54*(1-(VLOOKUP(X$75,tech_data!$B$2:$O$15,4,FALSE)/100))</f>
        <v>10.385701290195453</v>
      </c>
      <c r="Y78" s="30">
        <f>F54*(1-(VLOOKUP(Y$75,tech_data!$B$2:$O$15,4,FALSE)/100))</f>
        <v>6.6153495446254098</v>
      </c>
      <c r="Z78" s="30">
        <f>G54*(1-(VLOOKUP(Z$75,tech_data!$B$2:$O$15,4,FALSE)/100))</f>
        <v>36.422932832119869</v>
      </c>
      <c r="AA78" s="30">
        <f>H54*(1-(VLOOKUP(AA$75,tech_data!$B$2:$O$15,4,FALSE)/100))</f>
        <v>0</v>
      </c>
      <c r="AB78" s="30">
        <f>I54*(1-(VLOOKUP(AB$75,tech_data!$B$2:$O$15,4,FALSE)/100))</f>
        <v>0.42311982636203727</v>
      </c>
      <c r="AC78" s="30">
        <f>J54*(1-(VLOOKUP(AC$75,tech_data!$B$2:$O$15,4,FALSE)/100))</f>
        <v>0.31991067487759434</v>
      </c>
      <c r="AD78" s="30">
        <f>K54*(1-(VLOOKUP(AD$75,tech_data!$B$2:$O$15,4,FALSE)/100))</f>
        <v>5.640621473326104</v>
      </c>
      <c r="AE78" s="30">
        <f>L54*(1-(VLOOKUP(AE$75,tech_data!$B$2:$O$15,4,FALSE)/100))</f>
        <v>0.14955056322827492</v>
      </c>
      <c r="AF78" s="30">
        <f>M54*(1-(VLOOKUP(AF$75,tech_data!$B$2:$O$15,4,FALSE)/100))</f>
        <v>1.9562818338312653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(kalimantan!AI54*3.6/(VLOOKUP(AI$51,tech_data!$B$2:$J$15,4,FALSE)/100))/1000</f>
        <v>0</v>
      </c>
      <c r="AJ78" s="30">
        <f t="shared" si="86"/>
        <v>138.99118729138314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KALIMANTAN</v>
      </c>
      <c r="C79" s="20">
        <f t="shared" si="82"/>
        <v>2022</v>
      </c>
      <c r="D79" s="30">
        <f t="shared" si="87"/>
        <v>50.571371113155109</v>
      </c>
      <c r="E79" s="30">
        <f t="shared" si="87"/>
        <v>5.7578758448233849</v>
      </c>
      <c r="F79" s="30">
        <f t="shared" si="87"/>
        <v>16.997533903342767</v>
      </c>
      <c r="G79" s="30">
        <f t="shared" si="87"/>
        <v>31.026942782916922</v>
      </c>
      <c r="H79" s="30">
        <f t="shared" si="87"/>
        <v>0</v>
      </c>
      <c r="I79" s="30">
        <f t="shared" si="87"/>
        <v>8.0545304305116687</v>
      </c>
      <c r="J79" s="30">
        <f t="shared" si="87"/>
        <v>1.2796400406858004</v>
      </c>
      <c r="K79" s="30">
        <f t="shared" si="87"/>
        <v>11.294985809040352</v>
      </c>
      <c r="L79" s="30">
        <f t="shared" si="87"/>
        <v>0.36744438629224635</v>
      </c>
      <c r="M79" s="30">
        <f t="shared" si="87"/>
        <v>0.87890922969230767</v>
      </c>
      <c r="N79" s="30">
        <f t="shared" si="87"/>
        <v>0</v>
      </c>
      <c r="O79" s="30">
        <f t="shared" si="87"/>
        <v>0</v>
      </c>
      <c r="P79" s="30">
        <f>(kalimantan!P55*3.6/(VLOOKUP(P$51,tech_data!$B$2:$J$15,4,FALSE)/100))/1000</f>
        <v>0</v>
      </c>
      <c r="Q79" s="30">
        <f t="shared" si="84"/>
        <v>126.22923354046058</v>
      </c>
      <c r="R79" s="30"/>
      <c r="S79" s="23"/>
      <c r="T79" s="19"/>
      <c r="U79" s="20" t="str">
        <f t="shared" si="85"/>
        <v>KALIMANTAN</v>
      </c>
      <c r="V79" s="20">
        <f t="shared" si="85"/>
        <v>2022</v>
      </c>
      <c r="W79" s="30">
        <f>D55*(1-(VLOOKUP(W$75,tech_data!$B$2:$O$15,4,FALSE)/100))</f>
        <v>80.216657627763283</v>
      </c>
      <c r="X79" s="30">
        <f>E55*(1-(VLOOKUP(X$75,tech_data!$B$2:$O$15,4,FALSE)/100))</f>
        <v>10.385701290195453</v>
      </c>
      <c r="Y79" s="30">
        <f>F55*(1-(VLOOKUP(Y$75,tech_data!$B$2:$O$15,4,FALSE)/100))</f>
        <v>12.14109564524483</v>
      </c>
      <c r="Z79" s="30">
        <f>G55*(1-(VLOOKUP(Z$75,tech_data!$B$2:$O$15,4,FALSE)/100))</f>
        <v>36.422932832119869</v>
      </c>
      <c r="AA79" s="30">
        <f>H55*(1-(VLOOKUP(AA$75,tech_data!$B$2:$O$15,4,FALSE)/100))</f>
        <v>0</v>
      </c>
      <c r="AB79" s="30">
        <f>I55*(1-(VLOOKUP(AB$75,tech_data!$B$2:$O$15,4,FALSE)/100))</f>
        <v>0.42392265423745656</v>
      </c>
      <c r="AC79" s="30">
        <f>J55*(1-(VLOOKUP(AC$75,tech_data!$B$2:$O$15,4,FALSE)/100))</f>
        <v>0.31991001017145004</v>
      </c>
      <c r="AD79" s="30">
        <f>K55*(1-(VLOOKUP(AD$75,tech_data!$B$2:$O$15,4,FALSE)/100))</f>
        <v>9.4877880795938943</v>
      </c>
      <c r="AE79" s="30">
        <f>L55*(1-(VLOOKUP(AE$75,tech_data!$B$2:$O$15,4,FALSE)/100))</f>
        <v>0.14954986522094427</v>
      </c>
      <c r="AF79" s="30">
        <f>M55*(1-(VLOOKUP(AF$75,tech_data!$B$2:$O$15,4,FALSE)/100))</f>
        <v>1.9562818338312653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(kalimantan!AI55*3.6/(VLOOKUP(AI$51,tech_data!$B$2:$J$15,4,FALSE)/100))/1000</f>
        <v>0</v>
      </c>
      <c r="AJ79" s="30">
        <f t="shared" si="86"/>
        <v>151.50383983837844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KALIMANTAN</v>
      </c>
      <c r="C80" s="20">
        <f t="shared" si="82"/>
        <v>2023</v>
      </c>
      <c r="D80" s="30">
        <f t="shared" si="87"/>
        <v>50.571371113155109</v>
      </c>
      <c r="E80" s="30">
        <f t="shared" si="87"/>
        <v>11.814759889450643</v>
      </c>
      <c r="F80" s="30">
        <f t="shared" si="87"/>
        <v>16.997535033441135</v>
      </c>
      <c r="G80" s="30">
        <f t="shared" si="87"/>
        <v>31.026942782916944</v>
      </c>
      <c r="H80" s="30">
        <f t="shared" si="87"/>
        <v>1.3253948424775115E-3</v>
      </c>
      <c r="I80" s="30">
        <f t="shared" si="87"/>
        <v>10.867366388240862</v>
      </c>
      <c r="J80" s="30">
        <f t="shared" si="87"/>
        <v>1.2796387324405725</v>
      </c>
      <c r="K80" s="30">
        <f t="shared" si="87"/>
        <v>11.911761001448284</v>
      </c>
      <c r="L80" s="30">
        <f t="shared" si="87"/>
        <v>0.82429478437083215</v>
      </c>
      <c r="M80" s="30">
        <f t="shared" si="87"/>
        <v>1.3856138732550765</v>
      </c>
      <c r="N80" s="30">
        <f t="shared" si="87"/>
        <v>0</v>
      </c>
      <c r="O80" s="30">
        <f t="shared" si="87"/>
        <v>0</v>
      </c>
      <c r="P80" s="30">
        <f>(kalimantan!P56*3.6/(VLOOKUP(P$51,tech_data!$B$2:$J$15,4,FALSE)/100))/1000</f>
        <v>0</v>
      </c>
      <c r="Q80" s="30">
        <f t="shared" si="84"/>
        <v>136.68060899356195</v>
      </c>
      <c r="R80" s="30"/>
      <c r="S80" s="23"/>
      <c r="T80" s="19"/>
      <c r="U80" s="20" t="str">
        <f t="shared" si="85"/>
        <v>KALIMANTAN</v>
      </c>
      <c r="V80" s="20">
        <f t="shared" si="85"/>
        <v>2023</v>
      </c>
      <c r="W80" s="30">
        <f>D56*(1-(VLOOKUP(W$75,tech_data!$B$2:$O$15,4,FALSE)/100))</f>
        <v>80.216657627763283</v>
      </c>
      <c r="X80" s="30">
        <f>E56*(1-(VLOOKUP(X$75,tech_data!$B$2:$O$15,4,FALSE)/100))</f>
        <v>21.310735127700699</v>
      </c>
      <c r="Y80" s="30">
        <f>F56*(1-(VLOOKUP(Y$75,tech_data!$B$2:$O$15,4,FALSE)/100))</f>
        <v>12.141096452457949</v>
      </c>
      <c r="Z80" s="30">
        <f>G56*(1-(VLOOKUP(Z$75,tech_data!$B$2:$O$15,4,FALSE)/100))</f>
        <v>36.422932832119891</v>
      </c>
      <c r="AA80" s="30">
        <f>H56*(1-(VLOOKUP(AA$75,tech_data!$B$2:$O$15,4,FALSE)/100))</f>
        <v>8.4923447314299797E-3</v>
      </c>
      <c r="AB80" s="30">
        <f>I56*(1-(VLOOKUP(AB$75,tech_data!$B$2:$O$15,4,FALSE)/100))</f>
        <v>0.57196665201267749</v>
      </c>
      <c r="AC80" s="30">
        <f>J56*(1-(VLOOKUP(AC$75,tech_data!$B$2:$O$15,4,FALSE)/100))</f>
        <v>0.31990968311014306</v>
      </c>
      <c r="AD80" s="30">
        <f>K56*(1-(VLOOKUP(AD$75,tech_data!$B$2:$O$15,4,FALSE)/100))</f>
        <v>10.005879241216558</v>
      </c>
      <c r="AE80" s="30">
        <f>L56*(1-(VLOOKUP(AE$75,tech_data!$B$2:$O$15,4,FALSE)/100))</f>
        <v>0.3354879772389287</v>
      </c>
      <c r="AF80" s="30">
        <f>M56*(1-(VLOOKUP(AF$75,tech_data!$B$2:$O$15,4,FALSE)/100))</f>
        <v>3.0841082985354924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(kalimantan!AI56*3.6/(VLOOKUP(AI$51,tech_data!$B$2:$J$15,4,FALSE)/100))/1000</f>
        <v>0</v>
      </c>
      <c r="AJ80" s="30">
        <f t="shared" si="86"/>
        <v>164.41726623688703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KALIMANTAN</v>
      </c>
      <c r="C81" s="20">
        <f t="shared" si="82"/>
        <v>2024</v>
      </c>
      <c r="D81" s="30">
        <f t="shared" si="87"/>
        <v>50.571371113155109</v>
      </c>
      <c r="E81" s="30">
        <f t="shared" si="87"/>
        <v>13.529832868562362</v>
      </c>
      <c r="F81" s="30">
        <f t="shared" si="87"/>
        <v>17.117554976365355</v>
      </c>
      <c r="G81" s="30">
        <f t="shared" si="87"/>
        <v>31.026942782916944</v>
      </c>
      <c r="H81" s="30">
        <f t="shared" si="87"/>
        <v>3.437663900244511E-3</v>
      </c>
      <c r="I81" s="30">
        <f t="shared" si="87"/>
        <v>11.035299057465314</v>
      </c>
      <c r="J81" s="30">
        <f t="shared" si="87"/>
        <v>1.2980312168001933</v>
      </c>
      <c r="K81" s="30">
        <f t="shared" si="87"/>
        <v>11.912519464675224</v>
      </c>
      <c r="L81" s="30">
        <f t="shared" si="87"/>
        <v>4.3778841100887051</v>
      </c>
      <c r="M81" s="30">
        <f t="shared" si="87"/>
        <v>1.4084044863117944</v>
      </c>
      <c r="N81" s="30">
        <f t="shared" si="87"/>
        <v>0</v>
      </c>
      <c r="O81" s="30">
        <f t="shared" si="87"/>
        <v>0</v>
      </c>
      <c r="P81" s="30">
        <f>(kalimantan!P57*3.6/(VLOOKUP(P$51,tech_data!$B$2:$J$15,4,FALSE)/100))/1000</f>
        <v>0</v>
      </c>
      <c r="Q81" s="30">
        <f t="shared" si="84"/>
        <v>142.28127774024122</v>
      </c>
      <c r="R81" s="30"/>
      <c r="S81" s="23"/>
      <c r="T81" s="19"/>
      <c r="U81" s="20" t="str">
        <f t="shared" si="85"/>
        <v>KALIMANTAN</v>
      </c>
      <c r="V81" s="20">
        <f t="shared" si="85"/>
        <v>2024</v>
      </c>
      <c r="W81" s="30">
        <f>D57*(1-(VLOOKUP(W$75,tech_data!$B$2:$O$15,4,FALSE)/100))</f>
        <v>80.216657627763283</v>
      </c>
      <c r="X81" s="30">
        <f>E57*(1-(VLOOKUP(X$75,tech_data!$B$2:$O$15,4,FALSE)/100))</f>
        <v>24.40427797787417</v>
      </c>
      <c r="Y81" s="30">
        <f>F57*(1-(VLOOKUP(Y$75,tech_data!$B$2:$O$15,4,FALSE)/100))</f>
        <v>12.22682498311811</v>
      </c>
      <c r="Z81" s="30">
        <f>G57*(1-(VLOOKUP(Z$75,tech_data!$B$2:$O$15,4,FALSE)/100))</f>
        <v>36.422932832119891</v>
      </c>
      <c r="AA81" s="30">
        <f>H57*(1-(VLOOKUP(AA$75,tech_data!$B$2:$O$15,4,FALSE)/100))</f>
        <v>2.2026513138603716E-2</v>
      </c>
      <c r="AB81" s="30">
        <f>I57*(1-(VLOOKUP(AB$75,tech_data!$B$2:$O$15,4,FALSE)/100))</f>
        <v>0.5808052135508065</v>
      </c>
      <c r="AC81" s="30">
        <f>J57*(1-(VLOOKUP(AC$75,tech_data!$B$2:$O$15,4,FALSE)/100))</f>
        <v>0.32450780420004821</v>
      </c>
      <c r="AD81" s="30">
        <f>K57*(1-(VLOOKUP(AD$75,tech_data!$B$2:$O$15,4,FALSE)/100))</f>
        <v>10.006516350327187</v>
      </c>
      <c r="AE81" s="30">
        <f>L57*(1-(VLOOKUP(AE$75,tech_data!$B$2:$O$15,4,FALSE)/100))</f>
        <v>1.7817988328061032</v>
      </c>
      <c r="AF81" s="30">
        <f>M57*(1-(VLOOKUP(AF$75,tech_data!$B$2:$O$15,4,FALSE)/100))</f>
        <v>3.1348357921133485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(kalimantan!AI57*3.6/(VLOOKUP(AI$51,tech_data!$B$2:$J$15,4,FALSE)/100))/1000</f>
        <v>0</v>
      </c>
      <c r="AJ81" s="30">
        <f t="shared" si="86"/>
        <v>169.12118392701151</v>
      </c>
      <c r="AK81" s="30"/>
      <c r="AL81" s="23"/>
    </row>
    <row r="82" spans="1:38" x14ac:dyDescent="0.25">
      <c r="A82" s="19"/>
      <c r="B82" s="20" t="str">
        <f t="shared" si="82"/>
        <v>KALIMANTAN</v>
      </c>
      <c r="C82" s="20">
        <f t="shared" si="82"/>
        <v>2025</v>
      </c>
      <c r="D82" s="30">
        <f t="shared" si="87"/>
        <v>50.571371113155109</v>
      </c>
      <c r="E82" s="30">
        <f t="shared" si="87"/>
        <v>13.708992651800676</v>
      </c>
      <c r="F82" s="30">
        <f t="shared" si="87"/>
        <v>18.930332715556535</v>
      </c>
      <c r="G82" s="30">
        <f t="shared" si="87"/>
        <v>31.026942782916944</v>
      </c>
      <c r="H82" s="30">
        <f t="shared" si="87"/>
        <v>3.437663900244511E-3</v>
      </c>
      <c r="I82" s="30">
        <f t="shared" si="87"/>
        <v>14.727043319554255</v>
      </c>
      <c r="J82" s="30">
        <f t="shared" si="87"/>
        <v>1.2980312168001933</v>
      </c>
      <c r="K82" s="30">
        <f t="shared" si="87"/>
        <v>11.912519464675224</v>
      </c>
      <c r="L82" s="30">
        <f t="shared" si="87"/>
        <v>4.603017571938369</v>
      </c>
      <c r="M82" s="30">
        <f t="shared" si="87"/>
        <v>1.5788819015567161</v>
      </c>
      <c r="N82" s="30">
        <f t="shared" si="87"/>
        <v>0</v>
      </c>
      <c r="O82" s="30">
        <f t="shared" si="87"/>
        <v>0</v>
      </c>
      <c r="P82" s="30">
        <f>(kalimantan!P58*3.6/(VLOOKUP(P$51,tech_data!$B$2:$J$15,4,FALSE)/100))/1000</f>
        <v>0</v>
      </c>
      <c r="Q82" s="30">
        <f t="shared" si="84"/>
        <v>148.36057040185426</v>
      </c>
      <c r="R82" s="30"/>
      <c r="S82" s="23"/>
      <c r="T82" s="19"/>
      <c r="U82" s="20" t="str">
        <f t="shared" si="85"/>
        <v>KALIMANTAN</v>
      </c>
      <c r="V82" s="20">
        <f t="shared" si="85"/>
        <v>2025</v>
      </c>
      <c r="W82" s="30">
        <f>D58*(1-(VLOOKUP(W$75,tech_data!$B$2:$O$15,4,FALSE)/100))</f>
        <v>80.216657627763283</v>
      </c>
      <c r="X82" s="30">
        <f>E58*(1-(VLOOKUP(X$75,tech_data!$B$2:$O$15,4,FALSE)/100))</f>
        <v>24.727435343902158</v>
      </c>
      <c r="Y82" s="30">
        <f>F58*(1-(VLOOKUP(Y$75,tech_data!$B$2:$O$15,4,FALSE)/100))</f>
        <v>13.521666225397523</v>
      </c>
      <c r="Z82" s="30">
        <f>G58*(1-(VLOOKUP(Z$75,tech_data!$B$2:$O$15,4,FALSE)/100))</f>
        <v>36.422932832119891</v>
      </c>
      <c r="AA82" s="30">
        <f>H58*(1-(VLOOKUP(AA$75,tech_data!$B$2:$O$15,4,FALSE)/100))</f>
        <v>2.2026513138603716E-2</v>
      </c>
      <c r="AB82" s="30">
        <f>I58*(1-(VLOOKUP(AB$75,tech_data!$B$2:$O$15,4,FALSE)/100))</f>
        <v>0.77510754313443531</v>
      </c>
      <c r="AC82" s="30">
        <f>J58*(1-(VLOOKUP(AC$75,tech_data!$B$2:$O$15,4,FALSE)/100))</f>
        <v>0.32450780420004821</v>
      </c>
      <c r="AD82" s="30">
        <f>K58*(1-(VLOOKUP(AD$75,tech_data!$B$2:$O$15,4,FALSE)/100))</f>
        <v>10.006516350327187</v>
      </c>
      <c r="AE82" s="30">
        <f>L58*(1-(VLOOKUP(AE$75,tech_data!$B$2:$O$15,4,FALSE)/100))</f>
        <v>1.8734281517789164</v>
      </c>
      <c r="AF82" s="30">
        <f>M58*(1-(VLOOKUP(AF$75,tech_data!$B$2:$O$15,4,FALSE)/100))</f>
        <v>3.5142855228197876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(kalimantan!AI58*3.6/(VLOOKUP(AI$51,tech_data!$B$2:$J$15,4,FALSE)/100))/1000</f>
        <v>0</v>
      </c>
      <c r="AJ82" s="30">
        <f t="shared" si="86"/>
        <v>171.40456391458181</v>
      </c>
      <c r="AK82" s="30"/>
      <c r="AL82" s="23"/>
    </row>
    <row r="83" spans="1:38" x14ac:dyDescent="0.25">
      <c r="A83" s="19"/>
      <c r="B83" s="20" t="str">
        <f t="shared" si="82"/>
        <v>KALIMANTAN</v>
      </c>
      <c r="C83" s="20">
        <f t="shared" si="82"/>
        <v>2026</v>
      </c>
      <c r="D83" s="30">
        <f t="shared" si="87"/>
        <v>50.571371113155109</v>
      </c>
      <c r="E83" s="30">
        <f t="shared" si="87"/>
        <v>14.860639080920715</v>
      </c>
      <c r="F83" s="30">
        <f t="shared" si="87"/>
        <v>18.940465161372437</v>
      </c>
      <c r="G83" s="30">
        <f t="shared" si="87"/>
        <v>31.026942782916944</v>
      </c>
      <c r="H83" s="30">
        <f t="shared" si="87"/>
        <v>0.19073744384882055</v>
      </c>
      <c r="I83" s="30">
        <f t="shared" si="87"/>
        <v>14.727043319554255</v>
      </c>
      <c r="J83" s="30">
        <f t="shared" si="87"/>
        <v>1.2980306022372974</v>
      </c>
      <c r="K83" s="30">
        <f t="shared" si="87"/>
        <v>11.912519466469853</v>
      </c>
      <c r="L83" s="30">
        <f t="shared" si="87"/>
        <v>5.3827241857441477</v>
      </c>
      <c r="M83" s="30">
        <f t="shared" si="87"/>
        <v>1.5843335806183754</v>
      </c>
      <c r="N83" s="30">
        <f t="shared" si="87"/>
        <v>0</v>
      </c>
      <c r="O83" s="30">
        <f t="shared" si="87"/>
        <v>0</v>
      </c>
      <c r="P83" s="30">
        <f>(kalimantan!P59*3.6/(VLOOKUP(P$51,tech_data!$B$2:$J$15,4,FALSE)/100))/1000</f>
        <v>0</v>
      </c>
      <c r="Q83" s="30">
        <f t="shared" si="84"/>
        <v>150.49480673683794</v>
      </c>
      <c r="R83" s="30"/>
      <c r="S83" s="23"/>
      <c r="T83" s="19"/>
      <c r="U83" s="20" t="str">
        <f t="shared" si="85"/>
        <v>KALIMANTAN</v>
      </c>
      <c r="V83" s="20">
        <f t="shared" si="85"/>
        <v>2026</v>
      </c>
      <c r="W83" s="30">
        <f>D59*(1-(VLOOKUP(W$75,tech_data!$B$2:$O$15,4,FALSE)/100))</f>
        <v>80.216657627763283</v>
      </c>
      <c r="X83" s="30">
        <f>E59*(1-(VLOOKUP(X$75,tech_data!$B$2:$O$15,4,FALSE)/100))</f>
        <v>26.804704136614003</v>
      </c>
      <c r="Y83" s="30">
        <f>F59*(1-(VLOOKUP(Y$75,tech_data!$B$2:$O$15,4,FALSE)/100))</f>
        <v>13.528903686694596</v>
      </c>
      <c r="Z83" s="30">
        <f>G59*(1-(VLOOKUP(Z$75,tech_data!$B$2:$O$15,4,FALSE)/100))</f>
        <v>36.422932832119891</v>
      </c>
      <c r="AA83" s="30">
        <f>H59*(1-(VLOOKUP(AA$75,tech_data!$B$2:$O$15,4,FALSE)/100))</f>
        <v>1.2221325105868872</v>
      </c>
      <c r="AB83" s="30">
        <f>I59*(1-(VLOOKUP(AB$75,tech_data!$B$2:$O$15,4,FALSE)/100))</f>
        <v>0.77510754313443531</v>
      </c>
      <c r="AC83" s="30">
        <f>J59*(1-(VLOOKUP(AC$75,tech_data!$B$2:$O$15,4,FALSE)/100))</f>
        <v>0.32450765055932429</v>
      </c>
      <c r="AD83" s="30">
        <f>K59*(1-(VLOOKUP(AD$75,tech_data!$B$2:$O$15,4,FALSE)/100))</f>
        <v>10.006516351834676</v>
      </c>
      <c r="AE83" s="30">
        <f>L59*(1-(VLOOKUP(AE$75,tech_data!$B$2:$O$15,4,FALSE)/100))</f>
        <v>2.1907687435978684</v>
      </c>
      <c r="AF83" s="30">
        <f>M59*(1-(VLOOKUP(AF$75,tech_data!$B$2:$O$15,4,FALSE)/100))</f>
        <v>3.5264199052473515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(kalimantan!AI59*3.6/(VLOOKUP(AI$51,tech_data!$B$2:$J$15,4,FALSE)/100))/1000</f>
        <v>0</v>
      </c>
      <c r="AJ83" s="30">
        <f t="shared" si="86"/>
        <v>175.01865098815227</v>
      </c>
      <c r="AK83" s="30"/>
      <c r="AL83" s="23"/>
    </row>
    <row r="84" spans="1:38" x14ac:dyDescent="0.25">
      <c r="A84" s="19"/>
      <c r="B84" s="20" t="str">
        <f t="shared" si="82"/>
        <v>KALIMANTAN</v>
      </c>
      <c r="C84" s="20">
        <f t="shared" si="82"/>
        <v>2027</v>
      </c>
      <c r="D84" s="30">
        <f t="shared" si="87"/>
        <v>50.571371113155109</v>
      </c>
      <c r="E84" s="30">
        <f t="shared" si="87"/>
        <v>14.860639080920715</v>
      </c>
      <c r="F84" s="30">
        <f t="shared" si="87"/>
        <v>20.22263427195772</v>
      </c>
      <c r="G84" s="30">
        <f t="shared" si="87"/>
        <v>31.228371416474303</v>
      </c>
      <c r="H84" s="30">
        <f t="shared" si="87"/>
        <v>0.19073744384882055</v>
      </c>
      <c r="I84" s="30">
        <f t="shared" si="87"/>
        <v>14.727043319554255</v>
      </c>
      <c r="J84" s="30">
        <f t="shared" si="87"/>
        <v>1.2980306022372974</v>
      </c>
      <c r="K84" s="30">
        <f t="shared" si="87"/>
        <v>11.912519466469853</v>
      </c>
      <c r="L84" s="30">
        <f t="shared" si="87"/>
        <v>6.4727009901944745</v>
      </c>
      <c r="M84" s="30">
        <f t="shared" si="87"/>
        <v>1.5843335806183754</v>
      </c>
      <c r="N84" s="30">
        <f t="shared" si="87"/>
        <v>0</v>
      </c>
      <c r="O84" s="30">
        <f t="shared" si="87"/>
        <v>0</v>
      </c>
      <c r="P84" s="30">
        <f>(kalimantan!P60*3.6/(VLOOKUP(P$51,tech_data!$B$2:$J$15,4,FALSE)/100))/1000</f>
        <v>0</v>
      </c>
      <c r="Q84" s="30">
        <f t="shared" si="84"/>
        <v>153.06838128543092</v>
      </c>
      <c r="R84" s="30"/>
      <c r="S84" s="23"/>
      <c r="T84" s="19"/>
      <c r="U84" s="20" t="str">
        <f t="shared" si="85"/>
        <v>KALIMANTAN</v>
      </c>
      <c r="V84" s="20">
        <f t="shared" si="85"/>
        <v>2027</v>
      </c>
      <c r="W84" s="30">
        <f>D60*(1-(VLOOKUP(W$75,tech_data!$B$2:$O$15,4,FALSE)/100))</f>
        <v>80.216657627763283</v>
      </c>
      <c r="X84" s="30">
        <f>E60*(1-(VLOOKUP(X$75,tech_data!$B$2:$O$15,4,FALSE)/100))</f>
        <v>26.804704136614003</v>
      </c>
      <c r="Y84" s="30">
        <f>F60*(1-(VLOOKUP(Y$75,tech_data!$B$2:$O$15,4,FALSE)/100))</f>
        <v>14.444738765684082</v>
      </c>
      <c r="Z84" s="30">
        <f>G60*(1-(VLOOKUP(Z$75,tech_data!$B$2:$O$15,4,FALSE)/100))</f>
        <v>36.659392532382874</v>
      </c>
      <c r="AA84" s="30">
        <f>H60*(1-(VLOOKUP(AA$75,tech_data!$B$2:$O$15,4,FALSE)/100))</f>
        <v>1.2221325105868872</v>
      </c>
      <c r="AB84" s="30">
        <f>I60*(1-(VLOOKUP(AB$75,tech_data!$B$2:$O$15,4,FALSE)/100))</f>
        <v>0.77510754313443531</v>
      </c>
      <c r="AC84" s="30">
        <f>J60*(1-(VLOOKUP(AC$75,tech_data!$B$2:$O$15,4,FALSE)/100))</f>
        <v>0.32450765055932429</v>
      </c>
      <c r="AD84" s="30">
        <f>K60*(1-(VLOOKUP(AD$75,tech_data!$B$2:$O$15,4,FALSE)/100))</f>
        <v>10.006516351834676</v>
      </c>
      <c r="AE84" s="30">
        <f>L60*(1-(VLOOKUP(AE$75,tech_data!$B$2:$O$15,4,FALSE)/100))</f>
        <v>2.6343893030091512</v>
      </c>
      <c r="AF84" s="30">
        <f>M60*(1-(VLOOKUP(AF$75,tech_data!$B$2:$O$15,4,FALSE)/100))</f>
        <v>3.5264199052473515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(kalimantan!AI60*3.6/(VLOOKUP(AI$51,tech_data!$B$2:$J$15,4,FALSE)/100))/1000</f>
        <v>0</v>
      </c>
      <c r="AJ84" s="30">
        <f t="shared" si="86"/>
        <v>176.61456632681603</v>
      </c>
      <c r="AK84" s="30"/>
      <c r="AL84" s="23"/>
    </row>
    <row r="85" spans="1:38" x14ac:dyDescent="0.25">
      <c r="A85" s="19"/>
      <c r="B85" s="20" t="str">
        <f t="shared" si="82"/>
        <v>KALIMANTAN</v>
      </c>
      <c r="C85" s="20">
        <f t="shared" si="82"/>
        <v>2028</v>
      </c>
      <c r="D85" s="30">
        <f t="shared" si="87"/>
        <v>50.571371113155109</v>
      </c>
      <c r="E85" s="30">
        <f t="shared" si="87"/>
        <v>14.860639080920715</v>
      </c>
      <c r="F85" s="30">
        <f t="shared" si="87"/>
        <v>22.146343420039571</v>
      </c>
      <c r="G85" s="30">
        <f t="shared" si="87"/>
        <v>32.781394790457504</v>
      </c>
      <c r="H85" s="30">
        <f t="shared" si="87"/>
        <v>0.19073744384882055</v>
      </c>
      <c r="I85" s="30">
        <f t="shared" si="87"/>
        <v>14.727043319554255</v>
      </c>
      <c r="J85" s="30">
        <f t="shared" si="87"/>
        <v>1.2980306022372974</v>
      </c>
      <c r="K85" s="30">
        <f t="shared" si="87"/>
        <v>11.912519466469853</v>
      </c>
      <c r="L85" s="30">
        <f t="shared" si="87"/>
        <v>8.2123696063524712</v>
      </c>
      <c r="M85" s="30">
        <f t="shared" si="87"/>
        <v>1.5843335806183754</v>
      </c>
      <c r="N85" s="30">
        <f t="shared" si="87"/>
        <v>0</v>
      </c>
      <c r="O85" s="30">
        <f t="shared" si="87"/>
        <v>0</v>
      </c>
      <c r="P85" s="30">
        <f>(kalimantan!P61*3.6/(VLOOKUP(P$51,tech_data!$B$2:$J$15,4,FALSE)/100))/1000</f>
        <v>0</v>
      </c>
      <c r="Q85" s="30">
        <f t="shared" si="84"/>
        <v>158.28478242365398</v>
      </c>
      <c r="R85" s="30"/>
      <c r="S85" s="23"/>
      <c r="T85" s="19"/>
      <c r="U85" s="20" t="str">
        <f t="shared" si="85"/>
        <v>KALIMANTAN</v>
      </c>
      <c r="V85" s="20">
        <f t="shared" si="85"/>
        <v>2028</v>
      </c>
      <c r="W85" s="30">
        <f>D61*(1-(VLOOKUP(W$75,tech_data!$B$2:$O$15,4,FALSE)/100))</f>
        <v>80.216657627763283</v>
      </c>
      <c r="X85" s="30">
        <f>E61*(1-(VLOOKUP(X$75,tech_data!$B$2:$O$15,4,FALSE)/100))</f>
        <v>26.804704136614003</v>
      </c>
      <c r="Y85" s="30">
        <f>F61*(1-(VLOOKUP(Y$75,tech_data!$B$2:$O$15,4,FALSE)/100))</f>
        <v>15.818816728599693</v>
      </c>
      <c r="Z85" s="30">
        <f>G61*(1-(VLOOKUP(Z$75,tech_data!$B$2:$O$15,4,FALSE)/100))</f>
        <v>38.48250692792837</v>
      </c>
      <c r="AA85" s="30">
        <f>H61*(1-(VLOOKUP(AA$75,tech_data!$B$2:$O$15,4,FALSE)/100))</f>
        <v>1.2221325105868872</v>
      </c>
      <c r="AB85" s="30">
        <f>I61*(1-(VLOOKUP(AB$75,tech_data!$B$2:$O$15,4,FALSE)/100))</f>
        <v>0.77510754313443531</v>
      </c>
      <c r="AC85" s="30">
        <f>J61*(1-(VLOOKUP(AC$75,tech_data!$B$2:$O$15,4,FALSE)/100))</f>
        <v>0.32450765055932429</v>
      </c>
      <c r="AD85" s="30">
        <f>K61*(1-(VLOOKUP(AD$75,tech_data!$B$2:$O$15,4,FALSE)/100))</f>
        <v>10.006516351834676</v>
      </c>
      <c r="AE85" s="30">
        <f>L61*(1-(VLOOKUP(AE$75,tech_data!$B$2:$O$15,4,FALSE)/100))</f>
        <v>3.342434429785456</v>
      </c>
      <c r="AF85" s="30">
        <f>M61*(1-(VLOOKUP(AF$75,tech_data!$B$2:$O$15,4,FALSE)/100))</f>
        <v>3.5264199052473515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(kalimantan!AI61*3.6/(VLOOKUP(AI$51,tech_data!$B$2:$J$15,4,FALSE)/100))/1000</f>
        <v>0</v>
      </c>
      <c r="AJ85" s="30">
        <f t="shared" si="86"/>
        <v>180.51980381205345</v>
      </c>
      <c r="AK85" s="30"/>
      <c r="AL85" s="23"/>
    </row>
    <row r="86" spans="1:38" x14ac:dyDescent="0.25">
      <c r="A86" s="19"/>
      <c r="B86" s="20" t="str">
        <f t="shared" si="82"/>
        <v>KALIMANTAN</v>
      </c>
      <c r="C86" s="20">
        <f t="shared" si="82"/>
        <v>2029</v>
      </c>
      <c r="D86" s="30">
        <f t="shared" si="87"/>
        <v>50.571371113155109</v>
      </c>
      <c r="E86" s="30">
        <f t="shared" si="87"/>
        <v>14.860639080920715</v>
      </c>
      <c r="F86" s="30">
        <f t="shared" si="87"/>
        <v>24.195284755185551</v>
      </c>
      <c r="G86" s="30">
        <f t="shared" si="87"/>
        <v>34.421132468074575</v>
      </c>
      <c r="H86" s="30">
        <f t="shared" si="87"/>
        <v>0.19073744384882055</v>
      </c>
      <c r="I86" s="30">
        <f t="shared" si="87"/>
        <v>14.727043319554255</v>
      </c>
      <c r="J86" s="30">
        <f t="shared" si="87"/>
        <v>1.2980306022372974</v>
      </c>
      <c r="K86" s="30">
        <f t="shared" si="87"/>
        <v>11.912519466469853</v>
      </c>
      <c r="L86" s="30">
        <f t="shared" si="87"/>
        <v>10.064089939329103</v>
      </c>
      <c r="M86" s="30">
        <f t="shared" si="87"/>
        <v>1.5843335806183754</v>
      </c>
      <c r="N86" s="30">
        <f t="shared" si="87"/>
        <v>0</v>
      </c>
      <c r="O86" s="30">
        <f t="shared" si="87"/>
        <v>0</v>
      </c>
      <c r="P86" s="30">
        <f>(kalimantan!P62*3.6/(VLOOKUP(P$51,tech_data!$B$2:$J$15,4,FALSE)/100))/1000</f>
        <v>0</v>
      </c>
      <c r="Q86" s="30">
        <f t="shared" si="84"/>
        <v>163.82518176939368</v>
      </c>
      <c r="R86" s="30"/>
      <c r="S86" s="23"/>
      <c r="T86" s="19"/>
      <c r="U86" s="20" t="str">
        <f t="shared" si="85"/>
        <v>KALIMANTAN</v>
      </c>
      <c r="V86" s="20">
        <f t="shared" si="85"/>
        <v>2029</v>
      </c>
      <c r="W86" s="30">
        <f>D62*(1-(VLOOKUP(W$75,tech_data!$B$2:$O$15,4,FALSE)/100))</f>
        <v>80.216657627763283</v>
      </c>
      <c r="X86" s="30">
        <f>E62*(1-(VLOOKUP(X$75,tech_data!$B$2:$O$15,4,FALSE)/100))</f>
        <v>26.804704136614003</v>
      </c>
      <c r="Y86" s="30">
        <f>F62*(1-(VLOOKUP(Y$75,tech_data!$B$2:$O$15,4,FALSE)/100))</f>
        <v>17.28234625370396</v>
      </c>
      <c r="Z86" s="30">
        <f>G62*(1-(VLOOKUP(Z$75,tech_data!$B$2:$O$15,4,FALSE)/100))</f>
        <v>40.407416375565809</v>
      </c>
      <c r="AA86" s="30">
        <f>H62*(1-(VLOOKUP(AA$75,tech_data!$B$2:$O$15,4,FALSE)/100))</f>
        <v>1.2221325105868872</v>
      </c>
      <c r="AB86" s="30">
        <f>I62*(1-(VLOOKUP(AB$75,tech_data!$B$2:$O$15,4,FALSE)/100))</f>
        <v>0.77510754313443531</v>
      </c>
      <c r="AC86" s="30">
        <f>J62*(1-(VLOOKUP(AC$75,tech_data!$B$2:$O$15,4,FALSE)/100))</f>
        <v>0.32450765055932429</v>
      </c>
      <c r="AD86" s="30">
        <f>K62*(1-(VLOOKUP(AD$75,tech_data!$B$2:$O$15,4,FALSE)/100))</f>
        <v>10.006516351834676</v>
      </c>
      <c r="AE86" s="30">
        <f>L62*(1-(VLOOKUP(AE$75,tech_data!$B$2:$O$15,4,FALSE)/100))</f>
        <v>4.0960846053069453</v>
      </c>
      <c r="AF86" s="30">
        <f>M62*(1-(VLOOKUP(AF$75,tech_data!$B$2:$O$15,4,FALSE)/100))</f>
        <v>3.5264199052473515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(kalimantan!AI62*3.6/(VLOOKUP(AI$51,tech_data!$B$2:$J$15,4,FALSE)/100))/1000</f>
        <v>0</v>
      </c>
      <c r="AJ86" s="30">
        <f t="shared" si="86"/>
        <v>184.66189296031666</v>
      </c>
      <c r="AK86" s="30"/>
      <c r="AL86" s="23"/>
    </row>
    <row r="87" spans="1:38" x14ac:dyDescent="0.25">
      <c r="A87" s="19"/>
      <c r="B87" s="20" t="str">
        <f t="shared" si="82"/>
        <v>KALIMANTAN</v>
      </c>
      <c r="C87" s="20">
        <f t="shared" si="82"/>
        <v>2030</v>
      </c>
      <c r="D87" s="30">
        <f t="shared" si="87"/>
        <v>50.571371113155109</v>
      </c>
      <c r="E87" s="30">
        <f t="shared" si="87"/>
        <v>14.860639080920715</v>
      </c>
      <c r="F87" s="30">
        <f t="shared" si="87"/>
        <v>26.311818832829321</v>
      </c>
      <c r="G87" s="30">
        <f t="shared" si="87"/>
        <v>36.009392458390082</v>
      </c>
      <c r="H87" s="30">
        <f t="shared" si="87"/>
        <v>0.19073744384882055</v>
      </c>
      <c r="I87" s="30">
        <f t="shared" si="87"/>
        <v>14.727043319554255</v>
      </c>
      <c r="J87" s="30">
        <f t="shared" si="87"/>
        <v>1.2980306022372974</v>
      </c>
      <c r="K87" s="30">
        <f t="shared" si="87"/>
        <v>11.912519466469853</v>
      </c>
      <c r="L87" s="30">
        <f t="shared" si="87"/>
        <v>11.968095210693104</v>
      </c>
      <c r="M87" s="30">
        <f t="shared" si="87"/>
        <v>1.5843335806183754</v>
      </c>
      <c r="N87" s="30">
        <f t="shared" si="87"/>
        <v>0</v>
      </c>
      <c r="O87" s="30">
        <f t="shared" si="87"/>
        <v>0</v>
      </c>
      <c r="P87" s="30">
        <f>(kalimantan!P63*3.6/(VLOOKUP(P$51,tech_data!$B$2:$J$15,4,FALSE)/100))/1000</f>
        <v>0</v>
      </c>
      <c r="Q87" s="30">
        <f t="shared" si="84"/>
        <v>169.43398110871692</v>
      </c>
      <c r="R87" s="30"/>
      <c r="S87" s="23"/>
      <c r="T87" s="19"/>
      <c r="U87" s="20" t="str">
        <f t="shared" si="85"/>
        <v>KALIMANTAN</v>
      </c>
      <c r="V87" s="20">
        <f t="shared" si="85"/>
        <v>2030</v>
      </c>
      <c r="W87" s="30">
        <f>D63*(1-(VLOOKUP(W$75,tech_data!$B$2:$O$15,4,FALSE)/100))</f>
        <v>80.216657627763283</v>
      </c>
      <c r="X87" s="30">
        <f>E63*(1-(VLOOKUP(X$75,tech_data!$B$2:$O$15,4,FALSE)/100))</f>
        <v>26.804704136614003</v>
      </c>
      <c r="Y87" s="30">
        <f>F63*(1-(VLOOKUP(Y$75,tech_data!$B$2:$O$15,4,FALSE)/100))</f>
        <v>18.7941563091638</v>
      </c>
      <c r="Z87" s="30">
        <f>G63*(1-(VLOOKUP(Z$75,tech_data!$B$2:$O$15,4,FALSE)/100))</f>
        <v>42.271895494631828</v>
      </c>
      <c r="AA87" s="30">
        <f>H63*(1-(VLOOKUP(AA$75,tech_data!$B$2:$O$15,4,FALSE)/100))</f>
        <v>1.2221325105868872</v>
      </c>
      <c r="AB87" s="30">
        <f>I63*(1-(VLOOKUP(AB$75,tech_data!$B$2:$O$15,4,FALSE)/100))</f>
        <v>0.77510754313443531</v>
      </c>
      <c r="AC87" s="30">
        <f>J63*(1-(VLOOKUP(AC$75,tech_data!$B$2:$O$15,4,FALSE)/100))</f>
        <v>0.32450765055932429</v>
      </c>
      <c r="AD87" s="30">
        <f>K63*(1-(VLOOKUP(AD$75,tech_data!$B$2:$O$15,4,FALSE)/100))</f>
        <v>10.006516351834676</v>
      </c>
      <c r="AE87" s="30">
        <f>L63*(1-(VLOOKUP(AE$75,tech_data!$B$2:$O$15,4,FALSE)/100))</f>
        <v>4.871014750752094</v>
      </c>
      <c r="AF87" s="30">
        <f>M63*(1-(VLOOKUP(AF$75,tech_data!$B$2:$O$15,4,FALSE)/100))</f>
        <v>3.5264199052473515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(kalimantan!AI63*3.6/(VLOOKUP(AI$51,tech_data!$B$2:$J$15,4,FALSE)/100))/1000</f>
        <v>0</v>
      </c>
      <c r="AJ87" s="30">
        <f t="shared" si="86"/>
        <v>188.81311228028767</v>
      </c>
      <c r="AK87" s="30"/>
      <c r="AL87" s="23"/>
    </row>
    <row r="88" spans="1:38" x14ac:dyDescent="0.25">
      <c r="A88" s="19"/>
      <c r="B88" s="20" t="str">
        <f t="shared" si="82"/>
        <v>KALIMANTAN</v>
      </c>
      <c r="C88" s="20">
        <f t="shared" si="82"/>
        <v>2031</v>
      </c>
      <c r="D88" s="30">
        <f t="shared" si="87"/>
        <v>50.743055184490778</v>
      </c>
      <c r="E88" s="30">
        <f t="shared" si="87"/>
        <v>14.860639080920715</v>
      </c>
      <c r="F88" s="30">
        <f t="shared" si="87"/>
        <v>28.764298039407066</v>
      </c>
      <c r="G88" s="30">
        <f t="shared" si="87"/>
        <v>37.916346152642006</v>
      </c>
      <c r="H88" s="30">
        <f t="shared" si="87"/>
        <v>0.19073744384882055</v>
      </c>
      <c r="I88" s="30">
        <f t="shared" si="87"/>
        <v>14.727043319554255</v>
      </c>
      <c r="J88" s="30">
        <f t="shared" si="87"/>
        <v>1.2980306022372974</v>
      </c>
      <c r="K88" s="30">
        <f t="shared" si="87"/>
        <v>11.912519466469853</v>
      </c>
      <c r="L88" s="30">
        <f t="shared" si="87"/>
        <v>14.194178240639848</v>
      </c>
      <c r="M88" s="30">
        <f t="shared" si="87"/>
        <v>1.5843335806183754</v>
      </c>
      <c r="N88" s="30">
        <f t="shared" si="87"/>
        <v>0</v>
      </c>
      <c r="O88" s="30">
        <f t="shared" si="87"/>
        <v>0</v>
      </c>
      <c r="P88" s="30">
        <f>(kalimantan!P64*3.6/(VLOOKUP(P$51,tech_data!$B$2:$J$15,4,FALSE)/100))/1000</f>
        <v>0</v>
      </c>
      <c r="Q88" s="30">
        <f t="shared" si="84"/>
        <v>176.19118111082904</v>
      </c>
      <c r="R88" s="30"/>
      <c r="S88" s="23"/>
      <c r="T88" s="19"/>
      <c r="U88" s="20" t="str">
        <f t="shared" si="85"/>
        <v>KALIMANTAN</v>
      </c>
      <c r="V88" s="20">
        <f t="shared" si="85"/>
        <v>2031</v>
      </c>
      <c r="W88" s="30">
        <f>D64*(1-(VLOOKUP(W$75,tech_data!$B$2:$O$15,4,FALSE)/100))</f>
        <v>80.488984085743979</v>
      </c>
      <c r="X88" s="30">
        <f>E64*(1-(VLOOKUP(X$75,tech_data!$B$2:$O$15,4,FALSE)/100))</f>
        <v>26.804704136614003</v>
      </c>
      <c r="Y88" s="30">
        <f>F64*(1-(VLOOKUP(Y$75,tech_data!$B$2:$O$15,4,FALSE)/100))</f>
        <v>20.545927171005044</v>
      </c>
      <c r="Z88" s="30">
        <f>G64*(1-(VLOOKUP(Z$75,tech_data!$B$2:$O$15,4,FALSE)/100))</f>
        <v>44.510493309623222</v>
      </c>
      <c r="AA88" s="30">
        <f>H64*(1-(VLOOKUP(AA$75,tech_data!$B$2:$O$15,4,FALSE)/100))</f>
        <v>1.2221325105868872</v>
      </c>
      <c r="AB88" s="30">
        <f>I64*(1-(VLOOKUP(AB$75,tech_data!$B$2:$O$15,4,FALSE)/100))</f>
        <v>0.77510754313443531</v>
      </c>
      <c r="AC88" s="30">
        <f>J64*(1-(VLOOKUP(AC$75,tech_data!$B$2:$O$15,4,FALSE)/100))</f>
        <v>0.32450765055932429</v>
      </c>
      <c r="AD88" s="30">
        <f>K64*(1-(VLOOKUP(AD$75,tech_data!$B$2:$O$15,4,FALSE)/100))</f>
        <v>10.006516351834676</v>
      </c>
      <c r="AE88" s="30">
        <f>L64*(1-(VLOOKUP(AE$75,tech_data!$B$2:$O$15,4,FALSE)/100))</f>
        <v>5.7770305439404188</v>
      </c>
      <c r="AF88" s="30">
        <f>M64*(1-(VLOOKUP(AF$75,tech_data!$B$2:$O$15,4,FALSE)/100))</f>
        <v>3.5264199052473515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(kalimantan!AI64*3.6/(VLOOKUP(AI$51,tech_data!$B$2:$J$15,4,FALSE)/100))/1000</f>
        <v>0</v>
      </c>
      <c r="AJ88" s="30">
        <f t="shared" si="86"/>
        <v>193.98182320828931</v>
      </c>
      <c r="AK88" s="30"/>
      <c r="AL88" s="23"/>
    </row>
    <row r="89" spans="1:38" x14ac:dyDescent="0.25">
      <c r="A89" s="19"/>
      <c r="B89" s="20" t="str">
        <f t="shared" si="82"/>
        <v>KALIMANTAN</v>
      </c>
      <c r="C89" s="20">
        <f t="shared" si="82"/>
        <v>2032</v>
      </c>
      <c r="D89" s="30">
        <f t="shared" si="87"/>
        <v>52.468405525783666</v>
      </c>
      <c r="E89" s="30">
        <f t="shared" si="87"/>
        <v>14.860639080920715</v>
      </c>
      <c r="F89" s="30">
        <f t="shared" si="87"/>
        <v>31.406959876236698</v>
      </c>
      <c r="G89" s="30">
        <f t="shared" si="87"/>
        <v>38.415686403551895</v>
      </c>
      <c r="H89" s="30">
        <f t="shared" si="87"/>
        <v>0.19073744384882055</v>
      </c>
      <c r="I89" s="30">
        <f t="shared" si="87"/>
        <v>14.727043319554255</v>
      </c>
      <c r="J89" s="30">
        <f t="shared" si="87"/>
        <v>1.2980306022372974</v>
      </c>
      <c r="K89" s="30">
        <f t="shared" si="87"/>
        <v>11.912519466469853</v>
      </c>
      <c r="L89" s="30">
        <f t="shared" si="87"/>
        <v>16.591625485143275</v>
      </c>
      <c r="M89" s="30">
        <f t="shared" si="87"/>
        <v>1.5843335806183754</v>
      </c>
      <c r="N89" s="30">
        <f t="shared" si="87"/>
        <v>0</v>
      </c>
      <c r="O89" s="30">
        <f t="shared" si="87"/>
        <v>0</v>
      </c>
      <c r="P89" s="30">
        <f>(kalimantan!P65*3.6/(VLOOKUP(P$51,tech_data!$B$2:$J$15,4,FALSE)/100))/1000</f>
        <v>0</v>
      </c>
      <c r="Q89" s="30">
        <f t="shared" si="84"/>
        <v>183.45598078436487</v>
      </c>
      <c r="R89" s="30"/>
      <c r="S89" s="23"/>
      <c r="T89" s="19"/>
      <c r="U89" s="20" t="str">
        <f t="shared" si="85"/>
        <v>KALIMANTAN</v>
      </c>
      <c r="V89" s="20">
        <f t="shared" si="85"/>
        <v>2032</v>
      </c>
      <c r="W89" s="30">
        <f>D65*(1-(VLOOKUP(W$75,tech_data!$B$2:$O$15,4,FALSE)/100))</f>
        <v>83.225746696070644</v>
      </c>
      <c r="X89" s="30">
        <f>E65*(1-(VLOOKUP(X$75,tech_data!$B$2:$O$15,4,FALSE)/100))</f>
        <v>26.804704136614003</v>
      </c>
      <c r="Y89" s="30">
        <f>F65*(1-(VLOOKUP(Y$75,tech_data!$B$2:$O$15,4,FALSE)/100))</f>
        <v>22.433542768740498</v>
      </c>
      <c r="Z89" s="30">
        <f>G65*(1-(VLOOKUP(Z$75,tech_data!$B$2:$O$15,4,FALSE)/100))</f>
        <v>45.096675343300049</v>
      </c>
      <c r="AA89" s="30">
        <f>H65*(1-(VLOOKUP(AA$75,tech_data!$B$2:$O$15,4,FALSE)/100))</f>
        <v>1.2221325105868872</v>
      </c>
      <c r="AB89" s="30">
        <f>I65*(1-(VLOOKUP(AB$75,tech_data!$B$2:$O$15,4,FALSE)/100))</f>
        <v>0.77510754313443531</v>
      </c>
      <c r="AC89" s="30">
        <f>J65*(1-(VLOOKUP(AC$75,tech_data!$B$2:$O$15,4,FALSE)/100))</f>
        <v>0.32450765055932429</v>
      </c>
      <c r="AD89" s="30">
        <f>K65*(1-(VLOOKUP(AD$75,tech_data!$B$2:$O$15,4,FALSE)/100))</f>
        <v>10.006516351834676</v>
      </c>
      <c r="AE89" s="30">
        <f>L65*(1-(VLOOKUP(AE$75,tech_data!$B$2:$O$15,4,FALSE)/100))</f>
        <v>6.7527915724533134</v>
      </c>
      <c r="AF89" s="30">
        <f>M65*(1-(VLOOKUP(AF$75,tech_data!$B$2:$O$15,4,FALSE)/100))</f>
        <v>3.5264199052473515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(kalimantan!AI65*3.6/(VLOOKUP(AI$51,tech_data!$B$2:$J$15,4,FALSE)/100))/1000</f>
        <v>0</v>
      </c>
      <c r="AJ89" s="30">
        <f t="shared" si="86"/>
        <v>200.16814447854114</v>
      </c>
      <c r="AK89" s="30"/>
      <c r="AL89" s="23"/>
    </row>
    <row r="90" spans="1:38" x14ac:dyDescent="0.25">
      <c r="A90" s="19"/>
      <c r="B90" s="20" t="str">
        <f t="shared" si="82"/>
        <v>KALIMANTAN</v>
      </c>
      <c r="C90" s="20">
        <f t="shared" si="82"/>
        <v>2033</v>
      </c>
      <c r="D90" s="30">
        <f t="shared" si="87"/>
        <v>54.052232633941792</v>
      </c>
      <c r="E90" s="30">
        <f t="shared" si="87"/>
        <v>14.860639080920715</v>
      </c>
      <c r="F90" s="30">
        <f t="shared" si="87"/>
        <v>34.014765566729146</v>
      </c>
      <c r="G90" s="30">
        <f t="shared" si="87"/>
        <v>38.750129002192324</v>
      </c>
      <c r="H90" s="30">
        <f t="shared" si="87"/>
        <v>0.19073744384882055</v>
      </c>
      <c r="I90" s="30">
        <f t="shared" si="87"/>
        <v>14.727043319554255</v>
      </c>
      <c r="J90" s="30">
        <f t="shared" si="87"/>
        <v>1.2980306022372974</v>
      </c>
      <c r="K90" s="30">
        <f t="shared" si="87"/>
        <v>11.912519466469853</v>
      </c>
      <c r="L90" s="30">
        <f t="shared" si="87"/>
        <v>18.934350253367626</v>
      </c>
      <c r="M90" s="30">
        <f t="shared" si="87"/>
        <v>1.5843335806183754</v>
      </c>
      <c r="N90" s="30">
        <f t="shared" si="87"/>
        <v>0</v>
      </c>
      <c r="O90" s="30">
        <f t="shared" si="87"/>
        <v>0</v>
      </c>
      <c r="P90" s="30">
        <f>(kalimantan!P66*3.6/(VLOOKUP(P$51,tech_data!$B$2:$J$15,4,FALSE)/100))/1000</f>
        <v>0</v>
      </c>
      <c r="Q90" s="30">
        <f t="shared" si="84"/>
        <v>190.32478094988019</v>
      </c>
      <c r="R90" s="30"/>
      <c r="S90" s="23"/>
      <c r="T90" s="19"/>
      <c r="U90" s="20" t="str">
        <f t="shared" si="85"/>
        <v>KALIMANTAN</v>
      </c>
      <c r="V90" s="20">
        <f t="shared" si="85"/>
        <v>2033</v>
      </c>
      <c r="W90" s="30">
        <f>D66*(1-(VLOOKUP(W$75,tech_data!$B$2:$O$15,4,FALSE)/100))</f>
        <v>85.738024177976627</v>
      </c>
      <c r="X90" s="30">
        <f>E66*(1-(VLOOKUP(X$75,tech_data!$B$2:$O$15,4,FALSE)/100))</f>
        <v>26.804704136614003</v>
      </c>
      <c r="Y90" s="30">
        <f>F66*(1-(VLOOKUP(Y$75,tech_data!$B$2:$O$15,4,FALSE)/100))</f>
        <v>24.296261119092247</v>
      </c>
      <c r="Z90" s="30">
        <f>G66*(1-(VLOOKUP(Z$75,tech_data!$B$2:$O$15,4,FALSE)/100))</f>
        <v>45.489281872138818</v>
      </c>
      <c r="AA90" s="30">
        <f>H66*(1-(VLOOKUP(AA$75,tech_data!$B$2:$O$15,4,FALSE)/100))</f>
        <v>1.2221325105868872</v>
      </c>
      <c r="AB90" s="30">
        <f>I66*(1-(VLOOKUP(AB$75,tech_data!$B$2:$O$15,4,FALSE)/100))</f>
        <v>0.77510754313443531</v>
      </c>
      <c r="AC90" s="30">
        <f>J66*(1-(VLOOKUP(AC$75,tech_data!$B$2:$O$15,4,FALSE)/100))</f>
        <v>0.32450765055932429</v>
      </c>
      <c r="AD90" s="30">
        <f>K66*(1-(VLOOKUP(AD$75,tech_data!$B$2:$O$15,4,FALSE)/100))</f>
        <v>10.006516351834676</v>
      </c>
      <c r="AE90" s="30">
        <f>L66*(1-(VLOOKUP(AE$75,tech_data!$B$2:$O$15,4,FALSE)/100))</f>
        <v>7.7062805531206244</v>
      </c>
      <c r="AF90" s="30">
        <f>M66*(1-(VLOOKUP(AF$75,tech_data!$B$2:$O$15,4,FALSE)/100))</f>
        <v>3.5264199052473515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(kalimantan!AI66*3.6/(VLOOKUP(AI$51,tech_data!$B$2:$J$15,4,FALSE)/100))/1000</f>
        <v>0</v>
      </c>
      <c r="AJ90" s="30">
        <f t="shared" si="86"/>
        <v>205.88923582030498</v>
      </c>
      <c r="AK90" s="30"/>
      <c r="AL90" s="23"/>
    </row>
    <row r="91" spans="1:38" x14ac:dyDescent="0.25">
      <c r="A91" s="19"/>
      <c r="B91" s="20" t="str">
        <f t="shared" si="82"/>
        <v>KALIMANTAN</v>
      </c>
      <c r="C91" s="20">
        <f t="shared" si="82"/>
        <v>2034</v>
      </c>
      <c r="D91" s="30">
        <f t="shared" si="87"/>
        <v>56.021771325220264</v>
      </c>
      <c r="E91" s="30">
        <f t="shared" si="87"/>
        <v>14.860639080920715</v>
      </c>
      <c r="F91" s="30">
        <f t="shared" si="87"/>
        <v>37.068767253420724</v>
      </c>
      <c r="G91" s="30">
        <f t="shared" si="87"/>
        <v>39.29471074925641</v>
      </c>
      <c r="H91" s="30">
        <f t="shared" si="87"/>
        <v>0.19073744384882055</v>
      </c>
      <c r="I91" s="30">
        <f t="shared" si="87"/>
        <v>14.727043319554255</v>
      </c>
      <c r="J91" s="30">
        <f t="shared" si="87"/>
        <v>1.2980306022372974</v>
      </c>
      <c r="K91" s="30">
        <f t="shared" si="87"/>
        <v>11.912519466469853</v>
      </c>
      <c r="L91" s="30">
        <f t="shared" si="87"/>
        <v>21.700228717662004</v>
      </c>
      <c r="M91" s="30">
        <f t="shared" si="87"/>
        <v>1.5843335806183754</v>
      </c>
      <c r="N91" s="30">
        <f t="shared" si="87"/>
        <v>0</v>
      </c>
      <c r="O91" s="30">
        <f t="shared" si="87"/>
        <v>0</v>
      </c>
      <c r="P91" s="30">
        <f>(kalimantan!P67*3.6/(VLOOKUP(P$51,tech_data!$B$2:$J$15,4,FALSE)/100))/1000</f>
        <v>0</v>
      </c>
      <c r="Q91" s="30">
        <f t="shared" si="84"/>
        <v>198.65878153920875</v>
      </c>
      <c r="R91" s="30"/>
      <c r="S91" s="23"/>
      <c r="T91" s="19"/>
      <c r="U91" s="20" t="str">
        <f t="shared" si="85"/>
        <v>KALIMANTAN</v>
      </c>
      <c r="V91" s="20">
        <f t="shared" si="85"/>
        <v>2034</v>
      </c>
      <c r="W91" s="30">
        <f>D67*(1-(VLOOKUP(W$75,tech_data!$B$2:$O$15,4,FALSE)/100))</f>
        <v>88.862120033108013</v>
      </c>
      <c r="X91" s="30">
        <f>E67*(1-(VLOOKUP(X$75,tech_data!$B$2:$O$15,4,FALSE)/100))</f>
        <v>26.804704136614003</v>
      </c>
      <c r="Y91" s="30">
        <f>F67*(1-(VLOOKUP(Y$75,tech_data!$B$2:$O$15,4,FALSE)/100))</f>
        <v>26.477690895300512</v>
      </c>
      <c r="Z91" s="30">
        <f>G67*(1-(VLOOKUP(Z$75,tech_data!$B$2:$O$15,4,FALSE)/100))</f>
        <v>46.128573488257523</v>
      </c>
      <c r="AA91" s="30">
        <f>H67*(1-(VLOOKUP(AA$75,tech_data!$B$2:$O$15,4,FALSE)/100))</f>
        <v>1.2221325105868872</v>
      </c>
      <c r="AB91" s="30">
        <f>I67*(1-(VLOOKUP(AB$75,tech_data!$B$2:$O$15,4,FALSE)/100))</f>
        <v>0.77510754313443531</v>
      </c>
      <c r="AC91" s="30">
        <f>J67*(1-(VLOOKUP(AC$75,tech_data!$B$2:$O$15,4,FALSE)/100))</f>
        <v>0.32450765055932429</v>
      </c>
      <c r="AD91" s="30">
        <f>K67*(1-(VLOOKUP(AD$75,tech_data!$B$2:$O$15,4,FALSE)/100))</f>
        <v>10.006516351834676</v>
      </c>
      <c r="AE91" s="30">
        <f>L67*(1-(VLOOKUP(AE$75,tech_data!$B$2:$O$15,4,FALSE)/100))</f>
        <v>8.8319930880884367</v>
      </c>
      <c r="AF91" s="30">
        <f>M67*(1-(VLOOKUP(AF$75,tech_data!$B$2:$O$15,4,FALSE)/100))</f>
        <v>3.5264199052473515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(kalimantan!AI67*3.6/(VLOOKUP(AI$51,tech_data!$B$2:$J$15,4,FALSE)/100))/1000</f>
        <v>0</v>
      </c>
      <c r="AJ91" s="30">
        <f t="shared" si="86"/>
        <v>212.95976560273112</v>
      </c>
      <c r="AK91" s="30"/>
      <c r="AL91" s="23"/>
    </row>
    <row r="92" spans="1:38" x14ac:dyDescent="0.25">
      <c r="A92" s="19"/>
      <c r="B92" s="20" t="str">
        <f t="shared" ref="B92:C95" si="88">B44</f>
        <v>KALIMANTAN</v>
      </c>
      <c r="C92" s="20">
        <f t="shared" si="88"/>
        <v>2035</v>
      </c>
      <c r="D92" s="30">
        <f t="shared" si="87"/>
        <v>57.901525506420988</v>
      </c>
      <c r="E92" s="30">
        <f t="shared" si="87"/>
        <v>14.860639080920715</v>
      </c>
      <c r="F92" s="30">
        <f t="shared" si="87"/>
        <v>40.14581582806769</v>
      </c>
      <c r="G92" s="30">
        <f t="shared" si="87"/>
        <v>39.703909235734486</v>
      </c>
      <c r="H92" s="30">
        <f t="shared" si="87"/>
        <v>0.19073744384882055</v>
      </c>
      <c r="I92" s="30">
        <f t="shared" si="87"/>
        <v>14.727043319554255</v>
      </c>
      <c r="J92" s="30">
        <f t="shared" si="87"/>
        <v>1.2980306022372974</v>
      </c>
      <c r="K92" s="30">
        <f t="shared" si="87"/>
        <v>11.912519466469853</v>
      </c>
      <c r="L92" s="30">
        <f t="shared" si="87"/>
        <v>24.466626110315772</v>
      </c>
      <c r="M92" s="30">
        <f t="shared" si="87"/>
        <v>1.5843335806183754</v>
      </c>
      <c r="N92" s="30">
        <f t="shared" si="87"/>
        <v>0</v>
      </c>
      <c r="O92" s="30">
        <f t="shared" si="87"/>
        <v>0</v>
      </c>
      <c r="P92" s="30">
        <f>(kalimantan!P68*3.6/(VLOOKUP(P$51,tech_data!$B$2:$J$15,4,FALSE)/100))/1000</f>
        <v>0</v>
      </c>
      <c r="Q92" s="30">
        <f t="shared" si="84"/>
        <v>206.79118017418824</v>
      </c>
      <c r="R92" s="30"/>
      <c r="S92" s="23"/>
      <c r="T92" s="19"/>
      <c r="U92" s="20" t="str">
        <f t="shared" ref="U92:V95" si="89">U44</f>
        <v>KALIMANTAN</v>
      </c>
      <c r="V92" s="20">
        <f t="shared" si="89"/>
        <v>2035</v>
      </c>
      <c r="W92" s="30">
        <f>D68*(1-(VLOOKUP(W$75,tech_data!$B$2:$O$15,4,FALSE)/100))</f>
        <v>91.843799079150514</v>
      </c>
      <c r="X92" s="30">
        <f>E68*(1-(VLOOKUP(X$75,tech_data!$B$2:$O$15,4,FALSE)/100))</f>
        <v>26.804704136614003</v>
      </c>
      <c r="Y92" s="30">
        <f>F68*(1-(VLOOKUP(Y$75,tech_data!$B$2:$O$15,4,FALSE)/100))</f>
        <v>28.675582734334061</v>
      </c>
      <c r="Z92" s="30">
        <f>G68*(1-(VLOOKUP(Z$75,tech_data!$B$2:$O$15,4,FALSE)/100))</f>
        <v>46.608936928905706</v>
      </c>
      <c r="AA92" s="30">
        <f>H68*(1-(VLOOKUP(AA$75,tech_data!$B$2:$O$15,4,FALSE)/100))</f>
        <v>1.2221325105868872</v>
      </c>
      <c r="AB92" s="30">
        <f>I68*(1-(VLOOKUP(AB$75,tech_data!$B$2:$O$15,4,FALSE)/100))</f>
        <v>0.77510754313443531</v>
      </c>
      <c r="AC92" s="30">
        <f>J68*(1-(VLOOKUP(AC$75,tech_data!$B$2:$O$15,4,FALSE)/100))</f>
        <v>0.32450765055932429</v>
      </c>
      <c r="AD92" s="30">
        <f>K68*(1-(VLOOKUP(AD$75,tech_data!$B$2:$O$15,4,FALSE)/100))</f>
        <v>10.006516351834676</v>
      </c>
      <c r="AE92" s="30">
        <f>L68*(1-(VLOOKUP(AE$75,tech_data!$B$2:$O$15,4,FALSE)/100))</f>
        <v>9.9579168268985203</v>
      </c>
      <c r="AF92" s="30">
        <f>M68*(1-(VLOOKUP(AF$75,tech_data!$B$2:$O$15,4,FALSE)/100))</f>
        <v>3.5264199052473515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(kalimantan!AI68*3.6/(VLOOKUP(AI$51,tech_data!$B$2:$J$15,4,FALSE)/100))/1000</f>
        <v>0</v>
      </c>
      <c r="AJ92" s="30">
        <f t="shared" si="86"/>
        <v>219.74562366726548</v>
      </c>
      <c r="AK92" s="30"/>
      <c r="AL92" s="23"/>
    </row>
    <row r="93" spans="1:38" x14ac:dyDescent="0.25">
      <c r="A93" s="19"/>
      <c r="B93" s="20" t="str">
        <f t="shared" si="88"/>
        <v>KALIMANTAN</v>
      </c>
      <c r="C93" s="20">
        <f t="shared" si="88"/>
        <v>2036</v>
      </c>
      <c r="D93" s="30">
        <f t="shared" ref="D93:O95" si="90">D45*3.6/1000</f>
        <v>60.072007936040755</v>
      </c>
      <c r="E93" s="30">
        <f t="shared" si="90"/>
        <v>14.860639080920715</v>
      </c>
      <c r="F93" s="30">
        <f t="shared" si="90"/>
        <v>43.612336426385937</v>
      </c>
      <c r="G93" s="30">
        <f t="shared" si="90"/>
        <v>40.235287135834447</v>
      </c>
      <c r="H93" s="30">
        <f t="shared" si="90"/>
        <v>0.19073744384882055</v>
      </c>
      <c r="I93" s="30">
        <f t="shared" si="90"/>
        <v>14.727043319554255</v>
      </c>
      <c r="J93" s="30">
        <f t="shared" si="90"/>
        <v>2.6741681076829713</v>
      </c>
      <c r="K93" s="30">
        <f t="shared" si="90"/>
        <v>11.912519466469853</v>
      </c>
      <c r="L93" s="30">
        <f t="shared" si="90"/>
        <v>26.217308435588656</v>
      </c>
      <c r="M93" s="30">
        <f t="shared" si="90"/>
        <v>1.5843335806183754</v>
      </c>
      <c r="N93" s="30">
        <f t="shared" si="90"/>
        <v>0</v>
      </c>
      <c r="O93" s="30">
        <f t="shared" si="90"/>
        <v>0</v>
      </c>
      <c r="P93" s="30">
        <f>(kalimantan!P69*3.6/(VLOOKUP(P$51,tech_data!$B$2:$J$15,4,FALSE)/100))/1000</f>
        <v>0</v>
      </c>
      <c r="Q93" s="30">
        <f t="shared" si="84"/>
        <v>216.08638093294479</v>
      </c>
      <c r="R93" s="30"/>
      <c r="S93" s="23"/>
      <c r="T93" s="19"/>
      <c r="U93" s="20" t="str">
        <f t="shared" si="89"/>
        <v>KALIMANTAN</v>
      </c>
      <c r="V93" s="20">
        <f t="shared" si="89"/>
        <v>2036</v>
      </c>
      <c r="W93" s="30">
        <f>D69*(1-(VLOOKUP(W$75,tech_data!$B$2:$O$15,4,FALSE)/100))</f>
        <v>95.28663327785776</v>
      </c>
      <c r="X93" s="30">
        <f>E69*(1-(VLOOKUP(X$75,tech_data!$B$2:$O$15,4,FALSE)/100))</f>
        <v>26.804704136614003</v>
      </c>
      <c r="Y93" s="30">
        <f>F69*(1-(VLOOKUP(Y$75,tech_data!$B$2:$O$15,4,FALSE)/100))</f>
        <v>31.151668875989952</v>
      </c>
      <c r="Z93" s="30">
        <f>G69*(1-(VLOOKUP(Z$75,tech_data!$B$2:$O$15,4,FALSE)/100))</f>
        <v>47.232728376849138</v>
      </c>
      <c r="AA93" s="30">
        <f>H69*(1-(VLOOKUP(AA$75,tech_data!$B$2:$O$15,4,FALSE)/100))</f>
        <v>1.2221325105868872</v>
      </c>
      <c r="AB93" s="30">
        <f>I69*(1-(VLOOKUP(AB$75,tech_data!$B$2:$O$15,4,FALSE)/100))</f>
        <v>0.77510754313443531</v>
      </c>
      <c r="AC93" s="30">
        <f>J69*(1-(VLOOKUP(AC$75,tech_data!$B$2:$O$15,4,FALSE)/100))</f>
        <v>0.6685420269207426</v>
      </c>
      <c r="AD93" s="30">
        <f>K69*(1-(VLOOKUP(AD$75,tech_data!$B$2:$O$15,4,FALSE)/100))</f>
        <v>10.006516351834676</v>
      </c>
      <c r="AE93" s="30">
        <f>L69*(1-(VLOOKUP(AE$75,tech_data!$B$2:$O$15,4,FALSE)/100))</f>
        <v>10.670444533284584</v>
      </c>
      <c r="AF93" s="30">
        <f>M69*(1-(VLOOKUP(AF$75,tech_data!$B$2:$O$15,4,FALSE)/100))</f>
        <v>3.5264199052473515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(kalimantan!AI69*3.6/(VLOOKUP(AI$51,tech_data!$B$2:$J$15,4,FALSE)/100))/1000</f>
        <v>0</v>
      </c>
      <c r="AJ93" s="30">
        <f t="shared" si="86"/>
        <v>227.34489753831951</v>
      </c>
      <c r="AK93" s="30"/>
      <c r="AL93" s="23"/>
    </row>
    <row r="94" spans="1:38" x14ac:dyDescent="0.25">
      <c r="A94" s="19"/>
      <c r="B94" s="20" t="str">
        <f t="shared" si="88"/>
        <v>KALIMANTAN</v>
      </c>
      <c r="C94" s="20">
        <f t="shared" si="88"/>
        <v>2037</v>
      </c>
      <c r="D94" s="30">
        <f t="shared" si="90"/>
        <v>62.241078515574443</v>
      </c>
      <c r="E94" s="30">
        <f t="shared" si="90"/>
        <v>14.860639080920732</v>
      </c>
      <c r="F94" s="30">
        <f t="shared" si="90"/>
        <v>47.200040465343498</v>
      </c>
      <c r="G94" s="30">
        <f t="shared" si="90"/>
        <v>40.682220188246262</v>
      </c>
      <c r="H94" s="30">
        <f t="shared" si="90"/>
        <v>0.19073744384882055</v>
      </c>
      <c r="I94" s="30">
        <f t="shared" si="90"/>
        <v>14.727043319554255</v>
      </c>
      <c r="J94" s="30">
        <f t="shared" si="90"/>
        <v>5.0199158953475607</v>
      </c>
      <c r="K94" s="30">
        <f t="shared" si="90"/>
        <v>11.912519466469853</v>
      </c>
      <c r="L94" s="30">
        <f t="shared" si="90"/>
        <v>27.092649598225098</v>
      </c>
      <c r="M94" s="30">
        <f t="shared" si="90"/>
        <v>1.5843335806183754</v>
      </c>
      <c r="N94" s="30">
        <f t="shared" si="90"/>
        <v>0</v>
      </c>
      <c r="O94" s="30">
        <f t="shared" si="90"/>
        <v>0</v>
      </c>
      <c r="P94" s="30">
        <f>(kalimantan!P70*3.6/(VLOOKUP(P$51,tech_data!$B$2:$J$15,4,FALSE)/100))/1000</f>
        <v>0</v>
      </c>
      <c r="Q94" s="30">
        <f t="shared" si="84"/>
        <v>225.5111775541489</v>
      </c>
      <c r="R94" s="30"/>
      <c r="S94" s="23"/>
      <c r="T94" s="19"/>
      <c r="U94" s="20" t="str">
        <f t="shared" si="89"/>
        <v>KALIMANTAN</v>
      </c>
      <c r="V94" s="20">
        <f t="shared" si="89"/>
        <v>2037</v>
      </c>
      <c r="W94" s="30">
        <f>D70*(1-(VLOOKUP(W$75,tech_data!$B$2:$O$15,4,FALSE)/100))</f>
        <v>98.727227990221522</v>
      </c>
      <c r="X94" s="30">
        <f>E70*(1-(VLOOKUP(X$75,tech_data!$B$2:$O$15,4,FALSE)/100))</f>
        <v>26.804704136614028</v>
      </c>
      <c r="Y94" s="30">
        <f>F70*(1-(VLOOKUP(Y$75,tech_data!$B$2:$O$15,4,FALSE)/100))</f>
        <v>33.714314618102492</v>
      </c>
      <c r="Z94" s="30">
        <f>G70*(1-(VLOOKUP(Z$75,tech_data!$B$2:$O$15,4,FALSE)/100))</f>
        <v>47.75738891663692</v>
      </c>
      <c r="AA94" s="30">
        <f>H70*(1-(VLOOKUP(AA$75,tech_data!$B$2:$O$15,4,FALSE)/100))</f>
        <v>1.2221325105868872</v>
      </c>
      <c r="AB94" s="30">
        <f>I70*(1-(VLOOKUP(AB$75,tech_data!$B$2:$O$15,4,FALSE)/100))</f>
        <v>0.77510754313443531</v>
      </c>
      <c r="AC94" s="30">
        <f>J70*(1-(VLOOKUP(AC$75,tech_data!$B$2:$O$15,4,FALSE)/100))</f>
        <v>1.2549789738368897</v>
      </c>
      <c r="AD94" s="30">
        <f>K70*(1-(VLOOKUP(AD$75,tech_data!$B$2:$O$15,4,FALSE)/100))</f>
        <v>10.006516351834676</v>
      </c>
      <c r="AE94" s="30">
        <f>L70*(1-(VLOOKUP(AE$75,tech_data!$B$2:$O$15,4,FALSE)/100))</f>
        <v>11.026708386477615</v>
      </c>
      <c r="AF94" s="30">
        <f>M70*(1-(VLOOKUP(AF$75,tech_data!$B$2:$O$15,4,FALSE)/100))</f>
        <v>3.5264199052473515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(kalimantan!AI70*3.6/(VLOOKUP(AI$51,tech_data!$B$2:$J$15,4,FALSE)/100))/1000</f>
        <v>0</v>
      </c>
      <c r="AJ94" s="30">
        <f t="shared" si="86"/>
        <v>234.81549933269281</v>
      </c>
      <c r="AK94" s="30"/>
      <c r="AL94" s="23"/>
    </row>
    <row r="95" spans="1:38" x14ac:dyDescent="0.25">
      <c r="A95" s="19"/>
      <c r="B95" s="20" t="str">
        <f t="shared" si="88"/>
        <v>KALIMANTAN</v>
      </c>
      <c r="C95" s="20">
        <f t="shared" si="88"/>
        <v>2038</v>
      </c>
      <c r="D95" s="30">
        <f t="shared" si="90"/>
        <v>64.739395375223552</v>
      </c>
      <c r="E95" s="30">
        <f t="shared" si="90"/>
        <v>14.860639080920732</v>
      </c>
      <c r="F95" s="30">
        <f t="shared" si="90"/>
        <v>51.249157716497791</v>
      </c>
      <c r="G95" s="30">
        <f t="shared" si="90"/>
        <v>41.253653125208722</v>
      </c>
      <c r="H95" s="30">
        <f t="shared" si="90"/>
        <v>0.19073744384882055</v>
      </c>
      <c r="I95" s="30">
        <f t="shared" si="90"/>
        <v>14.727043319554255</v>
      </c>
      <c r="J95" s="30">
        <f t="shared" si="90"/>
        <v>8.2273823131042771</v>
      </c>
      <c r="K95" s="30">
        <f t="shared" si="90"/>
        <v>11.912519466469853</v>
      </c>
      <c r="L95" s="30">
        <f t="shared" si="90"/>
        <v>27.530320179543317</v>
      </c>
      <c r="M95" s="30">
        <f t="shared" si="90"/>
        <v>1.5843335806183754</v>
      </c>
      <c r="N95" s="30">
        <f t="shared" si="90"/>
        <v>0</v>
      </c>
      <c r="O95" s="30">
        <f t="shared" si="90"/>
        <v>0</v>
      </c>
      <c r="P95" s="30">
        <f>(kalimantan!P71*3.6/(VLOOKUP(P$51,tech_data!$B$2:$J$15,4,FALSE)/100))/1000</f>
        <v>0</v>
      </c>
      <c r="Q95" s="30">
        <f t="shared" si="84"/>
        <v>236.2751816009897</v>
      </c>
      <c r="R95" s="30"/>
      <c r="S95" s="23"/>
      <c r="T95" s="19"/>
      <c r="U95" s="20" t="str">
        <f t="shared" si="89"/>
        <v>KALIMANTAN</v>
      </c>
      <c r="V95" s="20">
        <f t="shared" si="89"/>
        <v>2038</v>
      </c>
      <c r="W95" s="30">
        <f>D71*(1-(VLOOKUP(W$75,tech_data!$B$2:$O$15,4,FALSE)/100))</f>
        <v>102.69007542276839</v>
      </c>
      <c r="X95" s="30">
        <f>E71*(1-(VLOOKUP(X$75,tech_data!$B$2:$O$15,4,FALSE)/100))</f>
        <v>26.804704136614028</v>
      </c>
      <c r="Y95" s="30">
        <f>F71*(1-(VLOOKUP(Y$75,tech_data!$B$2:$O$15,4,FALSE)/100))</f>
        <v>36.606541226069851</v>
      </c>
      <c r="Z95" s="30">
        <f>G71*(1-(VLOOKUP(Z$75,tech_data!$B$2:$O$15,4,FALSE)/100))</f>
        <v>48.428201494810239</v>
      </c>
      <c r="AA95" s="30">
        <f>H71*(1-(VLOOKUP(AA$75,tech_data!$B$2:$O$15,4,FALSE)/100))</f>
        <v>1.2221325105868872</v>
      </c>
      <c r="AB95" s="30">
        <f>I71*(1-(VLOOKUP(AB$75,tech_data!$B$2:$O$15,4,FALSE)/100))</f>
        <v>0.77510754313443531</v>
      </c>
      <c r="AC95" s="30">
        <f>J71*(1-(VLOOKUP(AC$75,tech_data!$B$2:$O$15,4,FALSE)/100))</f>
        <v>2.0568455782760684</v>
      </c>
      <c r="AD95" s="30">
        <f>K71*(1-(VLOOKUP(AD$75,tech_data!$B$2:$O$15,4,FALSE)/100))</f>
        <v>10.006516351834676</v>
      </c>
      <c r="AE95" s="30">
        <f>L71*(1-(VLOOKUP(AE$75,tech_data!$B$2:$O$15,4,FALSE)/100))</f>
        <v>11.204840313074131</v>
      </c>
      <c r="AF95" s="30">
        <f>M71*(1-(VLOOKUP(AF$75,tech_data!$B$2:$O$15,4,FALSE)/100))</f>
        <v>3.5264199052473515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(kalimantan!AI71*3.6/(VLOOKUP(AI$51,tech_data!$B$2:$J$15,4,FALSE)/100))/1000</f>
        <v>0</v>
      </c>
      <c r="AJ95" s="30">
        <f t="shared" si="86"/>
        <v>243.32138448241602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238125</xdr:colOff>
                    <xdr:row>0</xdr:row>
                    <xdr:rowOff>57150</xdr:rowOff>
                  </from>
                  <to>
                    <xdr:col>3</xdr:col>
                    <xdr:colOff>571500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6079-FBD1-481D-8D20-BDEF0826B96F}">
  <sheetPr codeName="Sheet12"/>
  <dimension ref="A1:CF96"/>
  <sheetViews>
    <sheetView topLeftCell="AK1" zoomScale="85" zoomScaleNormal="85" workbookViewId="0">
      <selection activeCell="BC4" sqref="BC4:BC23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proj_rukn!A102</f>
        <v>SULAWESI</v>
      </c>
      <c r="C4" s="20">
        <f>proj_rukn!B102</f>
        <v>2019</v>
      </c>
      <c r="D4" s="30">
        <f>existing_capacity!C7</f>
        <v>2835.5</v>
      </c>
      <c r="E4" s="30">
        <f>existing_capacity!D7</f>
        <v>288.72000000000003</v>
      </c>
      <c r="F4" s="30">
        <f>existing_capacity!E7</f>
        <v>315</v>
      </c>
      <c r="G4" s="30">
        <f>existing_capacity!F7</f>
        <v>895.93</v>
      </c>
      <c r="H4" s="30">
        <f>existing_capacity!G7</f>
        <v>80</v>
      </c>
      <c r="I4" s="30">
        <f>existing_capacity!H7</f>
        <v>828.97</v>
      </c>
      <c r="J4" s="30">
        <f>existing_capacity!I7</f>
        <v>62.55</v>
      </c>
      <c r="K4" s="30">
        <f>existing_capacity!J7</f>
        <v>4.24</v>
      </c>
      <c r="L4" s="30">
        <f>existing_capacity!K7</f>
        <v>0</v>
      </c>
      <c r="M4" s="30">
        <f>existing_capacity!L7</f>
        <v>0.5</v>
      </c>
      <c r="N4" s="30">
        <f>existing_capacity!M7</f>
        <v>0</v>
      </c>
      <c r="O4" s="30">
        <f>existing_capacity!N7</f>
        <v>0</v>
      </c>
      <c r="P4" s="30">
        <v>0</v>
      </c>
      <c r="Q4" s="30">
        <f>SUM(D4:O4)</f>
        <v>5311.4100000000008</v>
      </c>
      <c r="R4" s="30"/>
      <c r="S4" s="36"/>
      <c r="T4" s="19"/>
      <c r="U4" s="20" t="str">
        <f t="shared" ref="U4:V23" si="0">B4</f>
        <v>SULAWESI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SULAWESI</v>
      </c>
      <c r="AP4" s="20">
        <f t="shared" si="2"/>
        <v>2019</v>
      </c>
      <c r="AQ4" s="30">
        <v>99999</v>
      </c>
      <c r="AR4" s="30">
        <v>99999</v>
      </c>
      <c r="AS4" s="30">
        <v>99999</v>
      </c>
      <c r="AT4" s="30">
        <v>999</v>
      </c>
      <c r="AU4" s="30">
        <f>potential!G7</f>
        <v>3068</v>
      </c>
      <c r="AV4" s="30">
        <f>potential!H7</f>
        <v>10307</v>
      </c>
      <c r="AW4" s="30">
        <f>potential!I7</f>
        <v>1668</v>
      </c>
      <c r="AX4" s="30">
        <f>potential!J7</f>
        <v>22700</v>
      </c>
      <c r="AY4" s="30">
        <f>potential!K7</f>
        <v>8380</v>
      </c>
      <c r="AZ4" s="30">
        <f>potential!L7</f>
        <v>1937</v>
      </c>
      <c r="BA4" s="30">
        <f>potential!M7</f>
        <v>0</v>
      </c>
      <c r="BB4" s="30">
        <v>99999</v>
      </c>
      <c r="BC4" s="30">
        <v>99999</v>
      </c>
      <c r="BD4" s="30">
        <f t="shared" ref="BD4:BD23" si="3">SUM(AU4:BA4)</f>
        <v>48060</v>
      </c>
      <c r="BF4" s="23"/>
      <c r="BG4" s="19"/>
      <c r="BH4" s="20" t="str">
        <f>AO4</f>
        <v>SULAWESI</v>
      </c>
      <c r="BI4" s="20">
        <f>AP4</f>
        <v>2019</v>
      </c>
      <c r="BJ4" s="25">
        <f t="shared" ref="BJ4:BJ22" si="4">SUM(K28:L28,N28)/Q28</f>
        <v>3.1784124932338553E-4</v>
      </c>
      <c r="BK4" s="43">
        <f t="shared" ref="BK4:BK23" si="5">$BO$5+((BJ4-$BN$5)*($BO$6-$BO$5)/($BN$6-$BN$5))</f>
        <v>2.7275979944812654E-4</v>
      </c>
      <c r="BL4" s="34">
        <f>BK4*Q28*1000</f>
        <v>6693.5939098012677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SULAWESI</v>
      </c>
      <c r="C5" s="20">
        <f>C4+1</f>
        <v>2020</v>
      </c>
      <c r="D5" s="30">
        <f>D4+W5</f>
        <v>2898.3235071413951</v>
      </c>
      <c r="E5" s="30">
        <f t="shared" ref="E5:O20" si="6">E4+X5</f>
        <v>288.71999900000003</v>
      </c>
      <c r="F5" s="30">
        <f t="shared" si="6"/>
        <v>1076.5054675222689</v>
      </c>
      <c r="G5" s="30">
        <f t="shared" si="6"/>
        <v>895.93</v>
      </c>
      <c r="H5" s="30">
        <f t="shared" si="6"/>
        <v>80</v>
      </c>
      <c r="I5" s="30">
        <f t="shared" si="6"/>
        <v>828.97</v>
      </c>
      <c r="J5" s="30">
        <f t="shared" si="6"/>
        <v>62.55</v>
      </c>
      <c r="K5" s="30">
        <f t="shared" si="6"/>
        <v>132.97247342585777</v>
      </c>
      <c r="L5" s="30">
        <f t="shared" si="6"/>
        <v>0</v>
      </c>
      <c r="M5" s="30">
        <f t="shared" si="6"/>
        <v>0.5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1.8945174638231916</v>
      </c>
      <c r="Q5" s="30">
        <f t="shared" ref="Q5:Q23" si="7">SUM(D5:O5)</f>
        <v>6264.4714470895224</v>
      </c>
      <c r="R5" s="30"/>
      <c r="S5" s="36"/>
      <c r="T5" s="19"/>
      <c r="U5" s="20" t="str">
        <f t="shared" si="0"/>
        <v>SULAWESI</v>
      </c>
      <c r="V5" s="20">
        <f t="shared" si="0"/>
        <v>2020</v>
      </c>
      <c r="W5" s="30">
        <v>62.823507141395034</v>
      </c>
      <c r="X5" s="30">
        <v>-9.9999999747524271E-7</v>
      </c>
      <c r="Y5" s="30">
        <v>761.50546752226887</v>
      </c>
      <c r="Z5" s="30">
        <v>0</v>
      </c>
      <c r="AA5" s="30">
        <v>0</v>
      </c>
      <c r="AB5" s="30">
        <v>0</v>
      </c>
      <c r="AC5" s="30">
        <v>0</v>
      </c>
      <c r="AD5" s="30">
        <v>128.73247342585776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1.8945174638231916</v>
      </c>
      <c r="AJ5" s="34">
        <f t="shared" si="1"/>
        <v>954.95596455334476</v>
      </c>
      <c r="AM5" s="23"/>
      <c r="AO5" s="20" t="str">
        <f t="shared" si="2"/>
        <v>SULAWESI</v>
      </c>
      <c r="AP5" s="20">
        <f t="shared" si="2"/>
        <v>2020</v>
      </c>
      <c r="AQ5" s="30">
        <v>99999</v>
      </c>
      <c r="AR5" s="30">
        <v>99999</v>
      </c>
      <c r="AS5" s="30">
        <v>99999</v>
      </c>
      <c r="AT5" s="30">
        <v>999</v>
      </c>
      <c r="AU5" s="30">
        <f t="shared" ref="AU5:BA20" si="9">AU4-AA5</f>
        <v>3068</v>
      </c>
      <c r="AV5" s="30">
        <f t="shared" si="9"/>
        <v>10307</v>
      </c>
      <c r="AW5" s="30">
        <f t="shared" si="9"/>
        <v>1668</v>
      </c>
      <c r="AX5" s="30">
        <f t="shared" si="9"/>
        <v>22571.267526574142</v>
      </c>
      <c r="AY5" s="30">
        <f t="shared" si="9"/>
        <v>8380</v>
      </c>
      <c r="AZ5" s="30">
        <f t="shared" si="9"/>
        <v>1937</v>
      </c>
      <c r="BA5" s="30">
        <f t="shared" si="9"/>
        <v>0</v>
      </c>
      <c r="BB5" s="30">
        <v>99999</v>
      </c>
      <c r="BC5" s="30">
        <v>99999</v>
      </c>
      <c r="BD5" s="30">
        <f t="shared" si="3"/>
        <v>47931.267526574142</v>
      </c>
      <c r="BF5" s="23"/>
      <c r="BG5" s="19"/>
      <c r="BH5" s="20" t="str">
        <f t="shared" ref="BH5:BI23" si="10">AO5</f>
        <v>SULAWESI</v>
      </c>
      <c r="BI5" s="20">
        <f t="shared" si="10"/>
        <v>2020</v>
      </c>
      <c r="BJ5" s="25">
        <f t="shared" si="4"/>
        <v>8.9968256365603478E-3</v>
      </c>
      <c r="BK5" s="43">
        <f t="shared" si="5"/>
        <v>2.7467516151979265E-4</v>
      </c>
      <c r="BL5" s="34">
        <f t="shared" ref="BL5:BL23" si="11">BK5*Q29*1000</f>
        <v>7468.1878423910221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SULAWESI</v>
      </c>
      <c r="C6" s="20">
        <f t="shared" ref="C6:C23" si="13">C5+1</f>
        <v>2021</v>
      </c>
      <c r="D6" s="30">
        <f t="shared" ref="D6:O21" si="14">D5+W6</f>
        <v>2963.1167975642975</v>
      </c>
      <c r="E6" s="30">
        <f t="shared" si="6"/>
        <v>288.71999800000003</v>
      </c>
      <c r="F6" s="30">
        <f t="shared" si="6"/>
        <v>1898.53751390457</v>
      </c>
      <c r="G6" s="30">
        <f t="shared" si="6"/>
        <v>895.93</v>
      </c>
      <c r="H6" s="30">
        <f t="shared" si="6"/>
        <v>80</v>
      </c>
      <c r="I6" s="30">
        <f t="shared" si="6"/>
        <v>849.37687373396977</v>
      </c>
      <c r="J6" s="30">
        <f t="shared" si="6"/>
        <v>62.58159746961617</v>
      </c>
      <c r="K6" s="30">
        <f t="shared" si="6"/>
        <v>390.85334967003337</v>
      </c>
      <c r="L6" s="30">
        <f t="shared" si="6"/>
        <v>3.6444104760217082E-2</v>
      </c>
      <c r="M6" s="30">
        <f t="shared" si="6"/>
        <v>0.5</v>
      </c>
      <c r="N6" s="30">
        <f t="shared" si="6"/>
        <v>0</v>
      </c>
      <c r="O6" s="30">
        <f t="shared" si="6"/>
        <v>0</v>
      </c>
      <c r="P6" s="30">
        <f>BL6/((VLOOKUP(P$3,tech_data!$B$2:$G$15,6,FALSE)/100)*24*365)</f>
        <v>2.1392925750711922</v>
      </c>
      <c r="Q6" s="30">
        <f t="shared" si="7"/>
        <v>7429.6525744472474</v>
      </c>
      <c r="R6" s="30"/>
      <c r="S6" s="36"/>
      <c r="T6" s="19"/>
      <c r="U6" s="20" t="str">
        <f t="shared" si="0"/>
        <v>SULAWESI</v>
      </c>
      <c r="V6" s="20">
        <f t="shared" si="0"/>
        <v>2021</v>
      </c>
      <c r="W6" s="30">
        <v>64.793290422902174</v>
      </c>
      <c r="X6" s="30">
        <v>-9.9999999747524271E-7</v>
      </c>
      <c r="Y6" s="30">
        <v>822.03204638230102</v>
      </c>
      <c r="Z6" s="30">
        <v>0</v>
      </c>
      <c r="AA6" s="30">
        <v>0</v>
      </c>
      <c r="AB6" s="30">
        <v>20.406873733969775</v>
      </c>
      <c r="AC6" s="30">
        <v>3.1597469616176599E-2</v>
      </c>
      <c r="AD6" s="30">
        <v>257.88087624417557</v>
      </c>
      <c r="AE6" s="30">
        <v>3.6444104760217082E-2</v>
      </c>
      <c r="AF6" s="30">
        <v>0</v>
      </c>
      <c r="AG6" s="30">
        <v>0</v>
      </c>
      <c r="AH6" s="30">
        <v>0</v>
      </c>
      <c r="AI6" s="30">
        <f t="shared" si="8"/>
        <v>0.24477511124800055</v>
      </c>
      <c r="AJ6" s="34">
        <f t="shared" si="1"/>
        <v>1165.4259024689727</v>
      </c>
      <c r="AM6" s="23"/>
      <c r="AO6" s="20" t="str">
        <f t="shared" si="2"/>
        <v>SULAWESI</v>
      </c>
      <c r="AP6" s="20">
        <f t="shared" si="2"/>
        <v>2021</v>
      </c>
      <c r="AQ6" s="30">
        <v>99999</v>
      </c>
      <c r="AR6" s="30">
        <v>99999</v>
      </c>
      <c r="AS6" s="30">
        <v>99999</v>
      </c>
      <c r="AT6" s="30">
        <v>999</v>
      </c>
      <c r="AU6" s="30">
        <f t="shared" si="9"/>
        <v>3068</v>
      </c>
      <c r="AV6" s="30">
        <f t="shared" si="9"/>
        <v>10286.593126266031</v>
      </c>
      <c r="AW6" s="30">
        <f t="shared" si="9"/>
        <v>1667.9684025303839</v>
      </c>
      <c r="AX6" s="30">
        <f t="shared" si="9"/>
        <v>22313.386650329965</v>
      </c>
      <c r="AY6" s="30">
        <f t="shared" si="9"/>
        <v>8379.9635558952396</v>
      </c>
      <c r="AZ6" s="30">
        <f t="shared" si="9"/>
        <v>1937</v>
      </c>
      <c r="BA6" s="30">
        <f t="shared" si="9"/>
        <v>0</v>
      </c>
      <c r="BB6" s="30">
        <v>99999</v>
      </c>
      <c r="BC6" s="30">
        <v>99999</v>
      </c>
      <c r="BD6" s="30">
        <f t="shared" si="3"/>
        <v>47652.911735021626</v>
      </c>
      <c r="BF6" s="23"/>
      <c r="BG6" s="19"/>
      <c r="BH6" s="20" t="str">
        <f t="shared" si="10"/>
        <v>SULAWESI</v>
      </c>
      <c r="BI6" s="20">
        <f t="shared" si="10"/>
        <v>2021</v>
      </c>
      <c r="BJ6" s="25">
        <f t="shared" si="4"/>
        <v>2.3699420853684778E-2</v>
      </c>
      <c r="BK6" s="43">
        <f t="shared" si="5"/>
        <v>2.7791987218839942E-4</v>
      </c>
      <c r="BL6" s="34">
        <f t="shared" si="11"/>
        <v>8433.0913309306397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SULAWESI</v>
      </c>
      <c r="C7" s="20">
        <f t="shared" si="13"/>
        <v>2022</v>
      </c>
      <c r="D7" s="30">
        <f t="shared" si="14"/>
        <v>3047.7534932767289</v>
      </c>
      <c r="E7" s="30">
        <f t="shared" si="6"/>
        <v>288.71999800000003</v>
      </c>
      <c r="F7" s="30">
        <f t="shared" si="6"/>
        <v>2709.8427546050029</v>
      </c>
      <c r="G7" s="30">
        <f t="shared" si="6"/>
        <v>895.93</v>
      </c>
      <c r="H7" s="30">
        <f t="shared" si="6"/>
        <v>80</v>
      </c>
      <c r="I7" s="30">
        <f t="shared" si="6"/>
        <v>849.37687373396977</v>
      </c>
      <c r="J7" s="30">
        <f t="shared" si="6"/>
        <v>62.58159746961617</v>
      </c>
      <c r="K7" s="30">
        <f t="shared" si="6"/>
        <v>390.85334967003337</v>
      </c>
      <c r="L7" s="30">
        <f t="shared" si="6"/>
        <v>441.81873306776635</v>
      </c>
      <c r="M7" s="30">
        <f t="shared" si="6"/>
        <v>0.5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2.4930596485080994</v>
      </c>
      <c r="Q7" s="30">
        <f t="shared" si="7"/>
        <v>8767.3767998231178</v>
      </c>
      <c r="R7" s="30"/>
      <c r="S7" s="36"/>
      <c r="T7" s="19"/>
      <c r="U7" s="20" t="str">
        <f t="shared" si="0"/>
        <v>SULAWESI</v>
      </c>
      <c r="V7" s="20">
        <f t="shared" si="0"/>
        <v>2022</v>
      </c>
      <c r="W7" s="30">
        <v>84.636695712431234</v>
      </c>
      <c r="X7" s="30">
        <v>0</v>
      </c>
      <c r="Y7" s="30">
        <v>811.30524070043282</v>
      </c>
      <c r="Z7" s="30">
        <v>0</v>
      </c>
      <c r="AA7" s="30">
        <v>0</v>
      </c>
      <c r="AB7" s="30">
        <v>0</v>
      </c>
      <c r="AC7" s="30">
        <v>0</v>
      </c>
      <c r="AD7" s="30">
        <v>0</v>
      </c>
      <c r="AE7" s="30">
        <v>441.78228896300612</v>
      </c>
      <c r="AF7" s="30">
        <v>0</v>
      </c>
      <c r="AG7" s="30">
        <v>0</v>
      </c>
      <c r="AH7" s="30">
        <v>0</v>
      </c>
      <c r="AI7" s="30">
        <f t="shared" si="8"/>
        <v>0.35376707343690716</v>
      </c>
      <c r="AJ7" s="34">
        <f t="shared" si="1"/>
        <v>1338.0779924493072</v>
      </c>
      <c r="AM7" s="23"/>
      <c r="AO7" s="20" t="str">
        <f t="shared" si="2"/>
        <v>SULAWESI</v>
      </c>
      <c r="AP7" s="20">
        <f t="shared" si="2"/>
        <v>2022</v>
      </c>
      <c r="AQ7" s="30">
        <v>99999</v>
      </c>
      <c r="AR7" s="30">
        <v>99999</v>
      </c>
      <c r="AS7" s="30">
        <v>99999</v>
      </c>
      <c r="AT7" s="30">
        <v>999</v>
      </c>
      <c r="AU7" s="30">
        <f t="shared" si="9"/>
        <v>3068</v>
      </c>
      <c r="AV7" s="30">
        <f t="shared" si="9"/>
        <v>10286.593126266031</v>
      </c>
      <c r="AW7" s="30">
        <f t="shared" si="9"/>
        <v>1667.9684025303839</v>
      </c>
      <c r="AX7" s="30">
        <f t="shared" si="9"/>
        <v>22313.386650329965</v>
      </c>
      <c r="AY7" s="30">
        <f t="shared" si="9"/>
        <v>7938.1812669322335</v>
      </c>
      <c r="AZ7" s="30">
        <f t="shared" si="9"/>
        <v>1937</v>
      </c>
      <c r="BA7" s="30">
        <f t="shared" si="9"/>
        <v>0</v>
      </c>
      <c r="BB7" s="30">
        <v>99999</v>
      </c>
      <c r="BC7" s="30">
        <v>99999</v>
      </c>
      <c r="BD7" s="30">
        <f t="shared" si="3"/>
        <v>47211.129446058614</v>
      </c>
      <c r="BF7" s="23"/>
      <c r="BG7" s="19"/>
      <c r="BH7" s="20" t="str">
        <f t="shared" si="10"/>
        <v>SULAWESI</v>
      </c>
      <c r="BI7" s="20">
        <f t="shared" si="10"/>
        <v>2022</v>
      </c>
      <c r="BJ7" s="25">
        <f t="shared" si="4"/>
        <v>6.0476623094749E-2</v>
      </c>
      <c r="BK7" s="43">
        <f t="shared" si="5"/>
        <v>2.8603622026918601E-4</v>
      </c>
      <c r="BL7" s="34">
        <f t="shared" si="11"/>
        <v>9827.6411344189291</v>
      </c>
      <c r="BP7" s="23"/>
    </row>
    <row r="8" spans="1:68" x14ac:dyDescent="0.25">
      <c r="A8" s="19"/>
      <c r="B8" s="20" t="str">
        <f t="shared" si="12"/>
        <v>SULAWESI</v>
      </c>
      <c r="C8" s="20">
        <f t="shared" si="13"/>
        <v>2023</v>
      </c>
      <c r="D8" s="30">
        <f t="shared" si="14"/>
        <v>3047.7534932767289</v>
      </c>
      <c r="E8" s="30">
        <f t="shared" si="6"/>
        <v>288.71999800000003</v>
      </c>
      <c r="F8" s="30">
        <f t="shared" si="6"/>
        <v>2788.2368479335078</v>
      </c>
      <c r="G8" s="30">
        <f t="shared" si="6"/>
        <v>1229.9560937981437</v>
      </c>
      <c r="H8" s="30">
        <f t="shared" si="6"/>
        <v>80</v>
      </c>
      <c r="I8" s="30">
        <f t="shared" si="6"/>
        <v>849.37687373396977</v>
      </c>
      <c r="J8" s="30">
        <f t="shared" si="6"/>
        <v>62.58159746961617</v>
      </c>
      <c r="K8" s="30">
        <f t="shared" si="6"/>
        <v>390.85334967003337</v>
      </c>
      <c r="L8" s="30">
        <f t="shared" si="6"/>
        <v>533.12071703043739</v>
      </c>
      <c r="M8" s="30">
        <f t="shared" si="6"/>
        <v>0.5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2.6586814355160948</v>
      </c>
      <c r="Q8" s="30">
        <f t="shared" si="7"/>
        <v>9271.0989709124369</v>
      </c>
      <c r="R8" s="30"/>
      <c r="S8" s="36"/>
      <c r="T8" s="19"/>
      <c r="U8" s="20" t="str">
        <f t="shared" si="0"/>
        <v>SULAWESI</v>
      </c>
      <c r="V8" s="20">
        <f t="shared" si="0"/>
        <v>2023</v>
      </c>
      <c r="W8" s="30">
        <v>-1.4210854715202004E-14</v>
      </c>
      <c r="X8" s="30">
        <v>0</v>
      </c>
      <c r="Y8" s="30">
        <v>78.394093328504923</v>
      </c>
      <c r="Z8" s="30">
        <v>334.02609379814385</v>
      </c>
      <c r="AA8" s="30">
        <v>0</v>
      </c>
      <c r="AB8" s="30">
        <v>0</v>
      </c>
      <c r="AC8" s="30">
        <v>0</v>
      </c>
      <c r="AD8" s="30">
        <v>0</v>
      </c>
      <c r="AE8" s="30">
        <v>91.301983962671073</v>
      </c>
      <c r="AF8" s="30">
        <v>0</v>
      </c>
      <c r="AG8" s="30">
        <v>0</v>
      </c>
      <c r="AH8" s="30">
        <v>0</v>
      </c>
      <c r="AI8" s="30">
        <f t="shared" si="8"/>
        <v>0.16562178700799546</v>
      </c>
      <c r="AJ8" s="34">
        <f t="shared" si="1"/>
        <v>503.88779287632786</v>
      </c>
      <c r="AM8" s="23"/>
      <c r="AO8" s="20" t="str">
        <f t="shared" si="2"/>
        <v>SULAWESI</v>
      </c>
      <c r="AP8" s="20">
        <f t="shared" si="2"/>
        <v>2023</v>
      </c>
      <c r="AQ8" s="30">
        <v>99999</v>
      </c>
      <c r="AR8" s="30">
        <v>99999</v>
      </c>
      <c r="AS8" s="30">
        <v>99999</v>
      </c>
      <c r="AT8" s="30">
        <v>999</v>
      </c>
      <c r="AU8" s="30">
        <f t="shared" si="9"/>
        <v>3068</v>
      </c>
      <c r="AV8" s="30">
        <f t="shared" si="9"/>
        <v>10286.593126266031</v>
      </c>
      <c r="AW8" s="30">
        <f t="shared" si="9"/>
        <v>1667.9684025303839</v>
      </c>
      <c r="AX8" s="30">
        <f t="shared" si="9"/>
        <v>22313.386650329965</v>
      </c>
      <c r="AY8" s="30">
        <f t="shared" si="9"/>
        <v>7846.8792829695622</v>
      </c>
      <c r="AZ8" s="30">
        <f t="shared" si="9"/>
        <v>1937</v>
      </c>
      <c r="BA8" s="30">
        <f t="shared" si="9"/>
        <v>0</v>
      </c>
      <c r="BB8" s="30">
        <v>99999</v>
      </c>
      <c r="BC8" s="30">
        <v>99999</v>
      </c>
      <c r="BD8" s="30">
        <f t="shared" si="3"/>
        <v>47119.827462095942</v>
      </c>
      <c r="BF8" s="23"/>
      <c r="BG8" s="19"/>
      <c r="BH8" s="20" t="str">
        <f t="shared" si="10"/>
        <v>SULAWESI</v>
      </c>
      <c r="BI8" s="20">
        <f t="shared" si="10"/>
        <v>2023</v>
      </c>
      <c r="BJ8" s="25">
        <f t="shared" si="4"/>
        <v>6.4576678082618619E-2</v>
      </c>
      <c r="BK8" s="43">
        <f t="shared" si="5"/>
        <v>2.8694105999064687E-4</v>
      </c>
      <c r="BL8" s="34">
        <f t="shared" si="11"/>
        <v>10480.522218804446</v>
      </c>
      <c r="BP8" s="23"/>
    </row>
    <row r="9" spans="1:68" x14ac:dyDescent="0.25">
      <c r="A9" s="19"/>
      <c r="B9" s="20" t="str">
        <f t="shared" si="12"/>
        <v>SULAWESI</v>
      </c>
      <c r="C9" s="20">
        <f t="shared" si="13"/>
        <v>2024</v>
      </c>
      <c r="D9" s="30">
        <f t="shared" si="14"/>
        <v>3047.7534932767289</v>
      </c>
      <c r="E9" s="30">
        <f t="shared" si="6"/>
        <v>288.71999800000003</v>
      </c>
      <c r="F9" s="30">
        <f t="shared" si="6"/>
        <v>3283.9776744640812</v>
      </c>
      <c r="G9" s="30">
        <f t="shared" si="6"/>
        <v>1307.9237054971634</v>
      </c>
      <c r="H9" s="30">
        <f t="shared" si="6"/>
        <v>80</v>
      </c>
      <c r="I9" s="30">
        <f t="shared" si="6"/>
        <v>849.37687373396977</v>
      </c>
      <c r="J9" s="30">
        <f t="shared" si="6"/>
        <v>62.58159746961617</v>
      </c>
      <c r="K9" s="30">
        <f t="shared" si="6"/>
        <v>390.85334967003337</v>
      </c>
      <c r="L9" s="30">
        <f t="shared" si="6"/>
        <v>970.90036849197645</v>
      </c>
      <c r="M9" s="30">
        <f t="shared" si="6"/>
        <v>0.5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2.9490570837188166</v>
      </c>
      <c r="Q9" s="30">
        <f t="shared" si="7"/>
        <v>10282.58706060357</v>
      </c>
      <c r="R9" s="30"/>
      <c r="S9" s="36"/>
      <c r="T9" s="19"/>
      <c r="U9" s="20" t="str">
        <f t="shared" si="0"/>
        <v>SULAWESI</v>
      </c>
      <c r="V9" s="20">
        <f t="shared" si="0"/>
        <v>2024</v>
      </c>
      <c r="W9" s="30">
        <v>-3.5527136788005009E-15</v>
      </c>
      <c r="X9" s="30">
        <v>0</v>
      </c>
      <c r="Y9" s="30">
        <v>495.74082653057349</v>
      </c>
      <c r="Z9" s="30">
        <v>77.967611699019798</v>
      </c>
      <c r="AA9" s="30">
        <v>0</v>
      </c>
      <c r="AB9" s="30">
        <v>0</v>
      </c>
      <c r="AC9" s="30">
        <v>0</v>
      </c>
      <c r="AD9" s="30">
        <v>0</v>
      </c>
      <c r="AE9" s="30">
        <v>437.779651461539</v>
      </c>
      <c r="AF9" s="30">
        <v>0</v>
      </c>
      <c r="AG9" s="30">
        <v>0</v>
      </c>
      <c r="AH9" s="30">
        <v>0</v>
      </c>
      <c r="AI9" s="30">
        <f t="shared" si="8"/>
        <v>0.29037564820272177</v>
      </c>
      <c r="AJ9" s="34">
        <f t="shared" si="1"/>
        <v>1011.778465339335</v>
      </c>
      <c r="AM9" s="23"/>
      <c r="AO9" s="20" t="str">
        <f t="shared" si="2"/>
        <v>SULAWESI</v>
      </c>
      <c r="AP9" s="20">
        <f t="shared" si="2"/>
        <v>2024</v>
      </c>
      <c r="AQ9" s="30">
        <v>99999</v>
      </c>
      <c r="AR9" s="30">
        <v>99999</v>
      </c>
      <c r="AS9" s="30">
        <v>99999</v>
      </c>
      <c r="AT9" s="30">
        <v>999</v>
      </c>
      <c r="AU9" s="30">
        <f t="shared" si="9"/>
        <v>3068</v>
      </c>
      <c r="AV9" s="30">
        <f t="shared" si="9"/>
        <v>10286.593126266031</v>
      </c>
      <c r="AW9" s="30">
        <f t="shared" si="9"/>
        <v>1667.9684025303839</v>
      </c>
      <c r="AX9" s="30">
        <f t="shared" si="9"/>
        <v>22313.386650329965</v>
      </c>
      <c r="AY9" s="30">
        <f t="shared" si="9"/>
        <v>7409.0996315080229</v>
      </c>
      <c r="AZ9" s="30">
        <f t="shared" si="9"/>
        <v>1937</v>
      </c>
      <c r="BA9" s="30">
        <f t="shared" si="9"/>
        <v>0</v>
      </c>
      <c r="BB9" s="30">
        <v>99999</v>
      </c>
      <c r="BC9" s="30">
        <v>99999</v>
      </c>
      <c r="BD9" s="30">
        <f t="shared" si="3"/>
        <v>46682.047810634409</v>
      </c>
      <c r="BF9" s="23"/>
      <c r="BG9" s="19"/>
      <c r="BH9" s="20" t="str">
        <f t="shared" si="10"/>
        <v>SULAWESI</v>
      </c>
      <c r="BI9" s="20">
        <f t="shared" si="10"/>
        <v>2024</v>
      </c>
      <c r="BJ9" s="25">
        <f t="shared" si="4"/>
        <v>9.3484835657913698E-2</v>
      </c>
      <c r="BK9" s="43">
        <f t="shared" si="5"/>
        <v>2.9332079131760857E-4</v>
      </c>
      <c r="BL9" s="34">
        <f t="shared" si="11"/>
        <v>11625.183024019576</v>
      </c>
      <c r="BN9" s="38"/>
      <c r="BP9" s="23"/>
    </row>
    <row r="10" spans="1:68" x14ac:dyDescent="0.25">
      <c r="A10" s="19"/>
      <c r="B10" s="20" t="str">
        <f t="shared" si="12"/>
        <v>SULAWESI</v>
      </c>
      <c r="C10" s="20">
        <f t="shared" si="13"/>
        <v>2025</v>
      </c>
      <c r="D10" s="30">
        <f t="shared" si="14"/>
        <v>3047.7534932767289</v>
      </c>
      <c r="E10" s="30">
        <f t="shared" si="6"/>
        <v>288.71999800000003</v>
      </c>
      <c r="F10" s="30">
        <f t="shared" si="6"/>
        <v>3849.9666032520981</v>
      </c>
      <c r="G10" s="30">
        <f t="shared" si="6"/>
        <v>1397.9012467270807</v>
      </c>
      <c r="H10" s="30">
        <f t="shared" si="6"/>
        <v>80</v>
      </c>
      <c r="I10" s="30">
        <f t="shared" si="6"/>
        <v>849.37687373396977</v>
      </c>
      <c r="J10" s="30">
        <f t="shared" si="6"/>
        <v>62.58159746961617</v>
      </c>
      <c r="K10" s="30">
        <f t="shared" si="6"/>
        <v>390.85334967003337</v>
      </c>
      <c r="L10" s="30">
        <f t="shared" si="6"/>
        <v>1482.9987252801393</v>
      </c>
      <c r="M10" s="30">
        <f t="shared" si="6"/>
        <v>0.5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3.285640873661877</v>
      </c>
      <c r="Q10" s="30">
        <f t="shared" si="7"/>
        <v>11450.651887409666</v>
      </c>
      <c r="R10" s="30"/>
      <c r="S10" s="36"/>
      <c r="T10" s="19"/>
      <c r="U10" s="20" t="str">
        <f t="shared" si="0"/>
        <v>SULAWESI</v>
      </c>
      <c r="V10" s="20">
        <f t="shared" si="0"/>
        <v>2025</v>
      </c>
      <c r="W10" s="30">
        <v>0</v>
      </c>
      <c r="X10" s="30">
        <v>1.4210854715202004E-14</v>
      </c>
      <c r="Y10" s="30">
        <v>565.98892878801712</v>
      </c>
      <c r="Z10" s="30">
        <v>89.977541229917321</v>
      </c>
      <c r="AA10" s="30">
        <v>0</v>
      </c>
      <c r="AB10" s="30">
        <v>0</v>
      </c>
      <c r="AC10" s="30">
        <v>0</v>
      </c>
      <c r="AD10" s="30">
        <v>0</v>
      </c>
      <c r="AE10" s="30">
        <v>512.09835678816273</v>
      </c>
      <c r="AF10" s="30">
        <v>0</v>
      </c>
      <c r="AG10" s="30">
        <v>0</v>
      </c>
      <c r="AH10" s="30">
        <v>0</v>
      </c>
      <c r="AI10" s="30">
        <f t="shared" si="8"/>
        <v>0.33658378994306037</v>
      </c>
      <c r="AJ10" s="34">
        <f t="shared" si="1"/>
        <v>1168.4014105960403</v>
      </c>
      <c r="AM10" s="23"/>
      <c r="AO10" s="20" t="str">
        <f t="shared" si="2"/>
        <v>SULAWESI</v>
      </c>
      <c r="AP10" s="20">
        <f t="shared" si="2"/>
        <v>2025</v>
      </c>
      <c r="AQ10" s="30">
        <v>99999</v>
      </c>
      <c r="AR10" s="30">
        <v>99999</v>
      </c>
      <c r="AS10" s="30">
        <v>99999</v>
      </c>
      <c r="AT10" s="30">
        <v>999</v>
      </c>
      <c r="AU10" s="30">
        <f t="shared" si="9"/>
        <v>3068</v>
      </c>
      <c r="AV10" s="30">
        <f t="shared" si="9"/>
        <v>10286.593126266031</v>
      </c>
      <c r="AW10" s="30">
        <f t="shared" si="9"/>
        <v>1667.9684025303839</v>
      </c>
      <c r="AX10" s="30">
        <f t="shared" si="9"/>
        <v>22313.386650329965</v>
      </c>
      <c r="AY10" s="30">
        <f t="shared" si="9"/>
        <v>6897.0012747198598</v>
      </c>
      <c r="AZ10" s="30">
        <f t="shared" si="9"/>
        <v>1937</v>
      </c>
      <c r="BA10" s="30">
        <f t="shared" si="9"/>
        <v>0</v>
      </c>
      <c r="BB10" s="30">
        <v>99999</v>
      </c>
      <c r="BC10" s="30">
        <v>99999</v>
      </c>
      <c r="BD10" s="30">
        <f t="shared" si="3"/>
        <v>46169.949453846246</v>
      </c>
      <c r="BF10" s="23"/>
      <c r="BG10" s="19"/>
      <c r="BH10" s="20" t="str">
        <f t="shared" si="10"/>
        <v>SULAWESI</v>
      </c>
      <c r="BI10" s="20">
        <f t="shared" si="10"/>
        <v>2025</v>
      </c>
      <c r="BJ10" s="25">
        <f t="shared" si="4"/>
        <v>0.12215616647943552</v>
      </c>
      <c r="BK10" s="43">
        <f t="shared" si="5"/>
        <v>2.996482574299444E-4</v>
      </c>
      <c r="BL10" s="34">
        <f t="shared" si="11"/>
        <v>12951.99632397512</v>
      </c>
      <c r="BP10" s="23"/>
    </row>
    <row r="11" spans="1:68" x14ac:dyDescent="0.25">
      <c r="A11" s="19"/>
      <c r="B11" s="20" t="str">
        <f t="shared" si="12"/>
        <v>SULAWESI</v>
      </c>
      <c r="C11" s="20">
        <f t="shared" si="13"/>
        <v>2026</v>
      </c>
      <c r="D11" s="30">
        <f t="shared" si="14"/>
        <v>3047.7534932767289</v>
      </c>
      <c r="E11" s="30">
        <f t="shared" si="6"/>
        <v>288.71999800000003</v>
      </c>
      <c r="F11" s="30">
        <f t="shared" si="6"/>
        <v>4493.2969943766857</v>
      </c>
      <c r="G11" s="30">
        <f t="shared" si="6"/>
        <v>1462.6165880655842</v>
      </c>
      <c r="H11" s="30">
        <f t="shared" si="6"/>
        <v>80</v>
      </c>
      <c r="I11" s="30">
        <f t="shared" si="6"/>
        <v>849.37687373396977</v>
      </c>
      <c r="J11" s="30">
        <f t="shared" si="6"/>
        <v>62.58159746961617</v>
      </c>
      <c r="K11" s="30">
        <f t="shared" si="6"/>
        <v>398.25160520210625</v>
      </c>
      <c r="L11" s="30">
        <f t="shared" si="6"/>
        <v>1745.2538938420403</v>
      </c>
      <c r="M11" s="30">
        <f t="shared" si="6"/>
        <v>0.5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3.5338277710447179</v>
      </c>
      <c r="Q11" s="30">
        <f t="shared" si="7"/>
        <v>12428.351043966732</v>
      </c>
      <c r="R11" s="30"/>
      <c r="S11" s="36"/>
      <c r="T11" s="19"/>
      <c r="U11" s="20" t="str">
        <f t="shared" si="0"/>
        <v>SULAWESI</v>
      </c>
      <c r="V11" s="20">
        <f t="shared" si="0"/>
        <v>2026</v>
      </c>
      <c r="W11" s="30">
        <v>0</v>
      </c>
      <c r="X11" s="30">
        <v>0</v>
      </c>
      <c r="Y11" s="30">
        <v>643.33039112458755</v>
      </c>
      <c r="Z11" s="30">
        <v>64.715341338503649</v>
      </c>
      <c r="AA11" s="30">
        <v>0</v>
      </c>
      <c r="AB11" s="30">
        <v>0</v>
      </c>
      <c r="AC11" s="30">
        <v>0</v>
      </c>
      <c r="AD11" s="30">
        <v>7.3982555320728842</v>
      </c>
      <c r="AE11" s="30">
        <v>262.25516856190086</v>
      </c>
      <c r="AF11" s="30">
        <v>0</v>
      </c>
      <c r="AG11" s="30">
        <v>0</v>
      </c>
      <c r="AH11" s="30">
        <v>0</v>
      </c>
      <c r="AI11" s="30">
        <f t="shared" si="8"/>
        <v>0.24818689738284094</v>
      </c>
      <c r="AJ11" s="34">
        <f t="shared" si="1"/>
        <v>977.94734345444783</v>
      </c>
      <c r="AM11" s="23"/>
      <c r="AO11" s="20" t="str">
        <f t="shared" si="2"/>
        <v>SULAWESI</v>
      </c>
      <c r="AP11" s="20">
        <f t="shared" si="2"/>
        <v>2026</v>
      </c>
      <c r="AQ11" s="30">
        <v>99999</v>
      </c>
      <c r="AR11" s="30">
        <v>99999</v>
      </c>
      <c r="AS11" s="30">
        <v>99999</v>
      </c>
      <c r="AT11" s="30">
        <v>999</v>
      </c>
      <c r="AU11" s="30">
        <f t="shared" si="9"/>
        <v>3068</v>
      </c>
      <c r="AV11" s="30">
        <f t="shared" si="9"/>
        <v>10286.593126266031</v>
      </c>
      <c r="AW11" s="30">
        <f t="shared" si="9"/>
        <v>1667.9684025303839</v>
      </c>
      <c r="AX11" s="30">
        <f t="shared" si="9"/>
        <v>22305.988394797892</v>
      </c>
      <c r="AY11" s="30">
        <f t="shared" si="9"/>
        <v>6634.7461061579588</v>
      </c>
      <c r="AZ11" s="30">
        <f t="shared" si="9"/>
        <v>1937</v>
      </c>
      <c r="BA11" s="30">
        <f t="shared" si="9"/>
        <v>0</v>
      </c>
      <c r="BB11" s="30">
        <v>99999</v>
      </c>
      <c r="BC11" s="30">
        <v>99999</v>
      </c>
      <c r="BD11" s="30">
        <f t="shared" si="3"/>
        <v>45900.296029752266</v>
      </c>
      <c r="BF11" s="23"/>
      <c r="BG11" s="19"/>
      <c r="BH11" s="20" t="str">
        <f t="shared" si="10"/>
        <v>SULAWESI</v>
      </c>
      <c r="BI11" s="20">
        <f t="shared" si="10"/>
        <v>2026</v>
      </c>
      <c r="BJ11" s="25">
        <f t="shared" si="4"/>
        <v>0.13218929869933949</v>
      </c>
      <c r="BK11" s="43">
        <f t="shared" si="5"/>
        <v>3.0186246591985426E-4</v>
      </c>
      <c r="BL11" s="34">
        <f t="shared" si="11"/>
        <v>13930.349073458279</v>
      </c>
      <c r="BP11" s="23"/>
    </row>
    <row r="12" spans="1:68" x14ac:dyDescent="0.25">
      <c r="A12" s="19"/>
      <c r="B12" s="20" t="str">
        <f t="shared" si="12"/>
        <v>SULAWESI</v>
      </c>
      <c r="C12" s="20">
        <f t="shared" si="13"/>
        <v>2027</v>
      </c>
      <c r="D12" s="30">
        <f t="shared" si="14"/>
        <v>3047.7534932767289</v>
      </c>
      <c r="E12" s="30">
        <f t="shared" si="6"/>
        <v>288.71999800000003</v>
      </c>
      <c r="F12" s="30">
        <f t="shared" si="6"/>
        <v>5299.5448577729712</v>
      </c>
      <c r="G12" s="30">
        <f t="shared" si="6"/>
        <v>1547.3550396034357</v>
      </c>
      <c r="H12" s="30">
        <f t="shared" si="6"/>
        <v>80</v>
      </c>
      <c r="I12" s="30">
        <f t="shared" si="6"/>
        <v>849.37687373396977</v>
      </c>
      <c r="J12" s="30">
        <f t="shared" si="6"/>
        <v>62.58159746961617</v>
      </c>
      <c r="K12" s="30">
        <f t="shared" si="6"/>
        <v>457.61404093981815</v>
      </c>
      <c r="L12" s="30">
        <f t="shared" si="6"/>
        <v>2039.8525583430924</v>
      </c>
      <c r="M12" s="30">
        <f t="shared" si="6"/>
        <v>0.5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3.8445402899649239</v>
      </c>
      <c r="Q12" s="30">
        <f t="shared" si="7"/>
        <v>13673.298459139633</v>
      </c>
      <c r="R12" s="30"/>
      <c r="S12" s="36"/>
      <c r="T12" s="19"/>
      <c r="U12" s="20" t="str">
        <f t="shared" si="0"/>
        <v>SULAWESI</v>
      </c>
      <c r="V12" s="20">
        <f t="shared" si="0"/>
        <v>2027</v>
      </c>
      <c r="W12" s="30">
        <v>0</v>
      </c>
      <c r="X12" s="30">
        <v>0</v>
      </c>
      <c r="Y12" s="30">
        <v>806.24786339628542</v>
      </c>
      <c r="Z12" s="30">
        <v>84.738451537851503</v>
      </c>
      <c r="AA12" s="30">
        <v>0</v>
      </c>
      <c r="AB12" s="30">
        <v>0</v>
      </c>
      <c r="AC12" s="30">
        <v>3.5527136788005009E-15</v>
      </c>
      <c r="AD12" s="30">
        <v>59.362435737711884</v>
      </c>
      <c r="AE12" s="30">
        <v>294.59866450105204</v>
      </c>
      <c r="AF12" s="30">
        <v>0</v>
      </c>
      <c r="AG12" s="30">
        <v>0</v>
      </c>
      <c r="AH12" s="30">
        <v>0</v>
      </c>
      <c r="AI12" s="30">
        <f t="shared" si="8"/>
        <v>0.31071251892020602</v>
      </c>
      <c r="AJ12" s="34">
        <f t="shared" si="1"/>
        <v>1245.2581276918208</v>
      </c>
      <c r="AM12" s="23"/>
      <c r="AO12" s="20" t="str">
        <f t="shared" si="2"/>
        <v>SULAWESI</v>
      </c>
      <c r="AP12" s="20">
        <f t="shared" si="2"/>
        <v>2027</v>
      </c>
      <c r="AQ12" s="30">
        <v>99999</v>
      </c>
      <c r="AR12" s="30">
        <v>99999</v>
      </c>
      <c r="AS12" s="30">
        <v>99999</v>
      </c>
      <c r="AT12" s="30">
        <v>999</v>
      </c>
      <c r="AU12" s="30">
        <f t="shared" si="9"/>
        <v>3068</v>
      </c>
      <c r="AV12" s="30">
        <f t="shared" si="9"/>
        <v>10286.593126266031</v>
      </c>
      <c r="AW12" s="30">
        <f t="shared" si="9"/>
        <v>1667.9684025303839</v>
      </c>
      <c r="AX12" s="30">
        <f t="shared" si="9"/>
        <v>22246.62595906018</v>
      </c>
      <c r="AY12" s="30">
        <f t="shared" si="9"/>
        <v>6340.1474416569072</v>
      </c>
      <c r="AZ12" s="30">
        <f t="shared" si="9"/>
        <v>1937</v>
      </c>
      <c r="BA12" s="30">
        <f t="shared" si="9"/>
        <v>0</v>
      </c>
      <c r="BB12" s="30">
        <v>99999</v>
      </c>
      <c r="BC12" s="30">
        <v>99999</v>
      </c>
      <c r="BD12" s="30">
        <f t="shared" si="3"/>
        <v>45546.334929513498</v>
      </c>
      <c r="BF12" s="23"/>
      <c r="BG12" s="19"/>
      <c r="BH12" s="20" t="str">
        <f t="shared" si="10"/>
        <v>SULAWESI</v>
      </c>
      <c r="BI12" s="20">
        <f t="shared" si="10"/>
        <v>2027</v>
      </c>
      <c r="BJ12" s="25">
        <f t="shared" si="4"/>
        <v>0.14283056932234342</v>
      </c>
      <c r="BK12" s="43">
        <f t="shared" si="5"/>
        <v>3.0421088426424133E-4</v>
      </c>
      <c r="BL12" s="34">
        <f t="shared" si="11"/>
        <v>15155.177823041731</v>
      </c>
      <c r="BP12" s="23"/>
    </row>
    <row r="13" spans="1:68" x14ac:dyDescent="0.25">
      <c r="A13" s="19"/>
      <c r="B13" s="20" t="str">
        <f t="shared" si="12"/>
        <v>SULAWESI</v>
      </c>
      <c r="C13" s="20">
        <f t="shared" si="13"/>
        <v>2028</v>
      </c>
      <c r="D13" s="30">
        <f t="shared" si="14"/>
        <v>3121.7987527531118</v>
      </c>
      <c r="E13" s="30">
        <f t="shared" si="6"/>
        <v>288.71999800000003</v>
      </c>
      <c r="F13" s="30">
        <f t="shared" si="6"/>
        <v>5535.5842280553716</v>
      </c>
      <c r="G13" s="30">
        <f t="shared" si="6"/>
        <v>1567.3018806863056</v>
      </c>
      <c r="H13" s="30">
        <f t="shared" si="6"/>
        <v>80</v>
      </c>
      <c r="I13" s="30">
        <f t="shared" si="6"/>
        <v>849.37687373396977</v>
      </c>
      <c r="J13" s="30">
        <f t="shared" si="6"/>
        <v>62.58159746961617</v>
      </c>
      <c r="K13" s="30">
        <f t="shared" si="6"/>
        <v>503.34343788457528</v>
      </c>
      <c r="L13" s="30">
        <f t="shared" si="6"/>
        <v>2194.589825775266</v>
      </c>
      <c r="M13" s="30">
        <f t="shared" si="6"/>
        <v>0.5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3.9915544233120448</v>
      </c>
      <c r="Q13" s="30">
        <f t="shared" si="7"/>
        <v>14203.796594358217</v>
      </c>
      <c r="R13" s="30"/>
      <c r="S13" s="36"/>
      <c r="T13" s="19"/>
      <c r="U13" s="20" t="str">
        <f t="shared" si="0"/>
        <v>SULAWESI</v>
      </c>
      <c r="V13" s="20">
        <f t="shared" si="0"/>
        <v>2028</v>
      </c>
      <c r="W13" s="30">
        <v>74.045259476382924</v>
      </c>
      <c r="X13" s="30">
        <v>0</v>
      </c>
      <c r="Y13" s="30">
        <v>236.0393702824002</v>
      </c>
      <c r="Z13" s="30">
        <v>19.946841082869994</v>
      </c>
      <c r="AA13" s="30">
        <v>0</v>
      </c>
      <c r="AB13" s="30">
        <v>0</v>
      </c>
      <c r="AC13" s="30">
        <v>-3.5527136788005009E-15</v>
      </c>
      <c r="AD13" s="30">
        <v>45.72939694475712</v>
      </c>
      <c r="AE13" s="30">
        <v>154.73726743217358</v>
      </c>
      <c r="AF13" s="30">
        <v>0</v>
      </c>
      <c r="AG13" s="30">
        <v>0</v>
      </c>
      <c r="AH13" s="30">
        <v>0</v>
      </c>
      <c r="AI13" s="30">
        <f t="shared" si="8"/>
        <v>0.14701413334712088</v>
      </c>
      <c r="AJ13" s="34">
        <f t="shared" si="1"/>
        <v>530.64514935193097</v>
      </c>
      <c r="AM13" s="23"/>
      <c r="AO13" s="20" t="str">
        <f t="shared" si="2"/>
        <v>SULAWESI</v>
      </c>
      <c r="AP13" s="20">
        <f t="shared" si="2"/>
        <v>2028</v>
      </c>
      <c r="AQ13" s="30">
        <v>99999</v>
      </c>
      <c r="AR13" s="30">
        <v>99999</v>
      </c>
      <c r="AS13" s="30">
        <v>99999</v>
      </c>
      <c r="AT13" s="30">
        <v>999</v>
      </c>
      <c r="AU13" s="30">
        <f t="shared" si="9"/>
        <v>3068</v>
      </c>
      <c r="AV13" s="30">
        <f t="shared" si="9"/>
        <v>10286.593126266031</v>
      </c>
      <c r="AW13" s="30">
        <f t="shared" si="9"/>
        <v>1667.9684025303839</v>
      </c>
      <c r="AX13" s="30">
        <f t="shared" si="9"/>
        <v>22200.896562115424</v>
      </c>
      <c r="AY13" s="30">
        <f t="shared" si="9"/>
        <v>6185.410174224734</v>
      </c>
      <c r="AZ13" s="30">
        <f t="shared" si="9"/>
        <v>1937</v>
      </c>
      <c r="BA13" s="30">
        <f t="shared" si="9"/>
        <v>0</v>
      </c>
      <c r="BB13" s="30">
        <v>99999</v>
      </c>
      <c r="BC13" s="30">
        <v>99999</v>
      </c>
      <c r="BD13" s="30">
        <f t="shared" si="3"/>
        <v>45345.868265136574</v>
      </c>
      <c r="BF13" s="23"/>
      <c r="BG13" s="19"/>
      <c r="BH13" s="20" t="str">
        <f t="shared" si="10"/>
        <v>SULAWESI</v>
      </c>
      <c r="BI13" s="20">
        <f t="shared" si="10"/>
        <v>2028</v>
      </c>
      <c r="BJ13" s="25">
        <f t="shared" si="4"/>
        <v>0.14906898754330741</v>
      </c>
      <c r="BK13" s="43">
        <f t="shared" si="5"/>
        <v>3.0558763863024717E-4</v>
      </c>
      <c r="BL13" s="34">
        <f t="shared" si="11"/>
        <v>15734.707536696082</v>
      </c>
      <c r="BP13" s="23"/>
    </row>
    <row r="14" spans="1:68" x14ac:dyDescent="0.25">
      <c r="A14" s="19"/>
      <c r="B14" s="20" t="str">
        <f t="shared" si="12"/>
        <v>SULAWESI</v>
      </c>
      <c r="C14" s="20">
        <f t="shared" si="13"/>
        <v>2029</v>
      </c>
      <c r="D14" s="30">
        <f t="shared" si="14"/>
        <v>3208.9522164378959</v>
      </c>
      <c r="E14" s="30">
        <f t="shared" si="6"/>
        <v>288.71999800000003</v>
      </c>
      <c r="F14" s="30">
        <f t="shared" si="6"/>
        <v>5775.4741763231077</v>
      </c>
      <c r="G14" s="30">
        <f t="shared" si="6"/>
        <v>1589.650153996015</v>
      </c>
      <c r="H14" s="30">
        <f t="shared" si="6"/>
        <v>80</v>
      </c>
      <c r="I14" s="30">
        <f t="shared" si="6"/>
        <v>849.37687373396977</v>
      </c>
      <c r="J14" s="30">
        <f t="shared" si="6"/>
        <v>62.58159746961617</v>
      </c>
      <c r="K14" s="30">
        <f t="shared" si="6"/>
        <v>554.2917366262468</v>
      </c>
      <c r="L14" s="30">
        <f t="shared" si="6"/>
        <v>2359.789670103838</v>
      </c>
      <c r="M14" s="30">
        <f t="shared" si="6"/>
        <v>0.5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4.1497619566558051</v>
      </c>
      <c r="Q14" s="30">
        <f t="shared" si="7"/>
        <v>14769.336422690689</v>
      </c>
      <c r="R14" s="30"/>
      <c r="S14" s="36"/>
      <c r="T14" s="19"/>
      <c r="U14" s="20" t="str">
        <f t="shared" si="0"/>
        <v>SULAWESI</v>
      </c>
      <c r="V14" s="20">
        <f t="shared" si="0"/>
        <v>2029</v>
      </c>
      <c r="W14" s="30">
        <v>87.153463684784271</v>
      </c>
      <c r="X14" s="30">
        <v>0</v>
      </c>
      <c r="Y14" s="30">
        <v>239.88994826773646</v>
      </c>
      <c r="Z14" s="30">
        <v>22.34827330970942</v>
      </c>
      <c r="AA14" s="30">
        <v>0</v>
      </c>
      <c r="AB14" s="30">
        <v>0</v>
      </c>
      <c r="AC14" s="30">
        <v>0</v>
      </c>
      <c r="AD14" s="30">
        <v>50.948298741671479</v>
      </c>
      <c r="AE14" s="30">
        <v>165.19984432857197</v>
      </c>
      <c r="AF14" s="30">
        <v>0</v>
      </c>
      <c r="AG14" s="30">
        <v>0</v>
      </c>
      <c r="AH14" s="30">
        <v>0</v>
      </c>
      <c r="AI14" s="30">
        <f t="shared" si="8"/>
        <v>0.15820753334376025</v>
      </c>
      <c r="AJ14" s="34">
        <f t="shared" si="1"/>
        <v>565.69803586581736</v>
      </c>
      <c r="AM14" s="23"/>
      <c r="AO14" s="20" t="str">
        <f t="shared" si="2"/>
        <v>SULAWESI</v>
      </c>
      <c r="AP14" s="20">
        <f t="shared" si="2"/>
        <v>2029</v>
      </c>
      <c r="AQ14" s="30">
        <v>99999</v>
      </c>
      <c r="AR14" s="30">
        <v>99999</v>
      </c>
      <c r="AS14" s="30">
        <v>99999</v>
      </c>
      <c r="AT14" s="30">
        <v>999</v>
      </c>
      <c r="AU14" s="30">
        <f t="shared" si="9"/>
        <v>3068</v>
      </c>
      <c r="AV14" s="30">
        <f t="shared" si="9"/>
        <v>10286.593126266031</v>
      </c>
      <c r="AW14" s="30">
        <f t="shared" si="9"/>
        <v>1667.9684025303839</v>
      </c>
      <c r="AX14" s="30">
        <f t="shared" si="9"/>
        <v>22149.948263373753</v>
      </c>
      <c r="AY14" s="30">
        <f t="shared" si="9"/>
        <v>6020.210329896162</v>
      </c>
      <c r="AZ14" s="30">
        <f t="shared" si="9"/>
        <v>1937</v>
      </c>
      <c r="BA14" s="30">
        <f t="shared" si="9"/>
        <v>0</v>
      </c>
      <c r="BB14" s="30">
        <v>99999</v>
      </c>
      <c r="BC14" s="30">
        <v>99999</v>
      </c>
      <c r="BD14" s="30">
        <f t="shared" si="3"/>
        <v>45129.720122066326</v>
      </c>
      <c r="BF14" s="23"/>
      <c r="BG14" s="19"/>
      <c r="BH14" s="20" t="str">
        <f t="shared" si="10"/>
        <v>SULAWESI</v>
      </c>
      <c r="BI14" s="20">
        <f t="shared" si="10"/>
        <v>2029</v>
      </c>
      <c r="BJ14" s="25">
        <f t="shared" si="4"/>
        <v>0.15532689351644474</v>
      </c>
      <c r="BK14" s="43">
        <f t="shared" si="5"/>
        <v>3.069686937415602E-4</v>
      </c>
      <c r="BL14" s="34">
        <f t="shared" si="11"/>
        <v>16358.361633137185</v>
      </c>
      <c r="BP14" s="23"/>
    </row>
    <row r="15" spans="1:68" x14ac:dyDescent="0.25">
      <c r="A15" s="19"/>
      <c r="B15" s="20" t="str">
        <f t="shared" si="12"/>
        <v>SULAWESI</v>
      </c>
      <c r="C15" s="20">
        <f t="shared" si="13"/>
        <v>2030</v>
      </c>
      <c r="D15" s="30">
        <f t="shared" si="14"/>
        <v>3300.2425149886531</v>
      </c>
      <c r="E15" s="30">
        <f t="shared" si="6"/>
        <v>288.71999800000003</v>
      </c>
      <c r="F15" s="30">
        <f t="shared" si="6"/>
        <v>6027.3475626679601</v>
      </c>
      <c r="G15" s="30">
        <f t="shared" si="6"/>
        <v>1613.2255446030683</v>
      </c>
      <c r="H15" s="30">
        <f t="shared" si="6"/>
        <v>80</v>
      </c>
      <c r="I15" s="30">
        <f t="shared" si="6"/>
        <v>849.37687373396977</v>
      </c>
      <c r="J15" s="30">
        <f t="shared" si="6"/>
        <v>62.58159746961617</v>
      </c>
      <c r="K15" s="30">
        <f t="shared" si="6"/>
        <v>610.63484976287475</v>
      </c>
      <c r="L15" s="30">
        <f t="shared" si="6"/>
        <v>2533.0269728669414</v>
      </c>
      <c r="M15" s="30">
        <f t="shared" si="6"/>
        <v>0.5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4.316411528305709</v>
      </c>
      <c r="Q15" s="30">
        <f t="shared" si="7"/>
        <v>15365.655914093084</v>
      </c>
      <c r="R15" s="30"/>
      <c r="S15" s="36"/>
      <c r="T15" s="19"/>
      <c r="U15" s="20" t="str">
        <f t="shared" si="0"/>
        <v>SULAWESI</v>
      </c>
      <c r="V15" s="20">
        <f t="shared" si="0"/>
        <v>2030</v>
      </c>
      <c r="W15" s="30">
        <v>91.290298550757342</v>
      </c>
      <c r="X15" s="30">
        <v>0</v>
      </c>
      <c r="Y15" s="30">
        <v>251.87338634485255</v>
      </c>
      <c r="Z15" s="30">
        <v>23.575390607053453</v>
      </c>
      <c r="AA15" s="30">
        <v>0</v>
      </c>
      <c r="AB15" s="30">
        <v>-3.5527136788005009E-15</v>
      </c>
      <c r="AC15" s="30">
        <v>0</v>
      </c>
      <c r="AD15" s="30">
        <v>56.343113136627942</v>
      </c>
      <c r="AE15" s="30">
        <v>173.23730276310329</v>
      </c>
      <c r="AF15" s="30">
        <v>0</v>
      </c>
      <c r="AG15" s="30">
        <v>0</v>
      </c>
      <c r="AH15" s="30">
        <v>0</v>
      </c>
      <c r="AI15" s="30">
        <f t="shared" si="8"/>
        <v>0.1666495716499039</v>
      </c>
      <c r="AJ15" s="34">
        <f t="shared" si="1"/>
        <v>596.48614097404447</v>
      </c>
      <c r="AM15" s="23"/>
      <c r="AO15" s="20" t="str">
        <f t="shared" si="2"/>
        <v>SULAWESI</v>
      </c>
      <c r="AP15" s="20">
        <f t="shared" si="2"/>
        <v>2030</v>
      </c>
      <c r="AQ15" s="30">
        <v>99999</v>
      </c>
      <c r="AR15" s="30">
        <v>99999</v>
      </c>
      <c r="AS15" s="30">
        <v>99999</v>
      </c>
      <c r="AT15" s="30">
        <v>999</v>
      </c>
      <c r="AU15" s="30">
        <f t="shared" si="9"/>
        <v>3068</v>
      </c>
      <c r="AV15" s="30">
        <f t="shared" si="9"/>
        <v>10286.593126266031</v>
      </c>
      <c r="AW15" s="30">
        <f t="shared" si="9"/>
        <v>1667.9684025303839</v>
      </c>
      <c r="AX15" s="30">
        <f t="shared" si="9"/>
        <v>22093.605150237127</v>
      </c>
      <c r="AY15" s="30">
        <f t="shared" si="9"/>
        <v>5846.9730271330591</v>
      </c>
      <c r="AZ15" s="30">
        <f t="shared" si="9"/>
        <v>1937</v>
      </c>
      <c r="BA15" s="30">
        <f t="shared" si="9"/>
        <v>0</v>
      </c>
      <c r="BB15" s="30">
        <v>99999</v>
      </c>
      <c r="BC15" s="30">
        <v>99999</v>
      </c>
      <c r="BD15" s="30">
        <f t="shared" si="3"/>
        <v>44900.139706166607</v>
      </c>
      <c r="BF15" s="23"/>
      <c r="BG15" s="19"/>
      <c r="BH15" s="20" t="str">
        <f t="shared" si="10"/>
        <v>SULAWESI</v>
      </c>
      <c r="BI15" s="20">
        <f t="shared" si="10"/>
        <v>2030</v>
      </c>
      <c r="BJ15" s="25">
        <f t="shared" si="4"/>
        <v>0.16152910517933963</v>
      </c>
      <c r="BK15" s="43">
        <f t="shared" si="5"/>
        <v>3.0833745769475081E-4</v>
      </c>
      <c r="BL15" s="34">
        <f t="shared" si="11"/>
        <v>17015.294244581106</v>
      </c>
      <c r="BP15" s="23"/>
    </row>
    <row r="16" spans="1:68" x14ac:dyDescent="0.25">
      <c r="A16" s="19"/>
      <c r="B16" s="20" t="str">
        <f t="shared" si="12"/>
        <v>SULAWESI</v>
      </c>
      <c r="C16" s="20">
        <f t="shared" si="13"/>
        <v>2031</v>
      </c>
      <c r="D16" s="30">
        <f t="shared" si="14"/>
        <v>3412.8363556983463</v>
      </c>
      <c r="E16" s="30">
        <f t="shared" si="6"/>
        <v>288.71999800000003</v>
      </c>
      <c r="F16" s="30">
        <f t="shared" si="6"/>
        <v>6324.8955194415248</v>
      </c>
      <c r="G16" s="30">
        <f t="shared" si="6"/>
        <v>1646.2518867176443</v>
      </c>
      <c r="H16" s="30">
        <f t="shared" si="6"/>
        <v>80</v>
      </c>
      <c r="I16" s="30">
        <f t="shared" si="6"/>
        <v>849.37687373396977</v>
      </c>
      <c r="J16" s="30">
        <f t="shared" si="6"/>
        <v>62.58159746961617</v>
      </c>
      <c r="K16" s="30">
        <f t="shared" si="6"/>
        <v>676.33044195554351</v>
      </c>
      <c r="L16" s="30">
        <f t="shared" si="6"/>
        <v>2735.8063918771918</v>
      </c>
      <c r="M16" s="30">
        <f t="shared" si="6"/>
        <v>0.5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4.5157435100566952</v>
      </c>
      <c r="Q16" s="30">
        <f t="shared" si="7"/>
        <v>16077.299064893838</v>
      </c>
      <c r="R16" s="30"/>
      <c r="S16" s="36"/>
      <c r="T16" s="19"/>
      <c r="U16" s="20" t="str">
        <f t="shared" si="0"/>
        <v>SULAWESI</v>
      </c>
      <c r="V16" s="20">
        <f t="shared" si="0"/>
        <v>2031</v>
      </c>
      <c r="W16" s="30">
        <v>112.59384070969348</v>
      </c>
      <c r="X16" s="30">
        <v>0</v>
      </c>
      <c r="Y16" s="30">
        <v>297.54795677356492</v>
      </c>
      <c r="Z16" s="30">
        <v>33.026342114576067</v>
      </c>
      <c r="AA16" s="30">
        <v>0</v>
      </c>
      <c r="AB16" s="30">
        <v>0</v>
      </c>
      <c r="AC16" s="30">
        <v>0</v>
      </c>
      <c r="AD16" s="30">
        <v>65.695592192668741</v>
      </c>
      <c r="AE16" s="30">
        <v>202.77941901025022</v>
      </c>
      <c r="AF16" s="30">
        <v>0</v>
      </c>
      <c r="AG16" s="30">
        <v>0</v>
      </c>
      <c r="AH16" s="30">
        <v>0</v>
      </c>
      <c r="AI16" s="30">
        <f t="shared" si="8"/>
        <v>0.19933198175098621</v>
      </c>
      <c r="AJ16" s="34">
        <f t="shared" si="1"/>
        <v>711.84248278250448</v>
      </c>
      <c r="AM16" s="23"/>
      <c r="AO16" s="20" t="str">
        <f t="shared" si="2"/>
        <v>SULAWESI</v>
      </c>
      <c r="AP16" s="20">
        <f t="shared" si="2"/>
        <v>2031</v>
      </c>
      <c r="AQ16" s="30">
        <v>99999</v>
      </c>
      <c r="AR16" s="30">
        <v>99999</v>
      </c>
      <c r="AS16" s="30">
        <v>99999</v>
      </c>
      <c r="AT16" s="30">
        <v>999</v>
      </c>
      <c r="AU16" s="30">
        <f t="shared" si="9"/>
        <v>3068</v>
      </c>
      <c r="AV16" s="30">
        <f t="shared" si="9"/>
        <v>10286.593126266031</v>
      </c>
      <c r="AW16" s="30">
        <f t="shared" si="9"/>
        <v>1667.9684025303839</v>
      </c>
      <c r="AX16" s="30">
        <f t="shared" si="9"/>
        <v>22027.909558044459</v>
      </c>
      <c r="AY16" s="30">
        <f t="shared" si="9"/>
        <v>5644.1936081228087</v>
      </c>
      <c r="AZ16" s="30">
        <f t="shared" si="9"/>
        <v>1937</v>
      </c>
      <c r="BA16" s="30">
        <f t="shared" si="9"/>
        <v>0</v>
      </c>
      <c r="BB16" s="30">
        <v>99999</v>
      </c>
      <c r="BC16" s="30">
        <v>99999</v>
      </c>
      <c r="BD16" s="30">
        <f t="shared" si="3"/>
        <v>44631.664694963678</v>
      </c>
      <c r="BF16" s="23"/>
      <c r="BG16" s="19"/>
      <c r="BH16" s="20" t="str">
        <f t="shared" si="10"/>
        <v>SULAWESI</v>
      </c>
      <c r="BI16" s="20">
        <f t="shared" si="10"/>
        <v>2031</v>
      </c>
      <c r="BJ16" s="25">
        <f t="shared" si="4"/>
        <v>0.16807924643339189</v>
      </c>
      <c r="BK16" s="43">
        <f t="shared" si="5"/>
        <v>3.097830061094382E-4</v>
      </c>
      <c r="BL16" s="34">
        <f t="shared" si="11"/>
        <v>17801.060916643495</v>
      </c>
      <c r="BP16" s="23"/>
    </row>
    <row r="17" spans="1:84" x14ac:dyDescent="0.25">
      <c r="A17" s="19"/>
      <c r="B17" s="20" t="str">
        <f t="shared" si="12"/>
        <v>SULAWESI</v>
      </c>
      <c r="C17" s="20">
        <f t="shared" si="13"/>
        <v>2032</v>
      </c>
      <c r="D17" s="30">
        <f t="shared" si="14"/>
        <v>3536.4667680602151</v>
      </c>
      <c r="E17" s="30">
        <f t="shared" si="6"/>
        <v>288.71999800000003</v>
      </c>
      <c r="F17" s="30">
        <f t="shared" si="6"/>
        <v>6649.4429849210974</v>
      </c>
      <c r="G17" s="30">
        <f t="shared" si="6"/>
        <v>1683.4605109924366</v>
      </c>
      <c r="H17" s="30">
        <f t="shared" si="6"/>
        <v>80</v>
      </c>
      <c r="I17" s="30">
        <f t="shared" si="6"/>
        <v>849.37687373396977</v>
      </c>
      <c r="J17" s="30">
        <f t="shared" si="6"/>
        <v>62.58159746961617</v>
      </c>
      <c r="K17" s="30">
        <f t="shared" si="6"/>
        <v>750.53356404130852</v>
      </c>
      <c r="L17" s="30">
        <f t="shared" si="6"/>
        <v>2956.2120582132579</v>
      </c>
      <c r="M17" s="30">
        <f t="shared" si="6"/>
        <v>0.5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4.7341360238182819</v>
      </c>
      <c r="Q17" s="30">
        <f t="shared" si="7"/>
        <v>16857.294355431903</v>
      </c>
      <c r="R17" s="30"/>
      <c r="S17" s="36"/>
      <c r="T17" s="19"/>
      <c r="U17" s="20" t="str">
        <f t="shared" si="0"/>
        <v>SULAWESI</v>
      </c>
      <c r="V17" s="20">
        <f t="shared" si="0"/>
        <v>2032</v>
      </c>
      <c r="W17" s="30">
        <v>123.63041236186859</v>
      </c>
      <c r="X17" s="30">
        <v>0</v>
      </c>
      <c r="Y17" s="30">
        <v>324.54746547957234</v>
      </c>
      <c r="Z17" s="30">
        <v>37.208624274792399</v>
      </c>
      <c r="AA17" s="30">
        <v>0</v>
      </c>
      <c r="AB17" s="30">
        <v>0</v>
      </c>
      <c r="AC17" s="30">
        <v>0</v>
      </c>
      <c r="AD17" s="30">
        <v>74.203122085765031</v>
      </c>
      <c r="AE17" s="30">
        <v>220.40566633606608</v>
      </c>
      <c r="AF17" s="30">
        <v>0</v>
      </c>
      <c r="AG17" s="30">
        <v>0</v>
      </c>
      <c r="AH17" s="30">
        <v>0</v>
      </c>
      <c r="AI17" s="30">
        <f t="shared" si="8"/>
        <v>0.21839251376158675</v>
      </c>
      <c r="AJ17" s="34">
        <f t="shared" si="1"/>
        <v>780.21368305182602</v>
      </c>
      <c r="AM17" s="23"/>
      <c r="AO17" s="20" t="str">
        <f t="shared" si="2"/>
        <v>SULAWESI</v>
      </c>
      <c r="AP17" s="20">
        <f t="shared" si="2"/>
        <v>2032</v>
      </c>
      <c r="AQ17" s="30">
        <v>99999</v>
      </c>
      <c r="AR17" s="30">
        <v>99999</v>
      </c>
      <c r="AS17" s="30">
        <v>99999</v>
      </c>
      <c r="AT17" s="30">
        <v>999</v>
      </c>
      <c r="AU17" s="30">
        <f t="shared" si="9"/>
        <v>3068</v>
      </c>
      <c r="AV17" s="30">
        <f t="shared" si="9"/>
        <v>10286.593126266031</v>
      </c>
      <c r="AW17" s="30">
        <f t="shared" si="9"/>
        <v>1667.9684025303839</v>
      </c>
      <c r="AX17" s="30">
        <f t="shared" si="9"/>
        <v>21953.706435958695</v>
      </c>
      <c r="AY17" s="30">
        <f t="shared" si="9"/>
        <v>5423.7879417867425</v>
      </c>
      <c r="AZ17" s="30">
        <f t="shared" si="9"/>
        <v>1937</v>
      </c>
      <c r="BA17" s="30">
        <f t="shared" si="9"/>
        <v>0</v>
      </c>
      <c r="BB17" s="30">
        <v>99999</v>
      </c>
      <c r="BC17" s="30">
        <v>99999</v>
      </c>
      <c r="BD17" s="30">
        <f t="shared" si="3"/>
        <v>44337.055906541857</v>
      </c>
      <c r="BF17" s="23"/>
      <c r="BG17" s="19"/>
      <c r="BH17" s="20" t="str">
        <f t="shared" si="10"/>
        <v>SULAWESI</v>
      </c>
      <c r="BI17" s="20">
        <f t="shared" si="10"/>
        <v>2032</v>
      </c>
      <c r="BJ17" s="25">
        <f t="shared" si="4"/>
        <v>0.17465877078866213</v>
      </c>
      <c r="BK17" s="43">
        <f t="shared" si="5"/>
        <v>3.1123503907060128E-4</v>
      </c>
      <c r="BL17" s="34">
        <f t="shared" si="11"/>
        <v>18661.964205891669</v>
      </c>
      <c r="BP17" s="23"/>
    </row>
    <row r="18" spans="1:84" x14ac:dyDescent="0.25">
      <c r="A18" s="19"/>
      <c r="B18" s="20" t="str">
        <f t="shared" si="12"/>
        <v>SULAWESI</v>
      </c>
      <c r="C18" s="20">
        <f t="shared" si="13"/>
        <v>2033</v>
      </c>
      <c r="D18" s="30">
        <f t="shared" si="14"/>
        <v>3656.0453245449789</v>
      </c>
      <c r="E18" s="30">
        <f t="shared" si="6"/>
        <v>288.71999800000003</v>
      </c>
      <c r="F18" s="30">
        <f t="shared" si="6"/>
        <v>6971.7336791265752</v>
      </c>
      <c r="G18" s="30">
        <f t="shared" si="6"/>
        <v>1717.586790675289</v>
      </c>
      <c r="H18" s="30">
        <f t="shared" si="6"/>
        <v>80</v>
      </c>
      <c r="I18" s="30">
        <f t="shared" si="6"/>
        <v>849.37687373396977</v>
      </c>
      <c r="J18" s="30">
        <f t="shared" si="6"/>
        <v>62.58159746961617</v>
      </c>
      <c r="K18" s="30">
        <f t="shared" si="6"/>
        <v>830.84612632172912</v>
      </c>
      <c r="L18" s="30">
        <f t="shared" si="6"/>
        <v>3175.335957274574</v>
      </c>
      <c r="M18" s="30">
        <f t="shared" si="6"/>
        <v>0.5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4.9505850691874063</v>
      </c>
      <c r="Q18" s="30">
        <f t="shared" si="7"/>
        <v>17632.72634714673</v>
      </c>
      <c r="R18" s="30"/>
      <c r="S18" s="36"/>
      <c r="T18" s="19"/>
      <c r="U18" s="20" t="str">
        <f t="shared" si="0"/>
        <v>SULAWESI</v>
      </c>
      <c r="V18" s="20">
        <f t="shared" si="0"/>
        <v>2033</v>
      </c>
      <c r="W18" s="30">
        <v>119.57855648476368</v>
      </c>
      <c r="X18" s="30">
        <v>0</v>
      </c>
      <c r="Y18" s="30">
        <v>322.29069420547796</v>
      </c>
      <c r="Z18" s="30">
        <v>34.126279682852314</v>
      </c>
      <c r="AA18" s="30">
        <v>0</v>
      </c>
      <c r="AB18" s="30">
        <v>0</v>
      </c>
      <c r="AC18" s="30">
        <v>0</v>
      </c>
      <c r="AD18" s="30">
        <v>80.312562280420551</v>
      </c>
      <c r="AE18" s="30">
        <v>219.12389906131614</v>
      </c>
      <c r="AF18" s="30">
        <v>0</v>
      </c>
      <c r="AG18" s="30">
        <v>0</v>
      </c>
      <c r="AH18" s="30">
        <v>0</v>
      </c>
      <c r="AI18" s="30">
        <f t="shared" si="8"/>
        <v>0.21644904536912435</v>
      </c>
      <c r="AJ18" s="34">
        <f t="shared" si="1"/>
        <v>775.64844076019983</v>
      </c>
      <c r="AM18" s="23"/>
      <c r="AO18" s="20" t="str">
        <f t="shared" si="2"/>
        <v>SULAWESI</v>
      </c>
      <c r="AP18" s="20">
        <f t="shared" si="2"/>
        <v>2033</v>
      </c>
      <c r="AQ18" s="30">
        <v>99999</v>
      </c>
      <c r="AR18" s="30">
        <v>99999</v>
      </c>
      <c r="AS18" s="30">
        <v>99999</v>
      </c>
      <c r="AT18" s="30">
        <v>999</v>
      </c>
      <c r="AU18" s="30">
        <f t="shared" si="9"/>
        <v>3068</v>
      </c>
      <c r="AV18" s="30">
        <f t="shared" si="9"/>
        <v>10286.593126266031</v>
      </c>
      <c r="AW18" s="30">
        <f t="shared" si="9"/>
        <v>1667.9684025303839</v>
      </c>
      <c r="AX18" s="30">
        <f t="shared" si="9"/>
        <v>21873.393873678273</v>
      </c>
      <c r="AY18" s="30">
        <f t="shared" si="9"/>
        <v>5204.664042725426</v>
      </c>
      <c r="AZ18" s="30">
        <f t="shared" si="9"/>
        <v>1937</v>
      </c>
      <c r="BA18" s="30">
        <f t="shared" si="9"/>
        <v>0</v>
      </c>
      <c r="BB18" s="30">
        <v>99999</v>
      </c>
      <c r="BC18" s="30">
        <v>99999</v>
      </c>
      <c r="BD18" s="30">
        <f t="shared" si="3"/>
        <v>44037.619445200115</v>
      </c>
      <c r="BF18" s="23"/>
      <c r="BG18" s="19"/>
      <c r="BH18" s="20" t="str">
        <f t="shared" si="10"/>
        <v>SULAWESI</v>
      </c>
      <c r="BI18" s="20">
        <f t="shared" si="10"/>
        <v>2033</v>
      </c>
      <c r="BJ18" s="25">
        <f t="shared" si="4"/>
        <v>0.18092732322236146</v>
      </c>
      <c r="BK18" s="43">
        <f t="shared" si="5"/>
        <v>3.1261844374562458E-4</v>
      </c>
      <c r="BL18" s="34">
        <f t="shared" si="11"/>
        <v>19515.206342736758</v>
      </c>
      <c r="BP18" s="23"/>
    </row>
    <row r="19" spans="1:84" x14ac:dyDescent="0.25">
      <c r="A19" s="19"/>
      <c r="B19" s="20" t="str">
        <f t="shared" si="12"/>
        <v>SULAWESI</v>
      </c>
      <c r="C19" s="20">
        <f t="shared" si="13"/>
        <v>2034</v>
      </c>
      <c r="D19" s="30">
        <f t="shared" si="14"/>
        <v>3803.1338743657907</v>
      </c>
      <c r="E19" s="30">
        <f t="shared" si="6"/>
        <v>288.71999800000003</v>
      </c>
      <c r="F19" s="30">
        <f t="shared" si="6"/>
        <v>7355.1251104047951</v>
      </c>
      <c r="G19" s="30">
        <f t="shared" si="6"/>
        <v>1763.3724097348102</v>
      </c>
      <c r="H19" s="30">
        <f t="shared" si="6"/>
        <v>80</v>
      </c>
      <c r="I19" s="30">
        <f t="shared" si="6"/>
        <v>849.37687373396977</v>
      </c>
      <c r="J19" s="30">
        <f t="shared" si="6"/>
        <v>62.58159746961617</v>
      </c>
      <c r="K19" s="30">
        <f t="shared" si="6"/>
        <v>925.36399409419141</v>
      </c>
      <c r="L19" s="30">
        <f t="shared" si="6"/>
        <v>3433.8372640046364</v>
      </c>
      <c r="M19" s="30">
        <f t="shared" si="6"/>
        <v>0.5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5.2104183576632428</v>
      </c>
      <c r="Q19" s="30">
        <f t="shared" si="7"/>
        <v>18562.011121807809</v>
      </c>
      <c r="R19" s="30"/>
      <c r="S19" s="36"/>
      <c r="T19" s="19"/>
      <c r="U19" s="20" t="str">
        <f t="shared" si="0"/>
        <v>SULAWESI</v>
      </c>
      <c r="V19" s="20">
        <f t="shared" si="0"/>
        <v>2034</v>
      </c>
      <c r="W19" s="30">
        <v>147.08854982081166</v>
      </c>
      <c r="X19" s="30">
        <v>0</v>
      </c>
      <c r="Y19" s="30">
        <v>383.39143127822001</v>
      </c>
      <c r="Z19" s="30">
        <v>45.785619059521224</v>
      </c>
      <c r="AA19" s="30">
        <v>-3.5527136788005009E-15</v>
      </c>
      <c r="AB19" s="30">
        <v>0</v>
      </c>
      <c r="AC19" s="30">
        <v>0</v>
      </c>
      <c r="AD19" s="30">
        <v>94.517867772462267</v>
      </c>
      <c r="AE19" s="30">
        <v>258.50130673006254</v>
      </c>
      <c r="AF19" s="30">
        <v>0</v>
      </c>
      <c r="AG19" s="30">
        <v>0</v>
      </c>
      <c r="AH19" s="30">
        <v>0</v>
      </c>
      <c r="AI19" s="30">
        <f t="shared" si="8"/>
        <v>0.25983328847583653</v>
      </c>
      <c r="AJ19" s="34">
        <f t="shared" si="1"/>
        <v>929.54460794955355</v>
      </c>
      <c r="AM19" s="23"/>
      <c r="AO19" s="20" t="str">
        <f t="shared" si="2"/>
        <v>SULAWESI</v>
      </c>
      <c r="AP19" s="20">
        <f t="shared" si="2"/>
        <v>2034</v>
      </c>
      <c r="AQ19" s="30">
        <v>99999</v>
      </c>
      <c r="AR19" s="30">
        <v>99999</v>
      </c>
      <c r="AS19" s="30">
        <v>99999</v>
      </c>
      <c r="AT19" s="30">
        <v>999</v>
      </c>
      <c r="AU19" s="30">
        <f t="shared" si="9"/>
        <v>3068</v>
      </c>
      <c r="AV19" s="30">
        <f t="shared" si="9"/>
        <v>10286.593126266031</v>
      </c>
      <c r="AW19" s="30">
        <f t="shared" si="9"/>
        <v>1667.9684025303839</v>
      </c>
      <c r="AX19" s="30">
        <f t="shared" si="9"/>
        <v>21778.876005905811</v>
      </c>
      <c r="AY19" s="30">
        <f t="shared" si="9"/>
        <v>4946.1627359953636</v>
      </c>
      <c r="AZ19" s="30">
        <f t="shared" si="9"/>
        <v>1937</v>
      </c>
      <c r="BA19" s="30">
        <f t="shared" si="9"/>
        <v>0</v>
      </c>
      <c r="BB19" s="30">
        <v>99999</v>
      </c>
      <c r="BC19" s="30">
        <v>99999</v>
      </c>
      <c r="BD19" s="30">
        <f t="shared" si="3"/>
        <v>43684.600270697592</v>
      </c>
      <c r="BF19" s="23"/>
      <c r="BG19" s="19"/>
      <c r="BH19" s="20" t="str">
        <f t="shared" si="10"/>
        <v>SULAWESI</v>
      </c>
      <c r="BI19" s="20">
        <f t="shared" si="10"/>
        <v>2034</v>
      </c>
      <c r="BJ19" s="25">
        <f t="shared" si="4"/>
        <v>0.1875208610774938</v>
      </c>
      <c r="BK19" s="43">
        <f t="shared" si="5"/>
        <v>3.1407356934124001E-4</v>
      </c>
      <c r="BL19" s="34">
        <f t="shared" si="11"/>
        <v>20539.469165908504</v>
      </c>
      <c r="BP19" s="23"/>
    </row>
    <row r="20" spans="1:84" x14ac:dyDescent="0.25">
      <c r="A20" s="19"/>
      <c r="B20" s="20" t="str">
        <f t="shared" si="12"/>
        <v>SULAWESI</v>
      </c>
      <c r="C20" s="20">
        <f t="shared" si="13"/>
        <v>2035</v>
      </c>
      <c r="D20" s="30">
        <f t="shared" si="14"/>
        <v>3952.217010000038</v>
      </c>
      <c r="E20" s="30">
        <f t="shared" si="6"/>
        <v>288.71999800000003</v>
      </c>
      <c r="F20" s="30">
        <f t="shared" si="6"/>
        <v>7749.555676006511</v>
      </c>
      <c r="G20" s="30">
        <f t="shared" si="6"/>
        <v>1808.674285124928</v>
      </c>
      <c r="H20" s="30">
        <f t="shared" si="6"/>
        <v>80</v>
      </c>
      <c r="I20" s="30">
        <f t="shared" si="6"/>
        <v>849.37687373396977</v>
      </c>
      <c r="J20" s="30">
        <f t="shared" si="6"/>
        <v>62.58159746961617</v>
      </c>
      <c r="K20" s="30">
        <f t="shared" si="6"/>
        <v>1029.5066583003452</v>
      </c>
      <c r="L20" s="30">
        <f t="shared" si="6"/>
        <v>3699.3255713675544</v>
      </c>
      <c r="M20" s="30">
        <f t="shared" si="6"/>
        <v>0.5</v>
      </c>
      <c r="N20" s="30">
        <f t="shared" si="6"/>
        <v>0</v>
      </c>
      <c r="O20" s="30">
        <f t="shared" si="6"/>
        <v>0</v>
      </c>
      <c r="P20" s="30">
        <f>BL20/((VLOOKUP(P$3,tech_data!$B$2:$G$15,6,FALSE)/100)*24*365)</f>
        <v>5.47777244955335</v>
      </c>
      <c r="Q20" s="30">
        <f t="shared" si="7"/>
        <v>19520.457670002961</v>
      </c>
      <c r="R20" s="30"/>
      <c r="S20" s="36"/>
      <c r="T20" s="19"/>
      <c r="U20" s="20" t="str">
        <f t="shared" si="0"/>
        <v>SULAWESI</v>
      </c>
      <c r="V20" s="20">
        <f t="shared" si="0"/>
        <v>2035</v>
      </c>
      <c r="W20" s="30">
        <v>149.08313563424733</v>
      </c>
      <c r="X20" s="30">
        <v>0</v>
      </c>
      <c r="Y20" s="30">
        <v>394.43056560171613</v>
      </c>
      <c r="Z20" s="30">
        <v>45.301875390117857</v>
      </c>
      <c r="AA20" s="30">
        <v>-3.5527136788005009E-15</v>
      </c>
      <c r="AB20" s="30">
        <v>0</v>
      </c>
      <c r="AC20" s="30">
        <v>0</v>
      </c>
      <c r="AD20" s="30">
        <v>104.1426642061537</v>
      </c>
      <c r="AE20" s="30">
        <v>265.48830736291825</v>
      </c>
      <c r="AF20" s="30">
        <v>0</v>
      </c>
      <c r="AG20" s="30">
        <v>0</v>
      </c>
      <c r="AH20" s="30">
        <v>0</v>
      </c>
      <c r="AI20" s="30">
        <f t="shared" si="8"/>
        <v>0.26735409189010717</v>
      </c>
      <c r="AJ20" s="34">
        <f t="shared" si="1"/>
        <v>958.71390228704331</v>
      </c>
      <c r="AM20" s="23"/>
      <c r="AO20" s="20" t="str">
        <f t="shared" si="2"/>
        <v>SULAWESI</v>
      </c>
      <c r="AP20" s="20">
        <f t="shared" si="2"/>
        <v>2035</v>
      </c>
      <c r="AQ20" s="30">
        <v>99999</v>
      </c>
      <c r="AR20" s="30">
        <v>99999</v>
      </c>
      <c r="AS20" s="30">
        <v>99999</v>
      </c>
      <c r="AT20" s="30">
        <v>999</v>
      </c>
      <c r="AU20" s="30">
        <f t="shared" si="9"/>
        <v>3068</v>
      </c>
      <c r="AV20" s="30">
        <f t="shared" si="9"/>
        <v>10286.593126266031</v>
      </c>
      <c r="AW20" s="30">
        <f t="shared" si="9"/>
        <v>1667.9684025303839</v>
      </c>
      <c r="AX20" s="30">
        <f t="shared" si="9"/>
        <v>21674.733341699659</v>
      </c>
      <c r="AY20" s="30">
        <f t="shared" si="9"/>
        <v>4680.6744286324456</v>
      </c>
      <c r="AZ20" s="30">
        <f t="shared" si="9"/>
        <v>1937</v>
      </c>
      <c r="BA20" s="30">
        <f t="shared" si="9"/>
        <v>0</v>
      </c>
      <c r="BB20" s="30">
        <v>99999</v>
      </c>
      <c r="BC20" s="30">
        <v>99999</v>
      </c>
      <c r="BD20" s="30">
        <f t="shared" si="3"/>
        <v>43314.969299128519</v>
      </c>
      <c r="BF20" s="23"/>
      <c r="BG20" s="19"/>
      <c r="BH20" s="20" t="str">
        <f t="shared" si="10"/>
        <v>SULAWESI</v>
      </c>
      <c r="BI20" s="20">
        <f t="shared" si="10"/>
        <v>2035</v>
      </c>
      <c r="BJ20" s="25">
        <f t="shared" si="4"/>
        <v>0.19389606569957316</v>
      </c>
      <c r="BK20" s="43">
        <f t="shared" si="5"/>
        <v>3.1548051105094026E-4</v>
      </c>
      <c r="BL20" s="34">
        <f t="shared" si="11"/>
        <v>21593.378996139309</v>
      </c>
      <c r="BP20" s="23"/>
    </row>
    <row r="21" spans="1:84" x14ac:dyDescent="0.25">
      <c r="A21" s="19"/>
      <c r="B21" s="20" t="str">
        <f t="shared" si="12"/>
        <v>SULAWESI</v>
      </c>
      <c r="C21" s="20">
        <f t="shared" si="13"/>
        <v>2036</v>
      </c>
      <c r="D21" s="30">
        <f t="shared" si="14"/>
        <v>4121.9462649983825</v>
      </c>
      <c r="E21" s="30">
        <f t="shared" si="14"/>
        <v>288.71999800000003</v>
      </c>
      <c r="F21" s="30">
        <f t="shared" si="14"/>
        <v>8193.6804545834657</v>
      </c>
      <c r="G21" s="30">
        <f t="shared" si="14"/>
        <v>1861.9208616353462</v>
      </c>
      <c r="H21" s="30">
        <f t="shared" si="14"/>
        <v>80</v>
      </c>
      <c r="I21" s="30">
        <f t="shared" si="14"/>
        <v>849.37687373396977</v>
      </c>
      <c r="J21" s="30">
        <f t="shared" si="14"/>
        <v>62.58159746961617</v>
      </c>
      <c r="K21" s="30">
        <f t="shared" si="14"/>
        <v>1149.3853183322635</v>
      </c>
      <c r="L21" s="30">
        <f t="shared" si="14"/>
        <v>3996.5825105729018</v>
      </c>
      <c r="M21" s="30">
        <f t="shared" si="14"/>
        <v>0.5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5.7801640954884732</v>
      </c>
      <c r="Q21" s="30">
        <f t="shared" si="7"/>
        <v>20604.693879325947</v>
      </c>
      <c r="R21" s="30"/>
      <c r="S21" s="36"/>
      <c r="T21" s="19"/>
      <c r="U21" s="20" t="str">
        <f t="shared" si="0"/>
        <v>SULAWESI</v>
      </c>
      <c r="V21" s="20">
        <f t="shared" si="0"/>
        <v>2036</v>
      </c>
      <c r="W21" s="30">
        <v>169.72925499834432</v>
      </c>
      <c r="X21" s="30">
        <v>0</v>
      </c>
      <c r="Y21" s="30">
        <v>444.12477857695444</v>
      </c>
      <c r="Z21" s="30">
        <v>53.24657651041813</v>
      </c>
      <c r="AA21" s="30">
        <v>0</v>
      </c>
      <c r="AB21" s="30">
        <v>0</v>
      </c>
      <c r="AC21" s="30">
        <v>0</v>
      </c>
      <c r="AD21" s="30">
        <v>119.87866003191827</v>
      </c>
      <c r="AE21" s="30">
        <v>297.25693920534758</v>
      </c>
      <c r="AF21" s="30">
        <v>0</v>
      </c>
      <c r="AG21" s="30">
        <v>0</v>
      </c>
      <c r="AH21" s="30">
        <v>0</v>
      </c>
      <c r="AI21" s="30">
        <f t="shared" si="8"/>
        <v>0.30239164593512324</v>
      </c>
      <c r="AJ21" s="34">
        <f t="shared" si="1"/>
        <v>1084.5386009689178</v>
      </c>
      <c r="AM21" s="23"/>
      <c r="AO21" s="20" t="str">
        <f t="shared" si="2"/>
        <v>SULAWESI</v>
      </c>
      <c r="AP21" s="20">
        <f t="shared" si="2"/>
        <v>2036</v>
      </c>
      <c r="AQ21" s="30">
        <v>99999</v>
      </c>
      <c r="AR21" s="30">
        <v>99999</v>
      </c>
      <c r="AS21" s="30">
        <v>99999</v>
      </c>
      <c r="AT21" s="30">
        <v>999</v>
      </c>
      <c r="AU21" s="30">
        <f t="shared" ref="AU21:BA23" si="15">AU20-AA21</f>
        <v>3068</v>
      </c>
      <c r="AV21" s="30">
        <f t="shared" si="15"/>
        <v>10286.593126266031</v>
      </c>
      <c r="AW21" s="30">
        <f t="shared" si="15"/>
        <v>1667.9684025303839</v>
      </c>
      <c r="AX21" s="30">
        <f t="shared" si="15"/>
        <v>21554.854681667741</v>
      </c>
      <c r="AY21" s="30">
        <f t="shared" si="15"/>
        <v>4383.4174894270982</v>
      </c>
      <c r="AZ21" s="30">
        <f t="shared" si="15"/>
        <v>1937</v>
      </c>
      <c r="BA21" s="30">
        <f t="shared" si="15"/>
        <v>0</v>
      </c>
      <c r="BB21" s="30">
        <v>99999</v>
      </c>
      <c r="BC21" s="30">
        <v>99999</v>
      </c>
      <c r="BD21" s="30">
        <f t="shared" si="3"/>
        <v>42897.833699891256</v>
      </c>
      <c r="BF21" s="23"/>
      <c r="BG21" s="19"/>
      <c r="BH21" s="20" t="str">
        <f t="shared" si="10"/>
        <v>SULAWESI</v>
      </c>
      <c r="BI21" s="20">
        <f t="shared" si="10"/>
        <v>2036</v>
      </c>
      <c r="BJ21" s="25">
        <f t="shared" si="4"/>
        <v>0.20036680577451882</v>
      </c>
      <c r="BK21" s="43">
        <f t="shared" si="5"/>
        <v>3.1690853644679039E-4</v>
      </c>
      <c r="BL21" s="34">
        <f t="shared" si="11"/>
        <v>22785.406864415563</v>
      </c>
      <c r="BP21" s="23"/>
    </row>
    <row r="22" spans="1:84" x14ac:dyDescent="0.25">
      <c r="A22" s="19"/>
      <c r="B22" s="20" t="str">
        <f t="shared" si="12"/>
        <v>SULAWESI</v>
      </c>
      <c r="C22" s="20">
        <f t="shared" si="13"/>
        <v>2037</v>
      </c>
      <c r="D22" s="30">
        <f t="shared" ref="D22:O23" si="16">D21+W22</f>
        <v>4301.8043046987732</v>
      </c>
      <c r="E22" s="30">
        <f t="shared" si="16"/>
        <v>288.71999800000003</v>
      </c>
      <c r="F22" s="30">
        <f t="shared" si="16"/>
        <v>8667.0494159311911</v>
      </c>
      <c r="G22" s="30">
        <f t="shared" si="16"/>
        <v>1918.1003784994857</v>
      </c>
      <c r="H22" s="30">
        <f t="shared" si="16"/>
        <v>80</v>
      </c>
      <c r="I22" s="30">
        <f t="shared" si="16"/>
        <v>849.37687373396977</v>
      </c>
      <c r="J22" s="30">
        <f t="shared" si="16"/>
        <v>62.58159746961617</v>
      </c>
      <c r="K22" s="30">
        <f t="shared" si="16"/>
        <v>1283.9491929508654</v>
      </c>
      <c r="L22" s="30">
        <f t="shared" si="16"/>
        <v>4312.1383168488292</v>
      </c>
      <c r="M22" s="30">
        <f t="shared" si="16"/>
        <v>0.5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6.1029908972082936</v>
      </c>
      <c r="Q22" s="30">
        <f t="shared" si="7"/>
        <v>21764.22007813273</v>
      </c>
      <c r="R22" s="30"/>
      <c r="S22" s="36"/>
      <c r="T22" s="19"/>
      <c r="U22" s="20" t="str">
        <f t="shared" si="0"/>
        <v>SULAWESI</v>
      </c>
      <c r="V22" s="20">
        <f t="shared" si="0"/>
        <v>2037</v>
      </c>
      <c r="W22" s="30">
        <v>179.85803970039052</v>
      </c>
      <c r="X22" s="30">
        <v>0</v>
      </c>
      <c r="Y22" s="30">
        <v>473.36896134772604</v>
      </c>
      <c r="Z22" s="30">
        <v>56.179516864139501</v>
      </c>
      <c r="AA22" s="30">
        <v>0</v>
      </c>
      <c r="AB22" s="30">
        <v>0</v>
      </c>
      <c r="AC22" s="30">
        <v>0</v>
      </c>
      <c r="AD22" s="30">
        <v>134.56387461860191</v>
      </c>
      <c r="AE22" s="30">
        <v>315.55580627592735</v>
      </c>
      <c r="AF22" s="30">
        <v>0</v>
      </c>
      <c r="AG22" s="30">
        <v>0</v>
      </c>
      <c r="AH22" s="30">
        <v>0</v>
      </c>
      <c r="AI22" s="30">
        <f t="shared" si="8"/>
        <v>0.32282680171982037</v>
      </c>
      <c r="AJ22" s="34">
        <f t="shared" si="1"/>
        <v>1159.8490256085051</v>
      </c>
      <c r="AM22" s="23"/>
      <c r="AO22" s="20" t="str">
        <f t="shared" si="2"/>
        <v>SULAWESI</v>
      </c>
      <c r="AP22" s="20">
        <f t="shared" si="2"/>
        <v>2037</v>
      </c>
      <c r="AQ22" s="30">
        <v>99999</v>
      </c>
      <c r="AR22" s="30">
        <v>99999</v>
      </c>
      <c r="AS22" s="30">
        <v>99999</v>
      </c>
      <c r="AT22" s="30">
        <v>999</v>
      </c>
      <c r="AU22" s="30">
        <f t="shared" si="15"/>
        <v>3068</v>
      </c>
      <c r="AV22" s="30">
        <f t="shared" si="15"/>
        <v>10286.593126266031</v>
      </c>
      <c r="AW22" s="30">
        <f t="shared" si="15"/>
        <v>1667.9684025303839</v>
      </c>
      <c r="AX22" s="30">
        <f t="shared" si="15"/>
        <v>21420.290807049139</v>
      </c>
      <c r="AY22" s="30">
        <f t="shared" si="15"/>
        <v>4067.8616831511708</v>
      </c>
      <c r="AZ22" s="30">
        <f t="shared" si="15"/>
        <v>1937</v>
      </c>
      <c r="BA22" s="30">
        <f t="shared" si="15"/>
        <v>0</v>
      </c>
      <c r="BB22" s="30">
        <v>99999</v>
      </c>
      <c r="BC22" s="30">
        <v>99999</v>
      </c>
      <c r="BD22" s="30">
        <f t="shared" si="3"/>
        <v>42447.714018996725</v>
      </c>
      <c r="BF22" s="23"/>
      <c r="BG22" s="19"/>
      <c r="BH22" s="20" t="str">
        <f t="shared" si="10"/>
        <v>SULAWESI</v>
      </c>
      <c r="BI22" s="20">
        <f t="shared" si="10"/>
        <v>2037</v>
      </c>
      <c r="BJ22" s="25">
        <f t="shared" si="4"/>
        <v>0.20672440071930201</v>
      </c>
      <c r="BK22" s="43">
        <f t="shared" si="5"/>
        <v>3.1831159188288043E-4</v>
      </c>
      <c r="BL22" s="34">
        <f t="shared" si="11"/>
        <v>24057.990116795096</v>
      </c>
      <c r="BP22" s="23"/>
    </row>
    <row r="23" spans="1:84" x14ac:dyDescent="0.25">
      <c r="A23" s="19"/>
      <c r="B23" s="20" t="str">
        <f t="shared" si="12"/>
        <v>SULAWESI</v>
      </c>
      <c r="C23" s="20">
        <f t="shared" si="13"/>
        <v>2038</v>
      </c>
      <c r="D23" s="30">
        <f t="shared" si="16"/>
        <v>4515.0715183666525</v>
      </c>
      <c r="E23" s="30">
        <f t="shared" si="16"/>
        <v>288.71999800000003</v>
      </c>
      <c r="F23" s="30">
        <f t="shared" si="16"/>
        <v>9219.566375187107</v>
      </c>
      <c r="G23" s="30">
        <f t="shared" si="16"/>
        <v>1987.3296419350661</v>
      </c>
      <c r="H23" s="30">
        <f t="shared" si="16"/>
        <v>80</v>
      </c>
      <c r="I23" s="30">
        <f t="shared" si="16"/>
        <v>849.37687373396977</v>
      </c>
      <c r="J23" s="30">
        <f t="shared" si="16"/>
        <v>62.58159746961617</v>
      </c>
      <c r="K23" s="30">
        <f t="shared" si="16"/>
        <v>1442.3041163227986</v>
      </c>
      <c r="L23" s="30">
        <f t="shared" si="16"/>
        <v>4678.0829546461737</v>
      </c>
      <c r="M23" s="30">
        <f t="shared" si="16"/>
        <v>0.5</v>
      </c>
      <c r="N23" s="30">
        <f t="shared" si="16"/>
        <v>0</v>
      </c>
      <c r="O23" s="30">
        <f t="shared" si="16"/>
        <v>0</v>
      </c>
      <c r="P23" s="30">
        <f>BL23/((VLOOKUP(P$3,tech_data!$B$2:$G$15,6,FALSE)/100)*24*365)</f>
        <v>6.4815621876537088</v>
      </c>
      <c r="Q23" s="30">
        <f t="shared" si="7"/>
        <v>23123.533075661384</v>
      </c>
      <c r="R23" s="30"/>
      <c r="S23" s="36"/>
      <c r="T23" s="19"/>
      <c r="U23" s="20" t="str">
        <f t="shared" si="0"/>
        <v>SULAWESI</v>
      </c>
      <c r="V23" s="20">
        <f t="shared" si="0"/>
        <v>2038</v>
      </c>
      <c r="W23" s="30">
        <v>213.26721366787967</v>
      </c>
      <c r="X23" s="30">
        <v>0</v>
      </c>
      <c r="Y23" s="30">
        <v>552.51695925591503</v>
      </c>
      <c r="Z23" s="30">
        <v>69.229263435580364</v>
      </c>
      <c r="AA23" s="30">
        <v>0</v>
      </c>
      <c r="AB23" s="30">
        <v>0</v>
      </c>
      <c r="AC23" s="30">
        <v>0</v>
      </c>
      <c r="AD23" s="30">
        <v>158.35492337193313</v>
      </c>
      <c r="AE23" s="30">
        <v>365.94463779734428</v>
      </c>
      <c r="AF23" s="30">
        <v>0</v>
      </c>
      <c r="AG23" s="30">
        <v>0</v>
      </c>
      <c r="AH23" s="30">
        <v>0</v>
      </c>
      <c r="AI23" s="30">
        <f t="shared" si="8"/>
        <v>0.37857129044541526</v>
      </c>
      <c r="AJ23" s="34">
        <f t="shared" si="1"/>
        <v>1359.6915688190979</v>
      </c>
      <c r="AM23" s="23"/>
      <c r="AO23" s="20" t="str">
        <f t="shared" si="2"/>
        <v>SULAWESI</v>
      </c>
      <c r="AP23" s="20">
        <f t="shared" si="2"/>
        <v>2038</v>
      </c>
      <c r="AQ23" s="30">
        <v>99999</v>
      </c>
      <c r="AR23" s="30">
        <v>99999</v>
      </c>
      <c r="AS23" s="30">
        <v>99999</v>
      </c>
      <c r="AT23" s="30">
        <v>999</v>
      </c>
      <c r="AU23" s="30">
        <f t="shared" si="15"/>
        <v>3068</v>
      </c>
      <c r="AV23" s="30">
        <f t="shared" si="15"/>
        <v>10286.593126266031</v>
      </c>
      <c r="AW23" s="30">
        <f t="shared" si="15"/>
        <v>1667.9684025303839</v>
      </c>
      <c r="AX23" s="30">
        <f t="shared" si="15"/>
        <v>21261.935883677208</v>
      </c>
      <c r="AY23" s="30">
        <f t="shared" si="15"/>
        <v>3701.9170453538263</v>
      </c>
      <c r="AZ23" s="30">
        <f t="shared" si="15"/>
        <v>1937</v>
      </c>
      <c r="BA23" s="30">
        <f t="shared" si="15"/>
        <v>0</v>
      </c>
      <c r="BB23" s="30">
        <v>99999</v>
      </c>
      <c r="BC23" s="30">
        <v>99999</v>
      </c>
      <c r="BD23" s="30">
        <f t="shared" si="3"/>
        <v>41923.414457827443</v>
      </c>
      <c r="BF23" s="23"/>
      <c r="BG23" s="19"/>
      <c r="BH23" s="20" t="str">
        <f t="shared" si="10"/>
        <v>SULAWESI</v>
      </c>
      <c r="BI23" s="20">
        <f t="shared" si="10"/>
        <v>2038</v>
      </c>
      <c r="BJ23" s="25">
        <f>SUM(K47:L47,N47)/Q47</f>
        <v>0.21326343147727095</v>
      </c>
      <c r="BK23" s="43">
        <f t="shared" si="5"/>
        <v>3.1975468832601842E-4</v>
      </c>
      <c r="BL23" s="34">
        <f t="shared" si="11"/>
        <v>25550.318143730925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SULAWESI</v>
      </c>
      <c r="C28" s="20">
        <f>C4</f>
        <v>2019</v>
      </c>
      <c r="D28" s="30">
        <f>(D4*(VLOOKUP(D$27,tech_data!$B$2:$O$15,6, FALSE)/100)*(1-(VLOOKUP(D$27,tech_data!$B$2:$O$15,7, FALSE)/100))*8760)/1000</f>
        <v>13749.755373333333</v>
      </c>
      <c r="E28" s="30">
        <f>(E4*(VLOOKUP(E$27,tech_data!$B$2:$O$15,6, FALSE)/100)*(1-(VLOOKUP(E$27,tech_data!$B$2:$O$15,7, FALSE)/100))*8760)/1000</f>
        <v>863.09485964307692</v>
      </c>
      <c r="F28" s="30">
        <f>(F4*(VLOOKUP(F$27,tech_data!$B$2:$O$15,6, FALSE)/100)*(1-(VLOOKUP(F$27,tech_data!$B$2:$O$15,7, FALSE)/100))*8760)/1000</f>
        <v>871.75813846153835</v>
      </c>
      <c r="G28" s="30">
        <f>(G4*(VLOOKUP(G$27,tech_data!$B$2:$O$15,6, FALSE)/100)*(1-(VLOOKUP(G$27,tech_data!$B$2:$O$15,7, FALSE)/100))*8760)/1000</f>
        <v>4477.1799899076923</v>
      </c>
      <c r="H28" s="30">
        <f>(H4*(VLOOKUP(H$27,tech_data!$B$2:$O$15,6, FALSE)/100)*(1-(VLOOKUP(H$27,tech_data!$B$2:$O$15,7, FALSE)/100))*8760)/1000</f>
        <v>519.13107692307688</v>
      </c>
      <c r="I28" s="30">
        <f>(I4*(VLOOKUP(I$27,tech_data!$B$2:$O$15,6, FALSE)/100)*(1-(VLOOKUP(I$27,tech_data!$B$2:$O$15,7, FALSE)/100))*8760)/1000</f>
        <v>3680.0452456615385</v>
      </c>
      <c r="J28" s="30">
        <f>(J4*(VLOOKUP(J$27,tech_data!$B$2:$O$15,6, FALSE)/100)*(1-(VLOOKUP(J$27,tech_data!$B$2:$O$15,7, FALSE)/100))*8760)/1000</f>
        <v>370.23749169230769</v>
      </c>
      <c r="K28" s="30">
        <f>(K4*(VLOOKUP(K$27,tech_data!$B$2:$O$15,6, FALSE)/100)*(1-(VLOOKUP(K$27,tech_data!$B$2:$O$15,7, FALSE)/100))*8760)/1000</f>
        <v>7.7999039999999997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1.2488053846153846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24540.250885007179</v>
      </c>
      <c r="R28" s="34">
        <f>proj_rukn!D102</f>
        <v>20696</v>
      </c>
      <c r="S28" s="35"/>
      <c r="T28" s="19"/>
      <c r="U28" s="20" t="str">
        <f t="shared" ref="U28:V47" si="18">B28</f>
        <v>SULAWESI</v>
      </c>
      <c r="V28" s="20">
        <f t="shared" si="18"/>
        <v>2019</v>
      </c>
      <c r="W28" s="29">
        <f t="shared" ref="W28:AI47" si="19">D28/$Q28</f>
        <v>0.5602940017917144</v>
      </c>
      <c r="X28" s="29">
        <f t="shared" si="19"/>
        <v>3.5170580108876685E-2</v>
      </c>
      <c r="Y28" s="29">
        <f t="shared" si="19"/>
        <v>3.5523603346457121E-2</v>
      </c>
      <c r="Z28" s="29">
        <f t="shared" si="19"/>
        <v>0.18244230716659124</v>
      </c>
      <c r="AA28" s="29">
        <f t="shared" si="19"/>
        <v>2.1154269341241292E-2</v>
      </c>
      <c r="AB28" s="29">
        <f t="shared" si="19"/>
        <v>0.14995956084172943</v>
      </c>
      <c r="AC28" s="29">
        <f t="shared" si="19"/>
        <v>1.5086948109340789E-2</v>
      </c>
      <c r="AD28" s="29">
        <f t="shared" si="19"/>
        <v>3.1784124932338553E-4</v>
      </c>
      <c r="AE28" s="29">
        <f t="shared" si="19"/>
        <v>0</v>
      </c>
      <c r="AF28" s="29">
        <f t="shared" si="19"/>
        <v>5.0888044725669042E-5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SULAWESI</v>
      </c>
      <c r="AP28" s="20">
        <f>C28</f>
        <v>2019</v>
      </c>
      <c r="AQ28" s="25">
        <f t="shared" ref="AQ28:AQ47" si="21">D28/Q28</f>
        <v>0.5602940017917144</v>
      </c>
      <c r="AR28" s="25">
        <f t="shared" ref="AR28:AR47" si="22">SUM(E28:F28)/Q28</f>
        <v>7.0694183455333806E-2</v>
      </c>
      <c r="AS28" s="25">
        <f t="shared" ref="AS28:AS47" si="23">G28/Q28</f>
        <v>0.18244230716659124</v>
      </c>
      <c r="AT28" s="37">
        <f t="shared" ref="AT28:AT47" si="24">SUM(H28:N28)/Q28</f>
        <v>0.18656950758636057</v>
      </c>
      <c r="AU28" s="24">
        <f>SUM(AQ28:AT28)</f>
        <v>1</v>
      </c>
      <c r="AW28" s="24">
        <f>$BD$29+((AP28-$BC$29)*($BD$30-$BD$29)/($BC$30-$BC$29))</f>
        <v>0.5602940017917144</v>
      </c>
      <c r="AX28" s="24">
        <f t="shared" ref="AX28:AX47" si="25">$BE$29+((AP28-$BC$29)*($BE$30-$BE$29)/($BC$30-$BC$29))</f>
        <v>0.19239999999999999</v>
      </c>
      <c r="AY28" s="24">
        <f>BF29</f>
        <v>0.18244230716659124</v>
      </c>
      <c r="AZ28" s="25">
        <f>$BG$29+((AP28-$BC$29)*($BG$30-$BG$29)/($BC$30-$BC$29))</f>
        <v>0.1166</v>
      </c>
      <c r="BA28" s="24">
        <f>SUM(AW28:AZ28)</f>
        <v>1.0517363089583056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SULAWESI</v>
      </c>
      <c r="BL28" s="20">
        <f>C4</f>
        <v>2019</v>
      </c>
      <c r="BM28" s="34">
        <f>proj_rukn!E102</f>
        <v>2178</v>
      </c>
      <c r="BN28" s="30">
        <f t="shared" ref="BN28:BN47" si="26">(1+$CD$28)*BM28*$CD$29</f>
        <v>2504.6999999999998</v>
      </c>
      <c r="BO28" s="30">
        <f>SUM(D4:I4,M4,O4:P4)</f>
        <v>5244.6200000000008</v>
      </c>
      <c r="BQ28" s="30">
        <f t="shared" ref="BQ28:BQ47" si="27">BN28*$CD$30</f>
        <v>1001.88</v>
      </c>
      <c r="BR28" s="30">
        <f>SUM(D4,F4,H4,M4)</f>
        <v>3231</v>
      </c>
      <c r="BS28" s="30"/>
      <c r="BT28" s="30">
        <f t="shared" ref="BT28:BT47" si="28">BN28*$CD$31</f>
        <v>500.94</v>
      </c>
      <c r="BU28" s="30">
        <f>SUM(E4,G4,P4,I4)</f>
        <v>2013.6200000000001</v>
      </c>
      <c r="BW28" s="30">
        <f t="shared" ref="BW28:BW47" si="29">$CD$32*SUM(H4:O4)</f>
        <v>0.48813000000000001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1.7036076979313516E-3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SULAWESI</v>
      </c>
      <c r="C29" s="20">
        <f t="shared" si="31"/>
        <v>2020</v>
      </c>
      <c r="D29" s="30">
        <f>(D5*(VLOOKUP(D$27,tech_data!$B$2:$O$15,6, FALSE)/100)*(1-(VLOOKUP(D$27,tech_data!$B$2:$O$15,7, FALSE)/100))*8760)/1000</f>
        <v>14054.39577357634</v>
      </c>
      <c r="E29" s="30">
        <f>(E5*(VLOOKUP(E$27,tech_data!$B$2:$O$15,6, FALSE)/100)*(1-(VLOOKUP(E$27,tech_data!$B$2:$O$15,7, FALSE)/100))*8760)/1000</f>
        <v>863.09485665369323</v>
      </c>
      <c r="F29" s="30">
        <f>(F5*(VLOOKUP(F$27,tech_data!$B$2:$O$15,6, FALSE)/100)*(1-(VLOOKUP(F$27,tech_data!$B$2:$O$15,7, FALSE)/100))*8760)/1000</f>
        <v>2979.2139759075594</v>
      </c>
      <c r="G29" s="30">
        <f>(G5*(VLOOKUP(G$27,tech_data!$B$2:$O$15,6, FALSE)/100)*(1-(VLOOKUP(G$27,tech_data!$B$2:$O$15,7, FALSE)/100))*8760)/1000</f>
        <v>4477.1799899076923</v>
      </c>
      <c r="H29" s="30">
        <f>(H5*(VLOOKUP(H$27,tech_data!$B$2:$O$15,6, FALSE)/100)*(1-(VLOOKUP(H$27,tech_data!$B$2:$O$15,7, FALSE)/100))*8760)/1000</f>
        <v>519.13107692307688</v>
      </c>
      <c r="I29" s="30">
        <f>(I5*(VLOOKUP(I$27,tech_data!$B$2:$O$15,6, FALSE)/100)*(1-(VLOOKUP(I$27,tech_data!$B$2:$O$15,7, FALSE)/100))*8760)/1000</f>
        <v>3680.0452456615385</v>
      </c>
      <c r="J29" s="30">
        <f>(J5*(VLOOKUP(J$27,tech_data!$B$2:$O$15,6, FALSE)/100)*(1-(VLOOKUP(J$27,tech_data!$B$2:$O$15,7, FALSE)/100))*8760)/1000</f>
        <v>370.23749169230769</v>
      </c>
      <c r="K29" s="30">
        <f>(K5*(VLOOKUP(K$27,tech_data!$B$2:$O$15,6, FALSE)/100)*(1-(VLOOKUP(K$27,tech_data!$B$2:$O$15,7, FALSE)/100))*8760)/1000</f>
        <v>244.61616211420795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1.2488053846153846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6.7386033377882057</v>
      </c>
      <c r="Q29" s="34">
        <f t="shared" si="17"/>
        <v>27189.163377821027</v>
      </c>
      <c r="R29" s="34">
        <f>proj_rukn!D103</f>
        <v>22221</v>
      </c>
      <c r="S29" s="35"/>
      <c r="T29" s="19"/>
      <c r="U29" s="20" t="str">
        <f t="shared" si="18"/>
        <v>SULAWESI</v>
      </c>
      <c r="V29" s="20">
        <f t="shared" si="18"/>
        <v>2020</v>
      </c>
      <c r="W29" s="29">
        <f t="shared" si="19"/>
        <v>0.51691166727994686</v>
      </c>
      <c r="X29" s="29">
        <f t="shared" si="19"/>
        <v>3.174407555907896E-2</v>
      </c>
      <c r="Y29" s="29">
        <f t="shared" si="19"/>
        <v>0.10957358027197663</v>
      </c>
      <c r="Z29" s="29">
        <f t="shared" si="19"/>
        <v>0.16466781002757352</v>
      </c>
      <c r="AA29" s="29">
        <f t="shared" si="19"/>
        <v>1.909330823126933E-2</v>
      </c>
      <c r="AB29" s="29">
        <f t="shared" si="19"/>
        <v>0.13534970512051342</v>
      </c>
      <c r="AC29" s="29">
        <f t="shared" si="19"/>
        <v>1.3617097611555084E-2</v>
      </c>
      <c r="AD29" s="29">
        <f t="shared" si="19"/>
        <v>8.9968256365603478E-3</v>
      </c>
      <c r="AE29" s="29">
        <f t="shared" si="19"/>
        <v>0</v>
      </c>
      <c r="AF29" s="29">
        <f t="shared" si="19"/>
        <v>4.5930261525960395E-5</v>
      </c>
      <c r="AG29" s="29">
        <f t="shared" si="19"/>
        <v>0</v>
      </c>
      <c r="AH29" s="29">
        <f t="shared" si="19"/>
        <v>0</v>
      </c>
      <c r="AI29" s="29">
        <f t="shared" si="19"/>
        <v>2.4784151112516671E-4</v>
      </c>
      <c r="AJ29" s="29">
        <f t="shared" si="20"/>
        <v>1</v>
      </c>
      <c r="AM29" s="23"/>
      <c r="AO29" s="20" t="str">
        <f>AO28</f>
        <v>SULAWESI</v>
      </c>
      <c r="AP29" s="20">
        <f>AP28+1</f>
        <v>2020</v>
      </c>
      <c r="AQ29" s="25">
        <f t="shared" si="21"/>
        <v>0.51691166727994686</v>
      </c>
      <c r="AR29" s="25">
        <f t="shared" si="22"/>
        <v>0.14131765583105557</v>
      </c>
      <c r="AS29" s="25">
        <f t="shared" si="23"/>
        <v>0.16466781002757352</v>
      </c>
      <c r="AT29" s="37">
        <f t="shared" si="24"/>
        <v>0.17710286686142412</v>
      </c>
      <c r="AU29" s="24">
        <f t="shared" ref="AU29:AU47" si="32">SUM(AQ29:AT29)</f>
        <v>1</v>
      </c>
      <c r="AW29" s="24">
        <f>$BD$29+((AP29-$BC$29)*($BD$30-$BD$29)/($BC$30-$BC$29))</f>
        <v>0.51691166815976197</v>
      </c>
      <c r="AX29" s="24">
        <f t="shared" si="25"/>
        <v>0.19699999999999998</v>
      </c>
      <c r="AY29" s="24">
        <f>AY28*0.98</f>
        <v>0.17879346102325941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1.0282051291830214</v>
      </c>
      <c r="BC29" s="20">
        <v>2019</v>
      </c>
      <c r="BD29" s="25">
        <f>AQ28</f>
        <v>0.5602940017917144</v>
      </c>
      <c r="BE29" s="25">
        <v>0.19239999999999999</v>
      </c>
      <c r="BF29" s="25">
        <f>AS28</f>
        <v>0.18244230716659124</v>
      </c>
      <c r="BG29" s="25">
        <v>0.1166</v>
      </c>
      <c r="BH29" s="24">
        <f>SUM(BD29:BG29)</f>
        <v>1.0517363089583056</v>
      </c>
      <c r="BJ29" s="19"/>
      <c r="BK29" s="20" t="str">
        <f>BK28</f>
        <v>SULAWESI</v>
      </c>
      <c r="BL29" s="20">
        <f>BL28+1</f>
        <v>2020</v>
      </c>
      <c r="BM29" s="34">
        <f>proj_rukn!E103</f>
        <v>2389</v>
      </c>
      <c r="BN29" s="30">
        <f t="shared" si="26"/>
        <v>2747.35</v>
      </c>
      <c r="BO29" s="30">
        <f t="shared" ref="BO29:BO47" si="35">SUM(D5:I5,M5,O5:P5)</f>
        <v>6070.8434911274871</v>
      </c>
      <c r="BQ29" s="30">
        <f t="shared" si="27"/>
        <v>1098.94</v>
      </c>
      <c r="BR29" s="30">
        <f t="shared" ref="BR29:BR47" si="36">SUM(D5,F5,H5,M5)</f>
        <v>4055.3289746636638</v>
      </c>
      <c r="BS29" s="30"/>
      <c r="BT29" s="30">
        <f t="shared" si="28"/>
        <v>549.47</v>
      </c>
      <c r="BU29" s="30">
        <f t="shared" ref="BU29:BU47" si="37">SUM(E5,G5,P5,I5)</f>
        <v>2015.5145164638232</v>
      </c>
      <c r="BW29" s="30">
        <f t="shared" si="29"/>
        <v>0.55249623671292891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5.0800000000000012E-2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SULAWESI</v>
      </c>
      <c r="C30" s="20">
        <f t="shared" si="31"/>
        <v>2021</v>
      </c>
      <c r="D30" s="30">
        <f>(D6*(VLOOKUP(D$27,tech_data!$B$2:$O$15,6, FALSE)/100)*(1-(VLOOKUP(D$27,tech_data!$B$2:$O$15,7, FALSE)/100))*8760)/1000</f>
        <v>14368.587941852922</v>
      </c>
      <c r="E30" s="30">
        <f>(E6*(VLOOKUP(E$27,tech_data!$B$2:$O$15,6, FALSE)/100)*(1-(VLOOKUP(E$27,tech_data!$B$2:$O$15,7, FALSE)/100))*8760)/1000</f>
        <v>863.09485366430977</v>
      </c>
      <c r="F30" s="30">
        <f>(F6*(VLOOKUP(F$27,tech_data!$B$2:$O$15,6, FALSE)/100)*(1-(VLOOKUP(F$27,tech_data!$B$2:$O$15,7, FALSE)/100))*8760)/1000</f>
        <v>5254.1762822883966</v>
      </c>
      <c r="G30" s="30">
        <f>(G6*(VLOOKUP(G$27,tech_data!$B$2:$O$15,6, FALSE)/100)*(1-(VLOOKUP(G$27,tech_data!$B$2:$O$15,7, FALSE)/100))*8760)/1000</f>
        <v>4477.1799899076923</v>
      </c>
      <c r="H30" s="30">
        <f>(H6*(VLOOKUP(H$27,tech_data!$B$2:$O$15,6, FALSE)/100)*(1-(VLOOKUP(H$27,tech_data!$B$2:$O$15,7, FALSE)/100))*8760)/1000</f>
        <v>519.13107692307688</v>
      </c>
      <c r="I30" s="30">
        <f>(I6*(VLOOKUP(I$27,tech_data!$B$2:$O$15,6, FALSE)/100)*(1-(VLOOKUP(I$27,tech_data!$B$2:$O$15,7, FALSE)/100))*8760)/1000</f>
        <v>3770.63744883356</v>
      </c>
      <c r="J30" s="30">
        <f>(J6*(VLOOKUP(J$27,tech_data!$B$2:$O$15,6, FALSE)/100)*(1-(VLOOKUP(J$27,tech_data!$B$2:$O$15,7, FALSE)/100))*8760)/1000</f>
        <v>370.4245191566485</v>
      </c>
      <c r="K30" s="30">
        <f>(K6*(VLOOKUP(K$27,tech_data!$B$2:$O$15,6, FALSE)/100)*(1-(VLOOKUP(K$27,tech_data!$B$2:$O$15,7, FALSE)/100))*8760)/1000</f>
        <v>719.01382205299342</v>
      </c>
      <c r="L30" s="30">
        <f>(L6*(VLOOKUP(L$27,tech_data!$B$2:$O$15,6, FALSE)/100)*(1-(VLOOKUP(L$27,tech_data!$B$2:$O$15,7, FALSE)/100))*8760)/1000</f>
        <v>0.11208634481631272</v>
      </c>
      <c r="M30" s="30">
        <f>(M6*(VLOOKUP(M$27,tech_data!$B$2:$O$15,6, FALSE)/100)*(1-(VLOOKUP(M$27,tech_data!$B$2:$O$15,7, FALSE)/100))*8760)/1000</f>
        <v>1.2488053846153846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7.6092431778320302</v>
      </c>
      <c r="Q30" s="34">
        <f t="shared" si="17"/>
        <v>30343.606826409025</v>
      </c>
      <c r="R30" s="34">
        <f>proj_rukn!D104</f>
        <v>32796</v>
      </c>
      <c r="S30" s="35"/>
      <c r="T30" s="19"/>
      <c r="U30" s="20" t="str">
        <f t="shared" si="18"/>
        <v>SULAWESI</v>
      </c>
      <c r="V30" s="20">
        <f t="shared" si="18"/>
        <v>2021</v>
      </c>
      <c r="W30" s="29">
        <f t="shared" si="19"/>
        <v>0.4735293343356754</v>
      </c>
      <c r="X30" s="29">
        <f t="shared" si="19"/>
        <v>2.8444042878684097E-2</v>
      </c>
      <c r="Y30" s="29">
        <f t="shared" si="19"/>
        <v>0.17315595711303233</v>
      </c>
      <c r="Z30" s="29">
        <f t="shared" si="19"/>
        <v>0.14754936733529836</v>
      </c>
      <c r="AA30" s="29">
        <f t="shared" si="19"/>
        <v>1.7108416935829141E-2</v>
      </c>
      <c r="AB30" s="29">
        <f t="shared" si="19"/>
        <v>0.12426464231509393</v>
      </c>
      <c r="AC30" s="29">
        <f t="shared" si="19"/>
        <v>1.2207662763223522E-2</v>
      </c>
      <c r="AD30" s="29">
        <f t="shared" si="19"/>
        <v>2.3695726950535505E-2</v>
      </c>
      <c r="AE30" s="29">
        <f t="shared" si="19"/>
        <v>3.6939031492709804E-6</v>
      </c>
      <c r="AF30" s="29">
        <f t="shared" si="19"/>
        <v>4.115546947861547E-5</v>
      </c>
      <c r="AG30" s="29">
        <f t="shared" si="19"/>
        <v>0</v>
      </c>
      <c r="AH30" s="29">
        <f t="shared" si="19"/>
        <v>0</v>
      </c>
      <c r="AI30" s="29">
        <f t="shared" si="19"/>
        <v>2.5076923852076344E-4</v>
      </c>
      <c r="AJ30" s="29">
        <f t="shared" si="20"/>
        <v>1</v>
      </c>
      <c r="AM30" s="23"/>
      <c r="AO30" s="20" t="str">
        <f t="shared" ref="AO30:AO47" si="39">AO29</f>
        <v>SULAWESI</v>
      </c>
      <c r="AP30" s="20">
        <f t="shared" ref="AP30:AP47" si="40">AP29+1</f>
        <v>2021</v>
      </c>
      <c r="AQ30" s="25">
        <f t="shared" si="21"/>
        <v>0.4735293343356754</v>
      </c>
      <c r="AR30" s="25">
        <f t="shared" si="22"/>
        <v>0.20159999999171646</v>
      </c>
      <c r="AS30" s="25">
        <f t="shared" si="23"/>
        <v>0.14754936733529836</v>
      </c>
      <c r="AT30" s="37">
        <f t="shared" si="24"/>
        <v>0.17732129833731</v>
      </c>
      <c r="AU30" s="24">
        <f t="shared" si="32"/>
        <v>1.0000000000000002</v>
      </c>
      <c r="AW30" s="24">
        <f t="shared" ref="AW30:AW34" si="41">$BD$29+((AP30-$BC$29)*($BD$30-$BD$29)/($BC$30-$BC$29))</f>
        <v>0.4735293345278096</v>
      </c>
      <c r="AX30" s="24">
        <f t="shared" si="25"/>
        <v>0.2016</v>
      </c>
      <c r="AY30" s="24">
        <f t="shared" ref="AY30:AY47" si="42">AY29*0.98</f>
        <v>0.17521759180279423</v>
      </c>
      <c r="AZ30" s="25">
        <f t="shared" si="33"/>
        <v>0.15440000000000001</v>
      </c>
      <c r="BA30" s="24">
        <f t="shared" si="34"/>
        <v>1.0047469263306039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SULAWESI</v>
      </c>
      <c r="BL30" s="20">
        <f t="shared" ref="BL30:BL47" si="45">BL29+1</f>
        <v>2021</v>
      </c>
      <c r="BM30" s="34">
        <f>proj_rukn!E104</f>
        <v>2645</v>
      </c>
      <c r="BN30" s="30">
        <f t="shared" si="26"/>
        <v>3041.7499999999995</v>
      </c>
      <c r="BO30" s="30">
        <f t="shared" si="35"/>
        <v>6978.3204757779085</v>
      </c>
      <c r="BQ30" s="30">
        <f t="shared" si="27"/>
        <v>1216.6999999999998</v>
      </c>
      <c r="BR30" s="30">
        <f t="shared" si="36"/>
        <v>4942.1543114688675</v>
      </c>
      <c r="BS30" s="30"/>
      <c r="BT30" s="30">
        <f t="shared" si="28"/>
        <v>608.34999999999991</v>
      </c>
      <c r="BU30" s="30">
        <f t="shared" si="37"/>
        <v>2036.1661643090411</v>
      </c>
      <c r="BW30" s="30">
        <f t="shared" si="29"/>
        <v>0.69167413248918985</v>
      </c>
      <c r="BX30" s="30">
        <f t="shared" si="38"/>
        <v>0</v>
      </c>
      <c r="BZ30" s="24">
        <f t="shared" ref="BZ30:BZ47" si="46">BZ29*1.05</f>
        <v>5.3340000000000005E-2</v>
      </c>
      <c r="CA30" s="24">
        <f t="shared" si="30"/>
        <v>0.13363158950855544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SULAWESI</v>
      </c>
      <c r="C31" s="20">
        <f t="shared" si="31"/>
        <v>2022</v>
      </c>
      <c r="D31" s="30">
        <f>(D7*(VLOOKUP(D$27,tech_data!$B$2:$O$15,6, FALSE)/100)*(1-(VLOOKUP(D$27,tech_data!$B$2:$O$15,7, FALSE)/100))*8760)/1000</f>
        <v>14779.003692744538</v>
      </c>
      <c r="E31" s="30">
        <f>(E7*(VLOOKUP(E$27,tech_data!$B$2:$O$15,6, FALSE)/100)*(1-(VLOOKUP(E$27,tech_data!$B$2:$O$15,7, FALSE)/100))*8760)/1000</f>
        <v>863.09485366430977</v>
      </c>
      <c r="F31" s="30">
        <f>(F7*(VLOOKUP(F$27,tech_data!$B$2:$O$15,6, FALSE)/100)*(1-(VLOOKUP(F$27,tech_data!$B$2:$O$15,7, FALSE)/100))*8760)/1000</f>
        <v>7499.4523024696664</v>
      </c>
      <c r="G31" s="30">
        <f>(G7*(VLOOKUP(G$27,tech_data!$B$2:$O$15,6, FALSE)/100)*(1-(VLOOKUP(G$27,tech_data!$B$2:$O$15,7, FALSE)/100))*8760)/1000</f>
        <v>4477.1799899076923</v>
      </c>
      <c r="H31" s="30">
        <f>(H7*(VLOOKUP(H$27,tech_data!$B$2:$O$15,6, FALSE)/100)*(1-(VLOOKUP(H$27,tech_data!$B$2:$O$15,7, FALSE)/100))*8760)/1000</f>
        <v>519.13107692307688</v>
      </c>
      <c r="I31" s="30">
        <f>(I7*(VLOOKUP(I$27,tech_data!$B$2:$O$15,6, FALSE)/100)*(1-(VLOOKUP(I$27,tech_data!$B$2:$O$15,7, FALSE)/100))*8760)/1000</f>
        <v>3770.63744883356</v>
      </c>
      <c r="J31" s="30">
        <f>(J7*(VLOOKUP(J$27,tech_data!$B$2:$O$15,6, FALSE)/100)*(1-(VLOOKUP(J$27,tech_data!$B$2:$O$15,7, FALSE)/100))*8760)/1000</f>
        <v>370.4245191566485</v>
      </c>
      <c r="K31" s="30">
        <f>(K7*(VLOOKUP(K$27,tech_data!$B$2:$O$15,6, FALSE)/100)*(1-(VLOOKUP(K$27,tech_data!$B$2:$O$15,7, FALSE)/100))*8760)/1000</f>
        <v>719.01382205299342</v>
      </c>
      <c r="L31" s="30">
        <f>(L7*(VLOOKUP(L$27,tech_data!$B$2:$O$15,6, FALSE)/100)*(1-(VLOOKUP(L$27,tech_data!$B$2:$O$15,7, FALSE)/100))*8760)/1000</f>
        <v>1358.8438291122152</v>
      </c>
      <c r="M31" s="30">
        <f>(M7*(VLOOKUP(M$27,tech_data!$B$2:$O$15,6, FALSE)/100)*(1-(VLOOKUP(M$27,tech_data!$B$2:$O$15,7, FALSE)/100))*8760)/1000</f>
        <v>1.2488053846153846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8.8675561928256936</v>
      </c>
      <c r="Q31" s="34">
        <f t="shared" si="17"/>
        <v>34358.030340249315</v>
      </c>
      <c r="R31" s="34">
        <f>proj_rukn!D105</f>
        <v>34358</v>
      </c>
      <c r="S31" s="35"/>
      <c r="T31" s="19"/>
      <c r="U31" s="20" t="str">
        <f t="shared" si="18"/>
        <v>SULAWESI</v>
      </c>
      <c r="V31" s="20">
        <f t="shared" si="18"/>
        <v>2022</v>
      </c>
      <c r="W31" s="29">
        <f t="shared" si="19"/>
        <v>0.43014700046502419</v>
      </c>
      <c r="X31" s="29">
        <f t="shared" si="19"/>
        <v>2.5120615038668914E-2</v>
      </c>
      <c r="Y31" s="29">
        <f t="shared" si="19"/>
        <v>0.21827363874477698</v>
      </c>
      <c r="Z31" s="29">
        <f t="shared" si="19"/>
        <v>0.13030956505858898</v>
      </c>
      <c r="AA31" s="29">
        <f t="shared" si="19"/>
        <v>1.5109453940813705E-2</v>
      </c>
      <c r="AB31" s="29">
        <f t="shared" si="19"/>
        <v>0.10974544848737679</v>
      </c>
      <c r="AC31" s="29">
        <f t="shared" si="19"/>
        <v>1.07813083430079E-2</v>
      </c>
      <c r="AD31" s="29">
        <f t="shared" si="19"/>
        <v>2.0927096662194052E-2</v>
      </c>
      <c r="AE31" s="29">
        <f t="shared" si="19"/>
        <v>3.9549526432554952E-2</v>
      </c>
      <c r="AF31" s="29">
        <f t="shared" si="19"/>
        <v>3.634682699352674E-5</v>
      </c>
      <c r="AG31" s="29">
        <f t="shared" si="19"/>
        <v>0</v>
      </c>
      <c r="AH31" s="29">
        <f t="shared" si="19"/>
        <v>0</v>
      </c>
      <c r="AI31" s="29">
        <f t="shared" si="19"/>
        <v>2.5809268182750393E-4</v>
      </c>
      <c r="AJ31" s="29">
        <f t="shared" si="20"/>
        <v>1</v>
      </c>
      <c r="AM31" s="23"/>
      <c r="AO31" s="20" t="str">
        <f t="shared" si="39"/>
        <v>SULAWESI</v>
      </c>
      <c r="AP31" s="20">
        <f t="shared" si="40"/>
        <v>2022</v>
      </c>
      <c r="AQ31" s="25">
        <f t="shared" si="21"/>
        <v>0.43014700046502419</v>
      </c>
      <c r="AR31" s="25">
        <f t="shared" si="22"/>
        <v>0.24339425378344592</v>
      </c>
      <c r="AS31" s="25">
        <f t="shared" si="23"/>
        <v>0.13030956505858898</v>
      </c>
      <c r="AT31" s="37">
        <f t="shared" si="24"/>
        <v>0.19614918069294096</v>
      </c>
      <c r="AU31" s="24">
        <f t="shared" si="32"/>
        <v>1</v>
      </c>
      <c r="AW31" s="24">
        <f t="shared" si="41"/>
        <v>0.43014700089585722</v>
      </c>
      <c r="AX31" s="24">
        <f t="shared" si="25"/>
        <v>0.20619999999999999</v>
      </c>
      <c r="AY31" s="24">
        <f t="shared" si="42"/>
        <v>0.17171323996673835</v>
      </c>
      <c r="AZ31" s="25">
        <f t="shared" si="33"/>
        <v>0.17330000000000001</v>
      </c>
      <c r="BA31" s="24">
        <f t="shared" si="34"/>
        <v>0.98136024086259555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SULAWESI</v>
      </c>
      <c r="BL31" s="20">
        <f t="shared" si="45"/>
        <v>2022</v>
      </c>
      <c r="BM31" s="34">
        <f>proj_rukn!E105</f>
        <v>2886</v>
      </c>
      <c r="BN31" s="30">
        <f t="shared" si="26"/>
        <v>3318.8999999999996</v>
      </c>
      <c r="BO31" s="30">
        <f t="shared" si="35"/>
        <v>7874.6161792642097</v>
      </c>
      <c r="BQ31" s="30">
        <f t="shared" si="27"/>
        <v>1327.56</v>
      </c>
      <c r="BR31" s="30">
        <f t="shared" si="36"/>
        <v>5838.0962478817319</v>
      </c>
      <c r="BS31" s="30"/>
      <c r="BT31" s="30">
        <f t="shared" si="28"/>
        <v>663.78</v>
      </c>
      <c r="BU31" s="30">
        <f t="shared" si="37"/>
        <v>2036.5199313824778</v>
      </c>
      <c r="BW31" s="30">
        <f t="shared" si="29"/>
        <v>0.91256527697069278</v>
      </c>
      <c r="BX31" s="30">
        <f t="shared" si="38"/>
        <v>0</v>
      </c>
      <c r="BZ31" s="24">
        <f t="shared" si="46"/>
        <v>5.6007000000000008E-2</v>
      </c>
      <c r="CA31" s="24">
        <f t="shared" si="30"/>
        <v>0.10668969703704288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SULAWESI</v>
      </c>
      <c r="C32" s="20">
        <f t="shared" si="31"/>
        <v>2023</v>
      </c>
      <c r="D32" s="30">
        <f>(D8*(VLOOKUP(D$27,tech_data!$B$2:$O$15,6, FALSE)/100)*(1-(VLOOKUP(D$27,tech_data!$B$2:$O$15,7, FALSE)/100))*8760)/1000</f>
        <v>14779.003692744538</v>
      </c>
      <c r="E32" s="30">
        <f>(E8*(VLOOKUP(E$27,tech_data!$B$2:$O$15,6, FALSE)/100)*(1-(VLOOKUP(E$27,tech_data!$B$2:$O$15,7, FALSE)/100))*8760)/1000</f>
        <v>863.09485366430977</v>
      </c>
      <c r="F32" s="30">
        <f>(F8*(VLOOKUP(F$27,tech_data!$B$2:$O$15,6, FALSE)/100)*(1-(VLOOKUP(F$27,tech_data!$B$2:$O$15,7, FALSE)/100))*8760)/1000</f>
        <v>7716.4068702996265</v>
      </c>
      <c r="G32" s="30">
        <f>(G8*(VLOOKUP(G$27,tech_data!$B$2:$O$15,6, FALSE)/100)*(1-(VLOOKUP(G$27,tech_data!$B$2:$O$15,7, FALSE)/100))*8760)/1000</f>
        <v>6146.3895746521239</v>
      </c>
      <c r="H32" s="30">
        <f>(H8*(VLOOKUP(H$27,tech_data!$B$2:$O$15,6, FALSE)/100)*(1-(VLOOKUP(H$27,tech_data!$B$2:$O$15,7, FALSE)/100))*8760)/1000</f>
        <v>519.13107692307688</v>
      </c>
      <c r="I32" s="30">
        <f>(I8*(VLOOKUP(I$27,tech_data!$B$2:$O$15,6, FALSE)/100)*(1-(VLOOKUP(I$27,tech_data!$B$2:$O$15,7, FALSE)/100))*8760)/1000</f>
        <v>3770.63744883356</v>
      </c>
      <c r="J32" s="30">
        <f>(J8*(VLOOKUP(J$27,tech_data!$B$2:$O$15,6, FALSE)/100)*(1-(VLOOKUP(J$27,tech_data!$B$2:$O$15,7, FALSE)/100))*8760)/1000</f>
        <v>370.4245191566485</v>
      </c>
      <c r="K32" s="30">
        <f>(K8*(VLOOKUP(K$27,tech_data!$B$2:$O$15,6, FALSE)/100)*(1-(VLOOKUP(K$27,tech_data!$B$2:$O$15,7, FALSE)/100))*8760)/1000</f>
        <v>719.01382205299342</v>
      </c>
      <c r="L32" s="30">
        <f>(L8*(VLOOKUP(L$27,tech_data!$B$2:$O$15,6, FALSE)/100)*(1-(VLOOKUP(L$27,tech_data!$B$2:$O$15,7, FALSE)/100))*8760)/1000</f>
        <v>1639.6493455101556</v>
      </c>
      <c r="M32" s="30">
        <f>(M8*(VLOOKUP(M$27,tech_data!$B$2:$O$15,6, FALSE)/100)*(1-(VLOOKUP(M$27,tech_data!$B$2:$O$15,7, FALSE)/100))*8760)/1000</f>
        <v>1.2488053846153846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9.456655817428933</v>
      </c>
      <c r="Q32" s="34">
        <f t="shared" si="17"/>
        <v>36525.000009221651</v>
      </c>
      <c r="R32" s="34">
        <f>proj_rukn!D106</f>
        <v>36525</v>
      </c>
      <c r="S32" s="35"/>
      <c r="T32" s="19"/>
      <c r="U32" s="20" t="str">
        <f t="shared" si="18"/>
        <v>SULAWESI</v>
      </c>
      <c r="V32" s="20">
        <f t="shared" si="18"/>
        <v>2023</v>
      </c>
      <c r="W32" s="29">
        <f t="shared" si="19"/>
        <v>0.40462706882993044</v>
      </c>
      <c r="X32" s="29">
        <f t="shared" si="19"/>
        <v>2.3630249238778916E-2</v>
      </c>
      <c r="Y32" s="29">
        <f t="shared" si="19"/>
        <v>0.21126370618347506</v>
      </c>
      <c r="Z32" s="29">
        <f t="shared" si="19"/>
        <v>0.16827897530733235</v>
      </c>
      <c r="AA32" s="29">
        <f t="shared" si="19"/>
        <v>1.4213034272197379E-2</v>
      </c>
      <c r="AB32" s="29">
        <f t="shared" si="19"/>
        <v>0.1032344270467233</v>
      </c>
      <c r="AC32" s="29">
        <f t="shared" si="19"/>
        <v>1.0141670610900084E-2</v>
      </c>
      <c r="AD32" s="29">
        <f t="shared" si="19"/>
        <v>1.9685525581696384E-2</v>
      </c>
      <c r="AE32" s="29">
        <f t="shared" si="19"/>
        <v>4.4891152500922245E-2</v>
      </c>
      <c r="AF32" s="29">
        <f t="shared" si="19"/>
        <v>3.4190428043808145E-5</v>
      </c>
      <c r="AG32" s="29">
        <f t="shared" si="19"/>
        <v>0</v>
      </c>
      <c r="AH32" s="29">
        <f t="shared" si="19"/>
        <v>0</v>
      </c>
      <c r="AI32" s="29">
        <f t="shared" si="19"/>
        <v>2.5890912566848358E-4</v>
      </c>
      <c r="AJ32" s="29">
        <f t="shared" si="20"/>
        <v>0.99999999999999989</v>
      </c>
      <c r="AM32" s="23"/>
      <c r="AO32" s="20" t="str">
        <f t="shared" si="39"/>
        <v>SULAWESI</v>
      </c>
      <c r="AP32" s="20">
        <f t="shared" si="40"/>
        <v>2023</v>
      </c>
      <c r="AQ32" s="25">
        <f t="shared" si="21"/>
        <v>0.40462706882993044</v>
      </c>
      <c r="AR32" s="25">
        <f t="shared" si="22"/>
        <v>0.23489395542225397</v>
      </c>
      <c r="AS32" s="25">
        <f t="shared" si="23"/>
        <v>0.16827897530733235</v>
      </c>
      <c r="AT32" s="37">
        <f t="shared" si="24"/>
        <v>0.19220000044048322</v>
      </c>
      <c r="AU32" s="24">
        <f t="shared" si="32"/>
        <v>1</v>
      </c>
      <c r="AW32" s="24">
        <f t="shared" si="41"/>
        <v>0.38676466726390479</v>
      </c>
      <c r="AX32" s="24">
        <f t="shared" si="25"/>
        <v>0.21079999999999999</v>
      </c>
      <c r="AY32" s="24">
        <f t="shared" si="42"/>
        <v>0.16827897516740359</v>
      </c>
      <c r="AZ32" s="25">
        <f t="shared" si="33"/>
        <v>0.19220000000000001</v>
      </c>
      <c r="BA32" s="24">
        <f t="shared" si="34"/>
        <v>0.95804364243130846</v>
      </c>
      <c r="BJ32" s="19"/>
      <c r="BK32" s="20" t="str">
        <f t="shared" si="44"/>
        <v>SULAWESI</v>
      </c>
      <c r="BL32" s="20">
        <f t="shared" si="45"/>
        <v>2023</v>
      </c>
      <c r="BM32" s="34">
        <f>proj_rukn!E106</f>
        <v>3220</v>
      </c>
      <c r="BN32" s="30">
        <f t="shared" si="26"/>
        <v>3702.9999999999995</v>
      </c>
      <c r="BO32" s="30">
        <f t="shared" si="35"/>
        <v>8287.201988177867</v>
      </c>
      <c r="BQ32" s="30">
        <f t="shared" si="27"/>
        <v>1481.1999999999998</v>
      </c>
      <c r="BR32" s="30">
        <f t="shared" si="36"/>
        <v>5916.4903412102367</v>
      </c>
      <c r="BS32" s="30"/>
      <c r="BT32" s="30">
        <f t="shared" si="28"/>
        <v>740.59999999999991</v>
      </c>
      <c r="BU32" s="30">
        <f t="shared" si="37"/>
        <v>2370.7116469676298</v>
      </c>
      <c r="BW32" s="30">
        <f t="shared" si="29"/>
        <v>0.95821626895202838</v>
      </c>
      <c r="BX32" s="30">
        <f t="shared" si="38"/>
        <v>0</v>
      </c>
      <c r="BZ32" s="24">
        <f t="shared" si="46"/>
        <v>5.8807350000000008E-2</v>
      </c>
      <c r="CA32" s="24">
        <f t="shared" si="30"/>
        <v>0.10242208916015179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SULAWESI</v>
      </c>
      <c r="C33" s="20">
        <f t="shared" si="31"/>
        <v>2024</v>
      </c>
      <c r="D33" s="30">
        <f>(D9*(VLOOKUP(D$27,tech_data!$B$2:$O$15,6, FALSE)/100)*(1-(VLOOKUP(D$27,tech_data!$B$2:$O$15,7, FALSE)/100))*8760)/1000</f>
        <v>14779.003692744538</v>
      </c>
      <c r="E33" s="30">
        <f>(E9*(VLOOKUP(E$27,tech_data!$B$2:$O$15,6, FALSE)/100)*(1-(VLOOKUP(E$27,tech_data!$B$2:$O$15,7, FALSE)/100))*8760)/1000</f>
        <v>863.09485366430977</v>
      </c>
      <c r="F33" s="30">
        <f>(F9*(VLOOKUP(F$27,tech_data!$B$2:$O$15,6, FALSE)/100)*(1-(VLOOKUP(F$27,tech_data!$B$2:$O$15,7, FALSE)/100))*8760)/1000</f>
        <v>9088.3627436192382</v>
      </c>
      <c r="G33" s="30">
        <f>(G9*(VLOOKUP(G$27,tech_data!$B$2:$O$15,6, FALSE)/100)*(1-(VLOOKUP(G$27,tech_data!$B$2:$O$15,7, FALSE)/100))*8760)/1000</f>
        <v>6536.0126824392773</v>
      </c>
      <c r="H33" s="30">
        <f>(H9*(VLOOKUP(H$27,tech_data!$B$2:$O$15,6, FALSE)/100)*(1-(VLOOKUP(H$27,tech_data!$B$2:$O$15,7, FALSE)/100))*8760)/1000</f>
        <v>519.13107692307688</v>
      </c>
      <c r="I33" s="30">
        <f>(I9*(VLOOKUP(I$27,tech_data!$B$2:$O$15,6, FALSE)/100)*(1-(VLOOKUP(I$27,tech_data!$B$2:$O$15,7, FALSE)/100))*8760)/1000</f>
        <v>3770.63744883356</v>
      </c>
      <c r="J33" s="30">
        <f>(J9*(VLOOKUP(J$27,tech_data!$B$2:$O$15,6, FALSE)/100)*(1-(VLOOKUP(J$27,tech_data!$B$2:$O$15,7, FALSE)/100))*8760)/1000</f>
        <v>370.4245191566485</v>
      </c>
      <c r="K33" s="30">
        <f>(K9*(VLOOKUP(K$27,tech_data!$B$2:$O$15,6, FALSE)/100)*(1-(VLOOKUP(K$27,tech_data!$B$2:$O$15,7, FALSE)/100))*8760)/1000</f>
        <v>719.01382205299342</v>
      </c>
      <c r="L33" s="30">
        <f>(L9*(VLOOKUP(L$27,tech_data!$B$2:$O$15,6, FALSE)/100)*(1-(VLOOKUP(L$27,tech_data!$B$2:$O$15,7, FALSE)/100))*8760)/1000</f>
        <v>2986.070701999281</v>
      </c>
      <c r="M33" s="30">
        <f>(M9*(VLOOKUP(M$27,tech_data!$B$2:$O$15,6, FALSE)/100)*(1-(VLOOKUP(M$27,tech_data!$B$2:$O$15,7, FALSE)/100))*8760)/1000</f>
        <v>1.2488053846153846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10.489492067057661</v>
      </c>
      <c r="Q33" s="34">
        <f t="shared" si="17"/>
        <v>39633.000346817542</v>
      </c>
      <c r="R33" s="34">
        <f>proj_rukn!D107</f>
        <v>39633</v>
      </c>
      <c r="S33" s="35"/>
      <c r="T33" s="19"/>
      <c r="U33" s="20" t="str">
        <f t="shared" si="18"/>
        <v>SULAWESI</v>
      </c>
      <c r="V33" s="20">
        <f t="shared" si="18"/>
        <v>2024</v>
      </c>
      <c r="W33" s="29">
        <f t="shared" si="19"/>
        <v>0.37289641368096083</v>
      </c>
      <c r="X33" s="29">
        <f t="shared" si="19"/>
        <v>2.1777176749466425E-2</v>
      </c>
      <c r="Y33" s="29">
        <f t="shared" si="19"/>
        <v>0.22931301350110925</v>
      </c>
      <c r="Z33" s="29">
        <f t="shared" si="19"/>
        <v>0.1649133960397754</v>
      </c>
      <c r="AA33" s="29">
        <f t="shared" si="19"/>
        <v>1.3098455135374634E-2</v>
      </c>
      <c r="AB33" s="29">
        <f t="shared" si="19"/>
        <v>9.5138834199726074E-2</v>
      </c>
      <c r="AC33" s="29">
        <f t="shared" si="19"/>
        <v>9.3463658041320341E-3</v>
      </c>
      <c r="AD33" s="29">
        <f t="shared" si="19"/>
        <v>1.8141796375775242E-2</v>
      </c>
      <c r="AE33" s="29">
        <f t="shared" si="19"/>
        <v>7.5343039282138452E-2</v>
      </c>
      <c r="AF33" s="29">
        <f t="shared" si="19"/>
        <v>3.1509231541579752E-5</v>
      </c>
      <c r="AG33" s="29">
        <f t="shared" si="19"/>
        <v>0</v>
      </c>
      <c r="AH33" s="29">
        <f t="shared" si="19"/>
        <v>0</v>
      </c>
      <c r="AI33" s="29">
        <f t="shared" si="19"/>
        <v>2.6466560631965749E-4</v>
      </c>
      <c r="AJ33" s="29">
        <f t="shared" si="20"/>
        <v>1</v>
      </c>
      <c r="AM33" s="23"/>
      <c r="AO33" s="20" t="str">
        <f t="shared" si="39"/>
        <v>SULAWESI</v>
      </c>
      <c r="AP33" s="20">
        <f t="shared" si="40"/>
        <v>2024</v>
      </c>
      <c r="AQ33" s="25">
        <f t="shared" si="21"/>
        <v>0.37289641368096083</v>
      </c>
      <c r="AR33" s="25">
        <f t="shared" si="22"/>
        <v>0.25109019025057566</v>
      </c>
      <c r="AS33" s="25">
        <f t="shared" si="23"/>
        <v>0.1649133960397754</v>
      </c>
      <c r="AT33" s="37">
        <f t="shared" si="24"/>
        <v>0.21110000002868803</v>
      </c>
      <c r="AU33" s="24">
        <f t="shared" si="32"/>
        <v>0.99999999999999989</v>
      </c>
      <c r="AW33" s="24">
        <f t="shared" si="41"/>
        <v>0.34338233363195236</v>
      </c>
      <c r="AX33" s="24">
        <f t="shared" si="25"/>
        <v>0.21540000000000001</v>
      </c>
      <c r="AY33" s="24">
        <f t="shared" si="42"/>
        <v>0.16491339566405552</v>
      </c>
      <c r="AZ33" s="25">
        <f t="shared" si="33"/>
        <v>0.21110000000000001</v>
      </c>
      <c r="BA33" s="24">
        <f t="shared" si="34"/>
        <v>0.93479572929600785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SULAWESI</v>
      </c>
      <c r="BL33" s="20">
        <f t="shared" si="45"/>
        <v>2024</v>
      </c>
      <c r="BM33" s="34">
        <f>proj_rukn!E107</f>
        <v>3476</v>
      </c>
      <c r="BN33" s="30">
        <f t="shared" si="26"/>
        <v>3997.3999999999996</v>
      </c>
      <c r="BO33" s="30">
        <f t="shared" si="35"/>
        <v>8861.2008020556623</v>
      </c>
      <c r="BQ33" s="30">
        <f t="shared" si="27"/>
        <v>1598.96</v>
      </c>
      <c r="BR33" s="30">
        <f t="shared" si="36"/>
        <v>6412.2311677408106</v>
      </c>
      <c r="BS33" s="30"/>
      <c r="BT33" s="30">
        <f t="shared" si="28"/>
        <v>799.48</v>
      </c>
      <c r="BU33" s="30">
        <f t="shared" si="37"/>
        <v>2448.9696343148521</v>
      </c>
      <c r="BW33" s="30">
        <f t="shared" si="29"/>
        <v>1.177106094682798</v>
      </c>
      <c r="BX33" s="30">
        <f t="shared" si="38"/>
        <v>0</v>
      </c>
      <c r="BZ33" s="24">
        <f t="shared" si="46"/>
        <v>6.1747717500000014E-2</v>
      </c>
      <c r="CA33" s="24">
        <f t="shared" si="30"/>
        <v>8.5939348049785938E-2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SULAWESI</v>
      </c>
      <c r="C34" s="20">
        <f t="shared" si="31"/>
        <v>2025</v>
      </c>
      <c r="D34" s="30">
        <f>(D10*(VLOOKUP(D$27,tech_data!$B$2:$O$15,6, FALSE)/100)*(1-(VLOOKUP(D$27,tech_data!$B$2:$O$15,7, FALSE)/100))*8760)/1000</f>
        <v>14779.003692744538</v>
      </c>
      <c r="E34" s="30">
        <f>(E10*(VLOOKUP(E$27,tech_data!$B$2:$O$15,6, FALSE)/100)*(1-(VLOOKUP(E$27,tech_data!$B$2:$O$15,7, FALSE)/100))*8760)/1000</f>
        <v>863.09485366430977</v>
      </c>
      <c r="F34" s="30">
        <f>(F10*(VLOOKUP(F$27,tech_data!$B$2:$O$15,6, FALSE)/100)*(1-(VLOOKUP(F$27,tech_data!$B$2:$O$15,7, FALSE)/100))*8760)/1000</f>
        <v>10654.72926727029</v>
      </c>
      <c r="G34" s="30">
        <f>(G10*(VLOOKUP(G$27,tech_data!$B$2:$O$15,6, FALSE)/100)*(1-(VLOOKUP(G$27,tech_data!$B$2:$O$15,7, FALSE)/100))*8760)/1000</f>
        <v>6985.652327429043</v>
      </c>
      <c r="H34" s="30">
        <f>(H10*(VLOOKUP(H$27,tech_data!$B$2:$O$15,6, FALSE)/100)*(1-(VLOOKUP(H$27,tech_data!$B$2:$O$15,7, FALSE)/100))*8760)/1000</f>
        <v>519.13107692307688</v>
      </c>
      <c r="I34" s="30">
        <f>(I10*(VLOOKUP(I$27,tech_data!$B$2:$O$15,6, FALSE)/100)*(1-(VLOOKUP(I$27,tech_data!$B$2:$O$15,7, FALSE)/100))*8760)/1000</f>
        <v>3770.63744883356</v>
      </c>
      <c r="J34" s="30">
        <f>(J10*(VLOOKUP(J$27,tech_data!$B$2:$O$15,6, FALSE)/100)*(1-(VLOOKUP(J$27,tech_data!$B$2:$O$15,7, FALSE)/100))*8760)/1000</f>
        <v>370.4245191566485</v>
      </c>
      <c r="K34" s="30">
        <f>(K10*(VLOOKUP(K$27,tech_data!$B$2:$O$15,6, FALSE)/100)*(1-(VLOOKUP(K$27,tech_data!$B$2:$O$15,7, FALSE)/100))*8760)/1000</f>
        <v>719.01382205299342</v>
      </c>
      <c r="L34" s="30">
        <f>(L10*(VLOOKUP(L$27,tech_data!$B$2:$O$15,6, FALSE)/100)*(1-(VLOOKUP(L$27,tech_data!$B$2:$O$15,7, FALSE)/100))*8760)/1000</f>
        <v>4561.0643361269877</v>
      </c>
      <c r="M34" s="30">
        <f>(M10*(VLOOKUP(M$27,tech_data!$B$2:$O$15,6, FALSE)/100)*(1-(VLOOKUP(M$27,tech_data!$B$2:$O$15,7, FALSE)/100))*8760)/1000</f>
        <v>1.2488053846153846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11.686685913863704</v>
      </c>
      <c r="Q34" s="34">
        <f t="shared" si="17"/>
        <v>43224.000149586063</v>
      </c>
      <c r="R34" s="34">
        <f>proj_rukn!D108</f>
        <v>43224</v>
      </c>
      <c r="S34" s="35"/>
      <c r="T34" s="19"/>
      <c r="U34" s="20" t="str">
        <f t="shared" si="18"/>
        <v>SULAWESI</v>
      </c>
      <c r="V34" s="20">
        <f t="shared" si="18"/>
        <v>2025</v>
      </c>
      <c r="W34" s="29">
        <f t="shared" si="19"/>
        <v>0.34191661210435353</v>
      </c>
      <c r="X34" s="29">
        <f t="shared" si="19"/>
        <v>1.9967954161516335E-2</v>
      </c>
      <c r="Y34" s="29">
        <f t="shared" si="19"/>
        <v>0.24650030608914675</v>
      </c>
      <c r="Z34" s="29">
        <f t="shared" si="19"/>
        <v>0.16161512824481011</v>
      </c>
      <c r="AA34" s="29">
        <f t="shared" si="19"/>
        <v>1.2010250673850425E-2</v>
      </c>
      <c r="AB34" s="29">
        <f t="shared" si="19"/>
        <v>8.7234810193051265E-2</v>
      </c>
      <c r="AC34" s="29">
        <f t="shared" si="19"/>
        <v>8.5698805727076107E-3</v>
      </c>
      <c r="AD34" s="29">
        <f t="shared" si="19"/>
        <v>1.6634596973086471E-2</v>
      </c>
      <c r="AE34" s="29">
        <f t="shared" si="19"/>
        <v>0.10552156950634906</v>
      </c>
      <c r="AF34" s="29">
        <f t="shared" si="19"/>
        <v>2.8891481128392137E-5</v>
      </c>
      <c r="AG34" s="29">
        <f t="shared" si="19"/>
        <v>0</v>
      </c>
      <c r="AH34" s="29">
        <f t="shared" si="19"/>
        <v>0</v>
      </c>
      <c r="AI34" s="29">
        <f t="shared" si="19"/>
        <v>2.7037492766563445E-4</v>
      </c>
      <c r="AJ34" s="29">
        <f t="shared" si="20"/>
        <v>0.99999999999999978</v>
      </c>
      <c r="AM34" s="23"/>
      <c r="AO34" s="20" t="str">
        <f t="shared" si="39"/>
        <v>SULAWESI</v>
      </c>
      <c r="AP34" s="20">
        <f t="shared" si="40"/>
        <v>2025</v>
      </c>
      <c r="AQ34" s="25">
        <f t="shared" si="21"/>
        <v>0.34191661210435353</v>
      </c>
      <c r="AR34" s="25">
        <f t="shared" si="22"/>
        <v>0.26646826025066311</v>
      </c>
      <c r="AS34" s="25">
        <f t="shared" si="23"/>
        <v>0.16161512824481011</v>
      </c>
      <c r="AT34" s="37">
        <f t="shared" si="24"/>
        <v>0.22999999940017324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0.16161512775077441</v>
      </c>
      <c r="AZ34" s="25">
        <f t="shared" si="33"/>
        <v>0.23</v>
      </c>
      <c r="BA34" s="24">
        <f t="shared" si="34"/>
        <v>0.91161512775077447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SULAWESI</v>
      </c>
      <c r="BL34" s="20">
        <f t="shared" si="45"/>
        <v>2025</v>
      </c>
      <c r="BM34" s="34">
        <f>proj_rukn!E108</f>
        <v>3743</v>
      </c>
      <c r="BN34" s="30">
        <f t="shared" si="26"/>
        <v>4304.45</v>
      </c>
      <c r="BO34" s="30">
        <f t="shared" si="35"/>
        <v>9517.5038558635406</v>
      </c>
      <c r="BQ34" s="30">
        <f t="shared" si="27"/>
        <v>1721.78</v>
      </c>
      <c r="BR34" s="30">
        <f t="shared" si="36"/>
        <v>6978.2200965288266</v>
      </c>
      <c r="BS34" s="30"/>
      <c r="BT34" s="30">
        <f t="shared" si="28"/>
        <v>860.89</v>
      </c>
      <c r="BU34" s="30">
        <f t="shared" si="37"/>
        <v>2539.2837593347122</v>
      </c>
      <c r="BW34" s="30">
        <f t="shared" si="29"/>
        <v>1.4331552730768795</v>
      </c>
      <c r="BX34" s="30">
        <f t="shared" si="38"/>
        <v>0</v>
      </c>
      <c r="BZ34" s="24">
        <f t="shared" si="46"/>
        <v>6.4835103375000022E-2</v>
      </c>
      <c r="CA34" s="24">
        <f t="shared" si="30"/>
        <v>7.2324334854211053E-2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SULAWESI</v>
      </c>
      <c r="C35" s="20">
        <f t="shared" si="31"/>
        <v>2026</v>
      </c>
      <c r="D35" s="30">
        <f>(D11*(VLOOKUP(D$27,tech_data!$B$2:$O$15,6, FALSE)/100)*(1-(VLOOKUP(D$27,tech_data!$B$2:$O$15,7, FALSE)/100))*8760)/1000</f>
        <v>14779.003692744538</v>
      </c>
      <c r="E35" s="30">
        <f>(E11*(VLOOKUP(E$27,tech_data!$B$2:$O$15,6, FALSE)/100)*(1-(VLOOKUP(E$27,tech_data!$B$2:$O$15,7, FALSE)/100))*8760)/1000</f>
        <v>863.09485366430977</v>
      </c>
      <c r="F35" s="30">
        <f>(F11*(VLOOKUP(F$27,tech_data!$B$2:$O$15,6, FALSE)/100)*(1-(VLOOKUP(F$27,tech_data!$B$2:$O$15,7, FALSE)/100))*8760)/1000</f>
        <v>12435.137217056017</v>
      </c>
      <c r="G35" s="30">
        <f>(G11*(VLOOKUP(G$27,tech_data!$B$2:$O$15,6, FALSE)/100)*(1-(VLOOKUP(G$27,tech_data!$B$2:$O$15,7, FALSE)/100))*8760)/1000</f>
        <v>7309.0506189035932</v>
      </c>
      <c r="H35" s="30">
        <f>(H11*(VLOOKUP(H$27,tech_data!$B$2:$O$15,6, FALSE)/100)*(1-(VLOOKUP(H$27,tech_data!$B$2:$O$15,7, FALSE)/100))*8760)/1000</f>
        <v>519.13107692307688</v>
      </c>
      <c r="I35" s="30">
        <f>(I11*(VLOOKUP(I$27,tech_data!$B$2:$O$15,6, FALSE)/100)*(1-(VLOOKUP(I$27,tech_data!$B$2:$O$15,7, FALSE)/100))*8760)/1000</f>
        <v>3770.63744883356</v>
      </c>
      <c r="J35" s="30">
        <f>(J11*(VLOOKUP(J$27,tech_data!$B$2:$O$15,6, FALSE)/100)*(1-(VLOOKUP(J$27,tech_data!$B$2:$O$15,7, FALSE)/100))*8760)/1000</f>
        <v>370.4245191566485</v>
      </c>
      <c r="K35" s="30">
        <f>(K11*(VLOOKUP(K$27,tech_data!$B$2:$O$15,6, FALSE)/100)*(1-(VLOOKUP(K$27,tech_data!$B$2:$O$15,7, FALSE)/100))*8760)/1000</f>
        <v>732.62365292979462</v>
      </c>
      <c r="L35" s="30">
        <f>(L11*(VLOOKUP(L$27,tech_data!$B$2:$O$15,6, FALSE)/100)*(1-(VLOOKUP(L$27,tech_data!$B$2:$O$15,7, FALSE)/100))*8760)/1000</f>
        <v>5367.6481017783726</v>
      </c>
      <c r="M35" s="30">
        <f>(M11*(VLOOKUP(M$27,tech_data!$B$2:$O$15,6, FALSE)/100)*(1-(VLOOKUP(M$27,tech_data!$B$2:$O$15,7, FALSE)/100))*8760)/1000</f>
        <v>1.2488053846153846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12.569461125512738</v>
      </c>
      <c r="Q35" s="34">
        <f t="shared" si="17"/>
        <v>46147.999987374533</v>
      </c>
      <c r="R35" s="34">
        <f>proj_rukn!D109</f>
        <v>46148</v>
      </c>
      <c r="S35" s="35"/>
      <c r="T35" s="19"/>
      <c r="U35" s="20" t="str">
        <f t="shared" si="18"/>
        <v>SULAWESI</v>
      </c>
      <c r="V35" s="20">
        <f t="shared" si="18"/>
        <v>2026</v>
      </c>
      <c r="W35" s="29">
        <f t="shared" si="19"/>
        <v>0.32025231205659777</v>
      </c>
      <c r="X35" s="29">
        <f t="shared" si="19"/>
        <v>1.8702757517128386E-2</v>
      </c>
      <c r="Y35" s="29">
        <f t="shared" si="19"/>
        <v>0.26946210497655593</v>
      </c>
      <c r="Z35" s="29">
        <f t="shared" si="19"/>
        <v>0.15838282527743891</v>
      </c>
      <c r="AA35" s="29">
        <f t="shared" si="19"/>
        <v>1.1249264909965851E-2</v>
      </c>
      <c r="AB35" s="29">
        <f t="shared" si="19"/>
        <v>8.1707494363031014E-2</v>
      </c>
      <c r="AC35" s="29">
        <f t="shared" si="19"/>
        <v>8.0268813222239676E-3</v>
      </c>
      <c r="AD35" s="29">
        <f t="shared" si="19"/>
        <v>1.5875523384116984E-2</v>
      </c>
      <c r="AE35" s="29">
        <f t="shared" si="19"/>
        <v>0.11631377531522251</v>
      </c>
      <c r="AF35" s="29">
        <f t="shared" si="19"/>
        <v>2.7060877718580239E-5</v>
      </c>
      <c r="AG35" s="29">
        <f t="shared" si="19"/>
        <v>0</v>
      </c>
      <c r="AH35" s="29">
        <f t="shared" si="19"/>
        <v>0</v>
      </c>
      <c r="AI35" s="29">
        <f t="shared" si="19"/>
        <v>2.7237282501845308E-4</v>
      </c>
      <c r="AJ35" s="29">
        <f t="shared" si="20"/>
        <v>0.99999999999999989</v>
      </c>
      <c r="AM35" s="23"/>
      <c r="AO35" s="20" t="str">
        <f t="shared" si="39"/>
        <v>SULAWESI</v>
      </c>
      <c r="AP35" s="20">
        <f t="shared" si="40"/>
        <v>2026</v>
      </c>
      <c r="AQ35" s="25">
        <f t="shared" si="21"/>
        <v>0.32025231205659777</v>
      </c>
      <c r="AR35" s="25">
        <f t="shared" si="22"/>
        <v>0.28816486249368428</v>
      </c>
      <c r="AS35" s="25">
        <f t="shared" si="23"/>
        <v>0.15838282527743891</v>
      </c>
      <c r="AT35" s="37">
        <f t="shared" si="24"/>
        <v>0.23320000017227893</v>
      </c>
      <c r="AU35" s="24">
        <f t="shared" si="32"/>
        <v>0.99999999999999978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0.15838282519575891</v>
      </c>
      <c r="AZ35" s="25">
        <f t="shared" ref="AZ35:AZ47" si="47">$BG$30+((AP35-$BC$30)*($BG$31-$BG$30)/($BC$31-$BC$30))</f>
        <v>0.23320000000000002</v>
      </c>
      <c r="BA35" s="24">
        <f t="shared" si="34"/>
        <v>0.91418282519575889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SULAWESI</v>
      </c>
      <c r="BL35" s="20">
        <f t="shared" si="45"/>
        <v>2026</v>
      </c>
      <c r="BM35" s="34">
        <f>proj_rukn!E109</f>
        <v>4011</v>
      </c>
      <c r="BN35" s="30">
        <f t="shared" si="26"/>
        <v>4612.6499999999996</v>
      </c>
      <c r="BO35" s="30">
        <f t="shared" si="35"/>
        <v>10225.797775224015</v>
      </c>
      <c r="BQ35" s="30">
        <f t="shared" si="27"/>
        <v>1845.06</v>
      </c>
      <c r="BR35" s="30">
        <f t="shared" si="36"/>
        <v>7621.5504876534142</v>
      </c>
      <c r="BS35" s="30"/>
      <c r="BT35" s="30">
        <f t="shared" si="28"/>
        <v>922.53</v>
      </c>
      <c r="BU35" s="30">
        <f t="shared" si="37"/>
        <v>2604.2472875705989</v>
      </c>
      <c r="BW35" s="30">
        <f t="shared" si="29"/>
        <v>1.5679819851238663</v>
      </c>
      <c r="BX35" s="30">
        <f t="shared" si="38"/>
        <v>0</v>
      </c>
      <c r="BZ35" s="24">
        <f t="shared" si="46"/>
        <v>6.8076858543750021E-2</v>
      </c>
      <c r="CA35" s="24">
        <f t="shared" si="30"/>
        <v>6.8076858372164553E-2</v>
      </c>
      <c r="CF35" s="23"/>
    </row>
    <row r="36" spans="1:84" x14ac:dyDescent="0.25">
      <c r="A36" s="19"/>
      <c r="B36" s="20" t="str">
        <f t="shared" si="31"/>
        <v>SULAWESI</v>
      </c>
      <c r="C36" s="20">
        <f t="shared" si="31"/>
        <v>2027</v>
      </c>
      <c r="D36" s="30">
        <f>(D12*(VLOOKUP(D$27,tech_data!$B$2:$O$15,6, FALSE)/100)*(1-(VLOOKUP(D$27,tech_data!$B$2:$O$15,7, FALSE)/100))*8760)/1000</f>
        <v>14779.003692744538</v>
      </c>
      <c r="E36" s="30">
        <f>(E12*(VLOOKUP(E$27,tech_data!$B$2:$O$15,6, FALSE)/100)*(1-(VLOOKUP(E$27,tech_data!$B$2:$O$15,7, FALSE)/100))*8760)/1000</f>
        <v>863.09485366430977</v>
      </c>
      <c r="F36" s="30">
        <f>(F12*(VLOOKUP(F$27,tech_data!$B$2:$O$15,6, FALSE)/100)*(1-(VLOOKUP(F$27,tech_data!$B$2:$O$15,7, FALSE)/100))*8760)/1000</f>
        <v>14666.417015573283</v>
      </c>
      <c r="G36" s="30">
        <f>(G12*(VLOOKUP(G$27,tech_data!$B$2:$O$15,6, FALSE)/100)*(1-(VLOOKUP(G$27,tech_data!$B$2:$O$15,7, FALSE)/100))*8760)/1000</f>
        <v>7732.509259200302</v>
      </c>
      <c r="H36" s="30">
        <f>(H12*(VLOOKUP(H$27,tech_data!$B$2:$O$15,6, FALSE)/100)*(1-(VLOOKUP(H$27,tech_data!$B$2:$O$15,7, FALSE)/100))*8760)/1000</f>
        <v>519.13107692307688</v>
      </c>
      <c r="I36" s="30">
        <f>(I12*(VLOOKUP(I$27,tech_data!$B$2:$O$15,6, FALSE)/100)*(1-(VLOOKUP(I$27,tech_data!$B$2:$O$15,7, FALSE)/100))*8760)/1000</f>
        <v>3770.63744883356</v>
      </c>
      <c r="J36" s="30">
        <f>(J12*(VLOOKUP(J$27,tech_data!$B$2:$O$15,6, FALSE)/100)*(1-(VLOOKUP(J$27,tech_data!$B$2:$O$15,7, FALSE)/100))*8760)/1000</f>
        <v>370.4245191566485</v>
      </c>
      <c r="K36" s="30">
        <f>(K12*(VLOOKUP(K$27,tech_data!$B$2:$O$15,6, FALSE)/100)*(1-(VLOOKUP(K$27,tech_data!$B$2:$O$15,7, FALSE)/100))*8760)/1000</f>
        <v>841.82678971288942</v>
      </c>
      <c r="L36" s="30">
        <f>(L12*(VLOOKUP(L$27,tech_data!$B$2:$O$15,6, FALSE)/100)*(1-(VLOOKUP(L$27,tech_data!$B$2:$O$15,7, FALSE)/100))*8760)/1000</f>
        <v>6273.70650845203</v>
      </c>
      <c r="M36" s="30">
        <f>(M12*(VLOOKUP(M$27,tech_data!$B$2:$O$15,6, FALSE)/100)*(1-(VLOOKUP(M$27,tech_data!$B$2:$O$15,7, FALSE)/100))*8760)/1000</f>
        <v>1.2488053846153846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13.674633528021499</v>
      </c>
      <c r="Q36" s="34">
        <f t="shared" si="17"/>
        <v>49817.999969645258</v>
      </c>
      <c r="R36" s="34">
        <f>proj_rukn!D110</f>
        <v>49818</v>
      </c>
      <c r="S36" s="35"/>
      <c r="T36" s="19"/>
      <c r="U36" s="20" t="str">
        <f t="shared" si="18"/>
        <v>SULAWESI</v>
      </c>
      <c r="V36" s="20">
        <f t="shared" si="18"/>
        <v>2027</v>
      </c>
      <c r="W36" s="29">
        <f t="shared" si="19"/>
        <v>0.2966599161297036</v>
      </c>
      <c r="X36" s="29">
        <f t="shared" si="19"/>
        <v>1.7324959937978331E-2</v>
      </c>
      <c r="Y36" s="29">
        <f t="shared" si="19"/>
        <v>0.29439995633124005</v>
      </c>
      <c r="Z36" s="29">
        <f t="shared" si="19"/>
        <v>0.1552151684915456</v>
      </c>
      <c r="AA36" s="29">
        <f t="shared" si="19"/>
        <v>1.0420552355361316E-2</v>
      </c>
      <c r="AB36" s="29">
        <f t="shared" si="19"/>
        <v>7.5688254268157243E-2</v>
      </c>
      <c r="AC36" s="29">
        <f t="shared" si="19"/>
        <v>7.4355558107983633E-3</v>
      </c>
      <c r="AD36" s="29">
        <f t="shared" si="19"/>
        <v>1.6898044687177833E-2</v>
      </c>
      <c r="AE36" s="29">
        <f t="shared" si="19"/>
        <v>0.12593252463516558</v>
      </c>
      <c r="AF36" s="29">
        <f t="shared" si="19"/>
        <v>2.506735287197996E-5</v>
      </c>
      <c r="AG36" s="29">
        <f t="shared" si="19"/>
        <v>0</v>
      </c>
      <c r="AH36" s="29">
        <f t="shared" si="19"/>
        <v>0</v>
      </c>
      <c r="AI36" s="29">
        <f t="shared" si="19"/>
        <v>2.7449182095535E-4</v>
      </c>
      <c r="AJ36" s="29">
        <f t="shared" si="20"/>
        <v>1</v>
      </c>
      <c r="AM36" s="23"/>
      <c r="AO36" s="20" t="str">
        <f t="shared" si="39"/>
        <v>SULAWESI</v>
      </c>
      <c r="AP36" s="20">
        <f t="shared" si="40"/>
        <v>2027</v>
      </c>
      <c r="AQ36" s="25">
        <f t="shared" si="21"/>
        <v>0.2966599161297036</v>
      </c>
      <c r="AR36" s="25">
        <f t="shared" si="22"/>
        <v>0.31172491626921839</v>
      </c>
      <c r="AS36" s="25">
        <f t="shared" si="23"/>
        <v>0.1552151684915456</v>
      </c>
      <c r="AT36" s="37">
        <f t="shared" si="24"/>
        <v>0.2363999991095323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0.15521516869184374</v>
      </c>
      <c r="AZ36" s="25">
        <f t="shared" si="47"/>
        <v>0.2364</v>
      </c>
      <c r="BA36" s="24">
        <f t="shared" si="34"/>
        <v>0.91681516869184376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SULAWESI</v>
      </c>
      <c r="BL36" s="20">
        <f t="shared" si="45"/>
        <v>2027</v>
      </c>
      <c r="BM36" s="34">
        <f>proj_rukn!E110</f>
        <v>4292</v>
      </c>
      <c r="BN36" s="30">
        <f t="shared" si="26"/>
        <v>4935.7999999999993</v>
      </c>
      <c r="BO36" s="30">
        <f t="shared" si="35"/>
        <v>11117.094802677071</v>
      </c>
      <c r="BQ36" s="30">
        <f t="shared" si="27"/>
        <v>1974.3199999999997</v>
      </c>
      <c r="BR36" s="30">
        <f t="shared" si="36"/>
        <v>8427.7983510496997</v>
      </c>
      <c r="BS36" s="30"/>
      <c r="BT36" s="30">
        <f t="shared" si="28"/>
        <v>987.15999999999985</v>
      </c>
      <c r="BU36" s="30">
        <f t="shared" si="37"/>
        <v>2689.2964516273705</v>
      </c>
      <c r="BW36" s="30">
        <f t="shared" si="29"/>
        <v>1.7449625352432481</v>
      </c>
      <c r="BX36" s="30">
        <f t="shared" si="38"/>
        <v>0</v>
      </c>
      <c r="BZ36" s="24">
        <f t="shared" si="46"/>
        <v>7.1480701470937519E-2</v>
      </c>
      <c r="CA36" s="24">
        <f t="shared" si="30"/>
        <v>7.1480730756468325E-2</v>
      </c>
      <c r="CF36" s="23"/>
    </row>
    <row r="37" spans="1:84" x14ac:dyDescent="0.25">
      <c r="A37" s="19"/>
      <c r="B37" s="20" t="str">
        <f t="shared" si="31"/>
        <v>SULAWESI</v>
      </c>
      <c r="C37" s="20">
        <f t="shared" si="31"/>
        <v>2028</v>
      </c>
      <c r="D37" s="30">
        <f>(D13*(VLOOKUP(D$27,tech_data!$B$2:$O$15,6, FALSE)/100)*(1-(VLOOKUP(D$27,tech_data!$B$2:$O$15,7, FALSE)/100))*8760)/1000</f>
        <v>15138.06001591691</v>
      </c>
      <c r="E37" s="30">
        <f>(E13*(VLOOKUP(E$27,tech_data!$B$2:$O$15,6, FALSE)/100)*(1-(VLOOKUP(E$27,tech_data!$B$2:$O$15,7, FALSE)/100))*8760)/1000</f>
        <v>863.09485366430977</v>
      </c>
      <c r="F37" s="30">
        <f>(F13*(VLOOKUP(F$27,tech_data!$B$2:$O$15,6, FALSE)/100)*(1-(VLOOKUP(F$27,tech_data!$B$2:$O$15,7, FALSE)/100))*8760)/1000</f>
        <v>15319.652704592389</v>
      </c>
      <c r="G37" s="30">
        <f>(G13*(VLOOKUP(G$27,tech_data!$B$2:$O$15,6, FALSE)/100)*(1-(VLOOKUP(G$27,tech_data!$B$2:$O$15,7, FALSE)/100))*8760)/1000</f>
        <v>7832.1884727081579</v>
      </c>
      <c r="H37" s="30">
        <f>(H13*(VLOOKUP(H$27,tech_data!$B$2:$O$15,6, FALSE)/100)*(1-(VLOOKUP(H$27,tech_data!$B$2:$O$15,7, FALSE)/100))*8760)/1000</f>
        <v>519.13107692307688</v>
      </c>
      <c r="I37" s="30">
        <f>(I13*(VLOOKUP(I$27,tech_data!$B$2:$O$15,6, FALSE)/100)*(1-(VLOOKUP(I$27,tech_data!$B$2:$O$15,7, FALSE)/100))*8760)/1000</f>
        <v>3770.63744883356</v>
      </c>
      <c r="J37" s="30">
        <f>(J13*(VLOOKUP(J$27,tech_data!$B$2:$O$15,6, FALSE)/100)*(1-(VLOOKUP(J$27,tech_data!$B$2:$O$15,7, FALSE)/100))*8760)/1000</f>
        <v>370.4245191566485</v>
      </c>
      <c r="K37" s="30">
        <f>(K13*(VLOOKUP(K$27,tech_data!$B$2:$O$15,6, FALSE)/100)*(1-(VLOOKUP(K$27,tech_data!$B$2:$O$15,7, FALSE)/100))*8760)/1000</f>
        <v>925.95058833246458</v>
      </c>
      <c r="L37" s="30">
        <f>(L13*(VLOOKUP(L$27,tech_data!$B$2:$O$15,6, FALSE)/100)*(1-(VLOOKUP(L$27,tech_data!$B$2:$O$15,7, FALSE)/100))*8760)/1000</f>
        <v>6749.6115917967991</v>
      </c>
      <c r="M37" s="30">
        <f>(M13*(VLOOKUP(M$27,tech_data!$B$2:$O$15,6, FALSE)/100)*(1-(VLOOKUP(M$27,tech_data!$B$2:$O$15,7, FALSE)/100))*8760)/1000</f>
        <v>1.2488053846153846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14.197547646572694</v>
      </c>
      <c r="Q37" s="34">
        <f t="shared" si="17"/>
        <v>51490.000077308934</v>
      </c>
      <c r="R37" s="34">
        <f>proj_rukn!D111</f>
        <v>51490</v>
      </c>
      <c r="S37" s="35"/>
      <c r="T37" s="19"/>
      <c r="U37" s="20" t="str">
        <f t="shared" si="18"/>
        <v>SULAWESI</v>
      </c>
      <c r="V37" s="20">
        <f t="shared" si="18"/>
        <v>2028</v>
      </c>
      <c r="W37" s="29">
        <f t="shared" si="19"/>
        <v>0.29399999986770409</v>
      </c>
      <c r="X37" s="29">
        <f t="shared" si="19"/>
        <v>1.676237817767388E-2</v>
      </c>
      <c r="Y37" s="29">
        <f t="shared" si="19"/>
        <v>0.29752675629424963</v>
      </c>
      <c r="Z37" s="29">
        <f t="shared" si="19"/>
        <v>0.15211086542918292</v>
      </c>
      <c r="AA37" s="29">
        <f t="shared" si="19"/>
        <v>1.0082172774201493E-2</v>
      </c>
      <c r="AB37" s="29">
        <f t="shared" si="19"/>
        <v>7.3230480543254803E-2</v>
      </c>
      <c r="AC37" s="29">
        <f t="shared" si="19"/>
        <v>7.1941060128273421E-3</v>
      </c>
      <c r="AD37" s="29">
        <f t="shared" si="19"/>
        <v>1.7983114914395207E-2</v>
      </c>
      <c r="AE37" s="29">
        <f t="shared" si="19"/>
        <v>0.13108587262891222</v>
      </c>
      <c r="AF37" s="29">
        <f t="shared" si="19"/>
        <v>2.4253357598376061E-5</v>
      </c>
      <c r="AG37" s="29">
        <f t="shared" si="19"/>
        <v>0</v>
      </c>
      <c r="AH37" s="29">
        <f t="shared" si="19"/>
        <v>0</v>
      </c>
      <c r="AI37" s="29">
        <f t="shared" si="19"/>
        <v>2.7573407701021529E-4</v>
      </c>
      <c r="AJ37" s="29">
        <f t="shared" si="20"/>
        <v>1</v>
      </c>
      <c r="AM37" s="23"/>
      <c r="AO37" s="20" t="str">
        <f t="shared" si="39"/>
        <v>SULAWESI</v>
      </c>
      <c r="AP37" s="20">
        <f t="shared" si="40"/>
        <v>2028</v>
      </c>
      <c r="AQ37" s="25">
        <f t="shared" si="21"/>
        <v>0.29399999986770409</v>
      </c>
      <c r="AR37" s="25">
        <f t="shared" si="22"/>
        <v>0.31428913447192347</v>
      </c>
      <c r="AS37" s="25">
        <f t="shared" si="23"/>
        <v>0.15211086542918292</v>
      </c>
      <c r="AT37" s="37">
        <f t="shared" si="24"/>
        <v>0.23960000023118946</v>
      </c>
      <c r="AU37" s="24">
        <f t="shared" si="32"/>
        <v>0.99999999999999989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0.15211086531800685</v>
      </c>
      <c r="AZ37" s="25">
        <f t="shared" si="47"/>
        <v>0.23960000000000001</v>
      </c>
      <c r="BA37" s="24">
        <f t="shared" si="34"/>
        <v>0.91951086531800696</v>
      </c>
      <c r="BJ37" s="19"/>
      <c r="BK37" s="20" t="str">
        <f t="shared" si="44"/>
        <v>SULAWESI</v>
      </c>
      <c r="BL37" s="20">
        <f t="shared" si="45"/>
        <v>2028</v>
      </c>
      <c r="BM37" s="34">
        <f>proj_rukn!E111</f>
        <v>4614</v>
      </c>
      <c r="BN37" s="30">
        <f t="shared" si="26"/>
        <v>5306.0999999999995</v>
      </c>
      <c r="BO37" s="30">
        <f t="shared" si="35"/>
        <v>11447.273287652071</v>
      </c>
      <c r="BQ37" s="30">
        <f t="shared" si="27"/>
        <v>2122.44</v>
      </c>
      <c r="BR37" s="30">
        <f t="shared" si="36"/>
        <v>8737.8829808084829</v>
      </c>
      <c r="BS37" s="30"/>
      <c r="BT37" s="30">
        <f t="shared" si="28"/>
        <v>1061.22</v>
      </c>
      <c r="BU37" s="30">
        <f t="shared" si="37"/>
        <v>2709.3903068435875</v>
      </c>
      <c r="BW37" s="30">
        <f t="shared" si="29"/>
        <v>1.8451958674317137</v>
      </c>
      <c r="BX37" s="30">
        <f t="shared" si="38"/>
        <v>0</v>
      </c>
      <c r="BZ37" s="24">
        <f t="shared" si="46"/>
        <v>7.5054736544484399E-2</v>
      </c>
      <c r="CA37" s="24">
        <f t="shared" si="30"/>
        <v>7.5054736632067368E-2</v>
      </c>
      <c r="CF37" s="23"/>
    </row>
    <row r="38" spans="1:84" x14ac:dyDescent="0.25">
      <c r="A38" s="19"/>
      <c r="B38" s="20" t="str">
        <f t="shared" si="31"/>
        <v>SULAWESI</v>
      </c>
      <c r="C38" s="20">
        <f t="shared" si="31"/>
        <v>2029</v>
      </c>
      <c r="D38" s="30">
        <f>(D14*(VLOOKUP(D$27,tech_data!$B$2:$O$15,6, FALSE)/100)*(1-(VLOOKUP(D$27,tech_data!$B$2:$O$15,7, FALSE)/100))*8760)/1000</f>
        <v>15560.679943832432</v>
      </c>
      <c r="E38" s="30">
        <f>(E14*(VLOOKUP(E$27,tech_data!$B$2:$O$15,6, FALSE)/100)*(1-(VLOOKUP(E$27,tech_data!$B$2:$O$15,7, FALSE)/100))*8760)/1000</f>
        <v>863.09485366430977</v>
      </c>
      <c r="F38" s="30">
        <f>(F14*(VLOOKUP(F$27,tech_data!$B$2:$O$15,6, FALSE)/100)*(1-(VLOOKUP(F$27,tech_data!$B$2:$O$15,7, FALSE)/100))*8760)/1000</f>
        <v>15983.54481487022</v>
      </c>
      <c r="G38" s="30">
        <f>(G14*(VLOOKUP(G$27,tech_data!$B$2:$O$15,6, FALSE)/100)*(1-(VLOOKUP(G$27,tech_data!$B$2:$O$15,7, FALSE)/100))*8760)/1000</f>
        <v>7943.8682267862896</v>
      </c>
      <c r="H38" s="30">
        <f>(H14*(VLOOKUP(H$27,tech_data!$B$2:$O$15,6, FALSE)/100)*(1-(VLOOKUP(H$27,tech_data!$B$2:$O$15,7, FALSE)/100))*8760)/1000</f>
        <v>519.13107692307688</v>
      </c>
      <c r="I38" s="30">
        <f>(I14*(VLOOKUP(I$27,tech_data!$B$2:$O$15,6, FALSE)/100)*(1-(VLOOKUP(I$27,tech_data!$B$2:$O$15,7, FALSE)/100))*8760)/1000</f>
        <v>3770.63744883356</v>
      </c>
      <c r="J38" s="30">
        <f>(J14*(VLOOKUP(J$27,tech_data!$B$2:$O$15,6, FALSE)/100)*(1-(VLOOKUP(J$27,tech_data!$B$2:$O$15,7, FALSE)/100))*8760)/1000</f>
        <v>370.4245191566485</v>
      </c>
      <c r="K38" s="30">
        <f>(K14*(VLOOKUP(K$27,tech_data!$B$2:$O$15,6, FALSE)/100)*(1-(VLOOKUP(K$27,tech_data!$B$2:$O$15,7, FALSE)/100))*8760)/1000</f>
        <v>1019.6750786976436</v>
      </c>
      <c r="L38" s="30">
        <f>(L14*(VLOOKUP(L$27,tech_data!$B$2:$O$15,6, FALSE)/100)*(1-(VLOOKUP(L$27,tech_data!$B$2:$O$15,7, FALSE)/100))*8760)/1000</f>
        <v>7257.6950482801794</v>
      </c>
      <c r="M38" s="30">
        <f>(M14*(VLOOKUP(M$27,tech_data!$B$2:$O$15,6, FALSE)/100)*(1-(VLOOKUP(M$27,tech_data!$B$2:$O$15,7, FALSE)/100))*8760)/1000</f>
        <v>1.2488053846153846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14.760275535130704</v>
      </c>
      <c r="Q38" s="34">
        <f t="shared" si="17"/>
        <v>53289.999816428972</v>
      </c>
      <c r="R38" s="34">
        <f>proj_rukn!D112</f>
        <v>53290</v>
      </c>
      <c r="S38" s="35"/>
      <c r="T38" s="19"/>
      <c r="U38" s="20" t="str">
        <f t="shared" si="18"/>
        <v>SULAWESI</v>
      </c>
      <c r="V38" s="20">
        <f t="shared" si="18"/>
        <v>2029</v>
      </c>
      <c r="W38" s="29">
        <f t="shared" si="19"/>
        <v>0.29199999995187037</v>
      </c>
      <c r="X38" s="29">
        <f t="shared" si="19"/>
        <v>1.6196187964673685E-2</v>
      </c>
      <c r="Y38" s="29">
        <f t="shared" si="19"/>
        <v>0.2999351636316312</v>
      </c>
      <c r="Z38" s="29">
        <f t="shared" si="19"/>
        <v>0.14906864804186479</v>
      </c>
      <c r="AA38" s="29">
        <f t="shared" si="19"/>
        <v>9.7416227943583518E-3</v>
      </c>
      <c r="AB38" s="29">
        <f t="shared" si="19"/>
        <v>7.0756942424891819E-2</v>
      </c>
      <c r="AC38" s="29">
        <f t="shared" si="19"/>
        <v>6.9511075329831201E-3</v>
      </c>
      <c r="AD38" s="29">
        <f t="shared" si="19"/>
        <v>1.9134454535751081E-2</v>
      </c>
      <c r="AE38" s="29">
        <f t="shared" si="19"/>
        <v>0.13619243898069366</v>
      </c>
      <c r="AF38" s="29">
        <f t="shared" si="19"/>
        <v>2.3434141281989379E-5</v>
      </c>
      <c r="AG38" s="29">
        <f t="shared" si="19"/>
        <v>0</v>
      </c>
      <c r="AH38" s="29">
        <f t="shared" si="19"/>
        <v>0</v>
      </c>
      <c r="AI38" s="29">
        <f t="shared" si="19"/>
        <v>2.7698021366065392E-4</v>
      </c>
      <c r="AJ38" s="29">
        <f t="shared" si="20"/>
        <v>1</v>
      </c>
      <c r="AM38" s="23"/>
      <c r="AO38" s="20" t="str">
        <f t="shared" si="39"/>
        <v>SULAWESI</v>
      </c>
      <c r="AP38" s="20">
        <f t="shared" si="40"/>
        <v>2029</v>
      </c>
      <c r="AQ38" s="25">
        <f t="shared" si="21"/>
        <v>0.29199999995187037</v>
      </c>
      <c r="AR38" s="25">
        <f t="shared" si="22"/>
        <v>0.31613135159630484</v>
      </c>
      <c r="AS38" s="25">
        <f t="shared" si="23"/>
        <v>0.14906864804186479</v>
      </c>
      <c r="AT38" s="37">
        <f t="shared" si="24"/>
        <v>0.24280000040996005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0.14906864801164671</v>
      </c>
      <c r="AZ38" s="25">
        <f t="shared" si="47"/>
        <v>0.24280000000000002</v>
      </c>
      <c r="BA38" s="24">
        <f t="shared" si="34"/>
        <v>0.92226864801164676</v>
      </c>
      <c r="BJ38" s="19"/>
      <c r="BK38" s="20" t="str">
        <f t="shared" si="44"/>
        <v>SULAWESI</v>
      </c>
      <c r="BL38" s="20">
        <f t="shared" si="45"/>
        <v>2029</v>
      </c>
      <c r="BM38" s="34">
        <f>proj_rukn!E112</f>
        <v>5015.8684287261194</v>
      </c>
      <c r="BN38" s="30">
        <f t="shared" si="26"/>
        <v>5768.2486930350369</v>
      </c>
      <c r="BO38" s="30">
        <f t="shared" si="35"/>
        <v>11796.823180447645</v>
      </c>
      <c r="BQ38" s="30">
        <f t="shared" si="27"/>
        <v>2307.299477214015</v>
      </c>
      <c r="BR38" s="30">
        <f t="shared" si="36"/>
        <v>9064.9263927610045</v>
      </c>
      <c r="BS38" s="30"/>
      <c r="BT38" s="30">
        <f t="shared" si="28"/>
        <v>1153.6497386070075</v>
      </c>
      <c r="BU38" s="30">
        <f t="shared" si="37"/>
        <v>2731.8967876866404</v>
      </c>
      <c r="BW38" s="30">
        <f t="shared" si="29"/>
        <v>1.9532699389668355</v>
      </c>
      <c r="BX38" s="30">
        <f t="shared" si="38"/>
        <v>0</v>
      </c>
      <c r="BZ38" s="24">
        <f t="shared" si="46"/>
        <v>7.8807473371708625E-2</v>
      </c>
      <c r="CA38" s="24">
        <f t="shared" si="30"/>
        <v>7.8807473243176135E-2</v>
      </c>
      <c r="CF38" s="23"/>
    </row>
    <row r="39" spans="1:84" x14ac:dyDescent="0.25">
      <c r="A39" s="19"/>
      <c r="B39" s="20" t="str">
        <f t="shared" si="31"/>
        <v>SULAWESI</v>
      </c>
      <c r="C39" s="20">
        <f t="shared" si="31"/>
        <v>2030</v>
      </c>
      <c r="D39" s="30">
        <f>(D15*(VLOOKUP(D$27,tech_data!$B$2:$O$15,6, FALSE)/100)*(1-(VLOOKUP(D$27,tech_data!$B$2:$O$15,7, FALSE)/100))*8760)/1000</f>
        <v>16003.359990748841</v>
      </c>
      <c r="E39" s="30">
        <f>(E15*(VLOOKUP(E$27,tech_data!$B$2:$O$15,6, FALSE)/100)*(1-(VLOOKUP(E$27,tech_data!$B$2:$O$15,7, FALSE)/100))*8760)/1000</f>
        <v>863.09485366430977</v>
      </c>
      <c r="F39" s="30">
        <f>(F15*(VLOOKUP(F$27,tech_data!$B$2:$O$15,6, FALSE)/100)*(1-(VLOOKUP(F$27,tech_data!$B$2:$O$15,7, FALSE)/100))*8760)/1000</f>
        <v>16680.600924101942</v>
      </c>
      <c r="G39" s="30">
        <f>(G15*(VLOOKUP(G$27,tech_data!$B$2:$O$15,6, FALSE)/100)*(1-(VLOOKUP(G$27,tech_data!$B$2:$O$15,7, FALSE)/100))*8760)/1000</f>
        <v>8061.6801842831437</v>
      </c>
      <c r="H39" s="30">
        <f>(H15*(VLOOKUP(H$27,tech_data!$B$2:$O$15,6, FALSE)/100)*(1-(VLOOKUP(H$27,tech_data!$B$2:$O$15,7, FALSE)/100))*8760)/1000</f>
        <v>519.13107692307688</v>
      </c>
      <c r="I39" s="30">
        <f>(I15*(VLOOKUP(I$27,tech_data!$B$2:$O$15,6, FALSE)/100)*(1-(VLOOKUP(I$27,tech_data!$B$2:$O$15,7, FALSE)/100))*8760)/1000</f>
        <v>3770.63744883356</v>
      </c>
      <c r="J39" s="30">
        <f>(J15*(VLOOKUP(J$27,tech_data!$B$2:$O$15,6, FALSE)/100)*(1-(VLOOKUP(J$27,tech_data!$B$2:$O$15,7, FALSE)/100))*8760)/1000</f>
        <v>370.4245191566485</v>
      </c>
      <c r="K39" s="30">
        <f>(K15*(VLOOKUP(K$27,tech_data!$B$2:$O$15,6, FALSE)/100)*(1-(VLOOKUP(K$27,tech_data!$B$2:$O$15,7, FALSE)/100))*8760)/1000</f>
        <v>1123.3238696237843</v>
      </c>
      <c r="L39" s="30">
        <f>(L15*(VLOOKUP(L$27,tech_data!$B$2:$O$15,6, FALSE)/100)*(1-(VLOOKUP(L$27,tech_data!$B$2:$O$15,7, FALSE)/100))*8760)/1000</f>
        <v>7790.498259672263</v>
      </c>
      <c r="M39" s="30">
        <f>(M15*(VLOOKUP(M$27,tech_data!$B$2:$O$15,6, FALSE)/100)*(1-(VLOOKUP(M$27,tech_data!$B$2:$O$15,7, FALSE)/100))*8760)/1000</f>
        <v>1.2488053846153846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15.353030883764335</v>
      </c>
      <c r="Q39" s="34">
        <f t="shared" si="17"/>
        <v>55183.99993239218</v>
      </c>
      <c r="R39" s="34">
        <f>proj_rukn!D113</f>
        <v>55184</v>
      </c>
      <c r="S39" s="35"/>
      <c r="T39" s="19"/>
      <c r="U39" s="20" t="str">
        <f t="shared" si="18"/>
        <v>SULAWESI</v>
      </c>
      <c r="V39" s="20">
        <f t="shared" si="18"/>
        <v>2030</v>
      </c>
      <c r="W39" s="29">
        <f t="shared" si="19"/>
        <v>0.29000000018764693</v>
      </c>
      <c r="X39" s="29">
        <f t="shared" si="19"/>
        <v>1.5640309776777998E-2</v>
      </c>
      <c r="Y39" s="29">
        <f t="shared" si="19"/>
        <v>0.30227241491261819</v>
      </c>
      <c r="Z39" s="29">
        <f t="shared" si="19"/>
        <v>0.14608727519135595</v>
      </c>
      <c r="AA39" s="29">
        <f t="shared" si="19"/>
        <v>9.407275252955245E-3</v>
      </c>
      <c r="AB39" s="29">
        <f t="shared" si="19"/>
        <v>6.8328454868315056E-2</v>
      </c>
      <c r="AC39" s="29">
        <f t="shared" si="19"/>
        <v>6.7125347856347552E-3</v>
      </c>
      <c r="AD39" s="29">
        <f t="shared" si="19"/>
        <v>2.0355970408089428E-2</v>
      </c>
      <c r="AE39" s="29">
        <f t="shared" si="19"/>
        <v>0.14117313477125021</v>
      </c>
      <c r="AF39" s="29">
        <f t="shared" si="19"/>
        <v>2.2629845356359437E-5</v>
      </c>
      <c r="AG39" s="29">
        <f t="shared" si="19"/>
        <v>0</v>
      </c>
      <c r="AH39" s="29">
        <f t="shared" si="19"/>
        <v>0</v>
      </c>
      <c r="AI39" s="29">
        <f t="shared" si="19"/>
        <v>2.7821525990457129E-4</v>
      </c>
      <c r="AJ39" s="29">
        <f t="shared" si="20"/>
        <v>1</v>
      </c>
      <c r="AM39" s="23"/>
      <c r="AO39" s="20" t="str">
        <f t="shared" si="39"/>
        <v>SULAWESI</v>
      </c>
      <c r="AP39" s="20">
        <f t="shared" si="40"/>
        <v>2030</v>
      </c>
      <c r="AQ39" s="25">
        <f t="shared" si="21"/>
        <v>0.29000000018764693</v>
      </c>
      <c r="AR39" s="25">
        <f t="shared" si="22"/>
        <v>0.31791272468939613</v>
      </c>
      <c r="AS39" s="25">
        <f t="shared" si="23"/>
        <v>0.14608727519135595</v>
      </c>
      <c r="AT39" s="37">
        <f t="shared" si="24"/>
        <v>0.24599999993160104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0.14608727505141378</v>
      </c>
      <c r="AZ39" s="25">
        <f t="shared" si="47"/>
        <v>0.246</v>
      </c>
      <c r="BA39" s="24">
        <f t="shared" si="34"/>
        <v>0.92508727505141386</v>
      </c>
      <c r="BJ39" s="19"/>
      <c r="BK39" s="20" t="str">
        <f t="shared" si="44"/>
        <v>SULAWESI</v>
      </c>
      <c r="BL39" s="20">
        <f t="shared" si="45"/>
        <v>2030</v>
      </c>
      <c r="BM39" s="34">
        <f>proj_rukn!E113</f>
        <v>5452.7386420224166</v>
      </c>
      <c r="BN39" s="30">
        <f t="shared" si="26"/>
        <v>6270.6494383257786</v>
      </c>
      <c r="BO39" s="30">
        <f t="shared" si="35"/>
        <v>12163.728905521957</v>
      </c>
      <c r="BQ39" s="30">
        <f t="shared" si="27"/>
        <v>2508.2597753303116</v>
      </c>
      <c r="BR39" s="30">
        <f t="shared" si="36"/>
        <v>9408.0900776566123</v>
      </c>
      <c r="BS39" s="30"/>
      <c r="BT39" s="30">
        <f t="shared" si="28"/>
        <v>1254.1298876651558</v>
      </c>
      <c r="BU39" s="30">
        <f t="shared" si="37"/>
        <v>2755.638827865344</v>
      </c>
      <c r="BW39" s="30">
        <f t="shared" si="29"/>
        <v>2.0680601469167015</v>
      </c>
      <c r="BX39" s="30">
        <f t="shared" si="38"/>
        <v>0</v>
      </c>
      <c r="BZ39" s="24">
        <f t="shared" si="46"/>
        <v>8.2747847040294059E-2</v>
      </c>
      <c r="CA39" s="24">
        <f t="shared" si="30"/>
        <v>8.274784721036299E-2</v>
      </c>
      <c r="CF39" s="23"/>
    </row>
    <row r="40" spans="1:84" x14ac:dyDescent="0.25">
      <c r="A40" s="19"/>
      <c r="B40" s="20" t="str">
        <f t="shared" si="31"/>
        <v>SULAWESI</v>
      </c>
      <c r="C40" s="20">
        <f t="shared" si="31"/>
        <v>2031</v>
      </c>
      <c r="D40" s="30">
        <f>(D16*(VLOOKUP(D$27,tech_data!$B$2:$O$15,6, FALSE)/100)*(1-(VLOOKUP(D$27,tech_data!$B$2:$O$15,7, FALSE)/100))*8760)/1000</f>
        <v>16549.34403811345</v>
      </c>
      <c r="E40" s="30">
        <f>(E16*(VLOOKUP(E$27,tech_data!$B$2:$O$15,6, FALSE)/100)*(1-(VLOOKUP(E$27,tech_data!$B$2:$O$15,7, FALSE)/100))*8760)/1000</f>
        <v>863.09485366430977</v>
      </c>
      <c r="F40" s="30">
        <f>(F16*(VLOOKUP(F$27,tech_data!$B$2:$O$15,6, FALSE)/100)*(1-(VLOOKUP(F$27,tech_data!$B$2:$O$15,7, FALSE)/100))*8760)/1000</f>
        <v>17504.060774577996</v>
      </c>
      <c r="G40" s="30">
        <f>(G16*(VLOOKUP(G$27,tech_data!$B$2:$O$15,6, FALSE)/100)*(1-(VLOOKUP(G$27,tech_data!$B$2:$O$15,7, FALSE)/100))*8760)/1000</f>
        <v>8226.7208437713016</v>
      </c>
      <c r="H40" s="30">
        <f>(H16*(VLOOKUP(H$27,tech_data!$B$2:$O$15,6, FALSE)/100)*(1-(VLOOKUP(H$27,tech_data!$B$2:$O$15,7, FALSE)/100))*8760)/1000</f>
        <v>519.13107692307688</v>
      </c>
      <c r="I40" s="30">
        <f>(I16*(VLOOKUP(I$27,tech_data!$B$2:$O$15,6, FALSE)/100)*(1-(VLOOKUP(I$27,tech_data!$B$2:$O$15,7, FALSE)/100))*8760)/1000</f>
        <v>3770.63744883356</v>
      </c>
      <c r="J40" s="30">
        <f>(J16*(VLOOKUP(J$27,tech_data!$B$2:$O$15,6, FALSE)/100)*(1-(VLOOKUP(J$27,tech_data!$B$2:$O$15,7, FALSE)/100))*8760)/1000</f>
        <v>370.4245191566485</v>
      </c>
      <c r="K40" s="30">
        <f>(K16*(VLOOKUP(K$27,tech_data!$B$2:$O$15,6, FALSE)/100)*(1-(VLOOKUP(K$27,tech_data!$B$2:$O$15,7, FALSE)/100))*8760)/1000</f>
        <v>1244.1774810214179</v>
      </c>
      <c r="L40" s="30">
        <f>(L16*(VLOOKUP(L$27,tech_data!$B$2:$O$15,6, FALSE)/100)*(1-(VLOOKUP(L$27,tech_data!$B$2:$O$15,7, FALSE)/100))*8760)/1000</f>
        <v>8414.1602766261149</v>
      </c>
      <c r="M40" s="30">
        <f>(M16*(VLOOKUP(M$27,tech_data!$B$2:$O$15,6, FALSE)/100)*(1-(VLOOKUP(M$27,tech_data!$B$2:$O$15,7, FALSE)/100))*8760)/1000</f>
        <v>1.2488053846153846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16.062034196325243</v>
      </c>
      <c r="Q40" s="34">
        <f t="shared" si="17"/>
        <v>57463.000118072487</v>
      </c>
      <c r="R40" s="34">
        <f>proj_rukn!D114</f>
        <v>57463</v>
      </c>
      <c r="S40" s="35"/>
      <c r="T40" s="19"/>
      <c r="U40" s="20" t="str">
        <f t="shared" si="18"/>
        <v>SULAWESI</v>
      </c>
      <c r="V40" s="20">
        <f t="shared" si="18"/>
        <v>2031</v>
      </c>
      <c r="W40" s="29">
        <f t="shared" si="19"/>
        <v>0.28800000007149945</v>
      </c>
      <c r="X40" s="29">
        <f t="shared" si="19"/>
        <v>1.5020010300382155E-2</v>
      </c>
      <c r="Y40" s="29">
        <f t="shared" si="19"/>
        <v>0.30461446041124568</v>
      </c>
      <c r="Z40" s="29">
        <f t="shared" si="19"/>
        <v>0.14316552959064774</v>
      </c>
      <c r="AA40" s="29">
        <f t="shared" si="19"/>
        <v>9.0341798349614331E-3</v>
      </c>
      <c r="AB40" s="29">
        <f t="shared" si="19"/>
        <v>6.5618527419136097E-2</v>
      </c>
      <c r="AC40" s="29">
        <f t="shared" si="19"/>
        <v>6.4463135999776591E-3</v>
      </c>
      <c r="AD40" s="29">
        <f t="shared" si="19"/>
        <v>2.165180165436778E-2</v>
      </c>
      <c r="AE40" s="29">
        <f t="shared" si="19"/>
        <v>0.14642744477902411</v>
      </c>
      <c r="AF40" s="29">
        <f t="shared" si="19"/>
        <v>2.173233875797284E-5</v>
      </c>
      <c r="AG40" s="29">
        <f t="shared" si="19"/>
        <v>0</v>
      </c>
      <c r="AH40" s="29">
        <f t="shared" si="19"/>
        <v>0</v>
      </c>
      <c r="AI40" s="29">
        <f t="shared" si="19"/>
        <v>2.7951958935874686E-4</v>
      </c>
      <c r="AJ40" s="29">
        <f t="shared" si="20"/>
        <v>1</v>
      </c>
      <c r="AM40" s="23"/>
      <c r="AO40" s="20" t="str">
        <f t="shared" si="39"/>
        <v>SULAWESI</v>
      </c>
      <c r="AP40" s="20">
        <f t="shared" si="40"/>
        <v>2031</v>
      </c>
      <c r="AQ40" s="25">
        <f t="shared" si="21"/>
        <v>0.28800000007149945</v>
      </c>
      <c r="AR40" s="25">
        <f t="shared" si="22"/>
        <v>0.31963447071162776</v>
      </c>
      <c r="AS40" s="25">
        <f t="shared" si="23"/>
        <v>0.14316552959064774</v>
      </c>
      <c r="AT40" s="37">
        <f t="shared" si="24"/>
        <v>0.24919999962622508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0.1431655295503855</v>
      </c>
      <c r="AZ40" s="25">
        <f t="shared" si="47"/>
        <v>0.2492</v>
      </c>
      <c r="BA40" s="24">
        <f t="shared" si="34"/>
        <v>0.92796552955038547</v>
      </c>
      <c r="BJ40" s="19"/>
      <c r="BK40" s="20" t="str">
        <f t="shared" si="44"/>
        <v>SULAWESI</v>
      </c>
      <c r="BL40" s="20">
        <f t="shared" si="45"/>
        <v>2031</v>
      </c>
      <c r="BM40" s="34">
        <f>proj_rukn!E114</f>
        <v>5927.6592120969162</v>
      </c>
      <c r="BN40" s="30">
        <f t="shared" si="26"/>
        <v>6816.8080939114534</v>
      </c>
      <c r="BO40" s="30">
        <f t="shared" si="35"/>
        <v>12607.096377101543</v>
      </c>
      <c r="BQ40" s="30">
        <f t="shared" si="27"/>
        <v>2726.7232375645817</v>
      </c>
      <c r="BR40" s="30">
        <f t="shared" si="36"/>
        <v>9818.2318751398707</v>
      </c>
      <c r="BS40" s="30"/>
      <c r="BT40" s="30">
        <f t="shared" si="28"/>
        <v>1363.3616187822909</v>
      </c>
      <c r="BU40" s="30">
        <f t="shared" si="37"/>
        <v>2788.8645019616706</v>
      </c>
      <c r="BW40" s="30">
        <f t="shared" si="29"/>
        <v>2.2022976525181606</v>
      </c>
      <c r="BX40" s="30">
        <f t="shared" si="38"/>
        <v>0</v>
      </c>
      <c r="BZ40" s="24">
        <f t="shared" si="46"/>
        <v>8.6885239392308772E-2</v>
      </c>
      <c r="CA40" s="24">
        <f t="shared" si="30"/>
        <v>8.6885239513817436E-2</v>
      </c>
      <c r="CF40" s="23"/>
    </row>
    <row r="41" spans="1:84" x14ac:dyDescent="0.25">
      <c r="A41" s="19"/>
      <c r="B41" s="20" t="str">
        <f t="shared" si="31"/>
        <v>SULAWESI</v>
      </c>
      <c r="C41" s="20">
        <f t="shared" si="31"/>
        <v>2032</v>
      </c>
      <c r="D41" s="30">
        <f>(D17*(VLOOKUP(D$27,tech_data!$B$2:$O$15,6, FALSE)/100)*(1-(VLOOKUP(D$27,tech_data!$B$2:$O$15,7, FALSE)/100))*8760)/1000</f>
        <v>17148.84604011663</v>
      </c>
      <c r="E41" s="30">
        <f>(E17*(VLOOKUP(E$27,tech_data!$B$2:$O$15,6, FALSE)/100)*(1-(VLOOKUP(E$27,tech_data!$B$2:$O$15,7, FALSE)/100))*8760)/1000</f>
        <v>863.09485366430977</v>
      </c>
      <c r="F41" s="30">
        <f>(F17*(VLOOKUP(F$27,tech_data!$B$2:$O$15,6, FALSE)/100)*(1-(VLOOKUP(F$27,tech_data!$B$2:$O$15,7, FALSE)/100))*8760)/1000</f>
        <v>18402.241391558571</v>
      </c>
      <c r="G41" s="30">
        <f>(G17*(VLOOKUP(G$27,tech_data!$B$2:$O$15,6, FALSE)/100)*(1-(VLOOKUP(G$27,tech_data!$B$2:$O$15,7, FALSE)/100))*8760)/1000</f>
        <v>8412.6613838303383</v>
      </c>
      <c r="H41" s="30">
        <f>(H17*(VLOOKUP(H$27,tech_data!$B$2:$O$15,6, FALSE)/100)*(1-(VLOOKUP(H$27,tech_data!$B$2:$O$15,7, FALSE)/100))*8760)/1000</f>
        <v>519.13107692307688</v>
      </c>
      <c r="I41" s="30">
        <f>(I17*(VLOOKUP(I$27,tech_data!$B$2:$O$15,6, FALSE)/100)*(1-(VLOOKUP(I$27,tech_data!$B$2:$O$15,7, FALSE)/100))*8760)/1000</f>
        <v>3770.63744883356</v>
      </c>
      <c r="J41" s="30">
        <f>(J17*(VLOOKUP(J$27,tech_data!$B$2:$O$15,6, FALSE)/100)*(1-(VLOOKUP(J$27,tech_data!$B$2:$O$15,7, FALSE)/100))*8760)/1000</f>
        <v>370.4245191566485</v>
      </c>
      <c r="K41" s="30">
        <f>(K17*(VLOOKUP(K$27,tech_data!$B$2:$O$15,6, FALSE)/100)*(1-(VLOOKUP(K$27,tech_data!$B$2:$O$15,7, FALSE)/100))*8760)/1000</f>
        <v>1380.6815444103911</v>
      </c>
      <c r="L41" s="30">
        <f>(L17*(VLOOKUP(L$27,tech_data!$B$2:$O$15,6, FALSE)/100)*(1-(VLOOKUP(L$27,tech_data!$B$2:$O$15,7, FALSE)/100))*8760)/1000</f>
        <v>9092.033026662255</v>
      </c>
      <c r="M41" s="30">
        <f>(M17*(VLOOKUP(M$27,tech_data!$B$2:$O$15,6, FALSE)/100)*(1-(VLOOKUP(M$27,tech_data!$B$2:$O$15,7, FALSE)/100))*8760)/1000</f>
        <v>1.2488053846153846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16.838833856546866</v>
      </c>
      <c r="Q41" s="34">
        <f t="shared" si="17"/>
        <v>59961.000090540401</v>
      </c>
      <c r="R41" s="34">
        <f>proj_rukn!D115</f>
        <v>59961</v>
      </c>
      <c r="S41" s="35"/>
      <c r="T41" s="19"/>
      <c r="U41" s="20" t="str">
        <f t="shared" si="18"/>
        <v>SULAWESI</v>
      </c>
      <c r="V41" s="20">
        <f t="shared" si="18"/>
        <v>2032</v>
      </c>
      <c r="W41" s="29">
        <f t="shared" si="19"/>
        <v>0.28600000023718875</v>
      </c>
      <c r="X41" s="29">
        <f t="shared" si="19"/>
        <v>1.4394270481830635E-2</v>
      </c>
      <c r="Y41" s="29">
        <f t="shared" si="19"/>
        <v>0.30690351001103056</v>
      </c>
      <c r="Z41" s="29">
        <f t="shared" si="19"/>
        <v>0.14030221929466352</v>
      </c>
      <c r="AA41" s="29">
        <f t="shared" si="19"/>
        <v>8.6578121802370726E-3</v>
      </c>
      <c r="AB41" s="29">
        <f t="shared" si="19"/>
        <v>6.2884832526808127E-2</v>
      </c>
      <c r="AC41" s="29">
        <f t="shared" si="19"/>
        <v>6.17775751900922E-3</v>
      </c>
      <c r="AD41" s="29">
        <f t="shared" si="19"/>
        <v>2.3026326150757632E-2</v>
      </c>
      <c r="AE41" s="29">
        <f t="shared" si="19"/>
        <v>0.15163244463790451</v>
      </c>
      <c r="AF41" s="29">
        <f t="shared" si="19"/>
        <v>2.0826960569865467E-5</v>
      </c>
      <c r="AG41" s="29">
        <f t="shared" si="19"/>
        <v>0</v>
      </c>
      <c r="AH41" s="29">
        <f t="shared" si="19"/>
        <v>0</v>
      </c>
      <c r="AI41" s="29">
        <f t="shared" si="19"/>
        <v>2.8082976986908869E-4</v>
      </c>
      <c r="AJ41" s="29">
        <f t="shared" si="20"/>
        <v>0.99999999999999967</v>
      </c>
      <c r="AM41" s="23"/>
      <c r="AO41" s="20" t="str">
        <f t="shared" si="39"/>
        <v>SULAWESI</v>
      </c>
      <c r="AP41" s="20">
        <f t="shared" si="40"/>
        <v>2032</v>
      </c>
      <c r="AQ41" s="25">
        <f t="shared" si="21"/>
        <v>0.28600000023718875</v>
      </c>
      <c r="AR41" s="25">
        <f t="shared" si="22"/>
        <v>0.32129778049286117</v>
      </c>
      <c r="AS41" s="25">
        <f t="shared" si="23"/>
        <v>0.14030221929466352</v>
      </c>
      <c r="AT41" s="37">
        <f t="shared" si="24"/>
        <v>0.25239999997528645</v>
      </c>
      <c r="AU41" s="24">
        <f t="shared" si="32"/>
        <v>0.99999999999999978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0.14030221895937778</v>
      </c>
      <c r="AZ41" s="25">
        <f t="shared" si="47"/>
        <v>0.25240000000000001</v>
      </c>
      <c r="BA41" s="24">
        <f t="shared" si="34"/>
        <v>0.93090221895937786</v>
      </c>
      <c r="BJ41" s="19"/>
      <c r="BK41" s="20" t="str">
        <f t="shared" si="44"/>
        <v>SULAWESI</v>
      </c>
      <c r="BL41" s="20">
        <f t="shared" si="45"/>
        <v>2032</v>
      </c>
      <c r="BM41" s="34">
        <f>proj_rukn!E115</f>
        <v>6443.9442345479983</v>
      </c>
      <c r="BN41" s="30">
        <f t="shared" si="26"/>
        <v>7410.5358697301972</v>
      </c>
      <c r="BO41" s="30">
        <f t="shared" si="35"/>
        <v>13092.701271731537</v>
      </c>
      <c r="BQ41" s="30">
        <f t="shared" si="27"/>
        <v>2964.2143478920789</v>
      </c>
      <c r="BR41" s="30">
        <f t="shared" si="36"/>
        <v>10266.409752981312</v>
      </c>
      <c r="BS41" s="30"/>
      <c r="BT41" s="30">
        <f t="shared" si="28"/>
        <v>1482.1071739460394</v>
      </c>
      <c r="BU41" s="30">
        <f t="shared" si="37"/>
        <v>2826.2915187502249</v>
      </c>
      <c r="BW41" s="30">
        <f t="shared" si="29"/>
        <v>2.3496020467290766</v>
      </c>
      <c r="BX41" s="30">
        <f t="shared" si="38"/>
        <v>0</v>
      </c>
      <c r="BZ41" s="24">
        <f t="shared" si="46"/>
        <v>9.1229501361924217E-2</v>
      </c>
      <c r="CA41" s="24">
        <f t="shared" si="30"/>
        <v>9.1229501398622168E-2</v>
      </c>
      <c r="CF41" s="23"/>
    </row>
    <row r="42" spans="1:84" x14ac:dyDescent="0.25">
      <c r="A42" s="19"/>
      <c r="B42" s="20" t="str">
        <f t="shared" si="31"/>
        <v>SULAWESI</v>
      </c>
      <c r="C42" s="20">
        <f t="shared" si="31"/>
        <v>2033</v>
      </c>
      <c r="D42" s="30">
        <f>(D18*(VLOOKUP(D$27,tech_data!$B$2:$O$15,6, FALSE)/100)*(1-(VLOOKUP(D$27,tech_data!$B$2:$O$15,7, FALSE)/100))*8760)/1000</f>
        <v>17728.699998699536</v>
      </c>
      <c r="E42" s="30">
        <f>(E18*(VLOOKUP(E$27,tech_data!$B$2:$O$15,6, FALSE)/100)*(1-(VLOOKUP(E$27,tech_data!$B$2:$O$15,7, FALSE)/100))*8760)/1000</f>
        <v>863.09485366430977</v>
      </c>
      <c r="F42" s="30">
        <f>(F18*(VLOOKUP(F$27,tech_data!$B$2:$O$15,6, FALSE)/100)*(1-(VLOOKUP(F$27,tech_data!$B$2:$O$15,7, FALSE)/100))*8760)/1000</f>
        <v>19294.176425285696</v>
      </c>
      <c r="G42" s="30">
        <f>(G18*(VLOOKUP(G$27,tech_data!$B$2:$O$15,6, FALSE)/100)*(1-(VLOOKUP(G$27,tech_data!$B$2:$O$15,7, FALSE)/100))*8760)/1000</f>
        <v>8583.1986987166147</v>
      </c>
      <c r="H42" s="30">
        <f>(H18*(VLOOKUP(H$27,tech_data!$B$2:$O$15,6, FALSE)/100)*(1-(VLOOKUP(H$27,tech_data!$B$2:$O$15,7, FALSE)/100))*8760)/1000</f>
        <v>519.13107692307688</v>
      </c>
      <c r="I42" s="30">
        <f>(I18*(VLOOKUP(I$27,tech_data!$B$2:$O$15,6, FALSE)/100)*(1-(VLOOKUP(I$27,tech_data!$B$2:$O$15,7, FALSE)/100))*8760)/1000</f>
        <v>3770.63744883356</v>
      </c>
      <c r="J42" s="30">
        <f>(J18*(VLOOKUP(J$27,tech_data!$B$2:$O$15,6, FALSE)/100)*(1-(VLOOKUP(J$27,tech_data!$B$2:$O$15,7, FALSE)/100))*8760)/1000</f>
        <v>370.4245191566485</v>
      </c>
      <c r="K42" s="30">
        <f>(K18*(VLOOKUP(K$27,tech_data!$B$2:$O$15,6, FALSE)/100)*(1-(VLOOKUP(K$27,tech_data!$B$2:$O$15,7, FALSE)/100))*8760)/1000</f>
        <v>1528.4245339814527</v>
      </c>
      <c r="L42" s="30">
        <f>(L18*(VLOOKUP(L$27,tech_data!$B$2:$O$15,6, FALSE)/100)*(1-(VLOOKUP(L$27,tech_data!$B$2:$O$15,7, FALSE)/100))*8760)/1000</f>
        <v>9765.9636134959437</v>
      </c>
      <c r="M42" s="30">
        <f>(M18*(VLOOKUP(M$27,tech_data!$B$2:$O$15,6, FALSE)/100)*(1-(VLOOKUP(M$27,tech_data!$B$2:$O$15,7, FALSE)/100))*8760)/1000</f>
        <v>1.2488053846153846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17.608720800023242</v>
      </c>
      <c r="Q42" s="34">
        <f t="shared" si="17"/>
        <v>62424.999974141458</v>
      </c>
      <c r="R42" s="34">
        <f>proj_rukn!D116</f>
        <v>62425</v>
      </c>
      <c r="S42" s="35"/>
      <c r="T42" s="19"/>
      <c r="U42" s="20" t="str">
        <f t="shared" si="18"/>
        <v>SULAWESI</v>
      </c>
      <c r="V42" s="20">
        <f t="shared" si="18"/>
        <v>2033</v>
      </c>
      <c r="W42" s="29">
        <f t="shared" si="19"/>
        <v>0.28400000009680998</v>
      </c>
      <c r="X42" s="29">
        <f t="shared" si="19"/>
        <v>1.3826108995143497E-2</v>
      </c>
      <c r="Y42" s="29">
        <f t="shared" si="19"/>
        <v>0.30907771619187818</v>
      </c>
      <c r="Z42" s="29">
        <f t="shared" si="19"/>
        <v>0.13749617464592817</v>
      </c>
      <c r="AA42" s="29">
        <f t="shared" si="19"/>
        <v>8.316076526041145E-3</v>
      </c>
      <c r="AB42" s="29">
        <f t="shared" si="19"/>
        <v>6.0402682425238052E-2</v>
      </c>
      <c r="AC42" s="29">
        <f t="shared" si="19"/>
        <v>5.9339130045669335E-3</v>
      </c>
      <c r="AD42" s="29">
        <f t="shared" si="19"/>
        <v>2.4484173562107771E-2</v>
      </c>
      <c r="AE42" s="29">
        <f t="shared" si="19"/>
        <v>0.15644314966025366</v>
      </c>
      <c r="AF42" s="29">
        <f t="shared" si="19"/>
        <v>2.0004892032561986E-5</v>
      </c>
      <c r="AG42" s="29">
        <f t="shared" si="19"/>
        <v>0</v>
      </c>
      <c r="AH42" s="29">
        <f t="shared" si="19"/>
        <v>0</v>
      </c>
      <c r="AI42" s="29">
        <f t="shared" si="19"/>
        <v>2.8207802654893661E-4</v>
      </c>
      <c r="AJ42" s="29">
        <f t="shared" si="20"/>
        <v>1</v>
      </c>
      <c r="AM42" s="23"/>
      <c r="AO42" s="20" t="str">
        <f t="shared" si="39"/>
        <v>SULAWESI</v>
      </c>
      <c r="AP42" s="20">
        <f t="shared" si="40"/>
        <v>2033</v>
      </c>
      <c r="AQ42" s="25">
        <f t="shared" si="21"/>
        <v>0.28400000009680998</v>
      </c>
      <c r="AR42" s="25">
        <f t="shared" si="22"/>
        <v>0.32290382518702165</v>
      </c>
      <c r="AS42" s="25">
        <f t="shared" si="23"/>
        <v>0.13749617464592817</v>
      </c>
      <c r="AT42" s="37">
        <f t="shared" si="24"/>
        <v>0.25560000007024014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0.13749617458019023</v>
      </c>
      <c r="AZ42" s="25">
        <f t="shared" si="47"/>
        <v>0.25559999999999999</v>
      </c>
      <c r="BA42" s="24">
        <f t="shared" si="34"/>
        <v>0.93389617458019014</v>
      </c>
      <c r="BJ42" s="19"/>
      <c r="BK42" s="20" t="str">
        <f t="shared" si="44"/>
        <v>SULAWESI</v>
      </c>
      <c r="BL42" s="20">
        <f t="shared" si="45"/>
        <v>2033</v>
      </c>
      <c r="BM42" s="34">
        <f>proj_rukn!E116</f>
        <v>7005.1964548203296</v>
      </c>
      <c r="BN42" s="30">
        <f t="shared" si="26"/>
        <v>8055.9759230433783</v>
      </c>
      <c r="BO42" s="30">
        <f t="shared" si="35"/>
        <v>13568.913251150001</v>
      </c>
      <c r="BQ42" s="30">
        <f t="shared" si="27"/>
        <v>3222.3903692173517</v>
      </c>
      <c r="BR42" s="30">
        <f t="shared" si="36"/>
        <v>10708.279003671554</v>
      </c>
      <c r="BS42" s="30"/>
      <c r="BT42" s="30">
        <f t="shared" si="28"/>
        <v>1611.1951846086758</v>
      </c>
      <c r="BU42" s="30">
        <f t="shared" si="37"/>
        <v>2860.634247478446</v>
      </c>
      <c r="BW42" s="30">
        <f t="shared" si="29"/>
        <v>2.4993202773999448</v>
      </c>
      <c r="BX42" s="30">
        <f t="shared" si="38"/>
        <v>0</v>
      </c>
      <c r="BZ42" s="24">
        <f t="shared" si="46"/>
        <v>9.5790976430020436E-2</v>
      </c>
      <c r="CA42" s="24">
        <f t="shared" si="30"/>
        <v>9.5790976351249613E-2</v>
      </c>
      <c r="CF42" s="23"/>
    </row>
    <row r="43" spans="1:84" x14ac:dyDescent="0.25">
      <c r="A43" s="19"/>
      <c r="B43" s="20" t="str">
        <f t="shared" si="31"/>
        <v>SULAWESI</v>
      </c>
      <c r="C43" s="20">
        <f t="shared" si="31"/>
        <v>2034</v>
      </c>
      <c r="D43" s="30">
        <f>(D19*(VLOOKUP(D$27,tech_data!$B$2:$O$15,6, FALSE)/100)*(1-(VLOOKUP(D$27,tech_data!$B$2:$O$15,7, FALSE)/100))*8760)/1000</f>
        <v>18441.953949767958</v>
      </c>
      <c r="E43" s="30">
        <f>(E19*(VLOOKUP(E$27,tech_data!$B$2:$O$15,6, FALSE)/100)*(1-(VLOOKUP(E$27,tech_data!$B$2:$O$15,7, FALSE)/100))*8760)/1000</f>
        <v>863.09485366430977</v>
      </c>
      <c r="F43" s="30">
        <f>(F19*(VLOOKUP(F$27,tech_data!$B$2:$O$15,6, FALSE)/100)*(1-(VLOOKUP(F$27,tech_data!$B$2:$O$15,7, FALSE)/100))*8760)/1000</f>
        <v>20355.206902851434</v>
      </c>
      <c r="G43" s="30">
        <f>(G19*(VLOOKUP(G$27,tech_data!$B$2:$O$15,6, FALSE)/100)*(1-(VLOOKUP(G$27,tech_data!$B$2:$O$15,7, FALSE)/100))*8760)/1000</f>
        <v>8812.0005665844437</v>
      </c>
      <c r="H43" s="30">
        <f>(H19*(VLOOKUP(H$27,tech_data!$B$2:$O$15,6, FALSE)/100)*(1-(VLOOKUP(H$27,tech_data!$B$2:$O$15,7, FALSE)/100))*8760)/1000</f>
        <v>519.13107692307688</v>
      </c>
      <c r="I43" s="30">
        <f>(I19*(VLOOKUP(I$27,tech_data!$B$2:$O$15,6, FALSE)/100)*(1-(VLOOKUP(I$27,tech_data!$B$2:$O$15,7, FALSE)/100))*8760)/1000</f>
        <v>3770.63744883356</v>
      </c>
      <c r="J43" s="30">
        <f>(J19*(VLOOKUP(J$27,tech_data!$B$2:$O$15,6, FALSE)/100)*(1-(VLOOKUP(J$27,tech_data!$B$2:$O$15,7, FALSE)/100))*8760)/1000</f>
        <v>370.4245191566485</v>
      </c>
      <c r="K43" s="30">
        <f>(K19*(VLOOKUP(K$27,tech_data!$B$2:$O$15,6, FALSE)/100)*(1-(VLOOKUP(K$27,tech_data!$B$2:$O$15,7, FALSE)/100))*8760)/1000</f>
        <v>1702.2996035356746</v>
      </c>
      <c r="L43" s="30">
        <f>(L19*(VLOOKUP(L$27,tech_data!$B$2:$O$15,6, FALSE)/100)*(1-(VLOOKUP(L$27,tech_data!$B$2:$O$15,7, FALSE)/100))*8760)/1000</f>
        <v>10561.002119510835</v>
      </c>
      <c r="M43" s="30">
        <f>(M19*(VLOOKUP(M$27,tech_data!$B$2:$O$15,6, FALSE)/100)*(1-(VLOOKUP(M$27,tech_data!$B$2:$O$15,7, FALSE)/100))*8760)/1000</f>
        <v>1.2488053846153846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18.532921024315904</v>
      </c>
      <c r="Q43" s="34">
        <f t="shared" si="17"/>
        <v>65396.999846212559</v>
      </c>
      <c r="R43" s="34">
        <f>proj_rukn!D117</f>
        <v>65397</v>
      </c>
      <c r="S43" s="35"/>
      <c r="T43" s="19"/>
      <c r="U43" s="20" t="str">
        <f t="shared" si="18"/>
        <v>SULAWESI</v>
      </c>
      <c r="V43" s="20">
        <f t="shared" si="18"/>
        <v>2034</v>
      </c>
      <c r="W43" s="29">
        <f t="shared" si="19"/>
        <v>0.28199999989504132</v>
      </c>
      <c r="X43" s="29">
        <f t="shared" si="19"/>
        <v>1.3197774449805981E-2</v>
      </c>
      <c r="Y43" s="29">
        <f t="shared" si="19"/>
        <v>0.31125597429115548</v>
      </c>
      <c r="Z43" s="29">
        <f t="shared" si="19"/>
        <v>0.13474625116300021</v>
      </c>
      <c r="AA43" s="29">
        <f t="shared" si="19"/>
        <v>7.9381482047167964E-3</v>
      </c>
      <c r="AB43" s="29">
        <f t="shared" si="19"/>
        <v>5.7657651844894763E-2</v>
      </c>
      <c r="AC43" s="29">
        <f t="shared" si="19"/>
        <v>5.6642433143376299E-3</v>
      </c>
      <c r="AD43" s="29">
        <f t="shared" si="19"/>
        <v>2.6030240034539791E-2</v>
      </c>
      <c r="AE43" s="29">
        <f t="shared" si="19"/>
        <v>0.16149062104295403</v>
      </c>
      <c r="AF43" s="29">
        <f t="shared" si="19"/>
        <v>1.9095759553986767E-5</v>
      </c>
      <c r="AG43" s="29">
        <f t="shared" si="19"/>
        <v>0</v>
      </c>
      <c r="AH43" s="29">
        <f t="shared" si="19"/>
        <v>0</v>
      </c>
      <c r="AI43" s="29">
        <f t="shared" si="19"/>
        <v>2.8339099756713427E-4</v>
      </c>
      <c r="AJ43" s="29">
        <f t="shared" si="20"/>
        <v>1.0000000000000002</v>
      </c>
      <c r="AM43" s="23"/>
      <c r="AO43" s="20" t="str">
        <f t="shared" si="39"/>
        <v>SULAWESI</v>
      </c>
      <c r="AP43" s="20">
        <f t="shared" si="40"/>
        <v>2034</v>
      </c>
      <c r="AQ43" s="25">
        <f t="shared" si="21"/>
        <v>0.28199999989504132</v>
      </c>
      <c r="AR43" s="25">
        <f t="shared" si="22"/>
        <v>0.32445374874096145</v>
      </c>
      <c r="AS43" s="25">
        <f t="shared" si="23"/>
        <v>0.13474625116300021</v>
      </c>
      <c r="AT43" s="37">
        <f t="shared" si="24"/>
        <v>0.25880000020099697</v>
      </c>
      <c r="AU43" s="24">
        <f t="shared" si="32"/>
        <v>1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0.13474625108858643</v>
      </c>
      <c r="AZ43" s="25">
        <f t="shared" si="47"/>
        <v>0.25880000000000003</v>
      </c>
      <c r="BA43" s="24">
        <f t="shared" si="34"/>
        <v>0.93694625108858642</v>
      </c>
      <c r="BJ43" s="19"/>
      <c r="BK43" s="20" t="str">
        <f t="shared" si="44"/>
        <v>SULAWESI</v>
      </c>
      <c r="BL43" s="20">
        <f t="shared" si="45"/>
        <v>2034</v>
      </c>
      <c r="BM43" s="34">
        <f>proj_rukn!E117</f>
        <v>7615.3324089201187</v>
      </c>
      <c r="BN43" s="30">
        <f t="shared" si="26"/>
        <v>8757.6322702581365</v>
      </c>
      <c r="BO43" s="30">
        <f t="shared" si="35"/>
        <v>14145.438684597029</v>
      </c>
      <c r="BQ43" s="30">
        <f t="shared" si="27"/>
        <v>3503.0529081032546</v>
      </c>
      <c r="BR43" s="30">
        <f t="shared" si="36"/>
        <v>11238.758984770586</v>
      </c>
      <c r="BS43" s="30"/>
      <c r="BT43" s="30">
        <f t="shared" si="28"/>
        <v>1751.5264540516273</v>
      </c>
      <c r="BU43" s="30">
        <f t="shared" si="37"/>
        <v>2906.6796998264431</v>
      </c>
      <c r="BW43" s="30">
        <f t="shared" si="29"/>
        <v>2.6758298646512069</v>
      </c>
      <c r="BX43" s="30">
        <f t="shared" si="38"/>
        <v>0</v>
      </c>
      <c r="BZ43" s="24">
        <f t="shared" si="46"/>
        <v>0.10058052525152146</v>
      </c>
      <c r="CA43" s="24">
        <f t="shared" si="30"/>
        <v>0.10058052555766385</v>
      </c>
      <c r="CF43" s="23"/>
    </row>
    <row r="44" spans="1:84" x14ac:dyDescent="0.25">
      <c r="A44" s="19"/>
      <c r="B44" s="20" t="str">
        <f t="shared" si="31"/>
        <v>SULAWESI</v>
      </c>
      <c r="C44" s="20">
        <f t="shared" si="31"/>
        <v>2035</v>
      </c>
      <c r="D44" s="30">
        <f>(D20*(VLOOKUP(D$27,tech_data!$B$2:$O$15,6, FALSE)/100)*(1-(VLOOKUP(D$27,tech_data!$B$2:$O$15,7, FALSE)/100))*8760)/1000</f>
        <v>19164.879939984985</v>
      </c>
      <c r="E44" s="30">
        <f>(E20*(VLOOKUP(E$27,tech_data!$B$2:$O$15,6, FALSE)/100)*(1-(VLOOKUP(E$27,tech_data!$B$2:$O$15,7, FALSE)/100))*8760)/1000</f>
        <v>863.09485366430977</v>
      </c>
      <c r="F44" s="30">
        <f>(F20*(VLOOKUP(F$27,tech_data!$B$2:$O$15,6, FALSE)/100)*(1-(VLOOKUP(F$27,tech_data!$B$2:$O$15,7, FALSE)/100))*8760)/1000</f>
        <v>21446.788031807893</v>
      </c>
      <c r="G44" s="30">
        <f>(G20*(VLOOKUP(G$27,tech_data!$B$2:$O$15,6, FALSE)/100)*(1-(VLOOKUP(G$27,tech_data!$B$2:$O$15,7, FALSE)/100))*8760)/1000</f>
        <v>9038.3850497493404</v>
      </c>
      <c r="H44" s="30">
        <f>(H20*(VLOOKUP(H$27,tech_data!$B$2:$O$15,6, FALSE)/100)*(1-(VLOOKUP(H$27,tech_data!$B$2:$O$15,7, FALSE)/100))*8760)/1000</f>
        <v>519.13107692307688</v>
      </c>
      <c r="I44" s="30">
        <f>(I20*(VLOOKUP(I$27,tech_data!$B$2:$O$15,6, FALSE)/100)*(1-(VLOOKUP(I$27,tech_data!$B$2:$O$15,7, FALSE)/100))*8760)/1000</f>
        <v>3770.63744883356</v>
      </c>
      <c r="J44" s="30">
        <f>(J20*(VLOOKUP(J$27,tech_data!$B$2:$O$15,6, FALSE)/100)*(1-(VLOOKUP(J$27,tech_data!$B$2:$O$15,7, FALSE)/100))*8760)/1000</f>
        <v>370.4245191566485</v>
      </c>
      <c r="K44" s="30">
        <f>(K20*(VLOOKUP(K$27,tech_data!$B$2:$O$15,6, FALSE)/100)*(1-(VLOOKUP(K$27,tech_data!$B$2:$O$15,7, FALSE)/100))*8760)/1000</f>
        <v>1893.880448609315</v>
      </c>
      <c r="L44" s="30">
        <f>(L20*(VLOOKUP(L$27,tech_data!$B$2:$O$15,6, FALSE)/100)*(1-(VLOOKUP(L$27,tech_data!$B$2:$O$15,7, FALSE)/100))*8760)/1000</f>
        <v>11377.529625387811</v>
      </c>
      <c r="M44" s="30">
        <f>(M20*(VLOOKUP(M$27,tech_data!$B$2:$O$15,6, FALSE)/100)*(1-(VLOOKUP(M$27,tech_data!$B$2:$O$15,7, FALSE)/100))*8760)/1000</f>
        <v>1.2488053846153846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19.483871971131848</v>
      </c>
      <c r="Q44" s="34">
        <f t="shared" si="17"/>
        <v>68445.999799501558</v>
      </c>
      <c r="R44" s="34">
        <f>proj_rukn!D118</f>
        <v>68446</v>
      </c>
      <c r="S44" s="35"/>
      <c r="T44" s="19"/>
      <c r="U44" s="20" t="str">
        <f t="shared" si="18"/>
        <v>SULAWESI</v>
      </c>
      <c r="V44" s="20">
        <f t="shared" si="18"/>
        <v>2035</v>
      </c>
      <c r="W44" s="29">
        <f t="shared" si="19"/>
        <v>0.27999999994337943</v>
      </c>
      <c r="X44" s="29">
        <f t="shared" si="19"/>
        <v>1.2609865531843616E-2</v>
      </c>
      <c r="Y44" s="29">
        <f t="shared" si="19"/>
        <v>0.31333880861747709</v>
      </c>
      <c r="Z44" s="29">
        <f t="shared" si="19"/>
        <v>0.13205132624587887</v>
      </c>
      <c r="AA44" s="29">
        <f t="shared" si="19"/>
        <v>7.5845349391310572E-3</v>
      </c>
      <c r="AB44" s="29">
        <f t="shared" si="19"/>
        <v>5.5089230340397755E-2</v>
      </c>
      <c r="AC44" s="29">
        <f t="shared" si="19"/>
        <v>5.4119235637105269E-3</v>
      </c>
      <c r="AD44" s="29">
        <f t="shared" si="19"/>
        <v>2.7669702453862126E-2</v>
      </c>
      <c r="AE44" s="29">
        <f t="shared" si="19"/>
        <v>0.16622636324571105</v>
      </c>
      <c r="AF44" s="29">
        <f t="shared" si="19"/>
        <v>1.8245118608443189E-5</v>
      </c>
      <c r="AG44" s="29">
        <f t="shared" si="19"/>
        <v>0</v>
      </c>
      <c r="AH44" s="29">
        <f t="shared" si="19"/>
        <v>0</v>
      </c>
      <c r="AI44" s="29">
        <f t="shared" si="19"/>
        <v>2.8466049189442526E-4</v>
      </c>
      <c r="AJ44" s="29">
        <f t="shared" si="20"/>
        <v>1</v>
      </c>
      <c r="AM44" s="23"/>
      <c r="AO44" s="20" t="str">
        <f t="shared" si="39"/>
        <v>SULAWESI</v>
      </c>
      <c r="AP44" s="20">
        <f t="shared" si="40"/>
        <v>2035</v>
      </c>
      <c r="AQ44" s="25">
        <f t="shared" si="21"/>
        <v>0.27999999994337943</v>
      </c>
      <c r="AR44" s="25">
        <f t="shared" si="22"/>
        <v>0.32594867414932066</v>
      </c>
      <c r="AS44" s="25">
        <f t="shared" si="23"/>
        <v>0.13205132624587887</v>
      </c>
      <c r="AT44" s="37">
        <f t="shared" si="24"/>
        <v>0.2619999996614209</v>
      </c>
      <c r="AU44" s="24">
        <f t="shared" si="32"/>
        <v>0.99999999999999978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0.13205132606681469</v>
      </c>
      <c r="AZ44" s="25">
        <f t="shared" si="47"/>
        <v>0.26200000000000001</v>
      </c>
      <c r="BA44" s="24">
        <f t="shared" si="34"/>
        <v>0.94005132606681474</v>
      </c>
      <c r="BJ44" s="19"/>
      <c r="BK44" s="20" t="str">
        <f t="shared" si="44"/>
        <v>SULAWESI</v>
      </c>
      <c r="BL44" s="20">
        <f t="shared" si="45"/>
        <v>2035</v>
      </c>
      <c r="BM44" s="34">
        <f>proj_rukn!E118</f>
        <v>8278.6097538268841</v>
      </c>
      <c r="BN44" s="30">
        <f t="shared" si="26"/>
        <v>9520.4012169009166</v>
      </c>
      <c r="BO44" s="30">
        <f t="shared" si="35"/>
        <v>14734.521615315</v>
      </c>
      <c r="BQ44" s="30">
        <f t="shared" si="27"/>
        <v>3808.1604867603669</v>
      </c>
      <c r="BR44" s="30">
        <f t="shared" si="36"/>
        <v>11782.272686006549</v>
      </c>
      <c r="BS44" s="30"/>
      <c r="BT44" s="30">
        <f t="shared" si="28"/>
        <v>1904.0802433801834</v>
      </c>
      <c r="BU44" s="30">
        <f t="shared" si="37"/>
        <v>2952.2489293084509</v>
      </c>
      <c r="BW44" s="30">
        <f t="shared" si="29"/>
        <v>2.860645350435743</v>
      </c>
      <c r="BX44" s="30">
        <f t="shared" si="38"/>
        <v>0</v>
      </c>
      <c r="BZ44" s="24">
        <f t="shared" si="46"/>
        <v>0.10560955151409754</v>
      </c>
      <c r="CA44" s="24">
        <f t="shared" si="30"/>
        <v>0.10560955148709661</v>
      </c>
      <c r="CF44" s="23"/>
    </row>
    <row r="45" spans="1:84" x14ac:dyDescent="0.25">
      <c r="A45" s="19"/>
      <c r="B45" s="20" t="str">
        <f t="shared" ref="B45:C47" si="50">B21</f>
        <v>SULAWESI</v>
      </c>
      <c r="C45" s="20">
        <f t="shared" si="50"/>
        <v>2036</v>
      </c>
      <c r="D45" s="30">
        <f>(D21*(VLOOKUP(D$27,tech_data!$B$2:$O$15,6, FALSE)/100)*(1-(VLOOKUP(D$27,tech_data!$B$2:$O$15,7, FALSE)/100))*8760)/1000</f>
        <v>19987.921991096024</v>
      </c>
      <c r="E45" s="30">
        <f>(E21*(VLOOKUP(E$27,tech_data!$B$2:$O$15,6, FALSE)/100)*(1-(VLOOKUP(E$27,tech_data!$B$2:$O$15,7, FALSE)/100))*8760)/1000</f>
        <v>863.09485366430977</v>
      </c>
      <c r="F45" s="30">
        <f>(F21*(VLOOKUP(F$27,tech_data!$B$2:$O$15,6, FALSE)/100)*(1-(VLOOKUP(F$27,tech_data!$B$2:$O$15,7, FALSE)/100))*8760)/1000</f>
        <v>22675.897207099602</v>
      </c>
      <c r="G45" s="30">
        <f>(G21*(VLOOKUP(G$27,tech_data!$B$2:$O$15,6, FALSE)/100)*(1-(VLOOKUP(G$27,tech_data!$B$2:$O$15,7, FALSE)/100))*8760)/1000</f>
        <v>9304.4711355858835</v>
      </c>
      <c r="H45" s="30">
        <f>(H21*(VLOOKUP(H$27,tech_data!$B$2:$O$15,6, FALSE)/100)*(1-(VLOOKUP(H$27,tech_data!$B$2:$O$15,7, FALSE)/100))*8760)/1000</f>
        <v>519.13107692307688</v>
      </c>
      <c r="I45" s="30">
        <f>(I21*(VLOOKUP(I$27,tech_data!$B$2:$O$15,6, FALSE)/100)*(1-(VLOOKUP(I$27,tech_data!$B$2:$O$15,7, FALSE)/100))*8760)/1000</f>
        <v>3770.63744883356</v>
      </c>
      <c r="J45" s="30">
        <f>(J21*(VLOOKUP(J$27,tech_data!$B$2:$O$15,6, FALSE)/100)*(1-(VLOOKUP(J$27,tech_data!$B$2:$O$15,7, FALSE)/100))*8760)/1000</f>
        <v>370.4245191566485</v>
      </c>
      <c r="K45" s="30">
        <f>(K21*(VLOOKUP(K$27,tech_data!$B$2:$O$15,6, FALSE)/100)*(1-(VLOOKUP(K$27,tech_data!$B$2:$O$15,7, FALSE)/100))*8760)/1000</f>
        <v>2114.4092316040324</v>
      </c>
      <c r="L45" s="30">
        <f>(L21*(VLOOKUP(L$27,tech_data!$B$2:$O$15,6, FALSE)/100)*(1-(VLOOKUP(L$27,tech_data!$B$2:$O$15,7, FALSE)/100))*8760)/1000</f>
        <v>12291.763738313071</v>
      </c>
      <c r="M45" s="30">
        <f>(M21*(VLOOKUP(M$27,tech_data!$B$2:$O$15,6, FALSE)/100)*(1-(VLOOKUP(M$27,tech_data!$B$2:$O$15,7, FALSE)/100))*8760)/1000</f>
        <v>1.2488053846153846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20.559447886122655</v>
      </c>
      <c r="Q45" s="34">
        <f t="shared" si="17"/>
        <v>71899.000007660827</v>
      </c>
      <c r="R45" s="34">
        <f>proj_rukn!D119</f>
        <v>71899</v>
      </c>
      <c r="S45" s="35"/>
      <c r="T45" s="19"/>
      <c r="U45" s="20" t="str">
        <f t="shared" si="18"/>
        <v>SULAWESI</v>
      </c>
      <c r="V45" s="20">
        <f t="shared" si="18"/>
        <v>2036</v>
      </c>
      <c r="W45" s="29">
        <f t="shared" si="19"/>
        <v>0.27799999984653911</v>
      </c>
      <c r="X45" s="29">
        <f t="shared" si="19"/>
        <v>1.2004267842005412E-2</v>
      </c>
      <c r="Y45" s="29">
        <f t="shared" si="19"/>
        <v>0.31538543240773154</v>
      </c>
      <c r="Z45" s="29">
        <f t="shared" si="19"/>
        <v>0.1294102996508226</v>
      </c>
      <c r="AA45" s="29">
        <f t="shared" si="19"/>
        <v>7.2202822969410357E-3</v>
      </c>
      <c r="AB45" s="29">
        <f t="shared" si="19"/>
        <v>5.2443531181682629E-2</v>
      </c>
      <c r="AC45" s="29">
        <f t="shared" si="19"/>
        <v>5.1520121158455589E-3</v>
      </c>
      <c r="AD45" s="29">
        <f t="shared" si="19"/>
        <v>2.9408047836252834E-2</v>
      </c>
      <c r="AE45" s="29">
        <f t="shared" si="19"/>
        <v>0.17095875793826598</v>
      </c>
      <c r="AF45" s="29">
        <f t="shared" si="19"/>
        <v>1.7368883913299553E-5</v>
      </c>
      <c r="AG45" s="29">
        <f t="shared" si="19"/>
        <v>0</v>
      </c>
      <c r="AH45" s="29">
        <f t="shared" si="19"/>
        <v>0</v>
      </c>
      <c r="AI45" s="29">
        <f t="shared" si="19"/>
        <v>2.859490101939116E-4</v>
      </c>
      <c r="AJ45" s="29">
        <f t="shared" si="20"/>
        <v>1</v>
      </c>
      <c r="AM45" s="23"/>
      <c r="AO45" s="20" t="str">
        <f t="shared" si="39"/>
        <v>SULAWESI</v>
      </c>
      <c r="AP45" s="20">
        <f t="shared" si="40"/>
        <v>2036</v>
      </c>
      <c r="AQ45" s="25">
        <f t="shared" si="21"/>
        <v>0.27799999984653911</v>
      </c>
      <c r="AR45" s="25">
        <f t="shared" si="22"/>
        <v>0.3273897002497369</v>
      </c>
      <c r="AS45" s="25">
        <f t="shared" si="23"/>
        <v>0.1294102996508226</v>
      </c>
      <c r="AT45" s="37">
        <f t="shared" si="24"/>
        <v>0.2652000002529013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0.12941029954547839</v>
      </c>
      <c r="AZ45" s="25">
        <f t="shared" si="47"/>
        <v>0.26519999999999999</v>
      </c>
      <c r="BA45" s="24">
        <f t="shared" si="34"/>
        <v>0.94321029954547841</v>
      </c>
      <c r="BJ45" s="19"/>
      <c r="BK45" s="20" t="str">
        <f t="shared" si="44"/>
        <v>SULAWESI</v>
      </c>
      <c r="BL45" s="20">
        <f t="shared" si="45"/>
        <v>2036</v>
      </c>
      <c r="BM45" s="34">
        <f>proj_rukn!E119</f>
        <v>8999.6569783191098</v>
      </c>
      <c r="BN45" s="30">
        <f t="shared" si="26"/>
        <v>10349.605525066976</v>
      </c>
      <c r="BO45" s="30">
        <f t="shared" si="35"/>
        <v>15401.924617046652</v>
      </c>
      <c r="BQ45" s="30">
        <f t="shared" si="27"/>
        <v>4139.8422100267908</v>
      </c>
      <c r="BR45" s="30">
        <f t="shared" si="36"/>
        <v>12396.126719581847</v>
      </c>
      <c r="BS45" s="30"/>
      <c r="BT45" s="30">
        <f t="shared" si="28"/>
        <v>2069.9211050133954</v>
      </c>
      <c r="BU45" s="30">
        <f t="shared" si="37"/>
        <v>3005.7978974648045</v>
      </c>
      <c r="BW45" s="30">
        <f t="shared" si="29"/>
        <v>3.0692131500543756</v>
      </c>
      <c r="BX45" s="30">
        <f t="shared" si="38"/>
        <v>0</v>
      </c>
      <c r="BZ45" s="24">
        <f t="shared" si="46"/>
        <v>0.11089002908980242</v>
      </c>
      <c r="CA45" s="24">
        <f t="shared" si="30"/>
        <v>0.11089007469158592</v>
      </c>
      <c r="CF45" s="23"/>
    </row>
    <row r="46" spans="1:84" x14ac:dyDescent="0.25">
      <c r="A46" s="19"/>
      <c r="B46" s="20" t="str">
        <f t="shared" si="50"/>
        <v>SULAWESI</v>
      </c>
      <c r="C46" s="20">
        <f t="shared" si="50"/>
        <v>2037</v>
      </c>
      <c r="D46" s="30">
        <f>(D22*(VLOOKUP(D$27,tech_data!$B$2:$O$15,6, FALSE)/100)*(1-(VLOOKUP(D$27,tech_data!$B$2:$O$15,7, FALSE)/100))*8760)/1000</f>
        <v>20860.080004782376</v>
      </c>
      <c r="E46" s="30">
        <f>(E22*(VLOOKUP(E$27,tech_data!$B$2:$O$15,6, FALSE)/100)*(1-(VLOOKUP(E$27,tech_data!$B$2:$O$15,7, FALSE)/100))*8760)/1000</f>
        <v>863.09485366430977</v>
      </c>
      <c r="F46" s="30">
        <f>(F22*(VLOOKUP(F$27,tech_data!$B$2:$O$15,6, FALSE)/100)*(1-(VLOOKUP(F$27,tech_data!$B$2:$O$15,7, FALSE)/100))*8760)/1000</f>
        <v>23985.939253289966</v>
      </c>
      <c r="G46" s="30">
        <f>(G22*(VLOOKUP(G$27,tech_data!$B$2:$O$15,6, FALSE)/100)*(1-(VLOOKUP(G$27,tech_data!$B$2:$O$15,7, FALSE)/100))*8760)/1000</f>
        <v>9585.2138373000907</v>
      </c>
      <c r="H46" s="30">
        <f>(H22*(VLOOKUP(H$27,tech_data!$B$2:$O$15,6, FALSE)/100)*(1-(VLOOKUP(H$27,tech_data!$B$2:$O$15,7, FALSE)/100))*8760)/1000</f>
        <v>519.13107692307688</v>
      </c>
      <c r="I46" s="30">
        <f>(I22*(VLOOKUP(I$27,tech_data!$B$2:$O$15,6, FALSE)/100)*(1-(VLOOKUP(I$27,tech_data!$B$2:$O$15,7, FALSE)/100))*8760)/1000</f>
        <v>3770.63744883356</v>
      </c>
      <c r="J46" s="30">
        <f>(J22*(VLOOKUP(J$27,tech_data!$B$2:$O$15,6, FALSE)/100)*(1-(VLOOKUP(J$27,tech_data!$B$2:$O$15,7, FALSE)/100))*8760)/1000</f>
        <v>370.4245191566485</v>
      </c>
      <c r="K46" s="30">
        <f>(K22*(VLOOKUP(K$27,tech_data!$B$2:$O$15,6, FALSE)/100)*(1-(VLOOKUP(K$27,tech_data!$B$2:$O$15,7, FALSE)/100))*8760)/1000</f>
        <v>2361.9529353524122</v>
      </c>
      <c r="L46" s="30">
        <f>(L22*(VLOOKUP(L$27,tech_data!$B$2:$O$15,6, FALSE)/100)*(1-(VLOOKUP(L$27,tech_data!$B$2:$O$15,7, FALSE)/100))*8760)/1000</f>
        <v>13262.277272497699</v>
      </c>
      <c r="M46" s="30">
        <f>(M22*(VLOOKUP(M$27,tech_data!$B$2:$O$15,6, FALSE)/100)*(1-(VLOOKUP(M$27,tech_data!$B$2:$O$15,7, FALSE)/100))*8760)/1000</f>
        <v>1.2488053846153846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21.707709543846647</v>
      </c>
      <c r="Q46" s="34">
        <f t="shared" si="17"/>
        <v>75580.000007184761</v>
      </c>
      <c r="R46" s="34">
        <f>proj_rukn!D120</f>
        <v>75580</v>
      </c>
      <c r="S46" s="35"/>
      <c r="T46" s="19"/>
      <c r="U46" s="20" t="str">
        <f t="shared" si="18"/>
        <v>SULAWESI</v>
      </c>
      <c r="V46" s="20">
        <f t="shared" si="18"/>
        <v>2037</v>
      </c>
      <c r="W46" s="29">
        <f t="shared" si="19"/>
        <v>0.27600000003703867</v>
      </c>
      <c r="X46" s="29">
        <f t="shared" si="19"/>
        <v>1.1419619655758965E-2</v>
      </c>
      <c r="Y46" s="29">
        <f t="shared" si="19"/>
        <v>0.31735828593556259</v>
      </c>
      <c r="Z46" s="29">
        <f t="shared" si="19"/>
        <v>0.12682209362779709</v>
      </c>
      <c r="AA46" s="29">
        <f t="shared" si="19"/>
        <v>6.8686302841191775E-3</v>
      </c>
      <c r="AB46" s="29">
        <f t="shared" si="19"/>
        <v>4.9889354967916341E-2</v>
      </c>
      <c r="AC46" s="29">
        <f t="shared" si="19"/>
        <v>4.9010918116093585E-3</v>
      </c>
      <c r="AD46" s="29">
        <f t="shared" si="19"/>
        <v>3.1251031160728776E-2</v>
      </c>
      <c r="AE46" s="29">
        <f t="shared" si="19"/>
        <v>0.17547336955857323</v>
      </c>
      <c r="AF46" s="29">
        <f t="shared" si="19"/>
        <v>1.6522960895695568E-5</v>
      </c>
      <c r="AG46" s="29">
        <f t="shared" si="19"/>
        <v>0</v>
      </c>
      <c r="AH46" s="29">
        <f t="shared" si="19"/>
        <v>0</v>
      </c>
      <c r="AI46" s="29">
        <f t="shared" si="19"/>
        <v>2.8721499790662977E-4</v>
      </c>
      <c r="AJ46" s="29">
        <f t="shared" si="20"/>
        <v>1</v>
      </c>
      <c r="AM46" s="23"/>
      <c r="AO46" s="20" t="str">
        <f t="shared" si="39"/>
        <v>SULAWESI</v>
      </c>
      <c r="AP46" s="20">
        <f t="shared" si="40"/>
        <v>2037</v>
      </c>
      <c r="AQ46" s="25">
        <f t="shared" si="21"/>
        <v>0.27600000003703867</v>
      </c>
      <c r="AR46" s="25">
        <f t="shared" si="22"/>
        <v>0.32877790559132153</v>
      </c>
      <c r="AS46" s="25">
        <f t="shared" si="23"/>
        <v>0.12682209362779709</v>
      </c>
      <c r="AT46" s="37">
        <f t="shared" si="24"/>
        <v>0.26840000074384257</v>
      </c>
      <c r="AU46" s="24">
        <f t="shared" si="32"/>
        <v>0.99999999999999978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0.12682209355456883</v>
      </c>
      <c r="AZ46" s="25">
        <f t="shared" si="47"/>
        <v>0.26840000000000003</v>
      </c>
      <c r="BA46" s="24">
        <f t="shared" si="34"/>
        <v>0.94642209355456886</v>
      </c>
      <c r="BJ46" s="19"/>
      <c r="BK46" s="20" t="str">
        <f t="shared" si="44"/>
        <v>SULAWESI</v>
      </c>
      <c r="BL46" s="20">
        <f t="shared" si="45"/>
        <v>2037</v>
      </c>
      <c r="BM46" s="34">
        <f>proj_rukn!E120</f>
        <v>9783.5057015421608</v>
      </c>
      <c r="BN46" s="30">
        <f t="shared" si="26"/>
        <v>11251.031556773483</v>
      </c>
      <c r="BO46" s="30">
        <f t="shared" si="35"/>
        <v>16111.65396176063</v>
      </c>
      <c r="BQ46" s="30">
        <f t="shared" si="27"/>
        <v>4500.4126227093939</v>
      </c>
      <c r="BR46" s="30">
        <f t="shared" si="36"/>
        <v>13049.353720629964</v>
      </c>
      <c r="BS46" s="30"/>
      <c r="BT46" s="30">
        <f t="shared" si="28"/>
        <v>2250.2063113546969</v>
      </c>
      <c r="BU46" s="30">
        <f t="shared" si="37"/>
        <v>3062.3002411306638</v>
      </c>
      <c r="BW46" s="30">
        <f t="shared" si="29"/>
        <v>3.2942729905016406</v>
      </c>
      <c r="BX46" s="30">
        <f t="shared" si="38"/>
        <v>0</v>
      </c>
      <c r="BZ46" s="24">
        <f t="shared" si="46"/>
        <v>0.11643453054429254</v>
      </c>
      <c r="CA46" s="24">
        <f t="shared" si="30"/>
        <v>0.11643454200491732</v>
      </c>
      <c r="CF46" s="23"/>
    </row>
    <row r="47" spans="1:84" x14ac:dyDescent="0.25">
      <c r="A47" s="19"/>
      <c r="B47" s="20" t="str">
        <f t="shared" si="50"/>
        <v>SULAWESI</v>
      </c>
      <c r="C47" s="20">
        <f t="shared" si="50"/>
        <v>2038</v>
      </c>
      <c r="D47" s="30">
        <f>(D23*(VLOOKUP(D$27,tech_data!$B$2:$O$15,6, FALSE)/100)*(1-(VLOOKUP(D$27,tech_data!$B$2:$O$15,7, FALSE)/100))*8760)/1000</f>
        <v>21894.244003049258</v>
      </c>
      <c r="E47" s="30">
        <f>(E23*(VLOOKUP(E$27,tech_data!$B$2:$O$15,6, FALSE)/100)*(1-(VLOOKUP(E$27,tech_data!$B$2:$O$15,7, FALSE)/100))*8760)/1000</f>
        <v>863.09485366430977</v>
      </c>
      <c r="F47" s="30">
        <f>(F23*(VLOOKUP(F$27,tech_data!$B$2:$O$15,6, FALSE)/100)*(1-(VLOOKUP(F$27,tech_data!$B$2:$O$15,7, FALSE)/100))*8760)/1000</f>
        <v>25515.022287795891</v>
      </c>
      <c r="G47" s="30">
        <f>(G23*(VLOOKUP(G$27,tech_data!$B$2:$O$15,6, FALSE)/100)*(1-(VLOOKUP(G$27,tech_data!$B$2:$O$15,7, FALSE)/100))*8760)/1000</f>
        <v>9931.1692947240263</v>
      </c>
      <c r="H47" s="30">
        <f>(H23*(VLOOKUP(H$27,tech_data!$B$2:$O$15,6, FALSE)/100)*(1-(VLOOKUP(H$27,tech_data!$B$2:$O$15,7, FALSE)/100))*8760)/1000</f>
        <v>519.13107692307688</v>
      </c>
      <c r="I47" s="30">
        <f>(I23*(VLOOKUP(I$27,tech_data!$B$2:$O$15,6, FALSE)/100)*(1-(VLOOKUP(I$27,tech_data!$B$2:$O$15,7, FALSE)/100))*8760)/1000</f>
        <v>3770.63744883356</v>
      </c>
      <c r="J47" s="30">
        <f>(J23*(VLOOKUP(J$27,tech_data!$B$2:$O$15,6, FALSE)/100)*(1-(VLOOKUP(J$27,tech_data!$B$2:$O$15,7, FALSE)/100))*8760)/1000</f>
        <v>370.4245191566485</v>
      </c>
      <c r="K47" s="30">
        <f>(K23*(VLOOKUP(K$27,tech_data!$B$2:$O$15,6, FALSE)/100)*(1-(VLOOKUP(K$27,tech_data!$B$2:$O$15,7, FALSE)/100))*8760)/1000</f>
        <v>2653.2626523874201</v>
      </c>
      <c r="L47" s="30">
        <f>(L23*(VLOOKUP(L$27,tech_data!$B$2:$O$15,6, FALSE)/100)*(1-(VLOOKUP(L$27,tech_data!$B$2:$O$15,7, FALSE)/100))*8760)/1000</f>
        <v>14387.765115475502</v>
      </c>
      <c r="M47" s="30">
        <f>(M23*(VLOOKUP(M$27,tech_data!$B$2:$O$15,6, FALSE)/100)*(1-(VLOOKUP(M$27,tech_data!$B$2:$O$15,7, FALSE)/100))*8760)/1000</f>
        <v>1.2488053846153846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23.054248601997209</v>
      </c>
      <c r="Q47" s="34">
        <f t="shared" si="17"/>
        <v>79906.000057394311</v>
      </c>
      <c r="R47" s="34">
        <f>proj_rukn!D121</f>
        <v>79906</v>
      </c>
      <c r="S47" s="35"/>
      <c r="T47" s="19"/>
      <c r="U47" s="20" t="str">
        <f t="shared" si="18"/>
        <v>SULAWESI</v>
      </c>
      <c r="V47" s="20">
        <f t="shared" si="18"/>
        <v>2038</v>
      </c>
      <c r="W47" s="29">
        <f t="shared" si="19"/>
        <v>0.27399999984135381</v>
      </c>
      <c r="X47" s="29">
        <f t="shared" si="19"/>
        <v>1.080137728136025E-2</v>
      </c>
      <c r="Y47" s="29">
        <f t="shared" si="19"/>
        <v>0.31931297110941786</v>
      </c>
      <c r="Z47" s="29">
        <f t="shared" si="19"/>
        <v>0.12428565173567363</v>
      </c>
      <c r="AA47" s="29">
        <f t="shared" si="19"/>
        <v>6.4967721641703896E-3</v>
      </c>
      <c r="AB47" s="29">
        <f t="shared" si="19"/>
        <v>4.7188414463559848E-2</v>
      </c>
      <c r="AC47" s="29">
        <f t="shared" si="19"/>
        <v>4.6357534964906596E-3</v>
      </c>
      <c r="AD47" s="29">
        <f t="shared" si="19"/>
        <v>3.3204798769574918E-2</v>
      </c>
      <c r="AE47" s="29">
        <f t="shared" ref="AE47:AI47" si="51">L47/$Q47</f>
        <v>0.18005863270769606</v>
      </c>
      <c r="AF47" s="29">
        <f t="shared" si="51"/>
        <v>1.5628430702555523E-5</v>
      </c>
      <c r="AG47" s="29">
        <f t="shared" si="51"/>
        <v>0</v>
      </c>
      <c r="AH47" s="29">
        <f t="shared" si="51"/>
        <v>0</v>
      </c>
      <c r="AI47" s="29">
        <f t="shared" si="51"/>
        <v>2.8851711492801504E-4</v>
      </c>
      <c r="AJ47" s="29">
        <f t="shared" si="20"/>
        <v>1</v>
      </c>
      <c r="AM47" s="23"/>
      <c r="AO47" s="20" t="str">
        <f t="shared" si="39"/>
        <v>SULAWESI</v>
      </c>
      <c r="AP47" s="20">
        <f t="shared" si="40"/>
        <v>2038</v>
      </c>
      <c r="AQ47" s="25">
        <f t="shared" si="21"/>
        <v>0.27399999984135381</v>
      </c>
      <c r="AR47" s="25">
        <f t="shared" si="22"/>
        <v>0.33011434839077808</v>
      </c>
      <c r="AS47" s="25">
        <f t="shared" si="23"/>
        <v>0.12428565173567363</v>
      </c>
      <c r="AT47" s="37">
        <f t="shared" si="24"/>
        <v>0.27160000003219437</v>
      </c>
      <c r="AU47" s="24">
        <f t="shared" si="32"/>
        <v>0.99999999999999978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0.12428565168347745</v>
      </c>
      <c r="AZ47" s="25">
        <f t="shared" si="47"/>
        <v>0.27160000000000001</v>
      </c>
      <c r="BA47" s="24">
        <f t="shared" si="34"/>
        <v>0.94968565168347752</v>
      </c>
      <c r="BJ47" s="19"/>
      <c r="BK47" s="20" t="str">
        <f t="shared" si="44"/>
        <v>SULAWESI</v>
      </c>
      <c r="BL47" s="20">
        <f t="shared" si="45"/>
        <v>2038</v>
      </c>
      <c r="BM47" s="34">
        <f>proj_rukn!E121</f>
        <v>10635.62578470466</v>
      </c>
      <c r="BN47" s="30">
        <f t="shared" si="26"/>
        <v>12230.969652410358</v>
      </c>
      <c r="BO47" s="30">
        <f t="shared" si="35"/>
        <v>16947.04596941045</v>
      </c>
      <c r="BQ47" s="30">
        <f t="shared" si="27"/>
        <v>4892.3878609641433</v>
      </c>
      <c r="BR47" s="30">
        <f t="shared" si="36"/>
        <v>13815.13789355376</v>
      </c>
      <c r="BS47" s="30"/>
      <c r="BT47" s="30">
        <f t="shared" si="28"/>
        <v>2446.1939304820717</v>
      </c>
      <c r="BU47" s="30">
        <f t="shared" si="37"/>
        <v>3131.9080758566893</v>
      </c>
      <c r="BW47" s="30">
        <f t="shared" si="29"/>
        <v>3.5564227710862792</v>
      </c>
      <c r="BX47" s="30">
        <f t="shared" si="38"/>
        <v>0</v>
      </c>
      <c r="BZ47" s="24">
        <f t="shared" si="46"/>
        <v>0.12225625707150717</v>
      </c>
      <c r="CA47" s="24">
        <f t="shared" si="30"/>
        <v>0.12225625465993724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SULAWESI</v>
      </c>
      <c r="C52" s="20">
        <f t="shared" si="52"/>
        <v>2019</v>
      </c>
      <c r="D52" s="30">
        <f>(sulawesi!D28*3.6/(VLOOKUP(D$51,tech_data!$B$2:$J$15,4,FALSE)/100))/1000</f>
        <v>128.01496382068964</v>
      </c>
      <c r="E52" s="30">
        <f>(sulawesi!E28*3.6/(VLOOKUP(E$51,tech_data!$B$2:$J$15,4,FALSE)/100))/1000</f>
        <v>8.7116116674254496</v>
      </c>
      <c r="F52" s="30">
        <f>(sulawesi!F28*3.6/(VLOOKUP(F$51,tech_data!$B$2:$J$15,4,FALSE)/100))/1000</f>
        <v>5.3799930830769229</v>
      </c>
      <c r="G52" s="30">
        <f>(sulawesi!G28*3.6/(VLOOKUP(G$51,tech_data!$B$2:$J$15,4,FALSE)/100))/1000</f>
        <v>35.038799921016725</v>
      </c>
      <c r="H52" s="30">
        <f>(sulawesi!H28*3.6/(VLOOKUP(H$51,tech_data!$B$2:$J$15,4,FALSE)/100))/1000</f>
        <v>13.843495384615382</v>
      </c>
      <c r="I52" s="30">
        <f>(sulawesi!I28*3.6/(VLOOKUP(I$51,tech_data!$B$2:$J$15,4,FALSE)/100))/1000</f>
        <v>13.945434615138463</v>
      </c>
      <c r="J52" s="30">
        <f>(sulawesi!J28*3.6/(VLOOKUP(J$51,tech_data!$B$2:$J$15,4,FALSE)/100))/1000</f>
        <v>1.6660687126153846</v>
      </c>
      <c r="K52" s="30">
        <f>K28*3.6/1000</f>
        <v>2.8079654399999997E-2</v>
      </c>
      <c r="L52" s="30">
        <f>L28*3.6/1000</f>
        <v>0</v>
      </c>
      <c r="M52" s="30">
        <f>(sulawesi!M28*3.6/(VLOOKUP(M$51,tech_data!$B$2:$J$15,4,FALSE)/100))/1000</f>
        <v>1.4502256079404467E-2</v>
      </c>
      <c r="N52" s="30">
        <f>N28*3.6/1000</f>
        <v>0</v>
      </c>
      <c r="O52" s="30">
        <f>(sulawesi!O28*3.6/(VLOOKUP(O$51,tech_data!$B$2:$J$15,4,FALSE)/100))/1000</f>
        <v>0</v>
      </c>
      <c r="P52" s="30">
        <v>0</v>
      </c>
      <c r="Q52" s="30">
        <f t="shared" ref="Q52:Q71" si="53">SUM(D52:O52)</f>
        <v>206.64294911505735</v>
      </c>
      <c r="R52" s="30"/>
      <c r="T52" s="19"/>
      <c r="U52" s="20" t="str">
        <f t="shared" ref="U52:V71" si="54">B52</f>
        <v>SULAWESI</v>
      </c>
      <c r="V52" s="20">
        <f t="shared" si="54"/>
        <v>2019</v>
      </c>
      <c r="W52" s="30">
        <f>D52*VLOOKUP(W$51,tech_data!$B$2:$K$15,10,FALSE)*1000</f>
        <v>12765652.192199172</v>
      </c>
      <c r="X52" s="30">
        <f>E52*VLOOKUP(X$51,tech_data!$B$2:$K$15,10,FALSE)*1000</f>
        <v>540991.08454712038</v>
      </c>
      <c r="Y52" s="30">
        <f>F52*VLOOKUP(Y$51,tech_data!$B$2:$K$15,10,FALSE)*1000</f>
        <v>334097.5704590769</v>
      </c>
      <c r="Z52" s="30">
        <f>G52*VLOOKUP(Z$51,tech_data!$B$2:$K$15,10,FALSE)*1000</f>
        <v>2633866.5900628269</v>
      </c>
      <c r="AA52" s="30">
        <f>H28*VLOOKUP(AA$51,tech_data!$B$2:$K$15,10,FALSE)/1000</f>
        <v>32.653344738461534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1629.4734930818859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16276269.564106019</v>
      </c>
      <c r="AK52" s="25"/>
      <c r="AM52" s="23"/>
      <c r="AO52" s="20" t="str">
        <f t="shared" ref="AO52:AP71" si="56">U52</f>
        <v>SULAWESI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131.19080867006963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6.496506944274155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7.182120563185566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7.1007160817294661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3.9413370249321025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31.348889790170919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3.1504357941594194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4.5791999999999999E-2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2.1583612400403008E-2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190.47819048092168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SULAWESI</v>
      </c>
      <c r="C53" s="20">
        <f t="shared" si="52"/>
        <v>2020</v>
      </c>
      <c r="D53" s="30">
        <f>(sulawesi!D29*3.6/(VLOOKUP(D$51,tech_data!$B$2:$J$15,4,FALSE)/100))/1000</f>
        <v>130.85127099536592</v>
      </c>
      <c r="E53" s="30">
        <f>(sulawesi!E29*3.6/(VLOOKUP(E$51,tech_data!$B$2:$J$15,4,FALSE)/100))/1000</f>
        <v>8.7116116372522328</v>
      </c>
      <c r="F53" s="30">
        <f>(sulawesi!F29*3.6/(VLOOKUP(F$51,tech_data!$B$2:$J$15,4,FALSE)/100))/1000</f>
        <v>18.386006251315223</v>
      </c>
      <c r="G53" s="30">
        <f>(sulawesi!G29*3.6/(VLOOKUP(G$51,tech_data!$B$2:$J$15,4,FALSE)/100))/1000</f>
        <v>35.038799921016725</v>
      </c>
      <c r="H53" s="30">
        <f>(sulawesi!H29*3.6/(VLOOKUP(H$51,tech_data!$B$2:$J$15,4,FALSE)/100))/1000</f>
        <v>13.843495384615382</v>
      </c>
      <c r="I53" s="30">
        <f>(sulawesi!I29*3.6/(VLOOKUP(I$51,tech_data!$B$2:$J$15,4,FALSE)/100))/1000</f>
        <v>13.945434615138463</v>
      </c>
      <c r="J53" s="30">
        <f>(sulawesi!J29*3.6/(VLOOKUP(J$51,tech_data!$B$2:$J$15,4,FALSE)/100))/1000</f>
        <v>1.6660687126153846</v>
      </c>
      <c r="K53" s="30">
        <f t="shared" ref="K53:L53" si="57">K29*3.6/1000</f>
        <v>0.88061818361114863</v>
      </c>
      <c r="L53" s="30">
        <f t="shared" si="57"/>
        <v>0</v>
      </c>
      <c r="M53" s="30">
        <f>(sulawesi!M29*3.6/(VLOOKUP(M$51,tech_data!$B$2:$J$15,4,FALSE)/100))/1000</f>
        <v>1.4502256079404467E-2</v>
      </c>
      <c r="N53" s="30">
        <f t="shared" ref="N53:N71" si="58">N29*3.6/1000</f>
        <v>0</v>
      </c>
      <c r="O53" s="30">
        <f>(sulawesi!O29*3.6/(VLOOKUP(O$51,tech_data!$B$2:$J$15,4,FALSE)/100))/1000</f>
        <v>0</v>
      </c>
      <c r="P53" s="30">
        <v>0</v>
      </c>
      <c r="Q53" s="30">
        <f t="shared" si="53"/>
        <v>223.33780795700986</v>
      </c>
      <c r="R53" s="30"/>
      <c r="T53" s="19"/>
      <c r="U53" s="20" t="str">
        <f t="shared" si="54"/>
        <v>SULAWESI</v>
      </c>
      <c r="V53" s="20">
        <f t="shared" si="54"/>
        <v>2020</v>
      </c>
      <c r="W53" s="30">
        <f>D53*VLOOKUP(W$51,tech_data!$B$2:$K$15,10,FALSE)*1000</f>
        <v>13048488.743657891</v>
      </c>
      <c r="X53" s="30">
        <f>E53*VLOOKUP(X$51,tech_data!$B$2:$K$15,10,FALSE)*1000</f>
        <v>540991.08267336362</v>
      </c>
      <c r="Y53" s="30">
        <f>F53*VLOOKUP(Y$51,tech_data!$B$2:$K$15,10,FALSE)*1000</f>
        <v>1141770.9882066753</v>
      </c>
      <c r="Z53" s="30">
        <f>G53*VLOOKUP(Z$51,tech_data!$B$2:$K$15,10,FALSE)*1000</f>
        <v>2633866.5900628269</v>
      </c>
      <c r="AA53" s="30">
        <f>H29*VLOOKUP(AA$51,tech_data!$B$2:$K$15,10,FALSE)/1000</f>
        <v>32.653344738461534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1629.4734930818859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17366779.531438574</v>
      </c>
      <c r="AK53" s="25">
        <f>(AJ53-AJ52)/AJ52</f>
        <v>6.6999994257741433E-2</v>
      </c>
      <c r="AL53" s="24">
        <f>kalimantan!AL53</f>
        <v>5.2999999999999999E-2</v>
      </c>
      <c r="AM53" s="26"/>
      <c r="AN53" s="24"/>
      <c r="AO53" s="20" t="str">
        <f t="shared" si="56"/>
        <v>SULAWESI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227.00646672511306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6.496506195106428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522.06164212938518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7.1007160817294661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3.9413370249321025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31.348889790170919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3.1504357941594194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145.4877404765341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2.1583612400403008E-2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1.6444411585985304</v>
      </c>
      <c r="BD53" s="30">
        <f>SUM(AQ53:BC53)</f>
        <v>948.25975898812953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SULAWESI</v>
      </c>
      <c r="C54" s="20">
        <f t="shared" si="52"/>
        <v>2021</v>
      </c>
      <c r="D54" s="30">
        <f>(sulawesi!D30*3.6/(VLOOKUP(D$51,tech_data!$B$2:$J$15,4,FALSE)/100))/1000</f>
        <v>133.77650842414789</v>
      </c>
      <c r="E54" s="30">
        <f>(sulawesi!E30*3.6/(VLOOKUP(E$51,tech_data!$B$2:$J$15,4,FALSE)/100))/1000</f>
        <v>8.7116116070790159</v>
      </c>
      <c r="F54" s="30">
        <f>(sulawesi!F30*3.6/(VLOOKUP(F$51,tech_data!$B$2:$J$15,4,FALSE)/100))/1000</f>
        <v>32.425773627836961</v>
      </c>
      <c r="G54" s="30">
        <f>(sulawesi!G30*3.6/(VLOOKUP(G$51,tech_data!$B$2:$J$15,4,FALSE)/100))/1000</f>
        <v>35.038799921016725</v>
      </c>
      <c r="H54" s="30">
        <f>(sulawesi!H30*3.6/(VLOOKUP(H$51,tech_data!$B$2:$J$15,4,FALSE)/100))/1000</f>
        <v>13.843495384615382</v>
      </c>
      <c r="I54" s="30">
        <f>(sulawesi!I30*3.6/(VLOOKUP(I$51,tech_data!$B$2:$J$15,4,FALSE)/100))/1000</f>
        <v>14.288731385053492</v>
      </c>
      <c r="J54" s="30">
        <f>(sulawesi!J30*3.6/(VLOOKUP(J$51,tech_data!$B$2:$J$15,4,FALSE)/100))/1000</f>
        <v>1.6669103362049182</v>
      </c>
      <c r="K54" s="30">
        <f t="shared" ref="K54:L54" si="59">K30*3.6/1000</f>
        <v>2.5884497593907763</v>
      </c>
      <c r="L54" s="30">
        <f t="shared" si="59"/>
        <v>4.0351084133872578E-4</v>
      </c>
      <c r="M54" s="30">
        <f>(sulawesi!M30*3.6/(VLOOKUP(M$51,tech_data!$B$2:$J$15,4,FALSE)/100))/1000</f>
        <v>1.4502256079404467E-2</v>
      </c>
      <c r="N54" s="30">
        <f t="shared" si="58"/>
        <v>0</v>
      </c>
      <c r="O54" s="30">
        <f>(sulawesi!O30*3.6/(VLOOKUP(O$51,tech_data!$B$2:$J$15,4,FALSE)/100))/1000</f>
        <v>0</v>
      </c>
      <c r="P54" s="30">
        <v>0</v>
      </c>
      <c r="Q54" s="30">
        <f t="shared" si="53"/>
        <v>242.35518621226595</v>
      </c>
      <c r="R54" s="30"/>
      <c r="T54" s="19"/>
      <c r="U54" s="20" t="str">
        <f t="shared" si="54"/>
        <v>SULAWESI</v>
      </c>
      <c r="V54" s="20">
        <f t="shared" si="54"/>
        <v>2021</v>
      </c>
      <c r="W54" s="30">
        <f>D54*VLOOKUP(W$51,tech_data!$B$2:$K$15,10,FALSE)*1000</f>
        <v>13340193.420056028</v>
      </c>
      <c r="X54" s="30">
        <f>E54*VLOOKUP(X$51,tech_data!$B$2:$K$15,10,FALSE)*1000</f>
        <v>540991.08079960698</v>
      </c>
      <c r="Y54" s="30">
        <f>F54*VLOOKUP(Y$51,tech_data!$B$2:$K$15,10,FALSE)*1000</f>
        <v>2013640.5422886752</v>
      </c>
      <c r="Z54" s="30">
        <f>G54*VLOOKUP(Z$51,tech_data!$B$2:$K$15,10,FALSE)*1000</f>
        <v>2633866.5900628269</v>
      </c>
      <c r="AA54" s="30">
        <f>H30*VLOOKUP(AA$51,tech_data!$B$2:$K$15,10,FALSE)/1000</f>
        <v>32.653344738461534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1629.4734930818859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18530353.760044958</v>
      </c>
      <c r="AK54" s="25">
        <f t="shared" ref="AK54:AK71" si="60">(AJ54-AJ53)/AJ53</f>
        <v>6.699999999999999E-2</v>
      </c>
      <c r="AL54" s="24">
        <f>AL53</f>
        <v>5.2999999999999999E-2</v>
      </c>
      <c r="AM54" s="26"/>
      <c r="AN54" s="24"/>
      <c r="AO54" s="20" t="str">
        <f t="shared" si="56"/>
        <v>SULAWESI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232.91736518658033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6.4965061726053648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580.34831893355806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7.1007160817294661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3.9413370249321025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74.498884373756667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3.233022100896394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292.78991669366883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4.8764641776154471E-2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2.1583612400403008E-2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0.22762093627384999</v>
      </c>
      <c r="BD54" s="30">
        <f t="shared" ref="BD54:BD71" si="61">SUM(AQ54:BC54)</f>
        <v>1201.6240357581776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SULAWESI</v>
      </c>
      <c r="C55" s="20">
        <f t="shared" si="52"/>
        <v>2022</v>
      </c>
      <c r="D55" s="30">
        <f>(sulawesi!D31*3.6/(VLOOKUP(D$51,tech_data!$B$2:$J$15,4,FALSE)/100))/1000</f>
        <v>137.59762058762155</v>
      </c>
      <c r="E55" s="30">
        <f>(sulawesi!E31*3.6/(VLOOKUP(E$51,tech_data!$B$2:$J$15,4,FALSE)/100))/1000</f>
        <v>8.7116116070790159</v>
      </c>
      <c r="F55" s="30">
        <f>(sulawesi!F31*3.6/(VLOOKUP(F$51,tech_data!$B$2:$J$15,4,FALSE)/100))/1000</f>
        <v>46.282334209527086</v>
      </c>
      <c r="G55" s="30">
        <f>(sulawesi!G31*3.6/(VLOOKUP(G$51,tech_data!$B$2:$J$15,4,FALSE)/100))/1000</f>
        <v>35.038799921016725</v>
      </c>
      <c r="H55" s="30">
        <f>(sulawesi!H31*3.6/(VLOOKUP(H$51,tech_data!$B$2:$J$15,4,FALSE)/100))/1000</f>
        <v>13.843495384615382</v>
      </c>
      <c r="I55" s="30">
        <f>(sulawesi!I31*3.6/(VLOOKUP(I$51,tech_data!$B$2:$J$15,4,FALSE)/100))/1000</f>
        <v>14.288731385053492</v>
      </c>
      <c r="J55" s="30">
        <f>(sulawesi!J31*3.6/(VLOOKUP(J$51,tech_data!$B$2:$J$15,4,FALSE)/100))/1000</f>
        <v>1.6669103362049182</v>
      </c>
      <c r="K55" s="30">
        <f t="shared" ref="K55:L55" si="62">K31*3.6/1000</f>
        <v>2.5884497593907763</v>
      </c>
      <c r="L55" s="30">
        <f t="shared" si="62"/>
        <v>4.8918377848039745</v>
      </c>
      <c r="M55" s="30">
        <f>(sulawesi!M31*3.6/(VLOOKUP(M$51,tech_data!$B$2:$J$15,4,FALSE)/100))/1000</f>
        <v>1.4502256079404467E-2</v>
      </c>
      <c r="N55" s="30">
        <f t="shared" si="58"/>
        <v>0</v>
      </c>
      <c r="O55" s="30">
        <f>(sulawesi!O31*3.6/(VLOOKUP(O$51,tech_data!$B$2:$J$15,4,FALSE)/100))/1000</f>
        <v>0</v>
      </c>
      <c r="P55" s="30">
        <v>0</v>
      </c>
      <c r="Q55" s="30">
        <f t="shared" si="53"/>
        <v>264.92429323139231</v>
      </c>
      <c r="R55" s="30"/>
      <c r="T55" s="19"/>
      <c r="U55" s="20" t="str">
        <f t="shared" si="54"/>
        <v>SULAWESI</v>
      </c>
      <c r="V55" s="20">
        <f t="shared" si="54"/>
        <v>2022</v>
      </c>
      <c r="W55" s="30">
        <f>D55*VLOOKUP(W$51,tech_data!$B$2:$K$15,10,FALSE)*1000</f>
        <v>13721234.724997621</v>
      </c>
      <c r="X55" s="30">
        <f>E55*VLOOKUP(X$51,tech_data!$B$2:$K$15,10,FALSE)*1000</f>
        <v>540991.08079960698</v>
      </c>
      <c r="Y55" s="30">
        <f>F55*VLOOKUP(Y$51,tech_data!$B$2:$K$15,10,FALSE)*1000</f>
        <v>2874132.9544116319</v>
      </c>
      <c r="Z55" s="30">
        <f>G55*VLOOKUP(Z$51,tech_data!$B$2:$K$15,10,FALSE)*1000</f>
        <v>2633866.5900628269</v>
      </c>
      <c r="AA55" s="30">
        <f>H31*VLOOKUP(AA$51,tech_data!$B$2:$K$15,10,FALSE)/1000</f>
        <v>32.653344738461534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1629.4734930818859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19771887.477109507</v>
      </c>
      <c r="AK55" s="25">
        <f t="shared" si="60"/>
        <v>6.7000000817120722E-2</v>
      </c>
      <c r="AL55" s="24">
        <f>AL54</f>
        <v>5.2999999999999999E-2</v>
      </c>
      <c r="AM55" s="26"/>
      <c r="AN55" s="24"/>
      <c r="AO55" s="20" t="str">
        <f t="shared" si="56"/>
        <v>SULAWESI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266.17946458232029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6.4965068992720294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591.83820922856228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7.1007160817294661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3.9413370249321025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32.120609919546112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3.1520272537802612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4.2212161764363598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591.13602801208435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2.1583612400403008E-2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0.32418416034380493</v>
      </c>
      <c r="BD55" s="30">
        <f t="shared" si="61"/>
        <v>1506.5318829514076</v>
      </c>
      <c r="BE55" s="20">
        <v>2022</v>
      </c>
      <c r="BF55" s="23"/>
      <c r="BG55" s="19"/>
      <c r="BH55" s="30"/>
      <c r="BI55" s="30">
        <f>MIN($BD$53)</f>
        <v>948.25975898812953</v>
      </c>
      <c r="BJ55" s="30">
        <f>MIN($BD$54)</f>
        <v>1201.6240357581776</v>
      </c>
      <c r="BK55" s="30">
        <f t="shared" ref="BK55" si="63">MIN($BD$55)</f>
        <v>1506.5318829514076</v>
      </c>
      <c r="BL55" s="30">
        <f>MIN($BD$56)</f>
        <v>725.53822943428565</v>
      </c>
      <c r="BM55" s="30">
        <f>MIN($BD$57)</f>
        <v>1275.3987984685007</v>
      </c>
      <c r="BN55" s="30">
        <f>MIN($BD$58)</f>
        <v>1466.427674271888</v>
      </c>
      <c r="BO55" s="30">
        <f>MIN($BD$59)</f>
        <v>1212.3966934008547</v>
      </c>
      <c r="BP55" s="30">
        <f>MIN($BD$60)</f>
        <v>1469.3784251603881</v>
      </c>
      <c r="BQ55" s="30">
        <f>MIN($BD$61)</f>
        <v>977.00872571268167</v>
      </c>
      <c r="BR55" s="30">
        <f>MIN($BD$62)</f>
        <v>1038.8484123071917</v>
      </c>
      <c r="BS55" s="30">
        <f>MIN($BD$63)</f>
        <v>1089.8222562410049</v>
      </c>
      <c r="BT55" s="30">
        <f>MIN($BD$64)</f>
        <v>1230.5600252438328</v>
      </c>
      <c r="BU55" s="30">
        <f>MIN($BD$65)</f>
        <v>1325.601670765303</v>
      </c>
      <c r="BV55" s="30">
        <f>MIN($BD$66)</f>
        <v>1346.1587279132079</v>
      </c>
      <c r="BW55" s="30">
        <f>MIN($BD$67)</f>
        <v>1532.8300564265523</v>
      </c>
      <c r="BX55" s="30">
        <f>MIN($BD$68)</f>
        <v>1593.3977030466951</v>
      </c>
      <c r="BY55" s="30">
        <f>MIN($BD$69)</f>
        <v>1756.192297390111</v>
      </c>
      <c r="BZ55" s="30">
        <f>MIN($BD$70)</f>
        <v>1869.8347397872237</v>
      </c>
      <c r="CA55" s="30">
        <f>MIN($BD$71)</f>
        <v>2116.3461555621498</v>
      </c>
      <c r="CD55" s="23"/>
    </row>
    <row r="56" spans="1:82" x14ac:dyDescent="0.25">
      <c r="A56" s="19"/>
      <c r="B56" s="20" t="str">
        <f t="shared" si="52"/>
        <v>SULAWESI</v>
      </c>
      <c r="C56" s="20">
        <f t="shared" si="52"/>
        <v>2023</v>
      </c>
      <c r="D56" s="30">
        <f>(sulawesi!D32*3.6/(VLOOKUP(D$51,tech_data!$B$2:$J$15,4,FALSE)/100))/1000</f>
        <v>137.59762058762155</v>
      </c>
      <c r="E56" s="30">
        <f>(sulawesi!E32*3.6/(VLOOKUP(E$51,tech_data!$B$2:$J$15,4,FALSE)/100))/1000</f>
        <v>8.7116116070790159</v>
      </c>
      <c r="F56" s="30">
        <f>(sulawesi!F32*3.6/(VLOOKUP(F$51,tech_data!$B$2:$J$15,4,FALSE)/100))/1000</f>
        <v>47.62125382813484</v>
      </c>
      <c r="G56" s="30">
        <f>(sulawesi!G32*3.6/(VLOOKUP(G$51,tech_data!$B$2:$J$15,4,FALSE)/100))/1000</f>
        <v>48.102179279886187</v>
      </c>
      <c r="H56" s="30">
        <f>(sulawesi!H32*3.6/(VLOOKUP(H$51,tech_data!$B$2:$J$15,4,FALSE)/100))/1000</f>
        <v>13.843495384615382</v>
      </c>
      <c r="I56" s="30">
        <f>(sulawesi!I32*3.6/(VLOOKUP(I$51,tech_data!$B$2:$J$15,4,FALSE)/100))/1000</f>
        <v>14.288731385053492</v>
      </c>
      <c r="J56" s="30">
        <f>(sulawesi!J32*3.6/(VLOOKUP(J$51,tech_data!$B$2:$J$15,4,FALSE)/100))/1000</f>
        <v>1.6669103362049182</v>
      </c>
      <c r="K56" s="30">
        <f t="shared" ref="K56:L56" si="64">K32*3.6/1000</f>
        <v>2.5884497593907763</v>
      </c>
      <c r="L56" s="30">
        <f t="shared" si="64"/>
        <v>5.9027376438365602</v>
      </c>
      <c r="M56" s="30">
        <f>(sulawesi!M32*3.6/(VLOOKUP(M$51,tech_data!$B$2:$J$15,4,FALSE)/100))/1000</f>
        <v>1.4502256079404467E-2</v>
      </c>
      <c r="N56" s="30">
        <f t="shared" si="58"/>
        <v>0</v>
      </c>
      <c r="O56" s="30">
        <f>(sulawesi!O32*3.6/(VLOOKUP(O$51,tech_data!$B$2:$J$15,4,FALSE)/100))/1000</f>
        <v>0</v>
      </c>
      <c r="P56" s="30">
        <v>0</v>
      </c>
      <c r="Q56" s="30">
        <f t="shared" si="53"/>
        <v>280.33749206790213</v>
      </c>
      <c r="R56" s="30"/>
      <c r="T56" s="19"/>
      <c r="U56" s="20" t="str">
        <f t="shared" si="54"/>
        <v>SULAWESI</v>
      </c>
      <c r="V56" s="20">
        <f t="shared" si="54"/>
        <v>2023</v>
      </c>
      <c r="W56" s="30">
        <f>D56*VLOOKUP(W$51,tech_data!$B$2:$K$15,10,FALSE)*1000</f>
        <v>13721234.724997621</v>
      </c>
      <c r="X56" s="30">
        <f>E56*VLOOKUP(X$51,tech_data!$B$2:$K$15,10,FALSE)*1000</f>
        <v>540991.08079960698</v>
      </c>
      <c r="Y56" s="30">
        <f>F56*VLOOKUP(Y$51,tech_data!$B$2:$K$15,10,FALSE)*1000</f>
        <v>2957279.8627271736</v>
      </c>
      <c r="Z56" s="30">
        <f>G56*VLOOKUP(Z$51,tech_data!$B$2:$K$15,10,FALSE)*1000</f>
        <v>3615840.8164690444</v>
      </c>
      <c r="AA56" s="30">
        <f>H32*VLOOKUP(AA$51,tech_data!$B$2:$K$15,10,FALSE)/1000</f>
        <v>32.653344738461534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1629.4734930818859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20837008.611831266</v>
      </c>
      <c r="AK56" s="25">
        <f t="shared" si="60"/>
        <v>5.3870483329165296E-2</v>
      </c>
      <c r="AL56" s="24">
        <f t="shared" ref="AL56:AL70" si="65">AL55</f>
        <v>5.2999999999999999E-2</v>
      </c>
      <c r="AM56" s="26"/>
      <c r="AN56" s="24"/>
      <c r="AO56" s="20" t="str">
        <f t="shared" si="56"/>
        <v>SULAWESI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141.01119570093587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6.4965068992720294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114.7903416113691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274.74208282663449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3.9413370249321025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32.120609919546112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3.1520272537802612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4.2212161764363598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144.87762422066794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2.1583612400403008E-2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0.16370418831100483</v>
      </c>
      <c r="BD56" s="30">
        <f t="shared" si="61"/>
        <v>725.53822943428565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SULAWESI</v>
      </c>
      <c r="C57" s="20">
        <f t="shared" si="52"/>
        <v>2024</v>
      </c>
      <c r="D57" s="30">
        <f>(sulawesi!D33*3.6/(VLOOKUP(D$51,tech_data!$B$2:$J$15,4,FALSE)/100))/1000</f>
        <v>137.59762058762155</v>
      </c>
      <c r="E57" s="30">
        <f>(sulawesi!E33*3.6/(VLOOKUP(E$51,tech_data!$B$2:$J$15,4,FALSE)/100))/1000</f>
        <v>8.7116116070790159</v>
      </c>
      <c r="F57" s="30">
        <f>(sulawesi!F33*3.6/(VLOOKUP(F$51,tech_data!$B$2:$J$15,4,FALSE)/100))/1000</f>
        <v>56.088181503478729</v>
      </c>
      <c r="G57" s="30">
        <f>(sulawesi!G33*3.6/(VLOOKUP(G$51,tech_data!$B$2:$J$15,4,FALSE)/100))/1000</f>
        <v>51.151403601698689</v>
      </c>
      <c r="H57" s="30">
        <f>(sulawesi!H33*3.6/(VLOOKUP(H$51,tech_data!$B$2:$J$15,4,FALSE)/100))/1000</f>
        <v>13.843495384615382</v>
      </c>
      <c r="I57" s="30">
        <f>(sulawesi!I33*3.6/(VLOOKUP(I$51,tech_data!$B$2:$J$15,4,FALSE)/100))/1000</f>
        <v>14.288731385053492</v>
      </c>
      <c r="J57" s="30">
        <f>(sulawesi!J33*3.6/(VLOOKUP(J$51,tech_data!$B$2:$J$15,4,FALSE)/100))/1000</f>
        <v>1.6669103362049182</v>
      </c>
      <c r="K57" s="30">
        <f t="shared" ref="K57:L57" si="66">K33*3.6/1000</f>
        <v>2.5884497593907763</v>
      </c>
      <c r="L57" s="30">
        <f t="shared" si="66"/>
        <v>10.749854527197412</v>
      </c>
      <c r="M57" s="30">
        <f>(sulawesi!M33*3.6/(VLOOKUP(M$51,tech_data!$B$2:$J$15,4,FALSE)/100))/1000</f>
        <v>1.4502256079404467E-2</v>
      </c>
      <c r="N57" s="30">
        <f t="shared" si="58"/>
        <v>0</v>
      </c>
      <c r="O57" s="30">
        <f>(sulawesi!O33*3.6/(VLOOKUP(O$51,tech_data!$B$2:$J$15,4,FALSE)/100))/1000</f>
        <v>0</v>
      </c>
      <c r="P57" s="30">
        <v>0</v>
      </c>
      <c r="Q57" s="30">
        <f t="shared" si="53"/>
        <v>296.70076094841937</v>
      </c>
      <c r="R57" s="30"/>
      <c r="T57" s="19"/>
      <c r="U57" s="20" t="str">
        <f t="shared" si="54"/>
        <v>SULAWESI</v>
      </c>
      <c r="V57" s="20">
        <f t="shared" si="54"/>
        <v>2024</v>
      </c>
      <c r="W57" s="30">
        <f>D57*VLOOKUP(W$51,tech_data!$B$2:$K$15,10,FALSE)*1000</f>
        <v>13721234.724997621</v>
      </c>
      <c r="X57" s="30">
        <f>E57*VLOOKUP(X$51,tech_data!$B$2:$K$15,10,FALSE)*1000</f>
        <v>540991.08079960698</v>
      </c>
      <c r="Y57" s="30">
        <f>F57*VLOOKUP(Y$51,tech_data!$B$2:$K$15,10,FALSE)*1000</f>
        <v>3483076.0713660293</v>
      </c>
      <c r="Z57" s="30">
        <f>G57*VLOOKUP(Z$51,tech_data!$B$2:$K$15,10,FALSE)*1000</f>
        <v>3845051.0087396908</v>
      </c>
      <c r="AA57" s="30">
        <f>H33*VLOOKUP(AA$51,tech_data!$B$2:$K$15,10,FALSE)/1000</f>
        <v>32.653344738461534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1629.4734930818859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21592015.012740768</v>
      </c>
      <c r="AK57" s="25">
        <f t="shared" si="60"/>
        <v>3.6233915096661663E-2</v>
      </c>
      <c r="AL57" s="24">
        <f t="shared" si="65"/>
        <v>5.2999999999999999E-2</v>
      </c>
      <c r="AM57" s="26"/>
      <c r="AN57" s="24"/>
      <c r="AO57" s="20" t="str">
        <f t="shared" si="56"/>
        <v>SULAWESI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141.0111957009359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6.4965068992720294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398.75995455492961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72.220287991142683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3.9413370249321025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32.120609919546112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3.1520272537802612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4.2212161764363598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613.18076382100116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2.1583612400403008E-2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0.27331551412409127</v>
      </c>
      <c r="BD57" s="30">
        <f t="shared" si="61"/>
        <v>1275.3987984685007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SULAWESI</v>
      </c>
      <c r="C58" s="20">
        <f t="shared" si="52"/>
        <v>2025</v>
      </c>
      <c r="D58" s="30">
        <f>(sulawesi!D34*3.6/(VLOOKUP(D$51,tech_data!$B$2:$J$15,4,FALSE)/100))/1000</f>
        <v>137.59762058762155</v>
      </c>
      <c r="E58" s="30">
        <f>(sulawesi!E34*3.6/(VLOOKUP(E$51,tech_data!$B$2:$J$15,4,FALSE)/100))/1000</f>
        <v>8.7116116070790159</v>
      </c>
      <c r="F58" s="30">
        <f>(sulawesi!F34*3.6/(VLOOKUP(F$51,tech_data!$B$2:$J$15,4,FALSE)/100))/1000</f>
        <v>65.754900620868071</v>
      </c>
      <c r="G58" s="30">
        <f>(sulawesi!G34*3.6/(VLOOKUP(G$51,tech_data!$B$2:$J$15,4,FALSE)/100))/1000</f>
        <v>54.67032256248816</v>
      </c>
      <c r="H58" s="30">
        <f>(sulawesi!H34*3.6/(VLOOKUP(H$51,tech_data!$B$2:$J$15,4,FALSE)/100))/1000</f>
        <v>13.843495384615382</v>
      </c>
      <c r="I58" s="30">
        <f>(sulawesi!I34*3.6/(VLOOKUP(I$51,tech_data!$B$2:$J$15,4,FALSE)/100))/1000</f>
        <v>14.288731385053492</v>
      </c>
      <c r="J58" s="30">
        <f>(sulawesi!J34*3.6/(VLOOKUP(J$51,tech_data!$B$2:$J$15,4,FALSE)/100))/1000</f>
        <v>1.6669103362049182</v>
      </c>
      <c r="K58" s="30">
        <f t="shared" ref="K58:L58" si="67">K34*3.6/1000</f>
        <v>2.5884497593907763</v>
      </c>
      <c r="L58" s="30">
        <f t="shared" si="67"/>
        <v>16.419831610057159</v>
      </c>
      <c r="M58" s="30">
        <f>(sulawesi!M34*3.6/(VLOOKUP(M$51,tech_data!$B$2:$J$15,4,FALSE)/100))/1000</f>
        <v>1.4502256079404467E-2</v>
      </c>
      <c r="N58" s="30">
        <f t="shared" si="58"/>
        <v>0</v>
      </c>
      <c r="O58" s="30">
        <f>(sulawesi!O34*3.6/(VLOOKUP(O$51,tech_data!$B$2:$J$15,4,FALSE)/100))/1000</f>
        <v>0</v>
      </c>
      <c r="P58" s="30">
        <v>0</v>
      </c>
      <c r="Q58" s="30">
        <f t="shared" si="53"/>
        <v>315.55637610945791</v>
      </c>
      <c r="R58" s="30"/>
      <c r="T58" s="19"/>
      <c r="U58" s="20" t="str">
        <f t="shared" si="54"/>
        <v>SULAWESI</v>
      </c>
      <c r="V58" s="20">
        <f t="shared" si="54"/>
        <v>2025</v>
      </c>
      <c r="W58" s="30">
        <f>D58*VLOOKUP(W$51,tech_data!$B$2:$K$15,10,FALSE)*1000</f>
        <v>13721234.724997621</v>
      </c>
      <c r="X58" s="30">
        <f>E58*VLOOKUP(X$51,tech_data!$B$2:$K$15,10,FALSE)*1000</f>
        <v>540991.08079960698</v>
      </c>
      <c r="Y58" s="30">
        <f>F58*VLOOKUP(Y$51,tech_data!$B$2:$K$15,10,FALSE)*1000</f>
        <v>4083379.3285559071</v>
      </c>
      <c r="Z58" s="30">
        <f>G58*VLOOKUP(Z$51,tech_data!$B$2:$K$15,10,FALSE)*1000</f>
        <v>4109568.1470222352</v>
      </c>
      <c r="AA58" s="30">
        <f>H34*VLOOKUP(AA$51,tech_data!$B$2:$K$15,10,FALSE)/1000</f>
        <v>32.653344738461534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1629.4734930818859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22456835.408213191</v>
      </c>
      <c r="AK58" s="25">
        <f t="shared" si="60"/>
        <v>4.0052787799662003E-2</v>
      </c>
      <c r="AL58" s="24">
        <f t="shared" si="65"/>
        <v>5.2999999999999999E-2</v>
      </c>
      <c r="AM58" s="26"/>
      <c r="AN58" s="24"/>
      <c r="AO58" s="20" t="str">
        <f t="shared" si="56"/>
        <v>SULAWESI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141.0111957009359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6.4965068992720392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457.56014556624928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82.461284718493332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3.9413370249321025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32.120609919546112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3.1520272537802612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4.2212161764363598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735.12602021350187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2.1583612400403008E-2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0.31574718634032689</v>
      </c>
      <c r="BD58" s="30">
        <f t="shared" si="61"/>
        <v>1466.427674271888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0</v>
      </c>
      <c r="BK58" s="20" t="b">
        <f>$AK$55&lt;=$AL$55</f>
        <v>0</v>
      </c>
      <c r="BL58" s="20" t="b">
        <f>$AK$56&lt;=$AL$56</f>
        <v>0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SULAWESI</v>
      </c>
      <c r="C59" s="20">
        <f t="shared" si="52"/>
        <v>2026</v>
      </c>
      <c r="D59" s="30">
        <f>(sulawesi!D35*3.6/(VLOOKUP(D$51,tech_data!$B$2:$J$15,4,FALSE)/100))/1000</f>
        <v>137.59762058762155</v>
      </c>
      <c r="E59" s="30">
        <f>(sulawesi!E35*3.6/(VLOOKUP(E$51,tech_data!$B$2:$J$15,4,FALSE)/100))/1000</f>
        <v>8.7116116070790159</v>
      </c>
      <c r="F59" s="30">
        <f>(sulawesi!F35*3.6/(VLOOKUP(F$51,tech_data!$B$2:$J$15,4,FALSE)/100))/1000</f>
        <v>76.742561110974279</v>
      </c>
      <c r="G59" s="30">
        <f>(sulawesi!G35*3.6/(VLOOKUP(G$51,tech_data!$B$2:$J$15,4,FALSE)/100))/1000</f>
        <v>57.201265713158548</v>
      </c>
      <c r="H59" s="30">
        <f>(sulawesi!H35*3.6/(VLOOKUP(H$51,tech_data!$B$2:$J$15,4,FALSE)/100))/1000</f>
        <v>13.843495384615382</v>
      </c>
      <c r="I59" s="30">
        <f>(sulawesi!I35*3.6/(VLOOKUP(I$51,tech_data!$B$2:$J$15,4,FALSE)/100))/1000</f>
        <v>14.288731385053492</v>
      </c>
      <c r="J59" s="30">
        <f>(sulawesi!J35*3.6/(VLOOKUP(J$51,tech_data!$B$2:$J$15,4,FALSE)/100))/1000</f>
        <v>1.6669103362049182</v>
      </c>
      <c r="K59" s="30">
        <f t="shared" ref="K59:L59" si="68">K35*3.6/1000</f>
        <v>2.6374451505472609</v>
      </c>
      <c r="L59" s="30">
        <f t="shared" si="68"/>
        <v>19.323533166402143</v>
      </c>
      <c r="M59" s="30">
        <f>(sulawesi!M35*3.6/(VLOOKUP(M$51,tech_data!$B$2:$J$15,4,FALSE)/100))/1000</f>
        <v>1.4502256079404467E-2</v>
      </c>
      <c r="N59" s="30">
        <f t="shared" si="58"/>
        <v>0</v>
      </c>
      <c r="O59" s="30">
        <f>(sulawesi!O35*3.6/(VLOOKUP(O$51,tech_data!$B$2:$J$15,4,FALSE)/100))/1000</f>
        <v>0</v>
      </c>
      <c r="P59" s="30">
        <v>0</v>
      </c>
      <c r="Q59" s="30">
        <f t="shared" si="53"/>
        <v>332.02767669773601</v>
      </c>
      <c r="R59" s="30"/>
      <c r="T59" s="19"/>
      <c r="U59" s="20" t="str">
        <f t="shared" si="54"/>
        <v>SULAWESI</v>
      </c>
      <c r="V59" s="20">
        <f t="shared" si="54"/>
        <v>2026</v>
      </c>
      <c r="W59" s="30">
        <f>D59*VLOOKUP(W$51,tech_data!$B$2:$K$15,10,FALSE)*1000</f>
        <v>13721234.724997621</v>
      </c>
      <c r="X59" s="30">
        <f>E59*VLOOKUP(X$51,tech_data!$B$2:$K$15,10,FALSE)*1000</f>
        <v>540991.08079960698</v>
      </c>
      <c r="Y59" s="30">
        <f>F59*VLOOKUP(Y$51,tech_data!$B$2:$K$15,10,FALSE)*1000</f>
        <v>4765713.0449915035</v>
      </c>
      <c r="Z59" s="30">
        <f>G59*VLOOKUP(Z$51,tech_data!$B$2:$K$15,10,FALSE)*1000</f>
        <v>4299819.1436581286</v>
      </c>
      <c r="AA59" s="30">
        <f>H35*VLOOKUP(AA$51,tech_data!$B$2:$K$15,10,FALSE)/1000</f>
        <v>32.653344738461534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1629.4734930818859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23329420.121284679</v>
      </c>
      <c r="AK59" s="25">
        <f t="shared" si="60"/>
        <v>3.8856085339270707E-2</v>
      </c>
      <c r="AL59" s="24">
        <f t="shared" si="65"/>
        <v>5.2999999999999999E-2</v>
      </c>
      <c r="AM59" s="26"/>
      <c r="AN59" s="24"/>
      <c r="AO59" s="20" t="str">
        <f t="shared" si="56"/>
        <v>SULAWESI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141.0111957009359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6.4965068992720294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522.75808010556455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62.932842560806471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3.9413370249321025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32.120609919546112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3.1520272537802612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12.579765276572306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427.1410336931267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2.1583612400403008E-2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0.24171135391760096</v>
      </c>
      <c r="BD59" s="30">
        <f t="shared" si="61"/>
        <v>1212.3966934008547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0</v>
      </c>
      <c r="BR59" s="20" t="b">
        <f>$AQ$38&gt;=$AW$38</f>
        <v>0</v>
      </c>
      <c r="BS59" s="20" t="b">
        <f>$AQ$39&gt;=$AW$39</f>
        <v>1</v>
      </c>
      <c r="BT59" s="20" t="b">
        <f>$AQ$40&gt;=$AW$40</f>
        <v>1</v>
      </c>
      <c r="BU59" s="20" t="b">
        <f>$AQ$41&gt;=$AW$41</f>
        <v>1</v>
      </c>
      <c r="BV59" s="20" t="b">
        <f>$AQ$42&gt;=$AW$42</f>
        <v>1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1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SULAWESI</v>
      </c>
      <c r="C60" s="20">
        <f t="shared" si="52"/>
        <v>2027</v>
      </c>
      <c r="D60" s="30">
        <f>(sulawesi!D36*3.6/(VLOOKUP(D$51,tech_data!$B$2:$J$15,4,FALSE)/100))/1000</f>
        <v>137.59762058762155</v>
      </c>
      <c r="E60" s="30">
        <f>(sulawesi!E36*3.6/(VLOOKUP(E$51,tech_data!$B$2:$J$15,4,FALSE)/100))/1000</f>
        <v>8.7116116070790159</v>
      </c>
      <c r="F60" s="30">
        <f>(sulawesi!F36*3.6/(VLOOKUP(F$51,tech_data!$B$2:$J$15,4,FALSE)/100))/1000</f>
        <v>90.512745010395108</v>
      </c>
      <c r="G60" s="30">
        <f>(sulawesi!G36*3.6/(VLOOKUP(G$51,tech_data!$B$2:$J$15,4,FALSE)/100))/1000</f>
        <v>60.515289854611062</v>
      </c>
      <c r="H60" s="30">
        <f>(sulawesi!H36*3.6/(VLOOKUP(H$51,tech_data!$B$2:$J$15,4,FALSE)/100))/1000</f>
        <v>13.843495384615382</v>
      </c>
      <c r="I60" s="30">
        <f>(sulawesi!I36*3.6/(VLOOKUP(I$51,tech_data!$B$2:$J$15,4,FALSE)/100))/1000</f>
        <v>14.288731385053492</v>
      </c>
      <c r="J60" s="30">
        <f>(sulawesi!J36*3.6/(VLOOKUP(J$51,tech_data!$B$2:$J$15,4,FALSE)/100))/1000</f>
        <v>1.6669103362049182</v>
      </c>
      <c r="K60" s="30">
        <f t="shared" ref="K60:L60" si="69">K36*3.6/1000</f>
        <v>3.0305764429664017</v>
      </c>
      <c r="L60" s="30">
        <f t="shared" si="69"/>
        <v>22.585343430427308</v>
      </c>
      <c r="M60" s="30">
        <f>(sulawesi!M36*3.6/(VLOOKUP(M$51,tech_data!$B$2:$J$15,4,FALSE)/100))/1000</f>
        <v>1.4502256079404467E-2</v>
      </c>
      <c r="N60" s="30">
        <f t="shared" si="58"/>
        <v>0</v>
      </c>
      <c r="O60" s="30">
        <f>(sulawesi!O36*3.6/(VLOOKUP(O$51,tech_data!$B$2:$J$15,4,FALSE)/100))/1000</f>
        <v>0</v>
      </c>
      <c r="P60" s="30">
        <v>0</v>
      </c>
      <c r="Q60" s="30">
        <f t="shared" si="53"/>
        <v>352.76682629505365</v>
      </c>
      <c r="R60" s="30"/>
      <c r="T60" s="19"/>
      <c r="U60" s="20" t="str">
        <f t="shared" si="54"/>
        <v>SULAWESI</v>
      </c>
      <c r="V60" s="20">
        <f t="shared" si="54"/>
        <v>2027</v>
      </c>
      <c r="W60" s="30">
        <f>D60*VLOOKUP(W$51,tech_data!$B$2:$K$15,10,FALSE)*1000</f>
        <v>13721234.724997621</v>
      </c>
      <c r="X60" s="30">
        <f>E60*VLOOKUP(X$51,tech_data!$B$2:$K$15,10,FALSE)*1000</f>
        <v>540991.08079960698</v>
      </c>
      <c r="Y60" s="30">
        <f>F60*VLOOKUP(Y$51,tech_data!$B$2:$K$15,10,FALSE)*1000</f>
        <v>5620841.4651455358</v>
      </c>
      <c r="Z60" s="30">
        <f>G60*VLOOKUP(Z$51,tech_data!$B$2:$K$15,10,FALSE)*1000</f>
        <v>4548934.3383711139</v>
      </c>
      <c r="AA60" s="30">
        <f>H36*VLOOKUP(AA$51,tech_data!$B$2:$K$15,10,FALSE)/1000</f>
        <v>32.653344738461534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1629.4734930818859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24433663.736151695</v>
      </c>
      <c r="AK60" s="25">
        <f t="shared" si="60"/>
        <v>4.7332664469424857E-2</v>
      </c>
      <c r="AL60" s="24">
        <f t="shared" si="65"/>
        <v>5.2999999999999999E-2</v>
      </c>
      <c r="AM60" s="26"/>
      <c r="AN60" s="24"/>
      <c r="AO60" s="20" t="str">
        <f t="shared" si="56"/>
        <v>SULAWESI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141.0111957009359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6.4965068992720294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647.58025519203534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79.489440079389809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3.9413370249321025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32.120609919546112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3.1520272537802705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71.368797232649626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483.89870315685528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2.1583612400403008E-2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0.29796908859109655</v>
      </c>
      <c r="BD60" s="30">
        <f t="shared" si="61"/>
        <v>1469.3784251603881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SULAWESI</v>
      </c>
      <c r="C61" s="20">
        <f t="shared" si="52"/>
        <v>2028</v>
      </c>
      <c r="D61" s="30">
        <f>(sulawesi!D37*3.6/(VLOOKUP(D$51,tech_data!$B$2:$J$15,4,FALSE)/100))/1000</f>
        <v>140.94055876888157</v>
      </c>
      <c r="E61" s="30">
        <f>(sulawesi!E37*3.6/(VLOOKUP(E$51,tech_data!$B$2:$J$15,4,FALSE)/100))/1000</f>
        <v>8.7116116070790159</v>
      </c>
      <c r="F61" s="30">
        <f>(sulawesi!F37*3.6/(VLOOKUP(F$51,tech_data!$B$2:$J$15,4,FALSE)/100))/1000</f>
        <v>94.54414240548445</v>
      </c>
      <c r="G61" s="30">
        <f>(sulawesi!G37*3.6/(VLOOKUP(G$51,tech_data!$B$2:$J$15,4,FALSE)/100))/1000</f>
        <v>61.295388047281229</v>
      </c>
      <c r="H61" s="30">
        <f>(sulawesi!H37*3.6/(VLOOKUP(H$51,tech_data!$B$2:$J$15,4,FALSE)/100))/1000</f>
        <v>13.843495384615382</v>
      </c>
      <c r="I61" s="30">
        <f>(sulawesi!I37*3.6/(VLOOKUP(I$51,tech_data!$B$2:$J$15,4,FALSE)/100))/1000</f>
        <v>14.288731385053492</v>
      </c>
      <c r="J61" s="30">
        <f>(sulawesi!J37*3.6/(VLOOKUP(J$51,tech_data!$B$2:$J$15,4,FALSE)/100))/1000</f>
        <v>1.6669103362049182</v>
      </c>
      <c r="K61" s="30">
        <f t="shared" ref="K61:L61" si="70">K37*3.6/1000</f>
        <v>3.3334221179968728</v>
      </c>
      <c r="L61" s="30">
        <f t="shared" si="70"/>
        <v>24.298601730468476</v>
      </c>
      <c r="M61" s="30">
        <f>(sulawesi!M37*3.6/(VLOOKUP(M$51,tech_data!$B$2:$J$15,4,FALSE)/100))/1000</f>
        <v>1.4502256079404467E-2</v>
      </c>
      <c r="N61" s="30">
        <f t="shared" si="58"/>
        <v>0</v>
      </c>
      <c r="O61" s="30">
        <f>(sulawesi!O37*3.6/(VLOOKUP(O$51,tech_data!$B$2:$J$15,4,FALSE)/100))/1000</f>
        <v>0</v>
      </c>
      <c r="P61" s="30">
        <v>0</v>
      </c>
      <c r="Q61" s="30">
        <f t="shared" si="53"/>
        <v>362.93736403914482</v>
      </c>
      <c r="R61" s="30"/>
      <c r="T61" s="19"/>
      <c r="U61" s="20" t="str">
        <f t="shared" si="54"/>
        <v>SULAWESI</v>
      </c>
      <c r="V61" s="20">
        <f t="shared" si="54"/>
        <v>2028</v>
      </c>
      <c r="W61" s="30">
        <f>D61*VLOOKUP(W$51,tech_data!$B$2:$K$15,10,FALSE)*1000</f>
        <v>14054592.520432871</v>
      </c>
      <c r="X61" s="30">
        <f>E61*VLOOKUP(X$51,tech_data!$B$2:$K$15,10,FALSE)*1000</f>
        <v>540991.08079960698</v>
      </c>
      <c r="Y61" s="30">
        <f>F61*VLOOKUP(Y$51,tech_data!$B$2:$K$15,10,FALSE)*1000</f>
        <v>5871191.2433805848</v>
      </c>
      <c r="Z61" s="30">
        <f>G61*VLOOKUP(Z$51,tech_data!$B$2:$K$15,10,FALSE)*1000</f>
        <v>4607574.3195141302</v>
      </c>
      <c r="AA61" s="30">
        <f>H37*VLOOKUP(AA$51,tech_data!$B$2:$K$15,10,FALSE)/1000</f>
        <v>32.653344738461534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1629.4734930818859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25076011.290965013</v>
      </c>
      <c r="AK61" s="25">
        <f t="shared" si="60"/>
        <v>2.6289448923818567E-2</v>
      </c>
      <c r="AL61" s="24">
        <f t="shared" si="65"/>
        <v>5.2999999999999999E-2</v>
      </c>
      <c r="AM61" s="26"/>
      <c r="AN61" s="24"/>
      <c r="AO61" s="20" t="str">
        <f t="shared" si="56"/>
        <v>SULAWESI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253.94177830305398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6.4965068992720294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280.42582767517507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28.246184983207939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3.9413370249321025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32.120609919546112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3.1520272537802518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56.607304310336637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311.89720114091205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2.1583612400403008E-2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0.15836459006502032</v>
      </c>
      <c r="BD61" s="30">
        <f t="shared" si="61"/>
        <v>977.00872571268167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0</v>
      </c>
      <c r="BM61" s="20" t="b">
        <f>$AS$33&lt;=$AY$33</f>
        <v>0</v>
      </c>
      <c r="BN61" s="20" t="b">
        <f>$AS$34&lt;=$AY$34</f>
        <v>0</v>
      </c>
      <c r="BO61" s="20" t="b">
        <f>$AS$35&lt;=$AY$35</f>
        <v>0</v>
      </c>
      <c r="BP61" s="20" t="b">
        <f>$AS$36&lt;=$AY$36</f>
        <v>1</v>
      </c>
      <c r="BQ61" s="20" t="b">
        <f>$AS$37&lt;=$AY$37</f>
        <v>0</v>
      </c>
      <c r="BR61" s="20" t="b">
        <f>$AS$38&lt;=$AY$38</f>
        <v>0</v>
      </c>
      <c r="BS61" s="20" t="b">
        <f>$AS$39&lt;=$AY$39</f>
        <v>0</v>
      </c>
      <c r="BT61" s="20" t="b">
        <f>$AS$40&lt;=$AY$40</f>
        <v>0</v>
      </c>
      <c r="BU61" s="20" t="b">
        <f>$AS$41&lt;=$AY$41</f>
        <v>0</v>
      </c>
      <c r="BV61" s="20" t="b">
        <f>$AS$42&lt;=$AY$42</f>
        <v>0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0</v>
      </c>
      <c r="CD61" s="23"/>
    </row>
    <row r="62" spans="1:82" x14ac:dyDescent="0.25">
      <c r="A62" s="19"/>
      <c r="B62" s="20" t="str">
        <f t="shared" si="52"/>
        <v>SULAWESI</v>
      </c>
      <c r="C62" s="20">
        <f t="shared" si="52"/>
        <v>2029</v>
      </c>
      <c r="D62" s="30">
        <f>(sulawesi!D38*3.6/(VLOOKUP(D$51,tech_data!$B$2:$J$15,4,FALSE)/100))/1000</f>
        <v>144.8752960287847</v>
      </c>
      <c r="E62" s="30">
        <f>(sulawesi!E38*3.6/(VLOOKUP(E$51,tech_data!$B$2:$J$15,4,FALSE)/100))/1000</f>
        <v>8.7116116070790159</v>
      </c>
      <c r="F62" s="30">
        <f>(sulawesi!F38*3.6/(VLOOKUP(F$51,tech_data!$B$2:$J$15,4,FALSE)/100))/1000</f>
        <v>98.641305143199062</v>
      </c>
      <c r="G62" s="30">
        <f>(sulawesi!G38*3.6/(VLOOKUP(G$51,tech_data!$B$2:$J$15,4,FALSE)/100))/1000</f>
        <v>62.169403513979653</v>
      </c>
      <c r="H62" s="30">
        <f>(sulawesi!H38*3.6/(VLOOKUP(H$51,tech_data!$B$2:$J$15,4,FALSE)/100))/1000</f>
        <v>13.843495384615382</v>
      </c>
      <c r="I62" s="30">
        <f>(sulawesi!I38*3.6/(VLOOKUP(I$51,tech_data!$B$2:$J$15,4,FALSE)/100))/1000</f>
        <v>14.288731385053492</v>
      </c>
      <c r="J62" s="30">
        <f>(sulawesi!J38*3.6/(VLOOKUP(J$51,tech_data!$B$2:$J$15,4,FALSE)/100))/1000</f>
        <v>1.6669103362049182</v>
      </c>
      <c r="K62" s="30">
        <f t="shared" ref="K62:L62" si="71">K38*3.6/1000</f>
        <v>3.6708302833115174</v>
      </c>
      <c r="L62" s="30">
        <f t="shared" si="71"/>
        <v>26.127702173808647</v>
      </c>
      <c r="M62" s="30">
        <f>(sulawesi!M38*3.6/(VLOOKUP(M$51,tech_data!$B$2:$J$15,4,FALSE)/100))/1000</f>
        <v>1.4502256079404467E-2</v>
      </c>
      <c r="N62" s="30">
        <f t="shared" si="58"/>
        <v>0</v>
      </c>
      <c r="O62" s="30">
        <f>(sulawesi!O38*3.6/(VLOOKUP(O$51,tech_data!$B$2:$J$15,4,FALSE)/100))/1000</f>
        <v>0</v>
      </c>
      <c r="P62" s="30">
        <v>0</v>
      </c>
      <c r="Q62" s="30">
        <f t="shared" si="53"/>
        <v>374.00978811211587</v>
      </c>
      <c r="R62" s="30"/>
      <c r="T62" s="19"/>
      <c r="U62" s="20" t="str">
        <f t="shared" si="54"/>
        <v>SULAWESI</v>
      </c>
      <c r="V62" s="20">
        <f t="shared" si="54"/>
        <v>2029</v>
      </c>
      <c r="W62" s="30">
        <f>D62*VLOOKUP(W$51,tech_data!$B$2:$K$15,10,FALSE)*1000</f>
        <v>14446964.519990411</v>
      </c>
      <c r="X62" s="30">
        <f>E62*VLOOKUP(X$51,tech_data!$B$2:$K$15,10,FALSE)*1000</f>
        <v>540991.08079960698</v>
      </c>
      <c r="Y62" s="30">
        <f>F62*VLOOKUP(Y$51,tech_data!$B$2:$K$15,10,FALSE)*1000</f>
        <v>6125625.049392662</v>
      </c>
      <c r="Z62" s="30">
        <f>G62*VLOOKUP(Z$51,tech_data!$B$2:$K$15,10,FALSE)*1000</f>
        <v>4673274.0621458506</v>
      </c>
      <c r="AA62" s="30">
        <f>H38*VLOOKUP(AA$51,tech_data!$B$2:$K$15,10,FALSE)/1000</f>
        <v>32.653344738461534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1629.4734930818859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25788516.839166351</v>
      </c>
      <c r="AK62" s="25">
        <f t="shared" si="60"/>
        <v>2.8413831048882007E-2</v>
      </c>
      <c r="AL62" s="24">
        <f t="shared" si="65"/>
        <v>5.2999999999999999E-2</v>
      </c>
      <c r="AM62" s="26"/>
      <c r="AN62" s="24"/>
      <c r="AO62" s="20" t="str">
        <f t="shared" si="56"/>
        <v>SULAWESI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277.35970760735194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6.4965068992720294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288.41112126164313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30.328443027009339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3.9413370249321025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32.120609919546112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3.1520272537802612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62.997497047493852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333.85032207943323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2.1583612400403008E-2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0.16925657432888025</v>
      </c>
      <c r="BD62" s="30">
        <f t="shared" si="61"/>
        <v>1038.8484123071917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1</v>
      </c>
      <c r="BN62" s="20" t="b">
        <f>$AT$34&gt;=$AZ$34</f>
        <v>0</v>
      </c>
      <c r="BO62" s="20" t="b">
        <f>$AT$35&gt;=$AZ$35</f>
        <v>1</v>
      </c>
      <c r="BP62" s="20" t="b">
        <f>$AT$36&gt;=$AZ$36</f>
        <v>0</v>
      </c>
      <c r="BQ62" s="20" t="b">
        <f>$AT$37&gt;=$AZ$37</f>
        <v>1</v>
      </c>
      <c r="BR62" s="20" t="b">
        <f>$AT$38&gt;=$AZ$38</f>
        <v>1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1</v>
      </c>
      <c r="BW62" s="20" t="b">
        <f>$AT$43&gt;=$AZ$43</f>
        <v>1</v>
      </c>
      <c r="BX62" s="20" t="b">
        <f>$AT$44&gt;=$AZ$44</f>
        <v>0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SULAWESI</v>
      </c>
      <c r="C63" s="20">
        <f t="shared" si="52"/>
        <v>2030</v>
      </c>
      <c r="D63" s="30">
        <f>(sulawesi!D39*3.6/(VLOOKUP(D$51,tech_data!$B$2:$J$15,4,FALSE)/100))/1000</f>
        <v>148.99679991386853</v>
      </c>
      <c r="E63" s="30">
        <f>(sulawesi!E39*3.6/(VLOOKUP(E$51,tech_data!$B$2:$J$15,4,FALSE)/100))/1000</f>
        <v>8.7116116070790159</v>
      </c>
      <c r="F63" s="30">
        <f>(sulawesi!F39*3.6/(VLOOKUP(F$51,tech_data!$B$2:$J$15,4,FALSE)/100))/1000</f>
        <v>102.94313713160055</v>
      </c>
      <c r="G63" s="30">
        <f>(sulawesi!G39*3.6/(VLOOKUP(G$51,tech_data!$B$2:$J$15,4,FALSE)/100))/1000</f>
        <v>63.091410137868081</v>
      </c>
      <c r="H63" s="30">
        <f>(sulawesi!H39*3.6/(VLOOKUP(H$51,tech_data!$B$2:$J$15,4,FALSE)/100))/1000</f>
        <v>13.843495384615382</v>
      </c>
      <c r="I63" s="30">
        <f>(sulawesi!I39*3.6/(VLOOKUP(I$51,tech_data!$B$2:$J$15,4,FALSE)/100))/1000</f>
        <v>14.288731385053492</v>
      </c>
      <c r="J63" s="30">
        <f>(sulawesi!J39*3.6/(VLOOKUP(J$51,tech_data!$B$2:$J$15,4,FALSE)/100))/1000</f>
        <v>1.6669103362049182</v>
      </c>
      <c r="K63" s="30">
        <f t="shared" ref="K63:L63" si="72">K39*3.6/1000</f>
        <v>4.0439659306456237</v>
      </c>
      <c r="L63" s="30">
        <f t="shared" si="72"/>
        <v>28.045793734820148</v>
      </c>
      <c r="M63" s="30">
        <f>(sulawesi!M39*3.6/(VLOOKUP(M$51,tech_data!$B$2:$J$15,4,FALSE)/100))/1000</f>
        <v>1.4502256079404467E-2</v>
      </c>
      <c r="N63" s="30">
        <f t="shared" si="58"/>
        <v>0</v>
      </c>
      <c r="O63" s="30">
        <f>(sulawesi!O39*3.6/(VLOOKUP(O$51,tech_data!$B$2:$J$15,4,FALSE)/100))/1000</f>
        <v>0</v>
      </c>
      <c r="P63" s="30">
        <v>0</v>
      </c>
      <c r="Q63" s="30">
        <f t="shared" si="53"/>
        <v>385.64635781783522</v>
      </c>
      <c r="R63" s="30"/>
      <c r="T63" s="19"/>
      <c r="U63" s="20" t="str">
        <f t="shared" si="54"/>
        <v>SULAWESI</v>
      </c>
      <c r="V63" s="20">
        <f t="shared" si="54"/>
        <v>2030</v>
      </c>
      <c r="W63" s="30">
        <f>D63*VLOOKUP(W$51,tech_data!$B$2:$K$15,10,FALSE)*1000</f>
        <v>14857960.887410969</v>
      </c>
      <c r="X63" s="30">
        <f>E63*VLOOKUP(X$51,tech_data!$B$2:$K$15,10,FALSE)*1000</f>
        <v>540991.08079960698</v>
      </c>
      <c r="Y63" s="30">
        <f>F63*VLOOKUP(Y$51,tech_data!$B$2:$K$15,10,FALSE)*1000</f>
        <v>6392768.8158723945</v>
      </c>
      <c r="Z63" s="30">
        <f>G63*VLOOKUP(Z$51,tech_data!$B$2:$K$15,10,FALSE)*1000</f>
        <v>4742581.300063544</v>
      </c>
      <c r="AA63" s="30">
        <f>H39*VLOOKUP(AA$51,tech_data!$B$2:$K$15,10,FALSE)/1000</f>
        <v>32.653344738461534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1629.4734930818859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26535964.210984334</v>
      </c>
      <c r="AK63" s="25">
        <f t="shared" si="60"/>
        <v>2.8983728551724881E-2</v>
      </c>
      <c r="AL63" s="24">
        <f t="shared" si="65"/>
        <v>5.2999999999999999E-2</v>
      </c>
      <c r="AM63" s="26"/>
      <c r="AN63" s="24"/>
      <c r="AO63" s="20" t="str">
        <f t="shared" si="56"/>
        <v>SULAWESI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287.70137847703529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6.4965068992720294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301.98311041610992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31.488803442870747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3.9413370249321025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32.120609919546105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3.1520272537802612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69.642799977325708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353.09624929388701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2.1583612400403008E-2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0.17784992384536302</v>
      </c>
      <c r="BD63" s="30">
        <f t="shared" si="61"/>
        <v>1089.8222562410049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SULAWESI</v>
      </c>
      <c r="C64" s="20">
        <f t="shared" si="52"/>
        <v>2031</v>
      </c>
      <c r="D64" s="30">
        <f>(sulawesi!D40*3.6/(VLOOKUP(D$51,tech_data!$B$2:$J$15,4,FALSE)/100))/1000</f>
        <v>154.08009966519418</v>
      </c>
      <c r="E64" s="30">
        <f>(sulawesi!E40*3.6/(VLOOKUP(E$51,tech_data!$B$2:$J$15,4,FALSE)/100))/1000</f>
        <v>8.7116116070790159</v>
      </c>
      <c r="F64" s="30">
        <f>(sulawesi!F40*3.6/(VLOOKUP(F$51,tech_data!$B$2:$J$15,4,FALSE)/100))/1000</f>
        <v>108.02506078025277</v>
      </c>
      <c r="G64" s="30">
        <f>(sulawesi!G40*3.6/(VLOOKUP(G$51,tech_data!$B$2:$J$15,4,FALSE)/100))/1000</f>
        <v>64.383032690384098</v>
      </c>
      <c r="H64" s="30">
        <f>(sulawesi!H40*3.6/(VLOOKUP(H$51,tech_data!$B$2:$J$15,4,FALSE)/100))/1000</f>
        <v>13.843495384615382</v>
      </c>
      <c r="I64" s="30">
        <f>(sulawesi!I40*3.6/(VLOOKUP(I$51,tech_data!$B$2:$J$15,4,FALSE)/100))/1000</f>
        <v>14.288731385053492</v>
      </c>
      <c r="J64" s="30">
        <f>(sulawesi!J40*3.6/(VLOOKUP(J$51,tech_data!$B$2:$J$15,4,FALSE)/100))/1000</f>
        <v>1.6669103362049182</v>
      </c>
      <c r="K64" s="30">
        <f t="shared" ref="K64:L64" si="73">K40*3.6/1000</f>
        <v>4.4790389316771044</v>
      </c>
      <c r="L64" s="30">
        <f t="shared" si="73"/>
        <v>30.290976995854013</v>
      </c>
      <c r="M64" s="30">
        <f>(sulawesi!M40*3.6/(VLOOKUP(M$51,tech_data!$B$2:$J$15,4,FALSE)/100))/1000</f>
        <v>1.4502256079404467E-2</v>
      </c>
      <c r="N64" s="30">
        <f t="shared" si="58"/>
        <v>0</v>
      </c>
      <c r="O64" s="30">
        <f>(sulawesi!O40*3.6/(VLOOKUP(O$51,tech_data!$B$2:$J$15,4,FALSE)/100))/1000</f>
        <v>0</v>
      </c>
      <c r="P64" s="30">
        <v>0</v>
      </c>
      <c r="Q64" s="30">
        <f t="shared" si="53"/>
        <v>399.78346003239437</v>
      </c>
      <c r="R64" s="30"/>
      <c r="T64" s="19"/>
      <c r="U64" s="20" t="str">
        <f t="shared" si="54"/>
        <v>SULAWESI</v>
      </c>
      <c r="V64" s="20">
        <f t="shared" si="54"/>
        <v>2031</v>
      </c>
      <c r="W64" s="30">
        <f>D64*VLOOKUP(W$51,tech_data!$B$2:$K$15,10,FALSE)*1000</f>
        <v>15364867.538613163</v>
      </c>
      <c r="X64" s="30">
        <f>E64*VLOOKUP(X$51,tech_data!$B$2:$K$15,10,FALSE)*1000</f>
        <v>540991.08079960698</v>
      </c>
      <c r="Y64" s="30">
        <f>F64*VLOOKUP(Y$51,tech_data!$B$2:$K$15,10,FALSE)*1000</f>
        <v>6708356.2744536977</v>
      </c>
      <c r="Z64" s="30">
        <f>G64*VLOOKUP(Z$51,tech_data!$B$2:$K$15,10,FALSE)*1000</f>
        <v>4839672.5673361728</v>
      </c>
      <c r="AA64" s="30">
        <f>H40*VLOOKUP(AA$51,tech_data!$B$2:$K$15,10,FALSE)/1000</f>
        <v>32.653344738461534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1629.4734930818859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27455549.58804046</v>
      </c>
      <c r="AK64" s="25">
        <f t="shared" si="60"/>
        <v>3.4654304239507196E-2</v>
      </c>
      <c r="AL64" s="24">
        <f t="shared" si="65"/>
        <v>5.2999999999999999E-2</v>
      </c>
      <c r="AM64" s="26"/>
      <c r="AN64" s="24"/>
      <c r="AO64" s="20" t="str">
        <f t="shared" si="56"/>
        <v>SULAWESI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324.41635849203567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6.4965068992720294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338.60803706089166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39.248309422862363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3.9413370249321025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32.120609919546112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3.1520272537802612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80.817736436716189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401.52996766900964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2.1583612400403008E-2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0.20755145238630171</v>
      </c>
      <c r="BD64" s="30">
        <f t="shared" si="61"/>
        <v>1230.5600252438328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SULAWESI</v>
      </c>
      <c r="C65" s="20">
        <f t="shared" si="52"/>
        <v>2032</v>
      </c>
      <c r="D65" s="30">
        <f>(sulawesi!D41*3.6/(VLOOKUP(D$51,tech_data!$B$2:$J$15,4,FALSE)/100))/1000</f>
        <v>159.66167002867209</v>
      </c>
      <c r="E65" s="30">
        <f>(sulawesi!E41*3.6/(VLOOKUP(E$51,tech_data!$B$2:$J$15,4,FALSE)/100))/1000</f>
        <v>8.7116116070790159</v>
      </c>
      <c r="F65" s="30">
        <f>(sulawesi!F41*3.6/(VLOOKUP(F$51,tech_data!$B$2:$J$15,4,FALSE)/100))/1000</f>
        <v>113.56811830219003</v>
      </c>
      <c r="G65" s="30">
        <f>(sulawesi!G41*3.6/(VLOOKUP(G$51,tech_data!$B$2:$J$15,4,FALSE)/100))/1000</f>
        <v>65.838219525628745</v>
      </c>
      <c r="H65" s="30">
        <f>(sulawesi!H41*3.6/(VLOOKUP(H$51,tech_data!$B$2:$J$15,4,FALSE)/100))/1000</f>
        <v>13.843495384615382</v>
      </c>
      <c r="I65" s="30">
        <f>(sulawesi!I41*3.6/(VLOOKUP(I$51,tech_data!$B$2:$J$15,4,FALSE)/100))/1000</f>
        <v>14.288731385053492</v>
      </c>
      <c r="J65" s="30">
        <f>(sulawesi!J41*3.6/(VLOOKUP(J$51,tech_data!$B$2:$J$15,4,FALSE)/100))/1000</f>
        <v>1.6669103362049182</v>
      </c>
      <c r="K65" s="30">
        <f t="shared" ref="K65:L65" si="74">K41*3.6/1000</f>
        <v>4.9704535598774084</v>
      </c>
      <c r="L65" s="30">
        <f t="shared" si="74"/>
        <v>32.731318895984117</v>
      </c>
      <c r="M65" s="30">
        <f>(sulawesi!M41*3.6/(VLOOKUP(M$51,tech_data!$B$2:$J$15,4,FALSE)/100))/1000</f>
        <v>1.4502256079404467E-2</v>
      </c>
      <c r="N65" s="30">
        <f t="shared" si="58"/>
        <v>0</v>
      </c>
      <c r="O65" s="30">
        <f>(sulawesi!O41*3.6/(VLOOKUP(O$51,tech_data!$B$2:$J$15,4,FALSE)/100))/1000</f>
        <v>0</v>
      </c>
      <c r="P65" s="30">
        <v>0</v>
      </c>
      <c r="Q65" s="30">
        <f t="shared" si="53"/>
        <v>415.29503128138464</v>
      </c>
      <c r="R65" s="30"/>
      <c r="T65" s="19"/>
      <c r="U65" s="20" t="str">
        <f t="shared" si="54"/>
        <v>SULAWESI</v>
      </c>
      <c r="V65" s="20">
        <f t="shared" si="54"/>
        <v>2032</v>
      </c>
      <c r="W65" s="30">
        <f>D65*VLOOKUP(W$51,tech_data!$B$2:$K$15,10,FALSE)*1000</f>
        <v>15921461.735259181</v>
      </c>
      <c r="X65" s="30">
        <f>E65*VLOOKUP(X$51,tech_data!$B$2:$K$15,10,FALSE)*1000</f>
        <v>540991.08079960698</v>
      </c>
      <c r="Y65" s="30">
        <f>F65*VLOOKUP(Y$51,tech_data!$B$2:$K$15,10,FALSE)*1000</f>
        <v>7052580.1465660008</v>
      </c>
      <c r="Z65" s="30">
        <f>G65*VLOOKUP(Z$51,tech_data!$B$2:$K$15,10,FALSE)*1000</f>
        <v>4949058.9617415126</v>
      </c>
      <c r="AA65" s="30">
        <f>H41*VLOOKUP(AA$51,tech_data!$B$2:$K$15,10,FALSE)/1000</f>
        <v>32.653344738461534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1629.4734930818859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28465754.051204123</v>
      </c>
      <c r="AK65" s="25">
        <f t="shared" si="60"/>
        <v>3.6794181078921261E-2</v>
      </c>
      <c r="AL65" s="24">
        <f t="shared" si="65"/>
        <v>5.2999999999999999E-2</v>
      </c>
      <c r="AM65" s="26"/>
      <c r="AN65" s="24"/>
      <c r="AO65" s="20" t="str">
        <f t="shared" si="56"/>
        <v>SULAWESI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346.45826180469794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6.4965068992720294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363.64752251246921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42.861151171329091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3.9413370249321025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32.120609919546112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3.1520272537802612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91.1390561056172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435.53792381123316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2.1583612400403008E-2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0.22569065002551086</v>
      </c>
      <c r="BD65" s="30">
        <f t="shared" si="61"/>
        <v>1325.601670765303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SULAWESI</v>
      </c>
      <c r="C66" s="20">
        <f t="shared" si="52"/>
        <v>2033</v>
      </c>
      <c r="D66" s="30">
        <f>(sulawesi!D42*3.6/(VLOOKUP(D$51,tech_data!$B$2:$J$15,4,FALSE)/100))/1000</f>
        <v>165.06031033271981</v>
      </c>
      <c r="E66" s="30">
        <f>(sulawesi!E42*3.6/(VLOOKUP(E$51,tech_data!$B$2:$J$15,4,FALSE)/100))/1000</f>
        <v>8.7116116070790159</v>
      </c>
      <c r="F66" s="30">
        <f>(sulawesi!F42*3.6/(VLOOKUP(F$51,tech_data!$B$2:$J$15,4,FALSE)/100))/1000</f>
        <v>119.07263165319171</v>
      </c>
      <c r="G66" s="30">
        <f>(sulawesi!G42*3.6/(VLOOKUP(G$51,tech_data!$B$2:$J$15,4,FALSE)/100))/1000</f>
        <v>67.172859381260466</v>
      </c>
      <c r="H66" s="30">
        <f>(sulawesi!H42*3.6/(VLOOKUP(H$51,tech_data!$B$2:$J$15,4,FALSE)/100))/1000</f>
        <v>13.843495384615382</v>
      </c>
      <c r="I66" s="30">
        <f>(sulawesi!I42*3.6/(VLOOKUP(I$51,tech_data!$B$2:$J$15,4,FALSE)/100))/1000</f>
        <v>14.288731385053492</v>
      </c>
      <c r="J66" s="30">
        <f>(sulawesi!J42*3.6/(VLOOKUP(J$51,tech_data!$B$2:$J$15,4,FALSE)/100))/1000</f>
        <v>1.6669103362049182</v>
      </c>
      <c r="K66" s="30">
        <f t="shared" ref="K66:L66" si="75">K42*3.6/1000</f>
        <v>5.5023283223332298</v>
      </c>
      <c r="L66" s="30">
        <f t="shared" si="75"/>
        <v>35.157469008585402</v>
      </c>
      <c r="M66" s="30">
        <f>(sulawesi!M42*3.6/(VLOOKUP(M$51,tech_data!$B$2:$J$15,4,FALSE)/100))/1000</f>
        <v>1.4502256079404467E-2</v>
      </c>
      <c r="N66" s="30">
        <f t="shared" si="58"/>
        <v>0</v>
      </c>
      <c r="O66" s="30">
        <f>(sulawesi!O42*3.6/(VLOOKUP(O$51,tech_data!$B$2:$J$15,4,FALSE)/100))/1000</f>
        <v>0</v>
      </c>
      <c r="P66" s="30">
        <v>0</v>
      </c>
      <c r="Q66" s="30">
        <f t="shared" si="53"/>
        <v>430.49084966712292</v>
      </c>
      <c r="R66" s="30"/>
      <c r="T66" s="19"/>
      <c r="U66" s="20" t="str">
        <f t="shared" si="54"/>
        <v>SULAWESI</v>
      </c>
      <c r="V66" s="20">
        <f t="shared" si="54"/>
        <v>2033</v>
      </c>
      <c r="W66" s="30">
        <f>D66*VLOOKUP(W$51,tech_data!$B$2:$K$15,10,FALSE)*1000</f>
        <v>16459814.146378819</v>
      </c>
      <c r="X66" s="30">
        <f>E66*VLOOKUP(X$51,tech_data!$B$2:$K$15,10,FALSE)*1000</f>
        <v>540991.08079960698</v>
      </c>
      <c r="Y66" s="30">
        <f>F66*VLOOKUP(Y$51,tech_data!$B$2:$K$15,10,FALSE)*1000</f>
        <v>7394410.4256632058</v>
      </c>
      <c r="Z66" s="30">
        <f>G66*VLOOKUP(Z$51,tech_data!$B$2:$K$15,10,FALSE)*1000</f>
        <v>5049383.8396893498</v>
      </c>
      <c r="AA66" s="30">
        <f>H42*VLOOKUP(AA$51,tech_data!$B$2:$K$15,10,FALSE)/1000</f>
        <v>32.653344738461534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1629.4734930818859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29446261.619368799</v>
      </c>
      <c r="AK66" s="25">
        <f t="shared" si="60"/>
        <v>3.4445164052248255E-2</v>
      </c>
      <c r="AL66" s="24">
        <f t="shared" si="65"/>
        <v>5.2999999999999999E-2</v>
      </c>
      <c r="AM66" s="26"/>
      <c r="AN66" s="24"/>
      <c r="AO66" s="20" t="str">
        <f t="shared" si="56"/>
        <v>SULAWESI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345.99858903424257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6.4965068992720294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369.52144979490703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40.686293162351262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3.9413370249321025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32.120609919546112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3.1520272537802612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98.84289535606527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445.15168499613986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2.1583612400403008E-2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0.22575085957094621</v>
      </c>
      <c r="BD66" s="30">
        <f t="shared" si="61"/>
        <v>1346.1587279132079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SULAWESI</v>
      </c>
      <c r="C67" s="20">
        <f t="shared" si="52"/>
        <v>2034</v>
      </c>
      <c r="D67" s="30">
        <f>(sulawesi!D43*3.6/(VLOOKUP(D$51,tech_data!$B$2:$J$15,4,FALSE)/100))/1000</f>
        <v>171.70095056680515</v>
      </c>
      <c r="E67" s="30">
        <f>(sulawesi!E43*3.6/(VLOOKUP(E$51,tech_data!$B$2:$J$15,4,FALSE)/100))/1000</f>
        <v>8.7116116070790159</v>
      </c>
      <c r="F67" s="30">
        <f>(sulawesi!F43*3.6/(VLOOKUP(F$51,tech_data!$B$2:$J$15,4,FALSE)/100))/1000</f>
        <v>125.62070545759742</v>
      </c>
      <c r="G67" s="30">
        <f>(sulawesi!G43*3.6/(VLOOKUP(G$51,tech_data!$B$2:$J$15,4,FALSE)/100))/1000</f>
        <v>68.963482695008693</v>
      </c>
      <c r="H67" s="30">
        <f>(sulawesi!H43*3.6/(VLOOKUP(H$51,tech_data!$B$2:$J$15,4,FALSE)/100))/1000</f>
        <v>13.843495384615382</v>
      </c>
      <c r="I67" s="30">
        <f>(sulawesi!I43*3.6/(VLOOKUP(I$51,tech_data!$B$2:$J$15,4,FALSE)/100))/1000</f>
        <v>14.288731385053492</v>
      </c>
      <c r="J67" s="30">
        <f>(sulawesi!J43*3.6/(VLOOKUP(J$51,tech_data!$B$2:$J$15,4,FALSE)/100))/1000</f>
        <v>1.6669103362049182</v>
      </c>
      <c r="K67" s="30">
        <f t="shared" ref="K67:L67" si="76">K43*3.6/1000</f>
        <v>6.128278572728429</v>
      </c>
      <c r="L67" s="30">
        <f t="shared" si="76"/>
        <v>38.019607630239008</v>
      </c>
      <c r="M67" s="30">
        <f>(sulawesi!M43*3.6/(VLOOKUP(M$51,tech_data!$B$2:$J$15,4,FALSE)/100))/1000</f>
        <v>1.4502256079404467E-2</v>
      </c>
      <c r="N67" s="30">
        <f t="shared" si="58"/>
        <v>0</v>
      </c>
      <c r="O67" s="30">
        <f>(sulawesi!O43*3.6/(VLOOKUP(O$51,tech_data!$B$2:$J$15,4,FALSE)/100))/1000</f>
        <v>0</v>
      </c>
      <c r="P67" s="30">
        <v>0</v>
      </c>
      <c r="Q67" s="30">
        <f t="shared" si="53"/>
        <v>448.95827589141095</v>
      </c>
      <c r="R67" s="30"/>
      <c r="T67" s="19"/>
      <c r="U67" s="20" t="str">
        <f t="shared" si="54"/>
        <v>SULAWESI</v>
      </c>
      <c r="V67" s="20">
        <f t="shared" si="54"/>
        <v>2034</v>
      </c>
      <c r="W67" s="30">
        <f>D67*VLOOKUP(W$51,tech_data!$B$2:$K$15,10,FALSE)*1000</f>
        <v>17122018.790521808</v>
      </c>
      <c r="X67" s="30">
        <f>E67*VLOOKUP(X$51,tech_data!$B$2:$K$15,10,FALSE)*1000</f>
        <v>540991.08079960698</v>
      </c>
      <c r="Y67" s="30">
        <f>F67*VLOOKUP(Y$51,tech_data!$B$2:$K$15,10,FALSE)*1000</f>
        <v>7801045.8089168007</v>
      </c>
      <c r="Z67" s="30">
        <f>G67*VLOOKUP(Z$51,tech_data!$B$2:$K$15,10,FALSE)*1000</f>
        <v>5183984.9941838039</v>
      </c>
      <c r="AA67" s="30">
        <f>H43*VLOOKUP(AA$51,tech_data!$B$2:$K$15,10,FALSE)/1000</f>
        <v>32.653344738461534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1629.4734930818859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30649702.801259838</v>
      </c>
      <c r="AK67" s="25">
        <f t="shared" si="60"/>
        <v>4.0869065059839525E-2</v>
      </c>
      <c r="AL67" s="24">
        <f t="shared" si="65"/>
        <v>5.2999999999999999E-2</v>
      </c>
      <c r="AM67" s="26"/>
      <c r="AN67" s="24"/>
      <c r="AO67" s="20" t="str">
        <f t="shared" si="56"/>
        <v>SULAWESI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393.4881963236873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6.4965068992720294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418.18206938824909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50.298910826946496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3.9413370249320887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32.120609919546112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3.1520272537802612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115.75942517360254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509.10425002918549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2.1583612400403008E-2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0.26513997495052538</v>
      </c>
      <c r="BD67" s="30">
        <f t="shared" si="61"/>
        <v>1532.8300564265523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SULAWESI</v>
      </c>
      <c r="C68" s="20">
        <f t="shared" si="77"/>
        <v>2035</v>
      </c>
      <c r="D68" s="30">
        <f>(sulawesi!D44*3.6/(VLOOKUP(D$51,tech_data!$B$2:$J$15,4,FALSE)/100))/1000</f>
        <v>178.43164082054989</v>
      </c>
      <c r="E68" s="30">
        <f>(sulawesi!E44*3.6/(VLOOKUP(E$51,tech_data!$B$2:$J$15,4,FALSE)/100))/1000</f>
        <v>8.7116116070790159</v>
      </c>
      <c r="F68" s="30">
        <f>(sulawesi!F44*3.6/(VLOOKUP(F$51,tech_data!$B$2:$J$15,4,FALSE)/100))/1000</f>
        <v>132.35732042487157</v>
      </c>
      <c r="G68" s="30">
        <f>(sulawesi!G44*3.6/(VLOOKUP(G$51,tech_data!$B$2:$J$15,4,FALSE)/100))/1000</f>
        <v>70.735187345864404</v>
      </c>
      <c r="H68" s="30">
        <f>(sulawesi!H44*3.6/(VLOOKUP(H$51,tech_data!$B$2:$J$15,4,FALSE)/100))/1000</f>
        <v>13.843495384615382</v>
      </c>
      <c r="I68" s="30">
        <f>(sulawesi!I44*3.6/(VLOOKUP(I$51,tech_data!$B$2:$J$15,4,FALSE)/100))/1000</f>
        <v>14.288731385053492</v>
      </c>
      <c r="J68" s="30">
        <f>(sulawesi!J44*3.6/(VLOOKUP(J$51,tech_data!$B$2:$J$15,4,FALSE)/100))/1000</f>
        <v>1.6669103362049182</v>
      </c>
      <c r="K68" s="30">
        <f t="shared" ref="K68:L68" si="78">K44*3.6/1000</f>
        <v>6.817969614993534</v>
      </c>
      <c r="L68" s="30">
        <f t="shared" si="78"/>
        <v>40.95910665139612</v>
      </c>
      <c r="M68" s="30">
        <f>(sulawesi!M44*3.6/(VLOOKUP(M$51,tech_data!$B$2:$J$15,4,FALSE)/100))/1000</f>
        <v>1.4502256079404467E-2</v>
      </c>
      <c r="N68" s="30">
        <f t="shared" si="58"/>
        <v>0</v>
      </c>
      <c r="O68" s="30">
        <f>(sulawesi!O44*3.6/(VLOOKUP(O$51,tech_data!$B$2:$J$15,4,FALSE)/100))/1000</f>
        <v>0</v>
      </c>
      <c r="P68" s="30">
        <v>0</v>
      </c>
      <c r="Q68" s="30">
        <f t="shared" si="53"/>
        <v>467.82647582670774</v>
      </c>
      <c r="R68" s="30"/>
      <c r="T68" s="19"/>
      <c r="U68" s="20" t="str">
        <f t="shared" si="54"/>
        <v>SULAWESI</v>
      </c>
      <c r="V68" s="20">
        <f t="shared" si="54"/>
        <v>2035</v>
      </c>
      <c r="W68" s="30">
        <f>D68*VLOOKUP(W$51,tech_data!$B$2:$K$15,10,FALSE)*1000</f>
        <v>17793203.222625233</v>
      </c>
      <c r="X68" s="30">
        <f>E68*VLOOKUP(X$51,tech_data!$B$2:$K$15,10,FALSE)*1000</f>
        <v>540991.08079960698</v>
      </c>
      <c r="Y68" s="30">
        <f>F68*VLOOKUP(Y$51,tech_data!$B$2:$K$15,10,FALSE)*1000</f>
        <v>8219389.5983845247</v>
      </c>
      <c r="Z68" s="30">
        <f>G68*VLOOKUP(Z$51,tech_data!$B$2:$K$15,10,FALSE)*1000</f>
        <v>5317164.0327886268</v>
      </c>
      <c r="AA68" s="30">
        <f>H44*VLOOKUP(AA$51,tech_data!$B$2:$K$15,10,FALSE)/1000</f>
        <v>32.653344738461534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1629.4734930818859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31872410.061435811</v>
      </c>
      <c r="AK68" s="25">
        <f t="shared" si="60"/>
        <v>3.9892956486537762E-2</v>
      </c>
      <c r="AL68" s="24">
        <f t="shared" si="65"/>
        <v>5.2999999999999999E-2</v>
      </c>
      <c r="AM68" s="26"/>
      <c r="AN68" s="24"/>
      <c r="AO68" s="20" t="str">
        <f t="shared" si="56"/>
        <v>SULAWESI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403.33563494792514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6.4965068992720294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434.38747167311419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50.274182018859328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3.9413370249320887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32.120609919546112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3.1520272537802612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127.65431315632971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531.74028984191386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2.1583612400403008E-2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0.27374669862191897</v>
      </c>
      <c r="BD68" s="30">
        <f t="shared" si="61"/>
        <v>1593.3977030466951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SULAWESI</v>
      </c>
      <c r="C69" s="20">
        <f t="shared" si="77"/>
        <v>2036</v>
      </c>
      <c r="D69" s="30">
        <f>(sulawesi!D45*3.6/(VLOOKUP(D$51,tech_data!$B$2:$J$15,4,FALSE)/100))/1000</f>
        <v>186.09444612399747</v>
      </c>
      <c r="E69" s="30">
        <f>(sulawesi!E45*3.6/(VLOOKUP(E$51,tech_data!$B$2:$J$15,4,FALSE)/100))/1000</f>
        <v>8.7116116070790159</v>
      </c>
      <c r="F69" s="30">
        <f>(sulawesi!F45*3.6/(VLOOKUP(F$51,tech_data!$B$2:$J$15,4,FALSE)/100))/1000</f>
        <v>139.94267990667183</v>
      </c>
      <c r="G69" s="30">
        <f>(sulawesi!G45*3.6/(VLOOKUP(G$51,tech_data!$B$2:$J$15,4,FALSE)/100))/1000</f>
        <v>72.8176001915417</v>
      </c>
      <c r="H69" s="30">
        <f>(sulawesi!H45*3.6/(VLOOKUP(H$51,tech_data!$B$2:$J$15,4,FALSE)/100))/1000</f>
        <v>13.843495384615382</v>
      </c>
      <c r="I69" s="30">
        <f>(sulawesi!I45*3.6/(VLOOKUP(I$51,tech_data!$B$2:$J$15,4,FALSE)/100))/1000</f>
        <v>14.288731385053492</v>
      </c>
      <c r="J69" s="30">
        <f>(sulawesi!J45*3.6/(VLOOKUP(J$51,tech_data!$B$2:$J$15,4,FALSE)/100))/1000</f>
        <v>1.6669103362049182</v>
      </c>
      <c r="K69" s="30">
        <f t="shared" ref="K69:L69" si="79">K45*3.6/1000</f>
        <v>7.6118732337745172</v>
      </c>
      <c r="L69" s="30">
        <f t="shared" si="79"/>
        <v>44.250349457927058</v>
      </c>
      <c r="M69" s="30">
        <f>(sulawesi!M45*3.6/(VLOOKUP(M$51,tech_data!$B$2:$J$15,4,FALSE)/100))/1000</f>
        <v>1.4502256079404467E-2</v>
      </c>
      <c r="N69" s="30">
        <f t="shared" si="58"/>
        <v>0</v>
      </c>
      <c r="O69" s="30">
        <f>(sulawesi!O45*3.6/(VLOOKUP(O$51,tech_data!$B$2:$J$15,4,FALSE)/100))/1000</f>
        <v>0</v>
      </c>
      <c r="P69" s="30">
        <v>0</v>
      </c>
      <c r="Q69" s="30">
        <f t="shared" si="53"/>
        <v>489.24219988294482</v>
      </c>
      <c r="R69" s="30"/>
      <c r="T69" s="19"/>
      <c r="U69" s="20" t="str">
        <f t="shared" si="54"/>
        <v>SULAWESI</v>
      </c>
      <c r="V69" s="20">
        <f t="shared" si="54"/>
        <v>2036</v>
      </c>
      <c r="W69" s="30">
        <f>D69*VLOOKUP(W$51,tech_data!$B$2:$K$15,10,FALSE)*1000</f>
        <v>18557338.167485029</v>
      </c>
      <c r="X69" s="30">
        <f>E69*VLOOKUP(X$51,tech_data!$B$2:$K$15,10,FALSE)*1000</f>
        <v>540991.08079960698</v>
      </c>
      <c r="Y69" s="30">
        <f>F69*VLOOKUP(Y$51,tech_data!$B$2:$K$15,10,FALSE)*1000</f>
        <v>8690440.4222043213</v>
      </c>
      <c r="Z69" s="30">
        <f>G69*VLOOKUP(Z$51,tech_data!$B$2:$K$15,10,FALSE)*1000</f>
        <v>5473699.0063981889</v>
      </c>
      <c r="AA69" s="30">
        <f>H45*VLOOKUP(AA$51,tech_data!$B$2:$K$15,10,FALSE)/1000</f>
        <v>32.653344738461534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1629.4734930818859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33264130.803724963</v>
      </c>
      <c r="AK69" s="25">
        <f t="shared" si="60"/>
        <v>4.366537515068783E-2</v>
      </c>
      <c r="AL69" s="24">
        <f t="shared" si="65"/>
        <v>5.2999999999999999E-2</v>
      </c>
      <c r="AM69" s="26"/>
      <c r="AN69" s="24"/>
      <c r="AO69" s="20" t="str">
        <f t="shared" si="56"/>
        <v>SULAWESI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441.72185862217856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6.4965068992720294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476.98057241959617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56.99898534210444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3.9413370249321025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32.120609919546112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3.1520272537802612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146.55758201370497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587.89493615432775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2.1583612400403008E-2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0.30629812826811376</v>
      </c>
      <c r="BD69" s="30">
        <f t="shared" si="61"/>
        <v>1756.192297390111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SULAWESI</v>
      </c>
      <c r="C70" s="20">
        <f t="shared" si="77"/>
        <v>2037</v>
      </c>
      <c r="D70" s="30">
        <f>(sulawesi!D46*3.6/(VLOOKUP(D$51,tech_data!$B$2:$J$15,4,FALSE)/100))/1000</f>
        <v>194.21453797556009</v>
      </c>
      <c r="E70" s="30">
        <f>(sulawesi!E46*3.6/(VLOOKUP(E$51,tech_data!$B$2:$J$15,4,FALSE)/100))/1000</f>
        <v>8.7116116070790159</v>
      </c>
      <c r="F70" s="30">
        <f>(sulawesi!F46*3.6/(VLOOKUP(F$51,tech_data!$B$2:$J$15,4,FALSE)/100))/1000</f>
        <v>148.02751082030377</v>
      </c>
      <c r="G70" s="30">
        <f>(sulawesi!G46*3.6/(VLOOKUP(G$51,tech_data!$B$2:$J$15,4,FALSE)/100))/1000</f>
        <v>75.014716987565933</v>
      </c>
      <c r="H70" s="30">
        <f>(sulawesi!H46*3.6/(VLOOKUP(H$51,tech_data!$B$2:$J$15,4,FALSE)/100))/1000</f>
        <v>13.843495384615382</v>
      </c>
      <c r="I70" s="30">
        <f>(sulawesi!I46*3.6/(VLOOKUP(I$51,tech_data!$B$2:$J$15,4,FALSE)/100))/1000</f>
        <v>14.288731385053492</v>
      </c>
      <c r="J70" s="30">
        <f>(sulawesi!J46*3.6/(VLOOKUP(J$51,tech_data!$B$2:$J$15,4,FALSE)/100))/1000</f>
        <v>1.6669103362049182</v>
      </c>
      <c r="K70" s="30">
        <f t="shared" ref="K70:L70" si="80">K46*3.6/1000</f>
        <v>8.5030305672686843</v>
      </c>
      <c r="L70" s="30">
        <f t="shared" si="80"/>
        <v>47.74419818099171</v>
      </c>
      <c r="M70" s="30">
        <f>(sulawesi!M46*3.6/(VLOOKUP(M$51,tech_data!$B$2:$J$15,4,FALSE)/100))/1000</f>
        <v>1.4502256079404467E-2</v>
      </c>
      <c r="N70" s="30">
        <f t="shared" si="58"/>
        <v>0</v>
      </c>
      <c r="O70" s="30">
        <f>(sulawesi!O46*3.6/(VLOOKUP(O$51,tech_data!$B$2:$J$15,4,FALSE)/100))/1000</f>
        <v>0</v>
      </c>
      <c r="P70" s="30">
        <v>0</v>
      </c>
      <c r="Q70" s="30">
        <f t="shared" si="53"/>
        <v>512.02924550072237</v>
      </c>
      <c r="R70" s="30"/>
      <c r="T70" s="19"/>
      <c r="U70" s="20" t="str">
        <f t="shared" si="54"/>
        <v>SULAWESI</v>
      </c>
      <c r="V70" s="20">
        <f t="shared" si="54"/>
        <v>2037</v>
      </c>
      <c r="W70" s="30">
        <f>D70*VLOOKUP(W$51,tech_data!$B$2:$K$15,10,FALSE)*1000</f>
        <v>19367073.726922851</v>
      </c>
      <c r="X70" s="30">
        <f>E70*VLOOKUP(X$51,tech_data!$B$2:$K$15,10,FALSE)*1000</f>
        <v>540991.08079960698</v>
      </c>
      <c r="Y70" s="30">
        <f>F70*VLOOKUP(Y$51,tech_data!$B$2:$K$15,10,FALSE)*1000</f>
        <v>9192508.421940865</v>
      </c>
      <c r="Z70" s="30">
        <f>G70*VLOOKUP(Z$51,tech_data!$B$2:$K$15,10,FALSE)*1000</f>
        <v>5638856.2759553315</v>
      </c>
      <c r="AA70" s="30">
        <f>H46*VLOOKUP(AA$51,tech_data!$B$2:$K$15,10,FALSE)/1000</f>
        <v>32.653344738461534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1629.4734930818859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34741091.632456474</v>
      </c>
      <c r="AK70" s="25">
        <f t="shared" si="60"/>
        <v>4.4401004717252938E-2</v>
      </c>
      <c r="AL70" s="24">
        <f t="shared" si="65"/>
        <v>5.2999999999999999E-2</v>
      </c>
      <c r="AM70" s="26"/>
      <c r="AN70" s="24"/>
      <c r="AO70" s="20" t="str">
        <f t="shared" si="56"/>
        <v>SULAWESI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465.02274401407379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6.4965068992720294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506.87976532592654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59.771036884160836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3.9413370249321025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32.120609919546112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3.1520272537802612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164.44362698208491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627.6590468943898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2.1583612400403008E-2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0.32645497665671186</v>
      </c>
      <c r="BD70" s="30">
        <f t="shared" si="61"/>
        <v>1869.8347397872237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SULAWESI</v>
      </c>
      <c r="C71" s="20">
        <f t="shared" si="77"/>
        <v>2038</v>
      </c>
      <c r="D71" s="30">
        <f>(sulawesi!D47*3.6/(VLOOKUP(D$51,tech_data!$B$2:$J$15,4,FALSE)/100))/1000</f>
        <v>203.84296140769999</v>
      </c>
      <c r="E71" s="30">
        <f>(sulawesi!E47*3.6/(VLOOKUP(E$51,tech_data!$B$2:$J$15,4,FALSE)/100))/1000</f>
        <v>8.7116116070790159</v>
      </c>
      <c r="F71" s="30">
        <f>(sulawesi!F47*3.6/(VLOOKUP(F$51,tech_data!$B$2:$J$15,4,FALSE)/100))/1000</f>
        <v>157.46413754754036</v>
      </c>
      <c r="G71" s="30">
        <f>(sulawesi!G47*3.6/(VLOOKUP(G$51,tech_data!$B$2:$J$15,4,FALSE)/100))/1000</f>
        <v>77.722194480448906</v>
      </c>
      <c r="H71" s="30">
        <f>(sulawesi!H47*3.6/(VLOOKUP(H$51,tech_data!$B$2:$J$15,4,FALSE)/100))/1000</f>
        <v>13.843495384615382</v>
      </c>
      <c r="I71" s="30">
        <f>(sulawesi!I47*3.6/(VLOOKUP(I$51,tech_data!$B$2:$J$15,4,FALSE)/100))/1000</f>
        <v>14.288731385053492</v>
      </c>
      <c r="J71" s="30">
        <f>(sulawesi!J47*3.6/(VLOOKUP(J$51,tech_data!$B$2:$J$15,4,FALSE)/100))/1000</f>
        <v>1.6669103362049182</v>
      </c>
      <c r="K71" s="30">
        <f t="shared" ref="K71:L71" si="81">K47*3.6/1000</f>
        <v>9.5517455485947114</v>
      </c>
      <c r="L71" s="30">
        <f t="shared" si="81"/>
        <v>51.795954415711805</v>
      </c>
      <c r="M71" s="30">
        <f>(sulawesi!M47*3.6/(VLOOKUP(M$51,tech_data!$B$2:$J$15,4,FALSE)/100))/1000</f>
        <v>1.4502256079404467E-2</v>
      </c>
      <c r="N71" s="30">
        <f t="shared" si="58"/>
        <v>0</v>
      </c>
      <c r="O71" s="30">
        <f>(sulawesi!O47*3.6/(VLOOKUP(O$51,tech_data!$B$2:$J$15,4,FALSE)/100))/1000</f>
        <v>0</v>
      </c>
      <c r="P71" s="30">
        <v>0</v>
      </c>
      <c r="Q71" s="30">
        <f t="shared" si="53"/>
        <v>538.90224436902804</v>
      </c>
      <c r="R71" s="30"/>
      <c r="T71" s="19"/>
      <c r="U71" s="20" t="str">
        <f t="shared" si="54"/>
        <v>SULAWESI</v>
      </c>
      <c r="V71" s="20">
        <f t="shared" si="54"/>
        <v>2038</v>
      </c>
      <c r="W71" s="30">
        <f>D71*VLOOKUP(W$51,tech_data!$B$2:$K$15,10,FALSE)*1000</f>
        <v>20327220.111575842</v>
      </c>
      <c r="X71" s="30">
        <f>E71*VLOOKUP(X$51,tech_data!$B$2:$K$15,10,FALSE)*1000</f>
        <v>540991.08079960698</v>
      </c>
      <c r="Y71" s="30">
        <f>F71*VLOOKUP(Y$51,tech_data!$B$2:$K$15,10,FALSE)*1000</f>
        <v>9778522.941702256</v>
      </c>
      <c r="Z71" s="30">
        <f>G71*VLOOKUP(Z$51,tech_data!$B$2:$K$15,10,FALSE)*1000</f>
        <v>5842377.3590953443</v>
      </c>
      <c r="AA71" s="30">
        <f>H47*VLOOKUP(AA$51,tech_data!$B$2:$K$15,10,FALSE)/1000</f>
        <v>32.653344738461534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1629.4734930818859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36490773.620010868</v>
      </c>
      <c r="AK71" s="25">
        <f t="shared" si="60"/>
        <v>5.0363471766090767E-2</v>
      </c>
      <c r="AL71" s="24">
        <f>AL70</f>
        <v>5.2999999999999999E-2</v>
      </c>
      <c r="AM71" s="26"/>
      <c r="AN71" s="24"/>
      <c r="AO71" s="20" t="str">
        <f t="shared" si="56"/>
        <v>SULAWESI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524.29848927479622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6.4965068992720294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571.18738876746932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70.67251412512735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3.9413370249321025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32.120609919546112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3.1520272537802612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192.77604370947938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711.30223116806292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2.1583612400403008E-2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0.37742380728428682</v>
      </c>
      <c r="BD71" s="30">
        <f t="shared" si="61"/>
        <v>2116.3461555621498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SULAWESI</v>
      </c>
      <c r="C76" s="20">
        <f t="shared" si="82"/>
        <v>2019</v>
      </c>
      <c r="D76" s="30">
        <f>D28*3.6/1000</f>
        <v>49.499119344</v>
      </c>
      <c r="E76" s="30">
        <f t="shared" ref="E76:O76" si="83">E28*3.6/1000</f>
        <v>3.1071414947150768</v>
      </c>
      <c r="F76" s="30">
        <f t="shared" si="83"/>
        <v>3.1383292984615383</v>
      </c>
      <c r="G76" s="30">
        <f t="shared" si="83"/>
        <v>16.117847963667693</v>
      </c>
      <c r="H76" s="30">
        <f t="shared" si="83"/>
        <v>1.8688718769230768</v>
      </c>
      <c r="I76" s="30">
        <f t="shared" si="83"/>
        <v>13.248162884381539</v>
      </c>
      <c r="J76" s="30">
        <f t="shared" si="83"/>
        <v>1.3328549700923076</v>
      </c>
      <c r="K76" s="30">
        <f t="shared" si="83"/>
        <v>2.8079654399999997E-2</v>
      </c>
      <c r="L76" s="30">
        <f t="shared" si="83"/>
        <v>0</v>
      </c>
      <c r="M76" s="30">
        <f t="shared" si="83"/>
        <v>4.4956993846153852E-3</v>
      </c>
      <c r="N76" s="30">
        <f t="shared" si="83"/>
        <v>0</v>
      </c>
      <c r="O76" s="30">
        <f t="shared" si="83"/>
        <v>0</v>
      </c>
      <c r="P76" s="30">
        <f>(sulawesi!P52*3.6/(VLOOKUP(P$51,tech_data!$B$2:$J$15,4,FALSE)/100))/1000</f>
        <v>0</v>
      </c>
      <c r="Q76" s="30">
        <f t="shared" ref="Q76:Q95" si="84">SUM(D76:O76)</f>
        <v>88.344903186025874</v>
      </c>
      <c r="R76" s="30"/>
      <c r="S76" s="23"/>
      <c r="T76" s="19"/>
      <c r="U76" s="20" t="str">
        <f t="shared" ref="U76:V91" si="85">U28</f>
        <v>SULAWESI</v>
      </c>
      <c r="V76" s="20">
        <f t="shared" si="85"/>
        <v>2019</v>
      </c>
      <c r="W76" s="30">
        <f>D52*(1-(VLOOKUP(W$75,tech_data!$B$2:$O$15,4,FALSE)/100))</f>
        <v>78.515844476689637</v>
      </c>
      <c r="X76" s="30">
        <f>E52*(1-(VLOOKUP(X$75,tech_data!$B$2:$O$15,4,FALSE)/100))</f>
        <v>5.6044701727103723</v>
      </c>
      <c r="Y76" s="30">
        <f>F52*(1-(VLOOKUP(Y$75,tech_data!$B$2:$O$15,4,FALSE)/100))</f>
        <v>2.2416637846153842</v>
      </c>
      <c r="Z76" s="30">
        <f>G52*(1-(VLOOKUP(Z$75,tech_data!$B$2:$O$15,4,FALSE)/100))</f>
        <v>18.920951957349033</v>
      </c>
      <c r="AA76" s="30">
        <f>H52*(1-(VLOOKUP(AA$75,tech_data!$B$2:$O$15,4,FALSE)/100))</f>
        <v>11.974623507692305</v>
      </c>
      <c r="AB76" s="30">
        <f>I52*(1-(VLOOKUP(AB$75,tech_data!$B$2:$O$15,4,FALSE)/100))</f>
        <v>0.69727173075692384</v>
      </c>
      <c r="AC76" s="30">
        <f>J52*(1-(VLOOKUP(AC$75,tech_data!$B$2:$O$15,4,FALSE)/100))</f>
        <v>0.33321374252307684</v>
      </c>
      <c r="AD76" s="30">
        <f>K52*(1-(VLOOKUP(AD$75,tech_data!$B$2:$O$15,4,FALSE)/100))</f>
        <v>2.3586909695999997E-2</v>
      </c>
      <c r="AE76" s="30">
        <f>L52*(1-(VLOOKUP(AE$75,tech_data!$B$2:$O$15,4,FALSE)/100))</f>
        <v>0</v>
      </c>
      <c r="AF76" s="30">
        <f>M52*(1-(VLOOKUP(AF$75,tech_data!$B$2:$O$15,4,FALSE)/100))</f>
        <v>1.0006556694789082E-2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(sulawesi!AI52*3.6/(VLOOKUP(AI$51,tech_data!$B$2:$J$15,4,FALSE)/100))/1000</f>
        <v>0</v>
      </c>
      <c r="AJ76" s="30">
        <f t="shared" ref="AJ76:AJ95" si="86">SUM(W76:AH76)</f>
        <v>118.32163283872751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SULAWESI</v>
      </c>
      <c r="C77" s="20">
        <f t="shared" si="82"/>
        <v>2020</v>
      </c>
      <c r="D77" s="30">
        <f t="shared" ref="D77:O92" si="87">D29*3.6/1000</f>
        <v>50.595824784874821</v>
      </c>
      <c r="E77" s="30">
        <f t="shared" si="87"/>
        <v>3.107141483953296</v>
      </c>
      <c r="F77" s="30">
        <f t="shared" si="87"/>
        <v>10.725170313267213</v>
      </c>
      <c r="G77" s="30">
        <f t="shared" si="87"/>
        <v>16.117847963667693</v>
      </c>
      <c r="H77" s="30">
        <f t="shared" si="87"/>
        <v>1.8688718769230768</v>
      </c>
      <c r="I77" s="30">
        <f t="shared" si="87"/>
        <v>13.248162884381539</v>
      </c>
      <c r="J77" s="30">
        <f t="shared" si="87"/>
        <v>1.3328549700923076</v>
      </c>
      <c r="K77" s="30">
        <f t="shared" si="87"/>
        <v>0.88061818361114863</v>
      </c>
      <c r="L77" s="30">
        <f t="shared" si="87"/>
        <v>0</v>
      </c>
      <c r="M77" s="30">
        <f t="shared" si="87"/>
        <v>4.4956993846153852E-3</v>
      </c>
      <c r="N77" s="30">
        <f t="shared" si="87"/>
        <v>0</v>
      </c>
      <c r="O77" s="30">
        <f t="shared" si="87"/>
        <v>0</v>
      </c>
      <c r="P77" s="30">
        <f>(sulawesi!P53*3.6/(VLOOKUP(P$51,tech_data!$B$2:$J$15,4,FALSE)/100))/1000</f>
        <v>0</v>
      </c>
      <c r="Q77" s="30">
        <f t="shared" si="84"/>
        <v>97.880988160155724</v>
      </c>
      <c r="R77" s="30"/>
      <c r="S77" s="23"/>
      <c r="T77" s="19"/>
      <c r="U77" s="20" t="str">
        <f t="shared" si="85"/>
        <v>SULAWESI</v>
      </c>
      <c r="V77" s="20">
        <f t="shared" si="85"/>
        <v>2020</v>
      </c>
      <c r="W77" s="30">
        <f>D53*(1-(VLOOKUP(W$75,tech_data!$B$2:$O$15,4,FALSE)/100))</f>
        <v>80.255446210491087</v>
      </c>
      <c r="X77" s="30">
        <f>E53*(1-(VLOOKUP(X$75,tech_data!$B$2:$O$15,4,FALSE)/100))</f>
        <v>5.6044701532989363</v>
      </c>
      <c r="Y77" s="30">
        <f>F53*(1-(VLOOKUP(Y$75,tech_data!$B$2:$O$15,4,FALSE)/100))</f>
        <v>7.6608359380480087</v>
      </c>
      <c r="Z77" s="30">
        <f>G53*(1-(VLOOKUP(Z$75,tech_data!$B$2:$O$15,4,FALSE)/100))</f>
        <v>18.920951957349033</v>
      </c>
      <c r="AA77" s="30">
        <f>H53*(1-(VLOOKUP(AA$75,tech_data!$B$2:$O$15,4,FALSE)/100))</f>
        <v>11.974623507692305</v>
      </c>
      <c r="AB77" s="30">
        <f>I53*(1-(VLOOKUP(AB$75,tech_data!$B$2:$O$15,4,FALSE)/100))</f>
        <v>0.69727173075692384</v>
      </c>
      <c r="AC77" s="30">
        <f>J53*(1-(VLOOKUP(AC$75,tech_data!$B$2:$O$15,4,FALSE)/100))</f>
        <v>0.33321374252307684</v>
      </c>
      <c r="AD77" s="30">
        <f>K53*(1-(VLOOKUP(AD$75,tech_data!$B$2:$O$15,4,FALSE)/100))</f>
        <v>0.73971927423336481</v>
      </c>
      <c r="AE77" s="30">
        <f>L53*(1-(VLOOKUP(AE$75,tech_data!$B$2:$O$15,4,FALSE)/100))</f>
        <v>0</v>
      </c>
      <c r="AF77" s="30">
        <f>M53*(1-(VLOOKUP(AF$75,tech_data!$B$2:$O$15,4,FALSE)/100))</f>
        <v>1.0006556694789082E-2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(sulawesi!AI53*3.6/(VLOOKUP(AI$51,tech_data!$B$2:$J$15,4,FALSE)/100))/1000</f>
        <v>0</v>
      </c>
      <c r="AJ77" s="30">
        <f t="shared" si="86"/>
        <v>126.19653907108751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SULAWESI</v>
      </c>
      <c r="C78" s="20">
        <f t="shared" si="82"/>
        <v>2021</v>
      </c>
      <c r="D78" s="30">
        <f t="shared" si="87"/>
        <v>51.726916590670527</v>
      </c>
      <c r="E78" s="30">
        <f t="shared" si="87"/>
        <v>3.1071414731915152</v>
      </c>
      <c r="F78" s="30">
        <f t="shared" si="87"/>
        <v>18.915034616238227</v>
      </c>
      <c r="G78" s="30">
        <f t="shared" si="87"/>
        <v>16.117847963667693</v>
      </c>
      <c r="H78" s="30">
        <f t="shared" si="87"/>
        <v>1.8688718769230768</v>
      </c>
      <c r="I78" s="30">
        <f t="shared" si="87"/>
        <v>13.574294815800817</v>
      </c>
      <c r="J78" s="30">
        <f t="shared" si="87"/>
        <v>1.3335282689639345</v>
      </c>
      <c r="K78" s="30">
        <f t="shared" si="87"/>
        <v>2.5884497593907763</v>
      </c>
      <c r="L78" s="30">
        <f t="shared" si="87"/>
        <v>4.0351084133872578E-4</v>
      </c>
      <c r="M78" s="30">
        <f t="shared" si="87"/>
        <v>4.4956993846153852E-3</v>
      </c>
      <c r="N78" s="30">
        <f t="shared" si="87"/>
        <v>0</v>
      </c>
      <c r="O78" s="30">
        <f t="shared" si="87"/>
        <v>0</v>
      </c>
      <c r="P78" s="30">
        <f>(sulawesi!P54*3.6/(VLOOKUP(P$51,tech_data!$B$2:$J$15,4,FALSE)/100))/1000</f>
        <v>0</v>
      </c>
      <c r="Q78" s="30">
        <f t="shared" si="84"/>
        <v>109.23698457507253</v>
      </c>
      <c r="R78" s="30"/>
      <c r="S78" s="23"/>
      <c r="T78" s="19"/>
      <c r="U78" s="20" t="str">
        <f t="shared" si="85"/>
        <v>SULAWESI</v>
      </c>
      <c r="V78" s="20">
        <f t="shared" si="85"/>
        <v>2021</v>
      </c>
      <c r="W78" s="30">
        <f>D54*(1-(VLOOKUP(W$75,tech_data!$B$2:$O$15,4,FALSE)/100))</f>
        <v>82.049591833477365</v>
      </c>
      <c r="X78" s="30">
        <f>E54*(1-(VLOOKUP(X$75,tech_data!$B$2:$O$15,4,FALSE)/100))</f>
        <v>5.6044701338875003</v>
      </c>
      <c r="Y78" s="30">
        <f>F54*(1-(VLOOKUP(Y$75,tech_data!$B$2:$O$15,4,FALSE)/100))</f>
        <v>13.510739011598732</v>
      </c>
      <c r="Z78" s="30">
        <f>G54*(1-(VLOOKUP(Z$75,tech_data!$B$2:$O$15,4,FALSE)/100))</f>
        <v>18.920951957349033</v>
      </c>
      <c r="AA78" s="30">
        <f>H54*(1-(VLOOKUP(AA$75,tech_data!$B$2:$O$15,4,FALSE)/100))</f>
        <v>11.974623507692305</v>
      </c>
      <c r="AB78" s="30">
        <f>I54*(1-(VLOOKUP(AB$75,tech_data!$B$2:$O$15,4,FALSE)/100))</f>
        <v>0.71443656925267518</v>
      </c>
      <c r="AC78" s="30">
        <f>J54*(1-(VLOOKUP(AC$75,tech_data!$B$2:$O$15,4,FALSE)/100))</f>
        <v>0.33338206724098357</v>
      </c>
      <c r="AD78" s="30">
        <f>K54*(1-(VLOOKUP(AD$75,tech_data!$B$2:$O$15,4,FALSE)/100))</f>
        <v>2.1742977978882521</v>
      </c>
      <c r="AE78" s="30">
        <f>L54*(1-(VLOOKUP(AE$75,tech_data!$B$2:$O$15,4,FALSE)/100))</f>
        <v>1.642289124248614E-4</v>
      </c>
      <c r="AF78" s="30">
        <f>M54*(1-(VLOOKUP(AF$75,tech_data!$B$2:$O$15,4,FALSE)/100))</f>
        <v>1.0006556694789082E-2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(sulawesi!AI54*3.6/(VLOOKUP(AI$51,tech_data!$B$2:$J$15,4,FALSE)/100))/1000</f>
        <v>0</v>
      </c>
      <c r="AJ78" s="30">
        <f t="shared" si="86"/>
        <v>135.29266366399406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SULAWESI</v>
      </c>
      <c r="C79" s="20">
        <f t="shared" si="82"/>
        <v>2022</v>
      </c>
      <c r="D79" s="30">
        <f t="shared" si="87"/>
        <v>53.204413293880336</v>
      </c>
      <c r="E79" s="30">
        <f t="shared" si="87"/>
        <v>3.1071414731915152</v>
      </c>
      <c r="F79" s="30">
        <f t="shared" si="87"/>
        <v>26.998028288890801</v>
      </c>
      <c r="G79" s="30">
        <f t="shared" si="87"/>
        <v>16.117847963667693</v>
      </c>
      <c r="H79" s="30">
        <f t="shared" si="87"/>
        <v>1.8688718769230768</v>
      </c>
      <c r="I79" s="30">
        <f t="shared" si="87"/>
        <v>13.574294815800817</v>
      </c>
      <c r="J79" s="30">
        <f t="shared" si="87"/>
        <v>1.3335282689639345</v>
      </c>
      <c r="K79" s="30">
        <f t="shared" si="87"/>
        <v>2.5884497593907763</v>
      </c>
      <c r="L79" s="30">
        <f t="shared" si="87"/>
        <v>4.8918377848039745</v>
      </c>
      <c r="M79" s="30">
        <f t="shared" si="87"/>
        <v>4.4956993846153852E-3</v>
      </c>
      <c r="N79" s="30">
        <f t="shared" si="87"/>
        <v>0</v>
      </c>
      <c r="O79" s="30">
        <f t="shared" si="87"/>
        <v>0</v>
      </c>
      <c r="P79" s="30">
        <f>(sulawesi!P55*3.6/(VLOOKUP(P$51,tech_data!$B$2:$J$15,4,FALSE)/100))/1000</f>
        <v>0</v>
      </c>
      <c r="Q79" s="30">
        <f t="shared" si="84"/>
        <v>123.68890922489753</v>
      </c>
      <c r="R79" s="30"/>
      <c r="S79" s="23"/>
      <c r="T79" s="19"/>
      <c r="U79" s="20" t="str">
        <f t="shared" si="85"/>
        <v>SULAWESI</v>
      </c>
      <c r="V79" s="20">
        <f t="shared" si="85"/>
        <v>2022</v>
      </c>
      <c r="W79" s="30">
        <f>D55*(1-(VLOOKUP(W$75,tech_data!$B$2:$O$15,4,FALSE)/100))</f>
        <v>84.393207293741213</v>
      </c>
      <c r="X79" s="30">
        <f>E55*(1-(VLOOKUP(X$75,tech_data!$B$2:$O$15,4,FALSE)/100))</f>
        <v>5.6044701338875003</v>
      </c>
      <c r="Y79" s="30">
        <f>F55*(1-(VLOOKUP(Y$75,tech_data!$B$2:$O$15,4,FALSE)/100))</f>
        <v>19.284305920636285</v>
      </c>
      <c r="Z79" s="30">
        <f>G55*(1-(VLOOKUP(Z$75,tech_data!$B$2:$O$15,4,FALSE)/100))</f>
        <v>18.920951957349033</v>
      </c>
      <c r="AA79" s="30">
        <f>H55*(1-(VLOOKUP(AA$75,tech_data!$B$2:$O$15,4,FALSE)/100))</f>
        <v>11.974623507692305</v>
      </c>
      <c r="AB79" s="30">
        <f>I55*(1-(VLOOKUP(AB$75,tech_data!$B$2:$O$15,4,FALSE)/100))</f>
        <v>0.71443656925267518</v>
      </c>
      <c r="AC79" s="30">
        <f>J55*(1-(VLOOKUP(AC$75,tech_data!$B$2:$O$15,4,FALSE)/100))</f>
        <v>0.33338206724098357</v>
      </c>
      <c r="AD79" s="30">
        <f>K55*(1-(VLOOKUP(AD$75,tech_data!$B$2:$O$15,4,FALSE)/100))</f>
        <v>2.1742977978882521</v>
      </c>
      <c r="AE79" s="30">
        <f>L55*(1-(VLOOKUP(AE$75,tech_data!$B$2:$O$15,4,FALSE)/100))</f>
        <v>1.9909779784152177</v>
      </c>
      <c r="AF79" s="30">
        <f>M55*(1-(VLOOKUP(AF$75,tech_data!$B$2:$O$15,4,FALSE)/100))</f>
        <v>1.0006556694789082E-2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(sulawesi!AI55*3.6/(VLOOKUP(AI$51,tech_data!$B$2:$J$15,4,FALSE)/100))/1000</f>
        <v>0</v>
      </c>
      <c r="AJ79" s="30">
        <f t="shared" si="86"/>
        <v>145.40065978279827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SULAWESI</v>
      </c>
      <c r="C80" s="20">
        <f t="shared" si="82"/>
        <v>2023</v>
      </c>
      <c r="D80" s="30">
        <f t="shared" si="87"/>
        <v>53.204413293880336</v>
      </c>
      <c r="E80" s="30">
        <f t="shared" si="87"/>
        <v>3.1071414731915152</v>
      </c>
      <c r="F80" s="30">
        <f t="shared" si="87"/>
        <v>27.779064733078656</v>
      </c>
      <c r="G80" s="30">
        <f t="shared" si="87"/>
        <v>22.127002468747648</v>
      </c>
      <c r="H80" s="30">
        <f t="shared" si="87"/>
        <v>1.8688718769230768</v>
      </c>
      <c r="I80" s="30">
        <f t="shared" si="87"/>
        <v>13.574294815800817</v>
      </c>
      <c r="J80" s="30">
        <f t="shared" si="87"/>
        <v>1.3335282689639345</v>
      </c>
      <c r="K80" s="30">
        <f t="shared" si="87"/>
        <v>2.5884497593907763</v>
      </c>
      <c r="L80" s="30">
        <f t="shared" si="87"/>
        <v>5.9027376438365602</v>
      </c>
      <c r="M80" s="30">
        <f t="shared" si="87"/>
        <v>4.4956993846153852E-3</v>
      </c>
      <c r="N80" s="30">
        <f t="shared" si="87"/>
        <v>0</v>
      </c>
      <c r="O80" s="30">
        <f t="shared" si="87"/>
        <v>0</v>
      </c>
      <c r="P80" s="30">
        <f>(sulawesi!P56*3.6/(VLOOKUP(P$51,tech_data!$B$2:$J$15,4,FALSE)/100))/1000</f>
        <v>0</v>
      </c>
      <c r="Q80" s="30">
        <f t="shared" si="84"/>
        <v>131.49000003319793</v>
      </c>
      <c r="R80" s="30"/>
      <c r="S80" s="23"/>
      <c r="T80" s="19"/>
      <c r="U80" s="20" t="str">
        <f t="shared" si="85"/>
        <v>SULAWESI</v>
      </c>
      <c r="V80" s="20">
        <f t="shared" si="85"/>
        <v>2023</v>
      </c>
      <c r="W80" s="30">
        <f>D56*(1-(VLOOKUP(W$75,tech_data!$B$2:$O$15,4,FALSE)/100))</f>
        <v>84.393207293741213</v>
      </c>
      <c r="X80" s="30">
        <f>E56*(1-(VLOOKUP(X$75,tech_data!$B$2:$O$15,4,FALSE)/100))</f>
        <v>5.6044701338875003</v>
      </c>
      <c r="Y80" s="30">
        <f>F56*(1-(VLOOKUP(Y$75,tech_data!$B$2:$O$15,4,FALSE)/100))</f>
        <v>19.842189095056181</v>
      </c>
      <c r="Z80" s="30">
        <f>G56*(1-(VLOOKUP(Z$75,tech_data!$B$2:$O$15,4,FALSE)/100))</f>
        <v>25.975176811138542</v>
      </c>
      <c r="AA80" s="30">
        <f>H56*(1-(VLOOKUP(AA$75,tech_data!$B$2:$O$15,4,FALSE)/100))</f>
        <v>11.974623507692305</v>
      </c>
      <c r="AB80" s="30">
        <f>I56*(1-(VLOOKUP(AB$75,tech_data!$B$2:$O$15,4,FALSE)/100))</f>
        <v>0.71443656925267518</v>
      </c>
      <c r="AC80" s="30">
        <f>J56*(1-(VLOOKUP(AC$75,tech_data!$B$2:$O$15,4,FALSE)/100))</f>
        <v>0.33338206724098357</v>
      </c>
      <c r="AD80" s="30">
        <f>K56*(1-(VLOOKUP(AD$75,tech_data!$B$2:$O$15,4,FALSE)/100))</f>
        <v>2.1742977978882521</v>
      </c>
      <c r="AE80" s="30">
        <f>L56*(1-(VLOOKUP(AE$75,tech_data!$B$2:$O$15,4,FALSE)/100))</f>
        <v>2.4024142210414801</v>
      </c>
      <c r="AF80" s="30">
        <f>M56*(1-(VLOOKUP(AF$75,tech_data!$B$2:$O$15,4,FALSE)/100))</f>
        <v>1.0006556694789082E-2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(sulawesi!AI56*3.6/(VLOOKUP(AI$51,tech_data!$B$2:$J$15,4,FALSE)/100))/1000</f>
        <v>0</v>
      </c>
      <c r="AJ80" s="30">
        <f t="shared" si="86"/>
        <v>153.42420405363393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SULAWESI</v>
      </c>
      <c r="C81" s="20">
        <f t="shared" si="82"/>
        <v>2024</v>
      </c>
      <c r="D81" s="30">
        <f t="shared" si="87"/>
        <v>53.204413293880336</v>
      </c>
      <c r="E81" s="30">
        <f t="shared" si="87"/>
        <v>3.1071414731915152</v>
      </c>
      <c r="F81" s="30">
        <f t="shared" si="87"/>
        <v>32.718105877029259</v>
      </c>
      <c r="G81" s="30">
        <f t="shared" si="87"/>
        <v>23.529645656781398</v>
      </c>
      <c r="H81" s="30">
        <f t="shared" si="87"/>
        <v>1.8688718769230768</v>
      </c>
      <c r="I81" s="30">
        <f t="shared" si="87"/>
        <v>13.574294815800817</v>
      </c>
      <c r="J81" s="30">
        <f t="shared" si="87"/>
        <v>1.3335282689639345</v>
      </c>
      <c r="K81" s="30">
        <f t="shared" si="87"/>
        <v>2.5884497593907763</v>
      </c>
      <c r="L81" s="30">
        <f t="shared" si="87"/>
        <v>10.749854527197412</v>
      </c>
      <c r="M81" s="30">
        <f t="shared" si="87"/>
        <v>4.4956993846153852E-3</v>
      </c>
      <c r="N81" s="30">
        <f t="shared" si="87"/>
        <v>0</v>
      </c>
      <c r="O81" s="30">
        <f t="shared" si="87"/>
        <v>0</v>
      </c>
      <c r="P81" s="30">
        <f>(sulawesi!P57*3.6/(VLOOKUP(P$51,tech_data!$B$2:$J$15,4,FALSE)/100))/1000</f>
        <v>0</v>
      </c>
      <c r="Q81" s="30">
        <f t="shared" si="84"/>
        <v>142.67880124854315</v>
      </c>
      <c r="R81" s="30"/>
      <c r="S81" s="23"/>
      <c r="T81" s="19"/>
      <c r="U81" s="20" t="str">
        <f t="shared" si="85"/>
        <v>SULAWESI</v>
      </c>
      <c r="V81" s="20">
        <f t="shared" si="85"/>
        <v>2024</v>
      </c>
      <c r="W81" s="30">
        <f>D57*(1-(VLOOKUP(W$75,tech_data!$B$2:$O$15,4,FALSE)/100))</f>
        <v>84.393207293741213</v>
      </c>
      <c r="X81" s="30">
        <f>E57*(1-(VLOOKUP(X$75,tech_data!$B$2:$O$15,4,FALSE)/100))</f>
        <v>5.6044701338875003</v>
      </c>
      <c r="Y81" s="30">
        <f>F57*(1-(VLOOKUP(Y$75,tech_data!$B$2:$O$15,4,FALSE)/100))</f>
        <v>23.37007562644947</v>
      </c>
      <c r="Z81" s="30">
        <f>G57*(1-(VLOOKUP(Z$75,tech_data!$B$2:$O$15,4,FALSE)/100))</f>
        <v>27.621757944917295</v>
      </c>
      <c r="AA81" s="30">
        <f>H57*(1-(VLOOKUP(AA$75,tech_data!$B$2:$O$15,4,FALSE)/100))</f>
        <v>11.974623507692305</v>
      </c>
      <c r="AB81" s="30">
        <f>I57*(1-(VLOOKUP(AB$75,tech_data!$B$2:$O$15,4,FALSE)/100))</f>
        <v>0.71443656925267518</v>
      </c>
      <c r="AC81" s="30">
        <f>J57*(1-(VLOOKUP(AC$75,tech_data!$B$2:$O$15,4,FALSE)/100))</f>
        <v>0.33338206724098357</v>
      </c>
      <c r="AD81" s="30">
        <f>K57*(1-(VLOOKUP(AD$75,tech_data!$B$2:$O$15,4,FALSE)/100))</f>
        <v>2.1742977978882521</v>
      </c>
      <c r="AE81" s="30">
        <f>L57*(1-(VLOOKUP(AE$75,tech_data!$B$2:$O$15,4,FALSE)/100))</f>
        <v>4.375190792569347</v>
      </c>
      <c r="AF81" s="30">
        <f>M57*(1-(VLOOKUP(AF$75,tech_data!$B$2:$O$15,4,FALSE)/100))</f>
        <v>1.0006556694789082E-2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(sulawesi!AI57*3.6/(VLOOKUP(AI$51,tech_data!$B$2:$J$15,4,FALSE)/100))/1000</f>
        <v>0</v>
      </c>
      <c r="AJ81" s="30">
        <f t="shared" si="86"/>
        <v>160.57144829033385</v>
      </c>
      <c r="AK81" s="30"/>
      <c r="AL81" s="23"/>
    </row>
    <row r="82" spans="1:38" x14ac:dyDescent="0.25">
      <c r="A82" s="19"/>
      <c r="B82" s="20" t="str">
        <f t="shared" si="82"/>
        <v>SULAWESI</v>
      </c>
      <c r="C82" s="20">
        <f t="shared" si="82"/>
        <v>2025</v>
      </c>
      <c r="D82" s="30">
        <f t="shared" si="87"/>
        <v>53.204413293880336</v>
      </c>
      <c r="E82" s="30">
        <f t="shared" si="87"/>
        <v>3.1071414731915152</v>
      </c>
      <c r="F82" s="30">
        <f t="shared" si="87"/>
        <v>38.357025362173047</v>
      </c>
      <c r="G82" s="30">
        <f t="shared" si="87"/>
        <v>25.148348378744554</v>
      </c>
      <c r="H82" s="30">
        <f t="shared" si="87"/>
        <v>1.8688718769230768</v>
      </c>
      <c r="I82" s="30">
        <f t="shared" si="87"/>
        <v>13.574294815800817</v>
      </c>
      <c r="J82" s="30">
        <f t="shared" si="87"/>
        <v>1.3335282689639345</v>
      </c>
      <c r="K82" s="30">
        <f t="shared" si="87"/>
        <v>2.5884497593907763</v>
      </c>
      <c r="L82" s="30">
        <f t="shared" si="87"/>
        <v>16.419831610057159</v>
      </c>
      <c r="M82" s="30">
        <f t="shared" si="87"/>
        <v>4.4956993846153852E-3</v>
      </c>
      <c r="N82" s="30">
        <f t="shared" si="87"/>
        <v>0</v>
      </c>
      <c r="O82" s="30">
        <f t="shared" si="87"/>
        <v>0</v>
      </c>
      <c r="P82" s="30">
        <f>(sulawesi!P58*3.6/(VLOOKUP(P$51,tech_data!$B$2:$J$15,4,FALSE)/100))/1000</f>
        <v>0</v>
      </c>
      <c r="Q82" s="30">
        <f t="shared" si="84"/>
        <v>155.60640053850983</v>
      </c>
      <c r="R82" s="30"/>
      <c r="S82" s="23"/>
      <c r="T82" s="19"/>
      <c r="U82" s="20" t="str">
        <f t="shared" si="85"/>
        <v>SULAWESI</v>
      </c>
      <c r="V82" s="20">
        <f t="shared" si="85"/>
        <v>2025</v>
      </c>
      <c r="W82" s="30">
        <f>D58*(1-(VLOOKUP(W$75,tech_data!$B$2:$O$15,4,FALSE)/100))</f>
        <v>84.393207293741213</v>
      </c>
      <c r="X82" s="30">
        <f>E58*(1-(VLOOKUP(X$75,tech_data!$B$2:$O$15,4,FALSE)/100))</f>
        <v>5.6044701338875003</v>
      </c>
      <c r="Y82" s="30">
        <f>F58*(1-(VLOOKUP(Y$75,tech_data!$B$2:$O$15,4,FALSE)/100))</f>
        <v>27.397875258695027</v>
      </c>
      <c r="Z82" s="30">
        <f>G58*(1-(VLOOKUP(Z$75,tech_data!$B$2:$O$15,4,FALSE)/100))</f>
        <v>29.521974183743609</v>
      </c>
      <c r="AA82" s="30">
        <f>H58*(1-(VLOOKUP(AA$75,tech_data!$B$2:$O$15,4,FALSE)/100))</f>
        <v>11.974623507692305</v>
      </c>
      <c r="AB82" s="30">
        <f>I58*(1-(VLOOKUP(AB$75,tech_data!$B$2:$O$15,4,FALSE)/100))</f>
        <v>0.71443656925267518</v>
      </c>
      <c r="AC82" s="30">
        <f>J58*(1-(VLOOKUP(AC$75,tech_data!$B$2:$O$15,4,FALSE)/100))</f>
        <v>0.33338206724098357</v>
      </c>
      <c r="AD82" s="30">
        <f>K58*(1-(VLOOKUP(AD$75,tech_data!$B$2:$O$15,4,FALSE)/100))</f>
        <v>2.1742977978882521</v>
      </c>
      <c r="AE82" s="30">
        <f>L58*(1-(VLOOKUP(AE$75,tech_data!$B$2:$O$15,4,FALSE)/100))</f>
        <v>6.6828714652932639</v>
      </c>
      <c r="AF82" s="30">
        <f>M58*(1-(VLOOKUP(AF$75,tech_data!$B$2:$O$15,4,FALSE)/100))</f>
        <v>1.0006556694789082E-2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(sulawesi!AI58*3.6/(VLOOKUP(AI$51,tech_data!$B$2:$J$15,4,FALSE)/100))/1000</f>
        <v>0</v>
      </c>
      <c r="AJ82" s="30">
        <f t="shared" si="86"/>
        <v>168.80714483412962</v>
      </c>
      <c r="AK82" s="30"/>
      <c r="AL82" s="23"/>
    </row>
    <row r="83" spans="1:38" x14ac:dyDescent="0.25">
      <c r="A83" s="19"/>
      <c r="B83" s="20" t="str">
        <f t="shared" si="82"/>
        <v>SULAWESI</v>
      </c>
      <c r="C83" s="20">
        <f t="shared" si="82"/>
        <v>2026</v>
      </c>
      <c r="D83" s="30">
        <f t="shared" si="87"/>
        <v>53.204413293880336</v>
      </c>
      <c r="E83" s="30">
        <f t="shared" si="87"/>
        <v>3.1071414731915152</v>
      </c>
      <c r="F83" s="30">
        <f t="shared" si="87"/>
        <v>44.766493981401659</v>
      </c>
      <c r="G83" s="30">
        <f t="shared" si="87"/>
        <v>26.312582228052936</v>
      </c>
      <c r="H83" s="30">
        <f t="shared" si="87"/>
        <v>1.8688718769230768</v>
      </c>
      <c r="I83" s="30">
        <f t="shared" si="87"/>
        <v>13.574294815800817</v>
      </c>
      <c r="J83" s="30">
        <f t="shared" si="87"/>
        <v>1.3335282689639345</v>
      </c>
      <c r="K83" s="30">
        <f t="shared" si="87"/>
        <v>2.6374451505472609</v>
      </c>
      <c r="L83" s="30">
        <f t="shared" si="87"/>
        <v>19.323533166402143</v>
      </c>
      <c r="M83" s="30">
        <f t="shared" si="87"/>
        <v>4.4956993846153852E-3</v>
      </c>
      <c r="N83" s="30">
        <f t="shared" si="87"/>
        <v>0</v>
      </c>
      <c r="O83" s="30">
        <f t="shared" si="87"/>
        <v>0</v>
      </c>
      <c r="P83" s="30">
        <f>(sulawesi!P59*3.6/(VLOOKUP(P$51,tech_data!$B$2:$J$15,4,FALSE)/100))/1000</f>
        <v>0</v>
      </c>
      <c r="Q83" s="30">
        <f t="shared" si="84"/>
        <v>166.13279995454829</v>
      </c>
      <c r="R83" s="30"/>
      <c r="S83" s="23"/>
      <c r="T83" s="19"/>
      <c r="U83" s="20" t="str">
        <f t="shared" si="85"/>
        <v>SULAWESI</v>
      </c>
      <c r="V83" s="20">
        <f t="shared" si="85"/>
        <v>2026</v>
      </c>
      <c r="W83" s="30">
        <f>D59*(1-(VLOOKUP(W$75,tech_data!$B$2:$O$15,4,FALSE)/100))</f>
        <v>84.393207293741213</v>
      </c>
      <c r="X83" s="30">
        <f>E59*(1-(VLOOKUP(X$75,tech_data!$B$2:$O$15,4,FALSE)/100))</f>
        <v>5.6044701338875003</v>
      </c>
      <c r="Y83" s="30">
        <f>F59*(1-(VLOOKUP(Y$75,tech_data!$B$2:$O$15,4,FALSE)/100))</f>
        <v>31.976067129572613</v>
      </c>
      <c r="Z83" s="30">
        <f>G59*(1-(VLOOKUP(Z$75,tech_data!$B$2:$O$15,4,FALSE)/100))</f>
        <v>30.888683485105616</v>
      </c>
      <c r="AA83" s="30">
        <f>H59*(1-(VLOOKUP(AA$75,tech_data!$B$2:$O$15,4,FALSE)/100))</f>
        <v>11.974623507692305</v>
      </c>
      <c r="AB83" s="30">
        <f>I59*(1-(VLOOKUP(AB$75,tech_data!$B$2:$O$15,4,FALSE)/100))</f>
        <v>0.71443656925267518</v>
      </c>
      <c r="AC83" s="30">
        <f>J59*(1-(VLOOKUP(AC$75,tech_data!$B$2:$O$15,4,FALSE)/100))</f>
        <v>0.33338206724098357</v>
      </c>
      <c r="AD83" s="30">
        <f>K59*(1-(VLOOKUP(AD$75,tech_data!$B$2:$O$15,4,FALSE)/100))</f>
        <v>2.2154539264596993</v>
      </c>
      <c r="AE83" s="30">
        <f>L59*(1-(VLOOKUP(AE$75,tech_data!$B$2:$O$15,4,FALSE)/100))</f>
        <v>7.8646779987256732</v>
      </c>
      <c r="AF83" s="30">
        <f>M59*(1-(VLOOKUP(AF$75,tech_data!$B$2:$O$15,4,FALSE)/100))</f>
        <v>1.0006556694789082E-2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(sulawesi!AI59*3.6/(VLOOKUP(AI$51,tech_data!$B$2:$J$15,4,FALSE)/100))/1000</f>
        <v>0</v>
      </c>
      <c r="AJ83" s="30">
        <f t="shared" si="86"/>
        <v>175.97500866837308</v>
      </c>
      <c r="AK83" s="30"/>
      <c r="AL83" s="23"/>
    </row>
    <row r="84" spans="1:38" x14ac:dyDescent="0.25">
      <c r="A84" s="19"/>
      <c r="B84" s="20" t="str">
        <f t="shared" si="82"/>
        <v>SULAWESI</v>
      </c>
      <c r="C84" s="20">
        <f t="shared" si="82"/>
        <v>2027</v>
      </c>
      <c r="D84" s="30">
        <f t="shared" si="87"/>
        <v>53.204413293880336</v>
      </c>
      <c r="E84" s="30">
        <f t="shared" si="87"/>
        <v>3.1071414731915152</v>
      </c>
      <c r="F84" s="30">
        <f t="shared" si="87"/>
        <v>52.799101256063821</v>
      </c>
      <c r="G84" s="30">
        <f t="shared" si="87"/>
        <v>27.837033333121088</v>
      </c>
      <c r="H84" s="30">
        <f t="shared" si="87"/>
        <v>1.8688718769230768</v>
      </c>
      <c r="I84" s="30">
        <f t="shared" si="87"/>
        <v>13.574294815800817</v>
      </c>
      <c r="J84" s="30">
        <f t="shared" si="87"/>
        <v>1.3335282689639345</v>
      </c>
      <c r="K84" s="30">
        <f t="shared" si="87"/>
        <v>3.0305764429664017</v>
      </c>
      <c r="L84" s="30">
        <f t="shared" si="87"/>
        <v>22.585343430427308</v>
      </c>
      <c r="M84" s="30">
        <f t="shared" si="87"/>
        <v>4.4956993846153852E-3</v>
      </c>
      <c r="N84" s="30">
        <f t="shared" si="87"/>
        <v>0</v>
      </c>
      <c r="O84" s="30">
        <f t="shared" si="87"/>
        <v>0</v>
      </c>
      <c r="P84" s="30">
        <f>(sulawesi!P60*3.6/(VLOOKUP(P$51,tech_data!$B$2:$J$15,4,FALSE)/100))/1000</f>
        <v>0</v>
      </c>
      <c r="Q84" s="30">
        <f t="shared" si="84"/>
        <v>179.34479989072292</v>
      </c>
      <c r="R84" s="30"/>
      <c r="S84" s="23"/>
      <c r="T84" s="19"/>
      <c r="U84" s="20" t="str">
        <f t="shared" si="85"/>
        <v>SULAWESI</v>
      </c>
      <c r="V84" s="20">
        <f t="shared" si="85"/>
        <v>2027</v>
      </c>
      <c r="W84" s="30">
        <f>D60*(1-(VLOOKUP(W$75,tech_data!$B$2:$O$15,4,FALSE)/100))</f>
        <v>84.393207293741213</v>
      </c>
      <c r="X84" s="30">
        <f>E60*(1-(VLOOKUP(X$75,tech_data!$B$2:$O$15,4,FALSE)/100))</f>
        <v>5.6044701338875003</v>
      </c>
      <c r="Y84" s="30">
        <f>F60*(1-(VLOOKUP(Y$75,tech_data!$B$2:$O$15,4,FALSE)/100))</f>
        <v>37.713643754331294</v>
      </c>
      <c r="Z84" s="30">
        <f>G60*(1-(VLOOKUP(Z$75,tech_data!$B$2:$O$15,4,FALSE)/100))</f>
        <v>32.678256521489978</v>
      </c>
      <c r="AA84" s="30">
        <f>H60*(1-(VLOOKUP(AA$75,tech_data!$B$2:$O$15,4,FALSE)/100))</f>
        <v>11.974623507692305</v>
      </c>
      <c r="AB84" s="30">
        <f>I60*(1-(VLOOKUP(AB$75,tech_data!$B$2:$O$15,4,FALSE)/100))</f>
        <v>0.71443656925267518</v>
      </c>
      <c r="AC84" s="30">
        <f>J60*(1-(VLOOKUP(AC$75,tech_data!$B$2:$O$15,4,FALSE)/100))</f>
        <v>0.33338206724098357</v>
      </c>
      <c r="AD84" s="30">
        <f>K60*(1-(VLOOKUP(AD$75,tech_data!$B$2:$O$15,4,FALSE)/100))</f>
        <v>2.5456842120917775</v>
      </c>
      <c r="AE84" s="30">
        <f>L60*(1-(VLOOKUP(AE$75,tech_data!$B$2:$O$15,4,FALSE)/100))</f>
        <v>9.1922347761839145</v>
      </c>
      <c r="AF84" s="30">
        <f>M60*(1-(VLOOKUP(AF$75,tech_data!$B$2:$O$15,4,FALSE)/100))</f>
        <v>1.0006556694789082E-2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(sulawesi!AI60*3.6/(VLOOKUP(AI$51,tech_data!$B$2:$J$15,4,FALSE)/100))/1000</f>
        <v>0</v>
      </c>
      <c r="AJ84" s="30">
        <f t="shared" si="86"/>
        <v>185.15994539260643</v>
      </c>
      <c r="AK84" s="30"/>
      <c r="AL84" s="23"/>
    </row>
    <row r="85" spans="1:38" x14ac:dyDescent="0.25">
      <c r="A85" s="19"/>
      <c r="B85" s="20" t="str">
        <f t="shared" si="82"/>
        <v>SULAWESI</v>
      </c>
      <c r="C85" s="20">
        <f t="shared" si="82"/>
        <v>2028</v>
      </c>
      <c r="D85" s="30">
        <f t="shared" si="87"/>
        <v>54.497016057300876</v>
      </c>
      <c r="E85" s="30">
        <f t="shared" si="87"/>
        <v>3.1071414731915152</v>
      </c>
      <c r="F85" s="30">
        <f t="shared" si="87"/>
        <v>55.150749736532596</v>
      </c>
      <c r="G85" s="30">
        <f t="shared" si="87"/>
        <v>28.19587850174937</v>
      </c>
      <c r="H85" s="30">
        <f t="shared" si="87"/>
        <v>1.8688718769230768</v>
      </c>
      <c r="I85" s="30">
        <f t="shared" si="87"/>
        <v>13.574294815800817</v>
      </c>
      <c r="J85" s="30">
        <f t="shared" si="87"/>
        <v>1.3335282689639345</v>
      </c>
      <c r="K85" s="30">
        <f t="shared" si="87"/>
        <v>3.3334221179968728</v>
      </c>
      <c r="L85" s="30">
        <f t="shared" si="87"/>
        <v>24.298601730468476</v>
      </c>
      <c r="M85" s="30">
        <f t="shared" si="87"/>
        <v>4.4956993846153852E-3</v>
      </c>
      <c r="N85" s="30">
        <f t="shared" si="87"/>
        <v>0</v>
      </c>
      <c r="O85" s="30">
        <f t="shared" si="87"/>
        <v>0</v>
      </c>
      <c r="P85" s="30">
        <f>(sulawesi!P61*3.6/(VLOOKUP(P$51,tech_data!$B$2:$J$15,4,FALSE)/100))/1000</f>
        <v>0</v>
      </c>
      <c r="Q85" s="30">
        <f t="shared" si="84"/>
        <v>185.36400027831212</v>
      </c>
      <c r="R85" s="30"/>
      <c r="S85" s="23"/>
      <c r="T85" s="19"/>
      <c r="U85" s="20" t="str">
        <f t="shared" si="85"/>
        <v>SULAWESI</v>
      </c>
      <c r="V85" s="20">
        <f t="shared" si="85"/>
        <v>2028</v>
      </c>
      <c r="W85" s="30">
        <f>D61*(1-(VLOOKUP(W$75,tech_data!$B$2:$O$15,4,FALSE)/100))</f>
        <v>86.44354271158069</v>
      </c>
      <c r="X85" s="30">
        <f>E61*(1-(VLOOKUP(X$75,tech_data!$B$2:$O$15,4,FALSE)/100))</f>
        <v>5.6044701338875003</v>
      </c>
      <c r="Y85" s="30">
        <f>F61*(1-(VLOOKUP(Y$75,tech_data!$B$2:$O$15,4,FALSE)/100))</f>
        <v>39.393392668951854</v>
      </c>
      <c r="Z85" s="30">
        <f>G61*(1-(VLOOKUP(Z$75,tech_data!$B$2:$O$15,4,FALSE)/100))</f>
        <v>33.099509545531866</v>
      </c>
      <c r="AA85" s="30">
        <f>H61*(1-(VLOOKUP(AA$75,tech_data!$B$2:$O$15,4,FALSE)/100))</f>
        <v>11.974623507692305</v>
      </c>
      <c r="AB85" s="30">
        <f>I61*(1-(VLOOKUP(AB$75,tech_data!$B$2:$O$15,4,FALSE)/100))</f>
        <v>0.71443656925267518</v>
      </c>
      <c r="AC85" s="30">
        <f>J61*(1-(VLOOKUP(AC$75,tech_data!$B$2:$O$15,4,FALSE)/100))</f>
        <v>0.33338206724098357</v>
      </c>
      <c r="AD85" s="30">
        <f>K61*(1-(VLOOKUP(AD$75,tech_data!$B$2:$O$15,4,FALSE)/100))</f>
        <v>2.8000745791173731</v>
      </c>
      <c r="AE85" s="30">
        <f>L61*(1-(VLOOKUP(AE$75,tech_data!$B$2:$O$15,4,FALSE)/100))</f>
        <v>9.8895309043006705</v>
      </c>
      <c r="AF85" s="30">
        <f>M61*(1-(VLOOKUP(AF$75,tech_data!$B$2:$O$15,4,FALSE)/100))</f>
        <v>1.0006556694789082E-2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(sulawesi!AI61*3.6/(VLOOKUP(AI$51,tech_data!$B$2:$J$15,4,FALSE)/100))/1000</f>
        <v>0</v>
      </c>
      <c r="AJ85" s="30">
        <f t="shared" si="86"/>
        <v>190.26296924425071</v>
      </c>
      <c r="AK85" s="30"/>
      <c r="AL85" s="23"/>
    </row>
    <row r="86" spans="1:38" x14ac:dyDescent="0.25">
      <c r="A86" s="19"/>
      <c r="B86" s="20" t="str">
        <f t="shared" si="82"/>
        <v>SULAWESI</v>
      </c>
      <c r="C86" s="20">
        <f t="shared" si="82"/>
        <v>2029</v>
      </c>
      <c r="D86" s="30">
        <f t="shared" si="87"/>
        <v>56.018447797796753</v>
      </c>
      <c r="E86" s="30">
        <f t="shared" si="87"/>
        <v>3.1071414731915152</v>
      </c>
      <c r="F86" s="30">
        <f t="shared" si="87"/>
        <v>57.540761333532792</v>
      </c>
      <c r="G86" s="30">
        <f t="shared" si="87"/>
        <v>28.597925616430643</v>
      </c>
      <c r="H86" s="30">
        <f t="shared" si="87"/>
        <v>1.8688718769230768</v>
      </c>
      <c r="I86" s="30">
        <f t="shared" si="87"/>
        <v>13.574294815800817</v>
      </c>
      <c r="J86" s="30">
        <f t="shared" si="87"/>
        <v>1.3335282689639345</v>
      </c>
      <c r="K86" s="30">
        <f t="shared" si="87"/>
        <v>3.6708302833115174</v>
      </c>
      <c r="L86" s="30">
        <f t="shared" si="87"/>
        <v>26.127702173808647</v>
      </c>
      <c r="M86" s="30">
        <f t="shared" si="87"/>
        <v>4.4956993846153852E-3</v>
      </c>
      <c r="N86" s="30">
        <f t="shared" si="87"/>
        <v>0</v>
      </c>
      <c r="O86" s="30">
        <f t="shared" si="87"/>
        <v>0</v>
      </c>
      <c r="P86" s="30">
        <f>(sulawesi!P62*3.6/(VLOOKUP(P$51,tech_data!$B$2:$J$15,4,FALSE)/100))/1000</f>
        <v>0</v>
      </c>
      <c r="Q86" s="30">
        <f t="shared" si="84"/>
        <v>191.84399933914429</v>
      </c>
      <c r="R86" s="30"/>
      <c r="S86" s="23"/>
      <c r="T86" s="19"/>
      <c r="U86" s="20" t="str">
        <f t="shared" si="85"/>
        <v>SULAWESI</v>
      </c>
      <c r="V86" s="20">
        <f t="shared" si="85"/>
        <v>2029</v>
      </c>
      <c r="W86" s="30">
        <f>D62*(1-(VLOOKUP(W$75,tech_data!$B$2:$O$15,4,FALSE)/100))</f>
        <v>88.85684823098795</v>
      </c>
      <c r="X86" s="30">
        <f>E62*(1-(VLOOKUP(X$75,tech_data!$B$2:$O$15,4,FALSE)/100))</f>
        <v>5.6044701338875003</v>
      </c>
      <c r="Y86" s="30">
        <f>F62*(1-(VLOOKUP(Y$75,tech_data!$B$2:$O$15,4,FALSE)/100))</f>
        <v>41.10054380966627</v>
      </c>
      <c r="Z86" s="30">
        <f>G62*(1-(VLOOKUP(Z$75,tech_data!$B$2:$O$15,4,FALSE)/100))</f>
        <v>33.571477897549016</v>
      </c>
      <c r="AA86" s="30">
        <f>H62*(1-(VLOOKUP(AA$75,tech_data!$B$2:$O$15,4,FALSE)/100))</f>
        <v>11.974623507692305</v>
      </c>
      <c r="AB86" s="30">
        <f>I62*(1-(VLOOKUP(AB$75,tech_data!$B$2:$O$15,4,FALSE)/100))</f>
        <v>0.71443656925267518</v>
      </c>
      <c r="AC86" s="30">
        <f>J62*(1-(VLOOKUP(AC$75,tech_data!$B$2:$O$15,4,FALSE)/100))</f>
        <v>0.33338206724098357</v>
      </c>
      <c r="AD86" s="30">
        <f>K62*(1-(VLOOKUP(AD$75,tech_data!$B$2:$O$15,4,FALSE)/100))</f>
        <v>3.0834974379816744</v>
      </c>
      <c r="AE86" s="30">
        <f>L62*(1-(VLOOKUP(AE$75,tech_data!$B$2:$O$15,4,FALSE)/100))</f>
        <v>10.63397478474012</v>
      </c>
      <c r="AF86" s="30">
        <f>M62*(1-(VLOOKUP(AF$75,tech_data!$B$2:$O$15,4,FALSE)/100))</f>
        <v>1.0006556694789082E-2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(sulawesi!AI62*3.6/(VLOOKUP(AI$51,tech_data!$B$2:$J$15,4,FALSE)/100))/1000</f>
        <v>0</v>
      </c>
      <c r="AJ86" s="30">
        <f t="shared" si="86"/>
        <v>195.88326099569329</v>
      </c>
      <c r="AK86" s="30"/>
      <c r="AL86" s="23"/>
    </row>
    <row r="87" spans="1:38" x14ac:dyDescent="0.25">
      <c r="A87" s="19"/>
      <c r="B87" s="20" t="str">
        <f t="shared" si="82"/>
        <v>SULAWESI</v>
      </c>
      <c r="C87" s="20">
        <f t="shared" si="82"/>
        <v>2030</v>
      </c>
      <c r="D87" s="30">
        <f t="shared" si="87"/>
        <v>57.612095966695833</v>
      </c>
      <c r="E87" s="30">
        <f t="shared" si="87"/>
        <v>3.1071414731915152</v>
      </c>
      <c r="F87" s="30">
        <f t="shared" si="87"/>
        <v>60.050163326766992</v>
      </c>
      <c r="G87" s="30">
        <f t="shared" si="87"/>
        <v>29.022048663419319</v>
      </c>
      <c r="H87" s="30">
        <f t="shared" si="87"/>
        <v>1.8688718769230768</v>
      </c>
      <c r="I87" s="30">
        <f t="shared" si="87"/>
        <v>13.574294815800817</v>
      </c>
      <c r="J87" s="30">
        <f t="shared" si="87"/>
        <v>1.3335282689639345</v>
      </c>
      <c r="K87" s="30">
        <f t="shared" si="87"/>
        <v>4.0439659306456237</v>
      </c>
      <c r="L87" s="30">
        <f t="shared" si="87"/>
        <v>28.045793734820148</v>
      </c>
      <c r="M87" s="30">
        <f t="shared" si="87"/>
        <v>4.4956993846153852E-3</v>
      </c>
      <c r="N87" s="30">
        <f t="shared" si="87"/>
        <v>0</v>
      </c>
      <c r="O87" s="30">
        <f t="shared" si="87"/>
        <v>0</v>
      </c>
      <c r="P87" s="30">
        <f>(sulawesi!P63*3.6/(VLOOKUP(P$51,tech_data!$B$2:$J$15,4,FALSE)/100))/1000</f>
        <v>0</v>
      </c>
      <c r="Q87" s="30">
        <f t="shared" si="84"/>
        <v>198.66239975661185</v>
      </c>
      <c r="R87" s="30"/>
      <c r="S87" s="23"/>
      <c r="T87" s="19"/>
      <c r="U87" s="20" t="str">
        <f t="shared" si="85"/>
        <v>SULAWESI</v>
      </c>
      <c r="V87" s="20">
        <f t="shared" si="85"/>
        <v>2030</v>
      </c>
      <c r="W87" s="30">
        <f>D63*(1-(VLOOKUP(W$75,tech_data!$B$2:$O$15,4,FALSE)/100))</f>
        <v>91.384703947172696</v>
      </c>
      <c r="X87" s="30">
        <f>E63*(1-(VLOOKUP(X$75,tech_data!$B$2:$O$15,4,FALSE)/100))</f>
        <v>5.6044701338875003</v>
      </c>
      <c r="Y87" s="30">
        <f>F63*(1-(VLOOKUP(Y$75,tech_data!$B$2:$O$15,4,FALSE)/100))</f>
        <v>42.892973804833559</v>
      </c>
      <c r="Z87" s="30">
        <f>G63*(1-(VLOOKUP(Z$75,tech_data!$B$2:$O$15,4,FALSE)/100))</f>
        <v>34.069361474448769</v>
      </c>
      <c r="AA87" s="30">
        <f>H63*(1-(VLOOKUP(AA$75,tech_data!$B$2:$O$15,4,FALSE)/100))</f>
        <v>11.974623507692305</v>
      </c>
      <c r="AB87" s="30">
        <f>I63*(1-(VLOOKUP(AB$75,tech_data!$B$2:$O$15,4,FALSE)/100))</f>
        <v>0.71443656925267518</v>
      </c>
      <c r="AC87" s="30">
        <f>J63*(1-(VLOOKUP(AC$75,tech_data!$B$2:$O$15,4,FALSE)/100))</f>
        <v>0.33338206724098357</v>
      </c>
      <c r="AD87" s="30">
        <f>K63*(1-(VLOOKUP(AD$75,tech_data!$B$2:$O$15,4,FALSE)/100))</f>
        <v>3.3969313817423239</v>
      </c>
      <c r="AE87" s="30">
        <f>L63*(1-(VLOOKUP(AE$75,tech_data!$B$2:$O$15,4,FALSE)/100))</f>
        <v>11.414638050071801</v>
      </c>
      <c r="AF87" s="30">
        <f>M63*(1-(VLOOKUP(AF$75,tech_data!$B$2:$O$15,4,FALSE)/100))</f>
        <v>1.0006556694789082E-2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(sulawesi!AI63*3.6/(VLOOKUP(AI$51,tech_data!$B$2:$J$15,4,FALSE)/100))/1000</f>
        <v>0</v>
      </c>
      <c r="AJ87" s="30">
        <f t="shared" si="86"/>
        <v>201.79552749303741</v>
      </c>
      <c r="AK87" s="30"/>
      <c r="AL87" s="23"/>
    </row>
    <row r="88" spans="1:38" x14ac:dyDescent="0.25">
      <c r="A88" s="19"/>
      <c r="B88" s="20" t="str">
        <f t="shared" si="82"/>
        <v>SULAWESI</v>
      </c>
      <c r="C88" s="20">
        <f t="shared" si="82"/>
        <v>2031</v>
      </c>
      <c r="D88" s="30">
        <f t="shared" si="87"/>
        <v>59.577638537208422</v>
      </c>
      <c r="E88" s="30">
        <f t="shared" si="87"/>
        <v>3.1071414731915152</v>
      </c>
      <c r="F88" s="30">
        <f t="shared" si="87"/>
        <v>63.014618788480789</v>
      </c>
      <c r="G88" s="30">
        <f t="shared" si="87"/>
        <v>29.616195037576688</v>
      </c>
      <c r="H88" s="30">
        <f t="shared" si="87"/>
        <v>1.8688718769230768</v>
      </c>
      <c r="I88" s="30">
        <f t="shared" si="87"/>
        <v>13.574294815800817</v>
      </c>
      <c r="J88" s="30">
        <f t="shared" si="87"/>
        <v>1.3335282689639345</v>
      </c>
      <c r="K88" s="30">
        <f t="shared" si="87"/>
        <v>4.4790389316771044</v>
      </c>
      <c r="L88" s="30">
        <f t="shared" si="87"/>
        <v>30.290976995854013</v>
      </c>
      <c r="M88" s="30">
        <f t="shared" si="87"/>
        <v>4.4956993846153852E-3</v>
      </c>
      <c r="N88" s="30">
        <f t="shared" si="87"/>
        <v>0</v>
      </c>
      <c r="O88" s="30">
        <f t="shared" si="87"/>
        <v>0</v>
      </c>
      <c r="P88" s="30">
        <f>(sulawesi!P64*3.6/(VLOOKUP(P$51,tech_data!$B$2:$J$15,4,FALSE)/100))/1000</f>
        <v>0</v>
      </c>
      <c r="Q88" s="30">
        <f t="shared" si="84"/>
        <v>206.86680042506097</v>
      </c>
      <c r="R88" s="30"/>
      <c r="S88" s="23"/>
      <c r="T88" s="19"/>
      <c r="U88" s="20" t="str">
        <f t="shared" si="85"/>
        <v>SULAWESI</v>
      </c>
      <c r="V88" s="20">
        <f t="shared" si="85"/>
        <v>2031</v>
      </c>
      <c r="W88" s="30">
        <f>D64*(1-(VLOOKUP(W$75,tech_data!$B$2:$O$15,4,FALSE)/100))</f>
        <v>94.502461127985754</v>
      </c>
      <c r="X88" s="30">
        <f>E64*(1-(VLOOKUP(X$75,tech_data!$B$2:$O$15,4,FALSE)/100))</f>
        <v>5.6044701338875003</v>
      </c>
      <c r="Y88" s="30">
        <f>F64*(1-(VLOOKUP(Y$75,tech_data!$B$2:$O$15,4,FALSE)/100))</f>
        <v>45.010441991771984</v>
      </c>
      <c r="Z88" s="30">
        <f>G64*(1-(VLOOKUP(Z$75,tech_data!$B$2:$O$15,4,FALSE)/100))</f>
        <v>34.766837652807418</v>
      </c>
      <c r="AA88" s="30">
        <f>H64*(1-(VLOOKUP(AA$75,tech_data!$B$2:$O$15,4,FALSE)/100))</f>
        <v>11.974623507692305</v>
      </c>
      <c r="AB88" s="30">
        <f>I64*(1-(VLOOKUP(AB$75,tech_data!$B$2:$O$15,4,FALSE)/100))</f>
        <v>0.71443656925267518</v>
      </c>
      <c r="AC88" s="30">
        <f>J64*(1-(VLOOKUP(AC$75,tech_data!$B$2:$O$15,4,FALSE)/100))</f>
        <v>0.33338206724098357</v>
      </c>
      <c r="AD88" s="30">
        <f>K64*(1-(VLOOKUP(AD$75,tech_data!$B$2:$O$15,4,FALSE)/100))</f>
        <v>3.7623927026087678</v>
      </c>
      <c r="AE88" s="30">
        <f>L64*(1-(VLOOKUP(AE$75,tech_data!$B$2:$O$15,4,FALSE)/100))</f>
        <v>12.328427637312585</v>
      </c>
      <c r="AF88" s="30">
        <f>M64*(1-(VLOOKUP(AF$75,tech_data!$B$2:$O$15,4,FALSE)/100))</f>
        <v>1.0006556694789082E-2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(sulawesi!AI64*3.6/(VLOOKUP(AI$51,tech_data!$B$2:$J$15,4,FALSE)/100))/1000</f>
        <v>0</v>
      </c>
      <c r="AJ88" s="30">
        <f t="shared" si="86"/>
        <v>209.00747994725478</v>
      </c>
      <c r="AK88" s="30"/>
      <c r="AL88" s="23"/>
    </row>
    <row r="89" spans="1:38" x14ac:dyDescent="0.25">
      <c r="A89" s="19"/>
      <c r="B89" s="20" t="str">
        <f t="shared" si="82"/>
        <v>SULAWESI</v>
      </c>
      <c r="C89" s="20">
        <f t="shared" si="82"/>
        <v>2032</v>
      </c>
      <c r="D89" s="30">
        <f t="shared" si="87"/>
        <v>61.735845744419869</v>
      </c>
      <c r="E89" s="30">
        <f t="shared" si="87"/>
        <v>3.1071414731915152</v>
      </c>
      <c r="F89" s="30">
        <f t="shared" si="87"/>
        <v>66.248069009610859</v>
      </c>
      <c r="G89" s="30">
        <f t="shared" si="87"/>
        <v>30.28558098178922</v>
      </c>
      <c r="H89" s="30">
        <f t="shared" si="87"/>
        <v>1.8688718769230768</v>
      </c>
      <c r="I89" s="30">
        <f t="shared" si="87"/>
        <v>13.574294815800817</v>
      </c>
      <c r="J89" s="30">
        <f t="shared" si="87"/>
        <v>1.3335282689639345</v>
      </c>
      <c r="K89" s="30">
        <f t="shared" si="87"/>
        <v>4.9704535598774084</v>
      </c>
      <c r="L89" s="30">
        <f t="shared" si="87"/>
        <v>32.731318895984117</v>
      </c>
      <c r="M89" s="30">
        <f t="shared" si="87"/>
        <v>4.4956993846153852E-3</v>
      </c>
      <c r="N89" s="30">
        <f t="shared" si="87"/>
        <v>0</v>
      </c>
      <c r="O89" s="30">
        <f t="shared" si="87"/>
        <v>0</v>
      </c>
      <c r="P89" s="30">
        <f>(sulawesi!P65*3.6/(VLOOKUP(P$51,tech_data!$B$2:$J$15,4,FALSE)/100))/1000</f>
        <v>0</v>
      </c>
      <c r="Q89" s="30">
        <f t="shared" si="84"/>
        <v>215.85960032594539</v>
      </c>
      <c r="R89" s="30"/>
      <c r="S89" s="23"/>
      <c r="T89" s="19"/>
      <c r="U89" s="20" t="str">
        <f t="shared" si="85"/>
        <v>SULAWESI</v>
      </c>
      <c r="V89" s="20">
        <f t="shared" si="85"/>
        <v>2032</v>
      </c>
      <c r="W89" s="30">
        <f>D65*(1-(VLOOKUP(W$75,tech_data!$B$2:$O$15,4,FALSE)/100))</f>
        <v>97.925824284252215</v>
      </c>
      <c r="X89" s="30">
        <f>E65*(1-(VLOOKUP(X$75,tech_data!$B$2:$O$15,4,FALSE)/100))</f>
        <v>5.6044701338875003</v>
      </c>
      <c r="Y89" s="30">
        <f>F65*(1-(VLOOKUP(Y$75,tech_data!$B$2:$O$15,4,FALSE)/100))</f>
        <v>47.320049292579178</v>
      </c>
      <c r="Z89" s="30">
        <f>G65*(1-(VLOOKUP(Z$75,tech_data!$B$2:$O$15,4,FALSE)/100))</f>
        <v>35.552638543839521</v>
      </c>
      <c r="AA89" s="30">
        <f>H65*(1-(VLOOKUP(AA$75,tech_data!$B$2:$O$15,4,FALSE)/100))</f>
        <v>11.974623507692305</v>
      </c>
      <c r="AB89" s="30">
        <f>I65*(1-(VLOOKUP(AB$75,tech_data!$B$2:$O$15,4,FALSE)/100))</f>
        <v>0.71443656925267518</v>
      </c>
      <c r="AC89" s="30">
        <f>J65*(1-(VLOOKUP(AC$75,tech_data!$B$2:$O$15,4,FALSE)/100))</f>
        <v>0.33338206724098357</v>
      </c>
      <c r="AD89" s="30">
        <f>K65*(1-(VLOOKUP(AD$75,tech_data!$B$2:$O$15,4,FALSE)/100))</f>
        <v>4.1751809902970232</v>
      </c>
      <c r="AE89" s="30">
        <f>L65*(1-(VLOOKUP(AE$75,tech_data!$B$2:$O$15,4,FALSE)/100))</f>
        <v>13.321646790665536</v>
      </c>
      <c r="AF89" s="30">
        <f>M65*(1-(VLOOKUP(AF$75,tech_data!$B$2:$O$15,4,FALSE)/100))</f>
        <v>1.0006556694789082E-2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(sulawesi!AI65*3.6/(VLOOKUP(AI$51,tech_data!$B$2:$J$15,4,FALSE)/100))/1000</f>
        <v>0</v>
      </c>
      <c r="AJ89" s="30">
        <f t="shared" si="86"/>
        <v>216.93225873640176</v>
      </c>
      <c r="AK89" s="30"/>
      <c r="AL89" s="23"/>
    </row>
    <row r="90" spans="1:38" x14ac:dyDescent="0.25">
      <c r="A90" s="19"/>
      <c r="B90" s="20" t="str">
        <f t="shared" si="82"/>
        <v>SULAWESI</v>
      </c>
      <c r="C90" s="20">
        <f t="shared" si="82"/>
        <v>2033</v>
      </c>
      <c r="D90" s="30">
        <f t="shared" si="87"/>
        <v>63.823319995318329</v>
      </c>
      <c r="E90" s="30">
        <f t="shared" si="87"/>
        <v>3.1071414731915152</v>
      </c>
      <c r="F90" s="30">
        <f t="shared" si="87"/>
        <v>69.4590351310285</v>
      </c>
      <c r="G90" s="30">
        <f t="shared" si="87"/>
        <v>30.899515315379812</v>
      </c>
      <c r="H90" s="30">
        <f t="shared" si="87"/>
        <v>1.8688718769230768</v>
      </c>
      <c r="I90" s="30">
        <f t="shared" si="87"/>
        <v>13.574294815800817</v>
      </c>
      <c r="J90" s="30">
        <f t="shared" si="87"/>
        <v>1.3335282689639345</v>
      </c>
      <c r="K90" s="30">
        <f t="shared" si="87"/>
        <v>5.5023283223332298</v>
      </c>
      <c r="L90" s="30">
        <f t="shared" si="87"/>
        <v>35.157469008585402</v>
      </c>
      <c r="M90" s="30">
        <f t="shared" si="87"/>
        <v>4.4956993846153852E-3</v>
      </c>
      <c r="N90" s="30">
        <f t="shared" si="87"/>
        <v>0</v>
      </c>
      <c r="O90" s="30">
        <f t="shared" si="87"/>
        <v>0</v>
      </c>
      <c r="P90" s="30">
        <f>(sulawesi!P66*3.6/(VLOOKUP(P$51,tech_data!$B$2:$J$15,4,FALSE)/100))/1000</f>
        <v>0</v>
      </c>
      <c r="Q90" s="30">
        <f t="shared" si="84"/>
        <v>224.7299999069092</v>
      </c>
      <c r="R90" s="30"/>
      <c r="S90" s="23"/>
      <c r="T90" s="19"/>
      <c r="U90" s="20" t="str">
        <f t="shared" si="85"/>
        <v>SULAWESI</v>
      </c>
      <c r="V90" s="20">
        <f t="shared" si="85"/>
        <v>2033</v>
      </c>
      <c r="W90" s="30">
        <f>D66*(1-(VLOOKUP(W$75,tech_data!$B$2:$O$15,4,FALSE)/100))</f>
        <v>101.23699033740148</v>
      </c>
      <c r="X90" s="30">
        <f>E66*(1-(VLOOKUP(X$75,tech_data!$B$2:$O$15,4,FALSE)/100))</f>
        <v>5.6044701338875003</v>
      </c>
      <c r="Y90" s="30">
        <f>F66*(1-(VLOOKUP(Y$75,tech_data!$B$2:$O$15,4,FALSE)/100))</f>
        <v>49.613596522163206</v>
      </c>
      <c r="Z90" s="30">
        <f>G66*(1-(VLOOKUP(Z$75,tech_data!$B$2:$O$15,4,FALSE)/100))</f>
        <v>36.273344065880657</v>
      </c>
      <c r="AA90" s="30">
        <f>H66*(1-(VLOOKUP(AA$75,tech_data!$B$2:$O$15,4,FALSE)/100))</f>
        <v>11.974623507692305</v>
      </c>
      <c r="AB90" s="30">
        <f>I66*(1-(VLOOKUP(AB$75,tech_data!$B$2:$O$15,4,FALSE)/100))</f>
        <v>0.71443656925267518</v>
      </c>
      <c r="AC90" s="30">
        <f>J66*(1-(VLOOKUP(AC$75,tech_data!$B$2:$O$15,4,FALSE)/100))</f>
        <v>0.33338206724098357</v>
      </c>
      <c r="AD90" s="30">
        <f>K66*(1-(VLOOKUP(AD$75,tech_data!$B$2:$O$15,4,FALSE)/100))</f>
        <v>4.6219557907599125</v>
      </c>
      <c r="AE90" s="30">
        <f>L66*(1-(VLOOKUP(AE$75,tech_data!$B$2:$O$15,4,FALSE)/100))</f>
        <v>14.30908988649426</v>
      </c>
      <c r="AF90" s="30">
        <f>M66*(1-(VLOOKUP(AF$75,tech_data!$B$2:$O$15,4,FALSE)/100))</f>
        <v>1.0006556694789082E-2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(sulawesi!AI66*3.6/(VLOOKUP(AI$51,tech_data!$B$2:$J$15,4,FALSE)/100))/1000</f>
        <v>0</v>
      </c>
      <c r="AJ90" s="30">
        <f t="shared" si="86"/>
        <v>224.69189543746779</v>
      </c>
      <c r="AK90" s="30"/>
      <c r="AL90" s="23"/>
    </row>
    <row r="91" spans="1:38" x14ac:dyDescent="0.25">
      <c r="A91" s="19"/>
      <c r="B91" s="20" t="str">
        <f t="shared" si="82"/>
        <v>SULAWESI</v>
      </c>
      <c r="C91" s="20">
        <f t="shared" si="82"/>
        <v>2034</v>
      </c>
      <c r="D91" s="30">
        <f t="shared" si="87"/>
        <v>66.391034219164652</v>
      </c>
      <c r="E91" s="30">
        <f t="shared" si="87"/>
        <v>3.1071414731915152</v>
      </c>
      <c r="F91" s="30">
        <f t="shared" si="87"/>
        <v>73.27874485026517</v>
      </c>
      <c r="G91" s="30">
        <f t="shared" si="87"/>
        <v>31.723202039703999</v>
      </c>
      <c r="H91" s="30">
        <f t="shared" si="87"/>
        <v>1.8688718769230768</v>
      </c>
      <c r="I91" s="30">
        <f t="shared" si="87"/>
        <v>13.574294815800817</v>
      </c>
      <c r="J91" s="30">
        <f t="shared" si="87"/>
        <v>1.3335282689639345</v>
      </c>
      <c r="K91" s="30">
        <f t="shared" si="87"/>
        <v>6.128278572728429</v>
      </c>
      <c r="L91" s="30">
        <f t="shared" si="87"/>
        <v>38.019607630239008</v>
      </c>
      <c r="M91" s="30">
        <f t="shared" si="87"/>
        <v>4.4956993846153852E-3</v>
      </c>
      <c r="N91" s="30">
        <f t="shared" si="87"/>
        <v>0</v>
      </c>
      <c r="O91" s="30">
        <f t="shared" si="87"/>
        <v>0</v>
      </c>
      <c r="P91" s="30">
        <f>(sulawesi!P67*3.6/(VLOOKUP(P$51,tech_data!$B$2:$J$15,4,FALSE)/100))/1000</f>
        <v>0</v>
      </c>
      <c r="Q91" s="30">
        <f t="shared" si="84"/>
        <v>235.4291994463652</v>
      </c>
      <c r="R91" s="30"/>
      <c r="S91" s="23"/>
      <c r="T91" s="19"/>
      <c r="U91" s="20" t="str">
        <f t="shared" si="85"/>
        <v>SULAWESI</v>
      </c>
      <c r="V91" s="20">
        <f t="shared" si="85"/>
        <v>2034</v>
      </c>
      <c r="W91" s="30">
        <f>D67*(1-(VLOOKUP(W$75,tech_data!$B$2:$O$15,4,FALSE)/100))</f>
        <v>105.30991634764048</v>
      </c>
      <c r="X91" s="30">
        <f>E67*(1-(VLOOKUP(X$75,tech_data!$B$2:$O$15,4,FALSE)/100))</f>
        <v>5.6044701338875003</v>
      </c>
      <c r="Y91" s="30">
        <f>F67*(1-(VLOOKUP(Y$75,tech_data!$B$2:$O$15,4,FALSE)/100))</f>
        <v>52.341960607332254</v>
      </c>
      <c r="Z91" s="30">
        <f>G67*(1-(VLOOKUP(Z$75,tech_data!$B$2:$O$15,4,FALSE)/100))</f>
        <v>37.240280655304694</v>
      </c>
      <c r="AA91" s="30">
        <f>H67*(1-(VLOOKUP(AA$75,tech_data!$B$2:$O$15,4,FALSE)/100))</f>
        <v>11.974623507692305</v>
      </c>
      <c r="AB91" s="30">
        <f>I67*(1-(VLOOKUP(AB$75,tech_data!$B$2:$O$15,4,FALSE)/100))</f>
        <v>0.71443656925267518</v>
      </c>
      <c r="AC91" s="30">
        <f>J67*(1-(VLOOKUP(AC$75,tech_data!$B$2:$O$15,4,FALSE)/100))</f>
        <v>0.33338206724098357</v>
      </c>
      <c r="AD91" s="30">
        <f>K67*(1-(VLOOKUP(AD$75,tech_data!$B$2:$O$15,4,FALSE)/100))</f>
        <v>5.1477540010918803</v>
      </c>
      <c r="AE91" s="30">
        <f>L67*(1-(VLOOKUP(AE$75,tech_data!$B$2:$O$15,4,FALSE)/100))</f>
        <v>15.473980305507277</v>
      </c>
      <c r="AF91" s="30">
        <f>M67*(1-(VLOOKUP(AF$75,tech_data!$B$2:$O$15,4,FALSE)/100))</f>
        <v>1.0006556694789082E-2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(sulawesi!AI67*3.6/(VLOOKUP(AI$51,tech_data!$B$2:$J$15,4,FALSE)/100))/1000</f>
        <v>0</v>
      </c>
      <c r="AJ91" s="30">
        <f t="shared" si="86"/>
        <v>234.15081075164485</v>
      </c>
      <c r="AK91" s="30"/>
      <c r="AL91" s="23"/>
    </row>
    <row r="92" spans="1:38" x14ac:dyDescent="0.25">
      <c r="A92" s="19"/>
      <c r="B92" s="20" t="str">
        <f t="shared" ref="B92:C95" si="88">B44</f>
        <v>SULAWESI</v>
      </c>
      <c r="C92" s="20">
        <f t="shared" si="88"/>
        <v>2035</v>
      </c>
      <c r="D92" s="30">
        <f t="shared" si="87"/>
        <v>68.993567783945949</v>
      </c>
      <c r="E92" s="30">
        <f t="shared" si="87"/>
        <v>3.1071414731915152</v>
      </c>
      <c r="F92" s="30">
        <f t="shared" si="87"/>
        <v>77.208436914508425</v>
      </c>
      <c r="G92" s="30">
        <f t="shared" si="87"/>
        <v>32.538186179097629</v>
      </c>
      <c r="H92" s="30">
        <f t="shared" si="87"/>
        <v>1.8688718769230768</v>
      </c>
      <c r="I92" s="30">
        <f t="shared" si="87"/>
        <v>13.574294815800817</v>
      </c>
      <c r="J92" s="30">
        <f t="shared" si="87"/>
        <v>1.3335282689639345</v>
      </c>
      <c r="K92" s="30">
        <f t="shared" si="87"/>
        <v>6.817969614993534</v>
      </c>
      <c r="L92" s="30">
        <f t="shared" si="87"/>
        <v>40.95910665139612</v>
      </c>
      <c r="M92" s="30">
        <f t="shared" si="87"/>
        <v>4.4956993846153852E-3</v>
      </c>
      <c r="N92" s="30">
        <f t="shared" si="87"/>
        <v>0</v>
      </c>
      <c r="O92" s="30">
        <f t="shared" si="87"/>
        <v>0</v>
      </c>
      <c r="P92" s="30">
        <f>(sulawesi!P68*3.6/(VLOOKUP(P$51,tech_data!$B$2:$J$15,4,FALSE)/100))/1000</f>
        <v>0</v>
      </c>
      <c r="Q92" s="30">
        <f t="shared" si="84"/>
        <v>246.40559927820561</v>
      </c>
      <c r="R92" s="30"/>
      <c r="S92" s="23"/>
      <c r="T92" s="19"/>
      <c r="U92" s="20" t="str">
        <f t="shared" ref="U92:V95" si="89">U44</f>
        <v>SULAWESI</v>
      </c>
      <c r="V92" s="20">
        <f t="shared" si="89"/>
        <v>2035</v>
      </c>
      <c r="W92" s="30">
        <f>D68*(1-(VLOOKUP(W$75,tech_data!$B$2:$O$15,4,FALSE)/100))</f>
        <v>109.43807303660392</v>
      </c>
      <c r="X92" s="30">
        <f>E68*(1-(VLOOKUP(X$75,tech_data!$B$2:$O$15,4,FALSE)/100))</f>
        <v>5.6044701338875003</v>
      </c>
      <c r="Y92" s="30">
        <f>F68*(1-(VLOOKUP(Y$75,tech_data!$B$2:$O$15,4,FALSE)/100))</f>
        <v>55.148883510363149</v>
      </c>
      <c r="Z92" s="30">
        <f>G68*(1-(VLOOKUP(Z$75,tech_data!$B$2:$O$15,4,FALSE)/100))</f>
        <v>38.197001166766782</v>
      </c>
      <c r="AA92" s="30">
        <f>H68*(1-(VLOOKUP(AA$75,tech_data!$B$2:$O$15,4,FALSE)/100))</f>
        <v>11.974623507692305</v>
      </c>
      <c r="AB92" s="30">
        <f>I68*(1-(VLOOKUP(AB$75,tech_data!$B$2:$O$15,4,FALSE)/100))</f>
        <v>0.71443656925267518</v>
      </c>
      <c r="AC92" s="30">
        <f>J68*(1-(VLOOKUP(AC$75,tech_data!$B$2:$O$15,4,FALSE)/100))</f>
        <v>0.33338206724098357</v>
      </c>
      <c r="AD92" s="30">
        <f>K68*(1-(VLOOKUP(AD$75,tech_data!$B$2:$O$15,4,FALSE)/100))</f>
        <v>5.7270944765945684</v>
      </c>
      <c r="AE92" s="30">
        <f>L68*(1-(VLOOKUP(AE$75,tech_data!$B$2:$O$15,4,FALSE)/100))</f>
        <v>16.670356407118224</v>
      </c>
      <c r="AF92" s="30">
        <f>M68*(1-(VLOOKUP(AF$75,tech_data!$B$2:$O$15,4,FALSE)/100))</f>
        <v>1.0006556694789082E-2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(sulawesi!AI68*3.6/(VLOOKUP(AI$51,tech_data!$B$2:$J$15,4,FALSE)/100))/1000</f>
        <v>0</v>
      </c>
      <c r="AJ92" s="30">
        <f t="shared" si="86"/>
        <v>243.81832743221491</v>
      </c>
      <c r="AK92" s="30"/>
      <c r="AL92" s="23"/>
    </row>
    <row r="93" spans="1:38" x14ac:dyDescent="0.25">
      <c r="A93" s="19"/>
      <c r="B93" s="20" t="str">
        <f t="shared" si="88"/>
        <v>SULAWESI</v>
      </c>
      <c r="C93" s="20">
        <f t="shared" si="88"/>
        <v>2036</v>
      </c>
      <c r="D93" s="30">
        <f t="shared" ref="D93:O95" si="90">D45*3.6/1000</f>
        <v>71.956519167945686</v>
      </c>
      <c r="E93" s="30">
        <f t="shared" si="90"/>
        <v>3.1071414731915152</v>
      </c>
      <c r="F93" s="30">
        <f t="shared" si="90"/>
        <v>81.633229945558568</v>
      </c>
      <c r="G93" s="30">
        <f t="shared" si="90"/>
        <v>33.496096088109184</v>
      </c>
      <c r="H93" s="30">
        <f t="shared" si="90"/>
        <v>1.8688718769230768</v>
      </c>
      <c r="I93" s="30">
        <f t="shared" si="90"/>
        <v>13.574294815800817</v>
      </c>
      <c r="J93" s="30">
        <f t="shared" si="90"/>
        <v>1.3335282689639345</v>
      </c>
      <c r="K93" s="30">
        <f t="shared" si="90"/>
        <v>7.6118732337745172</v>
      </c>
      <c r="L93" s="30">
        <f t="shared" si="90"/>
        <v>44.250349457927058</v>
      </c>
      <c r="M93" s="30">
        <f t="shared" si="90"/>
        <v>4.4956993846153852E-3</v>
      </c>
      <c r="N93" s="30">
        <f t="shared" si="90"/>
        <v>0</v>
      </c>
      <c r="O93" s="30">
        <f t="shared" si="90"/>
        <v>0</v>
      </c>
      <c r="P93" s="30">
        <f>(sulawesi!P69*3.6/(VLOOKUP(P$51,tech_data!$B$2:$J$15,4,FALSE)/100))/1000</f>
        <v>0</v>
      </c>
      <c r="Q93" s="30">
        <f t="shared" si="84"/>
        <v>258.83640002757897</v>
      </c>
      <c r="R93" s="30"/>
      <c r="S93" s="23"/>
      <c r="T93" s="19"/>
      <c r="U93" s="20" t="str">
        <f t="shared" si="89"/>
        <v>SULAWESI</v>
      </c>
      <c r="V93" s="20">
        <f t="shared" si="89"/>
        <v>2036</v>
      </c>
      <c r="W93" s="30">
        <f>D69*(1-(VLOOKUP(W$75,tech_data!$B$2:$O$15,4,FALSE)/100))</f>
        <v>114.13792695605177</v>
      </c>
      <c r="X93" s="30">
        <f>E69*(1-(VLOOKUP(X$75,tech_data!$B$2:$O$15,4,FALSE)/100))</f>
        <v>5.6044701338875003</v>
      </c>
      <c r="Y93" s="30">
        <f>F69*(1-(VLOOKUP(Y$75,tech_data!$B$2:$O$15,4,FALSE)/100))</f>
        <v>58.309449961113259</v>
      </c>
      <c r="Z93" s="30">
        <f>G69*(1-(VLOOKUP(Z$75,tech_data!$B$2:$O$15,4,FALSE)/100))</f>
        <v>39.321504103432524</v>
      </c>
      <c r="AA93" s="30">
        <f>H69*(1-(VLOOKUP(AA$75,tech_data!$B$2:$O$15,4,FALSE)/100))</f>
        <v>11.974623507692305</v>
      </c>
      <c r="AB93" s="30">
        <f>I69*(1-(VLOOKUP(AB$75,tech_data!$B$2:$O$15,4,FALSE)/100))</f>
        <v>0.71443656925267518</v>
      </c>
      <c r="AC93" s="30">
        <f>J69*(1-(VLOOKUP(AC$75,tech_data!$B$2:$O$15,4,FALSE)/100))</f>
        <v>0.33338206724098357</v>
      </c>
      <c r="AD93" s="30">
        <f>K69*(1-(VLOOKUP(AD$75,tech_data!$B$2:$O$15,4,FALSE)/100))</f>
        <v>6.3939735163705942</v>
      </c>
      <c r="AE93" s="30">
        <f>L69*(1-(VLOOKUP(AE$75,tech_data!$B$2:$O$15,4,FALSE)/100))</f>
        <v>18.009892229376312</v>
      </c>
      <c r="AF93" s="30">
        <f>M69*(1-(VLOOKUP(AF$75,tech_data!$B$2:$O$15,4,FALSE)/100))</f>
        <v>1.0006556694789082E-2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(sulawesi!AI69*3.6/(VLOOKUP(AI$51,tech_data!$B$2:$J$15,4,FALSE)/100))/1000</f>
        <v>0</v>
      </c>
      <c r="AJ93" s="30">
        <f t="shared" si="86"/>
        <v>254.80966560111273</v>
      </c>
      <c r="AK93" s="30"/>
      <c r="AL93" s="23"/>
    </row>
    <row r="94" spans="1:38" x14ac:dyDescent="0.25">
      <c r="A94" s="19"/>
      <c r="B94" s="20" t="str">
        <f t="shared" si="88"/>
        <v>SULAWESI</v>
      </c>
      <c r="C94" s="20">
        <f t="shared" si="88"/>
        <v>2037</v>
      </c>
      <c r="D94" s="30">
        <f t="shared" si="90"/>
        <v>75.096288017216565</v>
      </c>
      <c r="E94" s="30">
        <f t="shared" si="90"/>
        <v>3.1071414731915152</v>
      </c>
      <c r="F94" s="30">
        <f t="shared" si="90"/>
        <v>86.349381311843885</v>
      </c>
      <c r="G94" s="30">
        <f t="shared" si="90"/>
        <v>34.506769814280325</v>
      </c>
      <c r="H94" s="30">
        <f t="shared" si="90"/>
        <v>1.8688718769230768</v>
      </c>
      <c r="I94" s="30">
        <f t="shared" si="90"/>
        <v>13.574294815800817</v>
      </c>
      <c r="J94" s="30">
        <f t="shared" si="90"/>
        <v>1.3335282689639345</v>
      </c>
      <c r="K94" s="30">
        <f t="shared" si="90"/>
        <v>8.5030305672686843</v>
      </c>
      <c r="L94" s="30">
        <f t="shared" si="90"/>
        <v>47.74419818099171</v>
      </c>
      <c r="M94" s="30">
        <f t="shared" si="90"/>
        <v>4.4956993846153852E-3</v>
      </c>
      <c r="N94" s="30">
        <f t="shared" si="90"/>
        <v>0</v>
      </c>
      <c r="O94" s="30">
        <f t="shared" si="90"/>
        <v>0</v>
      </c>
      <c r="P94" s="30">
        <f>(sulawesi!P70*3.6/(VLOOKUP(P$51,tech_data!$B$2:$J$15,4,FALSE)/100))/1000</f>
        <v>0</v>
      </c>
      <c r="Q94" s="30">
        <f t="shared" si="84"/>
        <v>272.08800002586514</v>
      </c>
      <c r="R94" s="30"/>
      <c r="S94" s="23"/>
      <c r="T94" s="19"/>
      <c r="U94" s="20" t="str">
        <f t="shared" si="89"/>
        <v>SULAWESI</v>
      </c>
      <c r="V94" s="20">
        <f t="shared" si="89"/>
        <v>2037</v>
      </c>
      <c r="W94" s="30">
        <f>D70*(1-(VLOOKUP(W$75,tech_data!$B$2:$O$15,4,FALSE)/100))</f>
        <v>119.11824995834351</v>
      </c>
      <c r="X94" s="30">
        <f>E70*(1-(VLOOKUP(X$75,tech_data!$B$2:$O$15,4,FALSE)/100))</f>
        <v>5.6044701338875003</v>
      </c>
      <c r="Y94" s="30">
        <f>F70*(1-(VLOOKUP(Y$75,tech_data!$B$2:$O$15,4,FALSE)/100))</f>
        <v>61.678129508459904</v>
      </c>
      <c r="Z94" s="30">
        <f>G70*(1-(VLOOKUP(Z$75,tech_data!$B$2:$O$15,4,FALSE)/100))</f>
        <v>40.507947173285608</v>
      </c>
      <c r="AA94" s="30">
        <f>H70*(1-(VLOOKUP(AA$75,tech_data!$B$2:$O$15,4,FALSE)/100))</f>
        <v>11.974623507692305</v>
      </c>
      <c r="AB94" s="30">
        <f>I70*(1-(VLOOKUP(AB$75,tech_data!$B$2:$O$15,4,FALSE)/100))</f>
        <v>0.71443656925267518</v>
      </c>
      <c r="AC94" s="30">
        <f>J70*(1-(VLOOKUP(AC$75,tech_data!$B$2:$O$15,4,FALSE)/100))</f>
        <v>0.33338206724098357</v>
      </c>
      <c r="AD94" s="30">
        <f>K70*(1-(VLOOKUP(AD$75,tech_data!$B$2:$O$15,4,FALSE)/100))</f>
        <v>7.1425456765056943</v>
      </c>
      <c r="AE94" s="30">
        <f>L70*(1-(VLOOKUP(AE$75,tech_data!$B$2:$O$15,4,FALSE)/100))</f>
        <v>19.431888659663628</v>
      </c>
      <c r="AF94" s="30">
        <f>M70*(1-(VLOOKUP(AF$75,tech_data!$B$2:$O$15,4,FALSE)/100))</f>
        <v>1.0006556694789082E-2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(sulawesi!AI70*3.6/(VLOOKUP(AI$51,tech_data!$B$2:$J$15,4,FALSE)/100))/1000</f>
        <v>0</v>
      </c>
      <c r="AJ94" s="30">
        <f t="shared" si="86"/>
        <v>266.51567981102664</v>
      </c>
      <c r="AK94" s="30"/>
      <c r="AL94" s="23"/>
    </row>
    <row r="95" spans="1:38" x14ac:dyDescent="0.25">
      <c r="A95" s="19"/>
      <c r="B95" s="20" t="str">
        <f t="shared" si="88"/>
        <v>SULAWESI</v>
      </c>
      <c r="C95" s="20">
        <f t="shared" si="88"/>
        <v>2038</v>
      </c>
      <c r="D95" s="30">
        <f t="shared" si="90"/>
        <v>78.819278410977333</v>
      </c>
      <c r="E95" s="30">
        <f t="shared" si="90"/>
        <v>3.1071414731915152</v>
      </c>
      <c r="F95" s="30">
        <f t="shared" si="90"/>
        <v>91.854080236065215</v>
      </c>
      <c r="G95" s="30">
        <f t="shared" si="90"/>
        <v>35.752209461006494</v>
      </c>
      <c r="H95" s="30">
        <f t="shared" si="90"/>
        <v>1.8688718769230768</v>
      </c>
      <c r="I95" s="30">
        <f t="shared" si="90"/>
        <v>13.574294815800817</v>
      </c>
      <c r="J95" s="30">
        <f t="shared" si="90"/>
        <v>1.3335282689639345</v>
      </c>
      <c r="K95" s="30">
        <f t="shared" si="90"/>
        <v>9.5517455485947114</v>
      </c>
      <c r="L95" s="30">
        <f t="shared" si="90"/>
        <v>51.795954415711805</v>
      </c>
      <c r="M95" s="30">
        <f t="shared" si="90"/>
        <v>4.4956993846153852E-3</v>
      </c>
      <c r="N95" s="30">
        <f t="shared" si="90"/>
        <v>0</v>
      </c>
      <c r="O95" s="30">
        <f t="shared" si="90"/>
        <v>0</v>
      </c>
      <c r="P95" s="30">
        <f>(sulawesi!P71*3.6/(VLOOKUP(P$51,tech_data!$B$2:$J$15,4,FALSE)/100))/1000</f>
        <v>0</v>
      </c>
      <c r="Q95" s="30">
        <f t="shared" si="84"/>
        <v>287.66160020661948</v>
      </c>
      <c r="R95" s="30"/>
      <c r="S95" s="23"/>
      <c r="T95" s="19"/>
      <c r="U95" s="20" t="str">
        <f t="shared" si="89"/>
        <v>SULAWESI</v>
      </c>
      <c r="V95" s="20">
        <f t="shared" si="89"/>
        <v>2038</v>
      </c>
      <c r="W95" s="30">
        <f>D71*(1-(VLOOKUP(W$75,tech_data!$B$2:$O$15,4,FALSE)/100))</f>
        <v>125.02368299672266</v>
      </c>
      <c r="X95" s="30">
        <f>E71*(1-(VLOOKUP(X$75,tech_data!$B$2:$O$15,4,FALSE)/100))</f>
        <v>5.6044701338875003</v>
      </c>
      <c r="Y95" s="30">
        <f>F71*(1-(VLOOKUP(Y$75,tech_data!$B$2:$O$15,4,FALSE)/100))</f>
        <v>65.610057311475146</v>
      </c>
      <c r="Z95" s="30">
        <f>G71*(1-(VLOOKUP(Z$75,tech_data!$B$2:$O$15,4,FALSE)/100))</f>
        <v>41.969985019442412</v>
      </c>
      <c r="AA95" s="30">
        <f>H71*(1-(VLOOKUP(AA$75,tech_data!$B$2:$O$15,4,FALSE)/100))</f>
        <v>11.974623507692305</v>
      </c>
      <c r="AB95" s="30">
        <f>I71*(1-(VLOOKUP(AB$75,tech_data!$B$2:$O$15,4,FALSE)/100))</f>
        <v>0.71443656925267518</v>
      </c>
      <c r="AC95" s="30">
        <f>J71*(1-(VLOOKUP(AC$75,tech_data!$B$2:$O$15,4,FALSE)/100))</f>
        <v>0.33338206724098357</v>
      </c>
      <c r="AD95" s="30">
        <f>K71*(1-(VLOOKUP(AD$75,tech_data!$B$2:$O$15,4,FALSE)/100))</f>
        <v>8.023466260819557</v>
      </c>
      <c r="AE95" s="30">
        <f>L71*(1-(VLOOKUP(AE$75,tech_data!$B$2:$O$15,4,FALSE)/100))</f>
        <v>21.080953447194705</v>
      </c>
      <c r="AF95" s="30">
        <f>M71*(1-(VLOOKUP(AF$75,tech_data!$B$2:$O$15,4,FALSE)/100))</f>
        <v>1.0006556694789082E-2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(sulawesi!AI71*3.6/(VLOOKUP(AI$51,tech_data!$B$2:$J$15,4,FALSE)/100))/1000</f>
        <v>0</v>
      </c>
      <c r="AJ95" s="30">
        <f t="shared" si="86"/>
        <v>280.34506387042273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209550</xdr:colOff>
                    <xdr:row>0</xdr:row>
                    <xdr:rowOff>66675</xdr:rowOff>
                  </from>
                  <to>
                    <xdr:col>3</xdr:col>
                    <xdr:colOff>533400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5EE5-78D8-4B46-ABFD-54F49F05D04B}">
  <sheetPr codeName="Sheet13"/>
  <dimension ref="A1:CF96"/>
  <sheetViews>
    <sheetView topLeftCell="AN1" zoomScale="85" zoomScaleNormal="85" workbookViewId="0">
      <selection activeCell="BB4" sqref="BB4:BB23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proj_rukn!A122</f>
        <v>MALUKU_PAPUA</v>
      </c>
      <c r="C4" s="20">
        <f>proj_rukn!B122</f>
        <v>2019</v>
      </c>
      <c r="D4" s="30">
        <f>existing_capacity!C8</f>
        <v>279</v>
      </c>
      <c r="E4" s="30">
        <f>existing_capacity!D8</f>
        <v>4</v>
      </c>
      <c r="F4" s="30">
        <f>existing_capacity!E8</f>
        <v>0</v>
      </c>
      <c r="G4" s="30">
        <f>existing_capacity!F8</f>
        <v>893.06</v>
      </c>
      <c r="H4" s="30">
        <f>existing_capacity!G8</f>
        <v>0</v>
      </c>
      <c r="I4" s="30">
        <f>existing_capacity!H8</f>
        <v>29.79</v>
      </c>
      <c r="J4" s="30">
        <f>existing_capacity!I8</f>
        <v>0</v>
      </c>
      <c r="K4" s="30">
        <f>existing_capacity!J8</f>
        <v>6.41</v>
      </c>
      <c r="L4" s="30">
        <f>existing_capacity!K8</f>
        <v>0</v>
      </c>
      <c r="M4" s="30">
        <f>existing_capacity!L8</f>
        <v>0</v>
      </c>
      <c r="N4" s="30">
        <f>existing_capacity!M8</f>
        <v>0</v>
      </c>
      <c r="O4" s="30">
        <f>existing_capacity!N8</f>
        <v>0</v>
      </c>
      <c r="P4" s="30">
        <v>0</v>
      </c>
      <c r="Q4" s="30">
        <f>SUM(D4:O4)</f>
        <v>1212.26</v>
      </c>
      <c r="R4" s="30"/>
      <c r="S4" s="36"/>
      <c r="T4" s="19"/>
      <c r="U4" s="20" t="str">
        <f t="shared" ref="U4:V23" si="0">B4</f>
        <v>MALUKU_PAPUA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MALUKU_PAPUA</v>
      </c>
      <c r="AP4" s="20">
        <f t="shared" si="2"/>
        <v>2019</v>
      </c>
      <c r="AQ4" s="30">
        <v>99999</v>
      </c>
      <c r="AR4" s="30">
        <v>99999</v>
      </c>
      <c r="AS4" s="30">
        <v>99999</v>
      </c>
      <c r="AT4" s="30">
        <v>999</v>
      </c>
      <c r="AU4" s="30">
        <f>potential!G2</f>
        <v>23965.8</v>
      </c>
      <c r="AV4" s="30">
        <f>potential!H2</f>
        <v>75091</v>
      </c>
      <c r="AW4" s="30">
        <f>potential!I2</f>
        <v>19385</v>
      </c>
      <c r="AX4" s="30">
        <f>potential!J2</f>
        <v>207898</v>
      </c>
      <c r="AY4" s="30">
        <f>potential!K2</f>
        <v>60647</v>
      </c>
      <c r="AZ4" s="30">
        <f>potential!L2</f>
        <v>32654</v>
      </c>
      <c r="BA4" s="30">
        <f>potential!M2</f>
        <v>17988</v>
      </c>
      <c r="BB4" s="30">
        <v>99999</v>
      </c>
      <c r="BC4" s="30">
        <v>99999</v>
      </c>
      <c r="BD4" s="30">
        <f t="shared" ref="BD4:BD23" si="3">SUM(AU4:BA4)</f>
        <v>437628.8</v>
      </c>
      <c r="BF4" s="23"/>
      <c r="BG4" s="19"/>
      <c r="BH4" s="20" t="str">
        <f>AO4</f>
        <v>MALUKU_PAPUA</v>
      </c>
      <c r="BI4" s="20">
        <f>AP4</f>
        <v>2019</v>
      </c>
      <c r="BJ4" s="25">
        <f t="shared" ref="BJ4:BJ22" si="4">SUM(K28:L28,N28)/Q28</f>
        <v>1.9746044471554503E-3</v>
      </c>
      <c r="BK4" s="43">
        <f t="shared" ref="BK4:BK23" si="5">$BO$5+((BJ4-$BN$5)*($BO$6-$BO$5)/($BN$6-$BN$5))</f>
        <v>2.7312542994695845E-4</v>
      </c>
      <c r="BL4" s="34">
        <f>BK4*Q28*1000</f>
        <v>1631.0356648915608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MALUKU_PAPUA</v>
      </c>
      <c r="C5" s="20">
        <f>C4+1</f>
        <v>2020</v>
      </c>
      <c r="D5" s="30">
        <f>D4+W5</f>
        <v>279</v>
      </c>
      <c r="E5" s="30">
        <f t="shared" ref="E5:O20" si="6">E4+X5</f>
        <v>3.9999990000000025</v>
      </c>
      <c r="F5" s="30">
        <f t="shared" si="6"/>
        <v>245.6691115891654</v>
      </c>
      <c r="G5" s="30">
        <f t="shared" si="6"/>
        <v>893.06</v>
      </c>
      <c r="H5" s="30">
        <f t="shared" si="6"/>
        <v>0</v>
      </c>
      <c r="I5" s="30">
        <f t="shared" si="6"/>
        <v>29.79</v>
      </c>
      <c r="J5" s="30">
        <f t="shared" si="6"/>
        <v>0</v>
      </c>
      <c r="K5" s="30">
        <f t="shared" si="6"/>
        <v>6.409999</v>
      </c>
      <c r="L5" s="30">
        <f t="shared" si="6"/>
        <v>0</v>
      </c>
      <c r="M5" s="30">
        <f t="shared" si="6"/>
        <v>0</v>
      </c>
      <c r="N5" s="30">
        <f t="shared" si="6"/>
        <v>-3.3184666029494048E-7</v>
      </c>
      <c r="O5" s="30">
        <f t="shared" si="6"/>
        <v>0</v>
      </c>
      <c r="P5" s="30">
        <f>BL5/((VLOOKUP(P$3,tech_data!$B$2:$G$15,6,FALSE)/100)*24*365)</f>
        <v>0.46078982868869955</v>
      </c>
      <c r="Q5" s="30">
        <f t="shared" ref="Q5:Q23" si="7">SUM(D5:O5)</f>
        <v>1457.9291092573187</v>
      </c>
      <c r="R5" s="30"/>
      <c r="S5" s="36"/>
      <c r="T5" s="19"/>
      <c r="U5" s="20" t="str">
        <f t="shared" si="0"/>
        <v>MALUKU_PAPUA</v>
      </c>
      <c r="V5" s="20">
        <f t="shared" si="0"/>
        <v>2020</v>
      </c>
      <c r="W5" s="30">
        <v>0</v>
      </c>
      <c r="X5" s="30">
        <v>-9.9999999747524271E-7</v>
      </c>
      <c r="Y5" s="30">
        <v>245.6691115891654</v>
      </c>
      <c r="Z5" s="30">
        <v>0</v>
      </c>
      <c r="AA5" s="30">
        <v>0</v>
      </c>
      <c r="AB5" s="30">
        <v>0</v>
      </c>
      <c r="AC5" s="30">
        <v>0</v>
      </c>
      <c r="AD5" s="30">
        <v>-9.9999999991773336E-7</v>
      </c>
      <c r="AE5" s="30">
        <v>0</v>
      </c>
      <c r="AF5" s="30">
        <v>0</v>
      </c>
      <c r="AG5" s="30">
        <v>-3.3184666029494048E-7</v>
      </c>
      <c r="AH5" s="30">
        <v>0</v>
      </c>
      <c r="AI5" s="30">
        <f t="shared" ref="AI5:AI23" si="8">IF(P5&gt;=P4, P5-P4, 0)</f>
        <v>0.46078982868869955</v>
      </c>
      <c r="AJ5" s="34">
        <f t="shared" si="1"/>
        <v>246.12989908600744</v>
      </c>
      <c r="AM5" s="23"/>
      <c r="AO5" s="20" t="str">
        <f t="shared" si="2"/>
        <v>MALUKU_PAPUA</v>
      </c>
      <c r="AP5" s="20">
        <f t="shared" si="2"/>
        <v>2020</v>
      </c>
      <c r="AQ5" s="30">
        <v>99999</v>
      </c>
      <c r="AR5" s="30">
        <v>99999</v>
      </c>
      <c r="AS5" s="30">
        <v>99999</v>
      </c>
      <c r="AT5" s="30">
        <v>999</v>
      </c>
      <c r="AU5" s="30">
        <f t="shared" ref="AU5:BA20" si="9">AU4-AA5</f>
        <v>23965.8</v>
      </c>
      <c r="AV5" s="30">
        <f t="shared" si="9"/>
        <v>75091</v>
      </c>
      <c r="AW5" s="30">
        <f t="shared" si="9"/>
        <v>19385</v>
      </c>
      <c r="AX5" s="30">
        <f t="shared" si="9"/>
        <v>207898.00000100001</v>
      </c>
      <c r="AY5" s="30">
        <f t="shared" si="9"/>
        <v>60647</v>
      </c>
      <c r="AZ5" s="30">
        <f t="shared" si="9"/>
        <v>32654</v>
      </c>
      <c r="BA5" s="30">
        <f t="shared" si="9"/>
        <v>17988.000000331846</v>
      </c>
      <c r="BB5" s="30">
        <v>99999</v>
      </c>
      <c r="BC5" s="30">
        <v>99999</v>
      </c>
      <c r="BD5" s="30">
        <f t="shared" si="3"/>
        <v>437628.80000133184</v>
      </c>
      <c r="BF5" s="23"/>
      <c r="BG5" s="19"/>
      <c r="BH5" s="20" t="str">
        <f t="shared" ref="BH5:BI23" si="10">AO5</f>
        <v>MALUKU_PAPUA</v>
      </c>
      <c r="BI5" s="20">
        <f t="shared" si="10"/>
        <v>2020</v>
      </c>
      <c r="BJ5" s="25">
        <f t="shared" si="4"/>
        <v>1.7727729973684475E-3</v>
      </c>
      <c r="BK5" s="43">
        <f t="shared" si="5"/>
        <v>2.7308088783390203E-4</v>
      </c>
      <c r="BL5" s="34">
        <f t="shared" ref="BL5:BL23" si="11">BK5*Q29*1000</f>
        <v>1816.4335046908539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MALUKU_PAPUA</v>
      </c>
      <c r="C6" s="20">
        <f t="shared" ref="C6:C23" si="13">C5+1</f>
        <v>2021</v>
      </c>
      <c r="D6" s="30">
        <f t="shared" ref="D6:O21" si="14">D5+W6</f>
        <v>279</v>
      </c>
      <c r="E6" s="30">
        <f t="shared" si="6"/>
        <v>3.9999980000000033</v>
      </c>
      <c r="F6" s="30">
        <f t="shared" si="6"/>
        <v>507.79805342918644</v>
      </c>
      <c r="G6" s="30">
        <f t="shared" si="6"/>
        <v>893.06</v>
      </c>
      <c r="H6" s="30">
        <f t="shared" si="6"/>
        <v>-3.3644169840764491E-15</v>
      </c>
      <c r="I6" s="30">
        <f t="shared" si="6"/>
        <v>29.790505433438195</v>
      </c>
      <c r="J6" s="30">
        <f t="shared" si="6"/>
        <v>75.510804178099022</v>
      </c>
      <c r="K6" s="30">
        <f t="shared" si="6"/>
        <v>340.55731414609454</v>
      </c>
      <c r="L6" s="30">
        <f t="shared" si="6"/>
        <v>37.155986149229314</v>
      </c>
      <c r="M6" s="30">
        <f t="shared" si="6"/>
        <v>0</v>
      </c>
      <c r="N6" s="30">
        <f t="shared" si="6"/>
        <v>0.24162813712232287</v>
      </c>
      <c r="O6" s="30">
        <f t="shared" si="6"/>
        <v>0</v>
      </c>
      <c r="P6" s="30">
        <f>BL6/((VLOOKUP(P$3,tech_data!$B$2:$G$15,6,FALSE)/100)*24*365)</f>
        <v>0.63321986188724666</v>
      </c>
      <c r="Q6" s="30">
        <f t="shared" si="7"/>
        <v>2167.1142894731697</v>
      </c>
      <c r="R6" s="30"/>
      <c r="S6" s="36"/>
      <c r="T6" s="19"/>
      <c r="U6" s="20" t="str">
        <f t="shared" si="0"/>
        <v>MALUKU_PAPUA</v>
      </c>
      <c r="V6" s="20">
        <f t="shared" si="0"/>
        <v>2021</v>
      </c>
      <c r="W6" s="30">
        <v>0</v>
      </c>
      <c r="X6" s="30">
        <v>-9.9999999925159955E-7</v>
      </c>
      <c r="Y6" s="30">
        <v>262.12894184002107</v>
      </c>
      <c r="Z6" s="30">
        <v>0</v>
      </c>
      <c r="AA6" s="30">
        <v>-3.3644169840764491E-15</v>
      </c>
      <c r="AB6" s="30">
        <v>5.0543343819716249E-4</v>
      </c>
      <c r="AC6" s="30">
        <v>75.510804178099022</v>
      </c>
      <c r="AD6" s="30">
        <v>334.14731514609451</v>
      </c>
      <c r="AE6" s="30">
        <v>37.155986149229314</v>
      </c>
      <c r="AF6" s="30">
        <v>0</v>
      </c>
      <c r="AG6" s="30">
        <v>0.24162846896898316</v>
      </c>
      <c r="AH6" s="30">
        <v>0</v>
      </c>
      <c r="AI6" s="30">
        <f t="shared" si="8"/>
        <v>0.17243003319854711</v>
      </c>
      <c r="AJ6" s="34">
        <f t="shared" si="1"/>
        <v>709.35761024904969</v>
      </c>
      <c r="AM6" s="23"/>
      <c r="AO6" s="20" t="str">
        <f t="shared" si="2"/>
        <v>MALUKU_PAPUA</v>
      </c>
      <c r="AP6" s="20">
        <f t="shared" si="2"/>
        <v>2021</v>
      </c>
      <c r="AQ6" s="30">
        <v>99999</v>
      </c>
      <c r="AR6" s="30">
        <v>99999</v>
      </c>
      <c r="AS6" s="30">
        <v>99999</v>
      </c>
      <c r="AT6" s="30">
        <v>999</v>
      </c>
      <c r="AU6" s="30">
        <f t="shared" si="9"/>
        <v>23965.8</v>
      </c>
      <c r="AV6" s="30">
        <f t="shared" si="9"/>
        <v>75090.999494566568</v>
      </c>
      <c r="AW6" s="30">
        <f t="shared" si="9"/>
        <v>19309.489195821901</v>
      </c>
      <c r="AX6" s="30">
        <f t="shared" si="9"/>
        <v>207563.85268585393</v>
      </c>
      <c r="AY6" s="30">
        <f t="shared" si="9"/>
        <v>60609.844013850772</v>
      </c>
      <c r="AZ6" s="30">
        <f t="shared" si="9"/>
        <v>32654</v>
      </c>
      <c r="BA6" s="30">
        <f t="shared" si="9"/>
        <v>17987.758371862878</v>
      </c>
      <c r="BB6" s="30">
        <v>99999</v>
      </c>
      <c r="BC6" s="30">
        <v>99999</v>
      </c>
      <c r="BD6" s="30">
        <f t="shared" si="3"/>
        <v>437181.74376195605</v>
      </c>
      <c r="BF6" s="23"/>
      <c r="BG6" s="19"/>
      <c r="BH6" s="20" t="str">
        <f t="shared" si="10"/>
        <v>MALUKU_PAPUA</v>
      </c>
      <c r="BI6" s="20">
        <f t="shared" si="10"/>
        <v>2021</v>
      </c>
      <c r="BJ6" s="25">
        <f t="shared" si="4"/>
        <v>8.6686559450935896E-2</v>
      </c>
      <c r="BK6" s="43">
        <f t="shared" si="5"/>
        <v>2.9182048208572381E-4</v>
      </c>
      <c r="BL6" s="34">
        <f t="shared" si="11"/>
        <v>2496.1526955595268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MALUKU_PAPUA</v>
      </c>
      <c r="C7" s="20">
        <f t="shared" si="13"/>
        <v>2022</v>
      </c>
      <c r="D7" s="30">
        <f t="shared" si="14"/>
        <v>298.36405964897546</v>
      </c>
      <c r="E7" s="30">
        <f t="shared" si="6"/>
        <v>3.9999970000000058</v>
      </c>
      <c r="F7" s="30">
        <f t="shared" si="6"/>
        <v>705.29432904128828</v>
      </c>
      <c r="G7" s="30">
        <f t="shared" si="6"/>
        <v>893.06</v>
      </c>
      <c r="H7" s="30">
        <f t="shared" si="6"/>
        <v>0</v>
      </c>
      <c r="I7" s="30">
        <f t="shared" si="6"/>
        <v>49.354844898709693</v>
      </c>
      <c r="J7" s="30">
        <f t="shared" si="6"/>
        <v>106.97541618651606</v>
      </c>
      <c r="K7" s="30">
        <f t="shared" si="6"/>
        <v>348.66846547507458</v>
      </c>
      <c r="L7" s="30">
        <f t="shared" si="6"/>
        <v>50.712294988868564</v>
      </c>
      <c r="M7" s="30">
        <f t="shared" si="6"/>
        <v>0</v>
      </c>
      <c r="N7" s="30">
        <f t="shared" si="6"/>
        <v>0.27798618837005767</v>
      </c>
      <c r="O7" s="30">
        <f t="shared" si="6"/>
        <v>0</v>
      </c>
      <c r="P7" s="30">
        <f>BL7/((VLOOKUP(P$3,tech_data!$B$2:$G$15,6,FALSE)/100)*24*365)</f>
        <v>0.70351539974811073</v>
      </c>
      <c r="Q7" s="30">
        <f t="shared" si="7"/>
        <v>2456.7073934278028</v>
      </c>
      <c r="R7" s="30"/>
      <c r="S7" s="36"/>
      <c r="T7" s="19"/>
      <c r="U7" s="20" t="str">
        <f t="shared" si="0"/>
        <v>MALUKU_PAPUA</v>
      </c>
      <c r="V7" s="20">
        <f t="shared" si="0"/>
        <v>2022</v>
      </c>
      <c r="W7" s="30">
        <v>19.364059648975463</v>
      </c>
      <c r="X7" s="30">
        <v>-9.9999999747524271E-7</v>
      </c>
      <c r="Y7" s="30">
        <v>197.49627561210181</v>
      </c>
      <c r="Z7" s="30">
        <v>0</v>
      </c>
      <c r="AA7" s="30">
        <v>3.3644169840764475E-15</v>
      </c>
      <c r="AB7" s="30">
        <v>19.564339465271498</v>
      </c>
      <c r="AC7" s="30">
        <v>31.464612008417035</v>
      </c>
      <c r="AD7" s="30">
        <v>8.1111513289800214</v>
      </c>
      <c r="AE7" s="30">
        <v>13.55630883963925</v>
      </c>
      <c r="AF7" s="30">
        <v>0</v>
      </c>
      <c r="AG7" s="30">
        <v>3.63580512477348E-2</v>
      </c>
      <c r="AH7" s="30">
        <v>0</v>
      </c>
      <c r="AI7" s="30">
        <f t="shared" si="8"/>
        <v>7.0295537860864066E-2</v>
      </c>
      <c r="AJ7" s="34">
        <f t="shared" si="1"/>
        <v>289.66339949249374</v>
      </c>
      <c r="AM7" s="23"/>
      <c r="AO7" s="20" t="str">
        <f t="shared" si="2"/>
        <v>MALUKU_PAPUA</v>
      </c>
      <c r="AP7" s="20">
        <f t="shared" si="2"/>
        <v>2022</v>
      </c>
      <c r="AQ7" s="30">
        <v>99999</v>
      </c>
      <c r="AR7" s="30">
        <v>99999</v>
      </c>
      <c r="AS7" s="30">
        <v>99999</v>
      </c>
      <c r="AT7" s="30">
        <v>999</v>
      </c>
      <c r="AU7" s="30">
        <f t="shared" si="9"/>
        <v>23965.8</v>
      </c>
      <c r="AV7" s="30">
        <f t="shared" si="9"/>
        <v>75071.435155101295</v>
      </c>
      <c r="AW7" s="30">
        <f t="shared" si="9"/>
        <v>19278.024583813483</v>
      </c>
      <c r="AX7" s="30">
        <f t="shared" si="9"/>
        <v>207555.74153452495</v>
      </c>
      <c r="AY7" s="30">
        <f t="shared" si="9"/>
        <v>60596.287705011135</v>
      </c>
      <c r="AZ7" s="30">
        <f t="shared" si="9"/>
        <v>32654</v>
      </c>
      <c r="BA7" s="30">
        <f t="shared" si="9"/>
        <v>17987.722013811628</v>
      </c>
      <c r="BB7" s="30">
        <v>99999</v>
      </c>
      <c r="BC7" s="30">
        <v>99999</v>
      </c>
      <c r="BD7" s="30">
        <f t="shared" si="3"/>
        <v>437109.01099226251</v>
      </c>
      <c r="BF7" s="23"/>
      <c r="BG7" s="19"/>
      <c r="BH7" s="20" t="str">
        <f t="shared" si="10"/>
        <v>MALUKU_PAPUA</v>
      </c>
      <c r="BI7" s="20">
        <f t="shared" si="10"/>
        <v>2022</v>
      </c>
      <c r="BJ7" s="25">
        <f t="shared" si="4"/>
        <v>8.3811044525368542E-2</v>
      </c>
      <c r="BK7" s="43">
        <f t="shared" si="5"/>
        <v>2.9118588568835719E-4</v>
      </c>
      <c r="BL7" s="34">
        <f t="shared" si="11"/>
        <v>2773.2577058070528</v>
      </c>
      <c r="BP7" s="23"/>
    </row>
    <row r="8" spans="1:68" x14ac:dyDescent="0.25">
      <c r="A8" s="19"/>
      <c r="B8" s="20" t="str">
        <f t="shared" si="12"/>
        <v>MALUKU_PAPUA</v>
      </c>
      <c r="C8" s="20">
        <f t="shared" si="13"/>
        <v>2023</v>
      </c>
      <c r="D8" s="30">
        <f t="shared" si="14"/>
        <v>350.59962662286966</v>
      </c>
      <c r="E8" s="30">
        <f t="shared" si="6"/>
        <v>3.9999970000000058</v>
      </c>
      <c r="F8" s="30">
        <f t="shared" si="6"/>
        <v>781.99909929127398</v>
      </c>
      <c r="G8" s="30">
        <f t="shared" si="6"/>
        <v>893.06</v>
      </c>
      <c r="H8" s="30">
        <f t="shared" si="6"/>
        <v>-3.3644176193511595E-15</v>
      </c>
      <c r="I8" s="30">
        <f t="shared" si="6"/>
        <v>49.893261336787482</v>
      </c>
      <c r="J8" s="30">
        <f t="shared" si="6"/>
        <v>106.97888429870441</v>
      </c>
      <c r="K8" s="30">
        <f t="shared" si="6"/>
        <v>355.06238544460746</v>
      </c>
      <c r="L8" s="30">
        <f t="shared" si="6"/>
        <v>154.56819345917864</v>
      </c>
      <c r="M8" s="30">
        <f t="shared" si="6"/>
        <v>0</v>
      </c>
      <c r="N8" s="30">
        <f t="shared" si="6"/>
        <v>0.28339305824292482</v>
      </c>
      <c r="O8" s="30">
        <f t="shared" si="6"/>
        <v>0</v>
      </c>
      <c r="P8" s="30">
        <f>BL8/((VLOOKUP(P$3,tech_data!$B$2:$G$15,6,FALSE)/100)*24*365)</f>
        <v>0.77734087030196652</v>
      </c>
      <c r="Q8" s="30">
        <f t="shared" si="7"/>
        <v>2696.4448405116646</v>
      </c>
      <c r="R8" s="30"/>
      <c r="S8" s="36"/>
      <c r="T8" s="19"/>
      <c r="U8" s="20" t="str">
        <f t="shared" si="0"/>
        <v>MALUKU_PAPUA</v>
      </c>
      <c r="V8" s="20">
        <f t="shared" si="0"/>
        <v>2023</v>
      </c>
      <c r="W8" s="30">
        <v>52.235566973894187</v>
      </c>
      <c r="X8" s="30">
        <v>0</v>
      </c>
      <c r="Y8" s="30">
        <v>76.704770249985685</v>
      </c>
      <c r="Z8" s="30">
        <v>0</v>
      </c>
      <c r="AA8" s="30">
        <v>-3.3644176193511595E-15</v>
      </c>
      <c r="AB8" s="30">
        <v>0.53841643807778894</v>
      </c>
      <c r="AC8" s="30">
        <v>3.468112188361093E-3</v>
      </c>
      <c r="AD8" s="30">
        <v>6.3939199695328846</v>
      </c>
      <c r="AE8" s="30">
        <v>103.85589847031007</v>
      </c>
      <c r="AF8" s="30">
        <v>0</v>
      </c>
      <c r="AG8" s="30">
        <v>5.4068698728671691E-3</v>
      </c>
      <c r="AH8" s="30">
        <v>0</v>
      </c>
      <c r="AI8" s="30">
        <f t="shared" si="8"/>
        <v>7.3825470553855799E-2</v>
      </c>
      <c r="AJ8" s="34">
        <f t="shared" si="1"/>
        <v>239.81127255441569</v>
      </c>
      <c r="AM8" s="23"/>
      <c r="AO8" s="20" t="str">
        <f t="shared" si="2"/>
        <v>MALUKU_PAPUA</v>
      </c>
      <c r="AP8" s="20">
        <f t="shared" si="2"/>
        <v>2023</v>
      </c>
      <c r="AQ8" s="30">
        <v>99999</v>
      </c>
      <c r="AR8" s="30">
        <v>99999</v>
      </c>
      <c r="AS8" s="30">
        <v>99999</v>
      </c>
      <c r="AT8" s="30">
        <v>999</v>
      </c>
      <c r="AU8" s="30">
        <f t="shared" si="9"/>
        <v>23965.8</v>
      </c>
      <c r="AV8" s="30">
        <f t="shared" si="9"/>
        <v>75070.896738663214</v>
      </c>
      <c r="AW8" s="30">
        <f t="shared" si="9"/>
        <v>19278.021115701296</v>
      </c>
      <c r="AX8" s="30">
        <f t="shared" si="9"/>
        <v>207549.34761455542</v>
      </c>
      <c r="AY8" s="30">
        <f t="shared" si="9"/>
        <v>60492.431806540822</v>
      </c>
      <c r="AZ8" s="30">
        <f t="shared" si="9"/>
        <v>32654</v>
      </c>
      <c r="BA8" s="30">
        <f t="shared" si="9"/>
        <v>17987.716606941754</v>
      </c>
      <c r="BB8" s="30">
        <v>99999</v>
      </c>
      <c r="BC8" s="30">
        <v>99999</v>
      </c>
      <c r="BD8" s="30">
        <f t="shared" si="3"/>
        <v>436998.21388240252</v>
      </c>
      <c r="BF8" s="23"/>
      <c r="BG8" s="19"/>
      <c r="BH8" s="20" t="str">
        <f t="shared" si="10"/>
        <v>MALUKU_PAPUA</v>
      </c>
      <c r="BI8" s="20">
        <f t="shared" si="10"/>
        <v>2023</v>
      </c>
      <c r="BJ8" s="25">
        <f t="shared" si="4"/>
        <v>0.10940527138179341</v>
      </c>
      <c r="BK8" s="43">
        <f t="shared" si="5"/>
        <v>2.9683426678770613E-4</v>
      </c>
      <c r="BL8" s="34">
        <f t="shared" si="11"/>
        <v>3064.2777107303523</v>
      </c>
      <c r="BP8" s="23"/>
    </row>
    <row r="9" spans="1:68" x14ac:dyDescent="0.25">
      <c r="A9" s="19"/>
      <c r="B9" s="20" t="str">
        <f t="shared" si="12"/>
        <v>MALUKU_PAPUA</v>
      </c>
      <c r="C9" s="20">
        <f t="shared" si="13"/>
        <v>2024</v>
      </c>
      <c r="D9" s="30">
        <f t="shared" si="14"/>
        <v>405.33203747611225</v>
      </c>
      <c r="E9" s="30">
        <f t="shared" si="6"/>
        <v>3.9999960000000065</v>
      </c>
      <c r="F9" s="30">
        <f t="shared" si="6"/>
        <v>868.10030084865502</v>
      </c>
      <c r="G9" s="30">
        <f t="shared" si="6"/>
        <v>893.06</v>
      </c>
      <c r="H9" s="30">
        <f t="shared" si="6"/>
        <v>-1.5410366119894324E-7</v>
      </c>
      <c r="I9" s="30">
        <f t="shared" si="6"/>
        <v>63.172852350506801</v>
      </c>
      <c r="J9" s="30">
        <f t="shared" si="6"/>
        <v>157.39739624247019</v>
      </c>
      <c r="K9" s="30">
        <f t="shared" si="6"/>
        <v>355.06238544460746</v>
      </c>
      <c r="L9" s="30">
        <f t="shared" si="6"/>
        <v>162.60425077469961</v>
      </c>
      <c r="M9" s="30">
        <f t="shared" si="6"/>
        <v>0</v>
      </c>
      <c r="N9" s="30">
        <f t="shared" si="6"/>
        <v>0.28339305824292482</v>
      </c>
      <c r="O9" s="30">
        <f t="shared" si="6"/>
        <v>0</v>
      </c>
      <c r="P9" s="30">
        <f>BL9/((VLOOKUP(P$3,tech_data!$B$2:$G$15,6,FALSE)/100)*24*365)</f>
        <v>0.83999928720215589</v>
      </c>
      <c r="Q9" s="30">
        <f t="shared" si="7"/>
        <v>2909.0126120411906</v>
      </c>
      <c r="R9" s="30"/>
      <c r="S9" s="36"/>
      <c r="T9" s="19"/>
      <c r="U9" s="20" t="str">
        <f t="shared" si="0"/>
        <v>MALUKU_PAPUA</v>
      </c>
      <c r="V9" s="20">
        <f t="shared" si="0"/>
        <v>2024</v>
      </c>
      <c r="W9" s="30">
        <v>54.732410853242584</v>
      </c>
      <c r="X9" s="30">
        <v>-9.9999999925159955E-7</v>
      </c>
      <c r="Y9" s="30">
        <v>86.10120155738106</v>
      </c>
      <c r="Z9" s="30">
        <v>0</v>
      </c>
      <c r="AA9" s="30">
        <v>-1.5410365783452562E-7</v>
      </c>
      <c r="AB9" s="30">
        <v>13.279591013719321</v>
      </c>
      <c r="AC9" s="30">
        <v>50.418511943765786</v>
      </c>
      <c r="AD9" s="30">
        <v>0</v>
      </c>
      <c r="AE9" s="30">
        <v>8.0360573155209636</v>
      </c>
      <c r="AF9" s="30">
        <v>0</v>
      </c>
      <c r="AG9" s="30">
        <v>0</v>
      </c>
      <c r="AH9" s="30">
        <v>0</v>
      </c>
      <c r="AI9" s="30">
        <f t="shared" si="8"/>
        <v>6.2658416900189362E-2</v>
      </c>
      <c r="AJ9" s="34">
        <f t="shared" si="1"/>
        <v>212.63042994642623</v>
      </c>
      <c r="AM9" s="23"/>
      <c r="AO9" s="20" t="str">
        <f t="shared" si="2"/>
        <v>MALUKU_PAPUA</v>
      </c>
      <c r="AP9" s="20">
        <f t="shared" si="2"/>
        <v>2024</v>
      </c>
      <c r="AQ9" s="30">
        <v>99999</v>
      </c>
      <c r="AR9" s="30">
        <v>99999</v>
      </c>
      <c r="AS9" s="30">
        <v>99999</v>
      </c>
      <c r="AT9" s="30">
        <v>999</v>
      </c>
      <c r="AU9" s="30">
        <f t="shared" si="9"/>
        <v>23965.800000154104</v>
      </c>
      <c r="AV9" s="30">
        <f t="shared" si="9"/>
        <v>75057.617147649493</v>
      </c>
      <c r="AW9" s="30">
        <f t="shared" si="9"/>
        <v>19227.602603757532</v>
      </c>
      <c r="AX9" s="30">
        <f t="shared" si="9"/>
        <v>207549.34761455542</v>
      </c>
      <c r="AY9" s="30">
        <f t="shared" si="9"/>
        <v>60484.395749225303</v>
      </c>
      <c r="AZ9" s="30">
        <f t="shared" si="9"/>
        <v>32654</v>
      </c>
      <c r="BA9" s="30">
        <f t="shared" si="9"/>
        <v>17987.716606941754</v>
      </c>
      <c r="BB9" s="30">
        <v>99999</v>
      </c>
      <c r="BC9" s="30">
        <v>99999</v>
      </c>
      <c r="BD9" s="30">
        <f t="shared" si="3"/>
        <v>436926.47972228361</v>
      </c>
      <c r="BF9" s="23"/>
      <c r="BG9" s="19"/>
      <c r="BH9" s="20" t="str">
        <f t="shared" si="10"/>
        <v>MALUKU_PAPUA</v>
      </c>
      <c r="BI9" s="20">
        <f t="shared" si="10"/>
        <v>2024</v>
      </c>
      <c r="BJ9" s="25">
        <f t="shared" si="4"/>
        <v>0.10296451163242275</v>
      </c>
      <c r="BK9" s="43">
        <f t="shared" si="5"/>
        <v>2.9541285773956915E-4</v>
      </c>
      <c r="BL9" s="34">
        <f t="shared" si="11"/>
        <v>3311.2771901508991</v>
      </c>
      <c r="BN9" s="38"/>
      <c r="BP9" s="23"/>
    </row>
    <row r="10" spans="1:68" x14ac:dyDescent="0.25">
      <c r="A10" s="19"/>
      <c r="B10" s="20" t="str">
        <f t="shared" si="12"/>
        <v>MALUKU_PAPUA</v>
      </c>
      <c r="C10" s="20">
        <f t="shared" si="13"/>
        <v>2025</v>
      </c>
      <c r="D10" s="30">
        <f t="shared" si="14"/>
        <v>462.56609481853565</v>
      </c>
      <c r="E10" s="30">
        <f t="shared" si="6"/>
        <v>3.9999950000000073</v>
      </c>
      <c r="F10" s="30">
        <f t="shared" si="6"/>
        <v>964.9172083647851</v>
      </c>
      <c r="G10" s="30">
        <f t="shared" si="6"/>
        <v>893.06</v>
      </c>
      <c r="H10" s="30">
        <f t="shared" si="6"/>
        <v>-1.5410366119894324E-7</v>
      </c>
      <c r="I10" s="30">
        <f t="shared" si="6"/>
        <v>122.32451216658625</v>
      </c>
      <c r="J10" s="30">
        <f t="shared" si="6"/>
        <v>163.82303990892518</v>
      </c>
      <c r="K10" s="30">
        <f t="shared" si="6"/>
        <v>378.85564916975579</v>
      </c>
      <c r="L10" s="30">
        <f t="shared" si="6"/>
        <v>193.06051058591694</v>
      </c>
      <c r="M10" s="30">
        <f t="shared" si="6"/>
        <v>0</v>
      </c>
      <c r="N10" s="30">
        <f t="shared" si="6"/>
        <v>0.28340801578564845</v>
      </c>
      <c r="O10" s="30">
        <f t="shared" si="6"/>
        <v>0</v>
      </c>
      <c r="P10" s="30">
        <f>BL10/((VLOOKUP(P$3,tech_data!$B$2:$G$15,6,FALSE)/100)*24*365)</f>
        <v>0.9157307406313</v>
      </c>
      <c r="Q10" s="30">
        <f t="shared" si="7"/>
        <v>3182.8904178761868</v>
      </c>
      <c r="R10" s="30"/>
      <c r="S10" s="36"/>
      <c r="T10" s="19"/>
      <c r="U10" s="20" t="str">
        <f t="shared" si="0"/>
        <v>MALUKU_PAPUA</v>
      </c>
      <c r="V10" s="20">
        <f t="shared" si="0"/>
        <v>2025</v>
      </c>
      <c r="W10" s="30">
        <v>57.234057342423412</v>
      </c>
      <c r="X10" s="30">
        <v>-9.9999999925159955E-7</v>
      </c>
      <c r="Y10" s="30">
        <v>96.816907516130073</v>
      </c>
      <c r="Z10" s="30">
        <v>0</v>
      </c>
      <c r="AA10" s="30">
        <v>0</v>
      </c>
      <c r="AB10" s="30">
        <v>59.151659816079444</v>
      </c>
      <c r="AC10" s="30">
        <v>6.425643666454997</v>
      </c>
      <c r="AD10" s="30">
        <v>23.793263725148364</v>
      </c>
      <c r="AE10" s="30">
        <v>30.456259811217326</v>
      </c>
      <c r="AF10" s="30">
        <v>0</v>
      </c>
      <c r="AG10" s="30">
        <v>1.4957542723621736E-5</v>
      </c>
      <c r="AH10" s="30">
        <v>0</v>
      </c>
      <c r="AI10" s="30">
        <f t="shared" si="8"/>
        <v>7.5731453429144113E-2</v>
      </c>
      <c r="AJ10" s="34">
        <f t="shared" si="1"/>
        <v>273.95353728842548</v>
      </c>
      <c r="AM10" s="23"/>
      <c r="AO10" s="20" t="str">
        <f t="shared" si="2"/>
        <v>MALUKU_PAPUA</v>
      </c>
      <c r="AP10" s="20">
        <f t="shared" si="2"/>
        <v>2025</v>
      </c>
      <c r="AQ10" s="30">
        <v>99999</v>
      </c>
      <c r="AR10" s="30">
        <v>99999</v>
      </c>
      <c r="AS10" s="30">
        <v>99999</v>
      </c>
      <c r="AT10" s="30">
        <v>999</v>
      </c>
      <c r="AU10" s="30">
        <f t="shared" si="9"/>
        <v>23965.800000154104</v>
      </c>
      <c r="AV10" s="30">
        <f t="shared" si="9"/>
        <v>74998.465487833411</v>
      </c>
      <c r="AW10" s="30">
        <f t="shared" si="9"/>
        <v>19221.176960091077</v>
      </c>
      <c r="AX10" s="30">
        <f t="shared" si="9"/>
        <v>207525.55435083027</v>
      </c>
      <c r="AY10" s="30">
        <f t="shared" si="9"/>
        <v>60453.939489414086</v>
      </c>
      <c r="AZ10" s="30">
        <f t="shared" si="9"/>
        <v>32654</v>
      </c>
      <c r="BA10" s="30">
        <f t="shared" si="9"/>
        <v>17987.716591984212</v>
      </c>
      <c r="BB10" s="30">
        <v>99999</v>
      </c>
      <c r="BC10" s="30">
        <v>99999</v>
      </c>
      <c r="BD10" s="30">
        <f t="shared" si="3"/>
        <v>436806.65288030717</v>
      </c>
      <c r="BF10" s="23"/>
      <c r="BG10" s="19"/>
      <c r="BH10" s="20" t="str">
        <f t="shared" si="10"/>
        <v>MALUKU_PAPUA</v>
      </c>
      <c r="BI10" s="20">
        <f t="shared" si="10"/>
        <v>2025</v>
      </c>
      <c r="BJ10" s="25">
        <f t="shared" si="4"/>
        <v>0.10593112789389472</v>
      </c>
      <c r="BK10" s="43">
        <f t="shared" si="5"/>
        <v>2.960675592593423E-4</v>
      </c>
      <c r="BL10" s="34">
        <f t="shared" si="11"/>
        <v>3609.8105795685851</v>
      </c>
      <c r="BP10" s="23"/>
    </row>
    <row r="11" spans="1:68" x14ac:dyDescent="0.25">
      <c r="A11" s="19"/>
      <c r="B11" s="20" t="str">
        <f t="shared" si="12"/>
        <v>MALUKU_PAPUA</v>
      </c>
      <c r="C11" s="20">
        <f t="shared" si="13"/>
        <v>2026</v>
      </c>
      <c r="D11" s="30">
        <f t="shared" si="14"/>
        <v>528.55918576194347</v>
      </c>
      <c r="E11" s="30">
        <f t="shared" si="6"/>
        <v>3.9999950000000073</v>
      </c>
      <c r="F11" s="30">
        <f t="shared" si="6"/>
        <v>1047.3182739413792</v>
      </c>
      <c r="G11" s="30">
        <f t="shared" si="6"/>
        <v>893.06</v>
      </c>
      <c r="H11" s="30">
        <f t="shared" si="6"/>
        <v>0</v>
      </c>
      <c r="I11" s="30">
        <f t="shared" si="6"/>
        <v>137.1490665464537</v>
      </c>
      <c r="J11" s="30">
        <f t="shared" si="6"/>
        <v>182.74435055809892</v>
      </c>
      <c r="K11" s="30">
        <f t="shared" si="6"/>
        <v>383.91489379703012</v>
      </c>
      <c r="L11" s="30">
        <f t="shared" si="6"/>
        <v>202.90553916919714</v>
      </c>
      <c r="M11" s="30">
        <f t="shared" si="6"/>
        <v>0</v>
      </c>
      <c r="N11" s="30">
        <f t="shared" si="6"/>
        <v>0.33691294614266781</v>
      </c>
      <c r="O11" s="30">
        <f t="shared" si="6"/>
        <v>0</v>
      </c>
      <c r="P11" s="30">
        <f>BL11/((VLOOKUP(P$3,tech_data!$B$2:$G$15,6,FALSE)/100)*24*365)</f>
        <v>0.97091726789943822</v>
      </c>
      <c r="Q11" s="30">
        <f t="shared" si="7"/>
        <v>3379.9882177202453</v>
      </c>
      <c r="R11" s="30"/>
      <c r="S11" s="36"/>
      <c r="T11" s="19"/>
      <c r="U11" s="20" t="str">
        <f t="shared" si="0"/>
        <v>MALUKU_PAPUA</v>
      </c>
      <c r="V11" s="20">
        <f t="shared" si="0"/>
        <v>2026</v>
      </c>
      <c r="W11" s="30">
        <v>65.993090943407793</v>
      </c>
      <c r="X11" s="30">
        <v>0</v>
      </c>
      <c r="Y11" s="30">
        <v>82.401065576594121</v>
      </c>
      <c r="Z11" s="30">
        <v>0</v>
      </c>
      <c r="AA11" s="30">
        <v>1.5410366119894316E-7</v>
      </c>
      <c r="AB11" s="30">
        <v>14.824554379867456</v>
      </c>
      <c r="AC11" s="30">
        <v>18.921310649173719</v>
      </c>
      <c r="AD11" s="30">
        <v>5.0592446272743086</v>
      </c>
      <c r="AE11" s="30">
        <v>9.8450285832801931</v>
      </c>
      <c r="AF11" s="30">
        <v>0</v>
      </c>
      <c r="AG11" s="30">
        <v>5.3504930357019372E-2</v>
      </c>
      <c r="AH11" s="30">
        <v>0</v>
      </c>
      <c r="AI11" s="30">
        <f t="shared" si="8"/>
        <v>5.5186527268138219E-2</v>
      </c>
      <c r="AJ11" s="34">
        <f t="shared" si="1"/>
        <v>197.15298637132642</v>
      </c>
      <c r="AM11" s="23"/>
      <c r="AO11" s="20" t="str">
        <f t="shared" si="2"/>
        <v>MALUKU_PAPUA</v>
      </c>
      <c r="AP11" s="20">
        <f t="shared" si="2"/>
        <v>2026</v>
      </c>
      <c r="AQ11" s="30">
        <v>99999</v>
      </c>
      <c r="AR11" s="30">
        <v>99999</v>
      </c>
      <c r="AS11" s="30">
        <v>99999</v>
      </c>
      <c r="AT11" s="30">
        <v>999</v>
      </c>
      <c r="AU11" s="30">
        <f t="shared" si="9"/>
        <v>23965.8</v>
      </c>
      <c r="AV11" s="30">
        <f t="shared" si="9"/>
        <v>74983.640933453542</v>
      </c>
      <c r="AW11" s="30">
        <f t="shared" si="9"/>
        <v>19202.255649441904</v>
      </c>
      <c r="AX11" s="30">
        <f t="shared" si="9"/>
        <v>207520.49510620299</v>
      </c>
      <c r="AY11" s="30">
        <f t="shared" si="9"/>
        <v>60444.094460830805</v>
      </c>
      <c r="AZ11" s="30">
        <f t="shared" si="9"/>
        <v>32654</v>
      </c>
      <c r="BA11" s="30">
        <f t="shared" si="9"/>
        <v>17987.663087053854</v>
      </c>
      <c r="BB11" s="30">
        <v>99999</v>
      </c>
      <c r="BC11" s="30">
        <v>99999</v>
      </c>
      <c r="BD11" s="30">
        <f t="shared" si="3"/>
        <v>436757.94923698308</v>
      </c>
      <c r="BF11" s="23"/>
      <c r="BG11" s="19"/>
      <c r="BH11" s="20" t="str">
        <f t="shared" si="10"/>
        <v>MALUKU_PAPUA</v>
      </c>
      <c r="BI11" s="20">
        <f t="shared" si="10"/>
        <v>2026</v>
      </c>
      <c r="BJ11" s="25">
        <f t="shared" si="4"/>
        <v>0.10273973609482821</v>
      </c>
      <c r="BK11" s="43">
        <f t="shared" si="5"/>
        <v>2.9536325210368622E-4</v>
      </c>
      <c r="BL11" s="34">
        <f t="shared" si="11"/>
        <v>3827.3558700595859</v>
      </c>
      <c r="BP11" s="23"/>
    </row>
    <row r="12" spans="1:68" x14ac:dyDescent="0.25">
      <c r="A12" s="19"/>
      <c r="B12" s="20" t="str">
        <f t="shared" si="12"/>
        <v>MALUKU_PAPUA</v>
      </c>
      <c r="C12" s="20">
        <f t="shared" si="13"/>
        <v>2027</v>
      </c>
      <c r="D12" s="30">
        <f t="shared" si="14"/>
        <v>598.53417293645794</v>
      </c>
      <c r="E12" s="30">
        <f t="shared" si="6"/>
        <v>3.9999940000000072</v>
      </c>
      <c r="F12" s="30">
        <f t="shared" si="6"/>
        <v>1137.1063717899724</v>
      </c>
      <c r="G12" s="30">
        <f t="shared" si="6"/>
        <v>893.06</v>
      </c>
      <c r="H12" s="30">
        <f t="shared" si="6"/>
        <v>-1.541036613872393E-7</v>
      </c>
      <c r="I12" s="30">
        <f t="shared" si="6"/>
        <v>151.87680356711664</v>
      </c>
      <c r="J12" s="30">
        <f t="shared" si="6"/>
        <v>205.12389092244004</v>
      </c>
      <c r="K12" s="30">
        <f t="shared" si="6"/>
        <v>387.5087160329694</v>
      </c>
      <c r="L12" s="30">
        <f t="shared" si="6"/>
        <v>213.20340986524769</v>
      </c>
      <c r="M12" s="30">
        <f t="shared" si="6"/>
        <v>0</v>
      </c>
      <c r="N12" s="30">
        <f t="shared" si="6"/>
        <v>0.38579917135627628</v>
      </c>
      <c r="O12" s="30">
        <f t="shared" si="6"/>
        <v>0</v>
      </c>
      <c r="P12" s="30">
        <f>BL12/((VLOOKUP(P$3,tech_data!$B$2:$G$15,6,FALSE)/100)*24*365)</f>
        <v>1.0300751027520847</v>
      </c>
      <c r="Q12" s="30">
        <f t="shared" si="7"/>
        <v>3590.7991581314559</v>
      </c>
      <c r="R12" s="30"/>
      <c r="S12" s="36"/>
      <c r="T12" s="19"/>
      <c r="U12" s="20" t="str">
        <f t="shared" si="0"/>
        <v>MALUKU_PAPUA</v>
      </c>
      <c r="V12" s="20">
        <f t="shared" si="0"/>
        <v>2027</v>
      </c>
      <c r="W12" s="30">
        <v>69.974987174514453</v>
      </c>
      <c r="X12" s="30">
        <v>-9.9999999991773336E-7</v>
      </c>
      <c r="Y12" s="30">
        <v>89.78809784859321</v>
      </c>
      <c r="Z12" s="30">
        <v>0</v>
      </c>
      <c r="AA12" s="30">
        <v>-1.541036613872393E-7</v>
      </c>
      <c r="AB12" s="30">
        <v>14.727737020662939</v>
      </c>
      <c r="AC12" s="30">
        <v>22.379540364341114</v>
      </c>
      <c r="AD12" s="30">
        <v>3.5938222359393053</v>
      </c>
      <c r="AE12" s="30">
        <v>10.29787069605054</v>
      </c>
      <c r="AF12" s="30">
        <v>0</v>
      </c>
      <c r="AG12" s="30">
        <v>4.8886225213608463E-2</v>
      </c>
      <c r="AH12" s="30">
        <v>0</v>
      </c>
      <c r="AI12" s="30">
        <f t="shared" si="8"/>
        <v>5.9157834852646474E-2</v>
      </c>
      <c r="AJ12" s="34">
        <f t="shared" si="1"/>
        <v>210.87009824606417</v>
      </c>
      <c r="AM12" s="23"/>
      <c r="AO12" s="20" t="str">
        <f t="shared" si="2"/>
        <v>MALUKU_PAPUA</v>
      </c>
      <c r="AP12" s="20">
        <f t="shared" si="2"/>
        <v>2027</v>
      </c>
      <c r="AQ12" s="30">
        <v>99999</v>
      </c>
      <c r="AR12" s="30">
        <v>99999</v>
      </c>
      <c r="AS12" s="30">
        <v>99999</v>
      </c>
      <c r="AT12" s="30">
        <v>999</v>
      </c>
      <c r="AU12" s="30">
        <f t="shared" si="9"/>
        <v>23965.800000154104</v>
      </c>
      <c r="AV12" s="30">
        <f t="shared" si="9"/>
        <v>74968.913196432884</v>
      </c>
      <c r="AW12" s="30">
        <f t="shared" si="9"/>
        <v>19179.876109077562</v>
      </c>
      <c r="AX12" s="30">
        <f t="shared" si="9"/>
        <v>207516.90128396705</v>
      </c>
      <c r="AY12" s="30">
        <f t="shared" si="9"/>
        <v>60433.796590134756</v>
      </c>
      <c r="AZ12" s="30">
        <f t="shared" si="9"/>
        <v>32654</v>
      </c>
      <c r="BA12" s="30">
        <f t="shared" si="9"/>
        <v>17987.614200828641</v>
      </c>
      <c r="BB12" s="30">
        <v>99999</v>
      </c>
      <c r="BC12" s="30">
        <v>99999</v>
      </c>
      <c r="BD12" s="30">
        <f t="shared" si="3"/>
        <v>436706.90138059499</v>
      </c>
      <c r="BF12" s="23"/>
      <c r="BG12" s="19"/>
      <c r="BH12" s="20" t="str">
        <f t="shared" si="10"/>
        <v>MALUKU_PAPUA</v>
      </c>
      <c r="BI12" s="20">
        <f t="shared" si="10"/>
        <v>2027</v>
      </c>
      <c r="BJ12" s="25">
        <f t="shared" si="4"/>
        <v>9.9384993065991939E-2</v>
      </c>
      <c r="BK12" s="43">
        <f t="shared" si="5"/>
        <v>2.9462289502146029E-4</v>
      </c>
      <c r="BL12" s="34">
        <f t="shared" si="11"/>
        <v>4060.5560550487185</v>
      </c>
      <c r="BP12" s="23"/>
    </row>
    <row r="13" spans="1:68" x14ac:dyDescent="0.25">
      <c r="A13" s="19"/>
      <c r="B13" s="20" t="str">
        <f t="shared" si="12"/>
        <v>MALUKU_PAPUA</v>
      </c>
      <c r="C13" s="20">
        <f t="shared" si="13"/>
        <v>2028</v>
      </c>
      <c r="D13" s="30">
        <f t="shared" si="14"/>
        <v>672.71287142430094</v>
      </c>
      <c r="E13" s="30">
        <f t="shared" si="6"/>
        <v>3.9999930000000079</v>
      </c>
      <c r="F13" s="30">
        <f t="shared" si="6"/>
        <v>1234.9673250394924</v>
      </c>
      <c r="G13" s="30">
        <f t="shared" si="6"/>
        <v>893.06</v>
      </c>
      <c r="H13" s="30">
        <f t="shared" si="6"/>
        <v>-3.3644175664116003E-15</v>
      </c>
      <c r="I13" s="30">
        <f t="shared" si="6"/>
        <v>151.87680356711664</v>
      </c>
      <c r="J13" s="30">
        <f t="shared" si="6"/>
        <v>205.12388992244004</v>
      </c>
      <c r="K13" s="30">
        <f t="shared" si="6"/>
        <v>401.08282778808433</v>
      </c>
      <c r="L13" s="30">
        <f t="shared" si="6"/>
        <v>288.4850069863852</v>
      </c>
      <c r="M13" s="30">
        <f t="shared" si="6"/>
        <v>0</v>
      </c>
      <c r="N13" s="30">
        <f t="shared" si="6"/>
        <v>0.44459211062598525</v>
      </c>
      <c r="O13" s="30">
        <f t="shared" si="6"/>
        <v>0</v>
      </c>
      <c r="P13" s="30">
        <f>BL13/((VLOOKUP(P$3,tech_data!$B$2:$G$15,6,FALSE)/100)*24*365)</f>
        <v>1.1058186624804858</v>
      </c>
      <c r="Q13" s="30">
        <f t="shared" si="7"/>
        <v>3851.7533098384447</v>
      </c>
      <c r="R13" s="30"/>
      <c r="S13" s="36"/>
      <c r="T13" s="19"/>
      <c r="U13" s="20" t="str">
        <f t="shared" si="0"/>
        <v>MALUKU_PAPUA</v>
      </c>
      <c r="V13" s="20">
        <f t="shared" si="0"/>
        <v>2028</v>
      </c>
      <c r="W13" s="30">
        <v>74.178698487843022</v>
      </c>
      <c r="X13" s="30">
        <v>-9.9999999925159955E-7</v>
      </c>
      <c r="Y13" s="30">
        <v>97.860953249519923</v>
      </c>
      <c r="Z13" s="30">
        <v>0</v>
      </c>
      <c r="AA13" s="30">
        <v>1.5410365802282173E-7</v>
      </c>
      <c r="AB13" s="30">
        <v>0</v>
      </c>
      <c r="AC13" s="30">
        <v>-9.9999999925159955E-7</v>
      </c>
      <c r="AD13" s="30">
        <v>13.574111755114942</v>
      </c>
      <c r="AE13" s="30">
        <v>75.281597121137509</v>
      </c>
      <c r="AF13" s="30">
        <v>0</v>
      </c>
      <c r="AG13" s="30">
        <v>5.8792939269708945E-2</v>
      </c>
      <c r="AH13" s="30">
        <v>0</v>
      </c>
      <c r="AI13" s="30">
        <f t="shared" si="8"/>
        <v>7.5743559728401078E-2</v>
      </c>
      <c r="AJ13" s="34">
        <f t="shared" si="1"/>
        <v>261.02989526671712</v>
      </c>
      <c r="AM13" s="23"/>
      <c r="AO13" s="20" t="str">
        <f t="shared" si="2"/>
        <v>MALUKU_PAPUA</v>
      </c>
      <c r="AP13" s="20">
        <f t="shared" si="2"/>
        <v>2028</v>
      </c>
      <c r="AQ13" s="30">
        <v>99999</v>
      </c>
      <c r="AR13" s="30">
        <v>99999</v>
      </c>
      <c r="AS13" s="30">
        <v>99999</v>
      </c>
      <c r="AT13" s="30">
        <v>999</v>
      </c>
      <c r="AU13" s="30">
        <f t="shared" si="9"/>
        <v>23965.8</v>
      </c>
      <c r="AV13" s="30">
        <f t="shared" si="9"/>
        <v>74968.913196432884</v>
      </c>
      <c r="AW13" s="30">
        <f t="shared" si="9"/>
        <v>19179.876110077563</v>
      </c>
      <c r="AX13" s="30">
        <f t="shared" si="9"/>
        <v>207503.32717221192</v>
      </c>
      <c r="AY13" s="30">
        <f t="shared" si="9"/>
        <v>60358.514993013618</v>
      </c>
      <c r="AZ13" s="30">
        <f t="shared" si="9"/>
        <v>32654</v>
      </c>
      <c r="BA13" s="30">
        <f t="shared" si="9"/>
        <v>17987.555407889369</v>
      </c>
      <c r="BB13" s="30">
        <v>99999</v>
      </c>
      <c r="BC13" s="30">
        <v>99999</v>
      </c>
      <c r="BD13" s="30">
        <f t="shared" si="3"/>
        <v>436617.98687962536</v>
      </c>
      <c r="BF13" s="23"/>
      <c r="BG13" s="19"/>
      <c r="BH13" s="20" t="str">
        <f t="shared" si="10"/>
        <v>MALUKU_PAPUA</v>
      </c>
      <c r="BI13" s="20">
        <f t="shared" si="10"/>
        <v>2028</v>
      </c>
      <c r="BJ13" s="25">
        <f t="shared" si="4"/>
        <v>0.11087187931441504</v>
      </c>
      <c r="BK13" s="43">
        <f t="shared" si="5"/>
        <v>2.9715793198662951E-4</v>
      </c>
      <c r="BL13" s="34">
        <f t="shared" si="11"/>
        <v>4359.1371674980755</v>
      </c>
      <c r="BP13" s="23"/>
    </row>
    <row r="14" spans="1:68" x14ac:dyDescent="0.25">
      <c r="A14" s="19"/>
      <c r="B14" s="20" t="str">
        <f t="shared" si="12"/>
        <v>MALUKU_PAPUA</v>
      </c>
      <c r="C14" s="20">
        <f t="shared" si="13"/>
        <v>2029</v>
      </c>
      <c r="D14" s="30">
        <f t="shared" si="14"/>
        <v>751.3284414682048</v>
      </c>
      <c r="E14" s="30">
        <f t="shared" si="6"/>
        <v>3.9999920000000087</v>
      </c>
      <c r="F14" s="30">
        <f t="shared" si="6"/>
        <v>1341.647835593795</v>
      </c>
      <c r="G14" s="30">
        <f t="shared" si="6"/>
        <v>893.06</v>
      </c>
      <c r="H14" s="30">
        <f t="shared" si="6"/>
        <v>-3.3644175664116003E-15</v>
      </c>
      <c r="I14" s="30">
        <f t="shared" si="6"/>
        <v>165.56990141865796</v>
      </c>
      <c r="J14" s="30">
        <f t="shared" si="6"/>
        <v>235.96525669104523</v>
      </c>
      <c r="K14" s="30">
        <f t="shared" si="6"/>
        <v>404.63578199030354</v>
      </c>
      <c r="L14" s="30">
        <f t="shared" si="6"/>
        <v>297.81756514288372</v>
      </c>
      <c r="M14" s="30">
        <f t="shared" si="6"/>
        <v>0</v>
      </c>
      <c r="N14" s="30">
        <f t="shared" si="6"/>
        <v>0.55227026523796441</v>
      </c>
      <c r="O14" s="30">
        <f t="shared" si="6"/>
        <v>0</v>
      </c>
      <c r="P14" s="30">
        <f>BL14/((VLOOKUP(P$3,tech_data!$B$2:$G$15,6,FALSE)/100)*24*365)</f>
        <v>1.1738970113194545</v>
      </c>
      <c r="Q14" s="30">
        <f t="shared" si="7"/>
        <v>4094.5770445701287</v>
      </c>
      <c r="R14" s="30"/>
      <c r="S14" s="36"/>
      <c r="T14" s="19"/>
      <c r="U14" s="20" t="str">
        <f t="shared" si="0"/>
        <v>MALUKU_PAPUA</v>
      </c>
      <c r="V14" s="20">
        <f t="shared" si="0"/>
        <v>2029</v>
      </c>
      <c r="W14" s="30">
        <v>78.615570043903858</v>
      </c>
      <c r="X14" s="30">
        <v>-9.9999999925159955E-7</v>
      </c>
      <c r="Y14" s="30">
        <v>106.68051055430251</v>
      </c>
      <c r="Z14" s="30">
        <v>0</v>
      </c>
      <c r="AA14" s="30">
        <v>0</v>
      </c>
      <c r="AB14" s="30">
        <v>13.693097851541337</v>
      </c>
      <c r="AC14" s="30">
        <v>30.841366768605187</v>
      </c>
      <c r="AD14" s="30">
        <v>3.5529542022191847</v>
      </c>
      <c r="AE14" s="30">
        <v>9.3325581564985072</v>
      </c>
      <c r="AF14" s="30">
        <v>0</v>
      </c>
      <c r="AG14" s="30">
        <v>0.10767815461197919</v>
      </c>
      <c r="AH14" s="30">
        <v>0</v>
      </c>
      <c r="AI14" s="30">
        <f t="shared" si="8"/>
        <v>6.8078348838968683E-2</v>
      </c>
      <c r="AJ14" s="34">
        <f t="shared" si="1"/>
        <v>242.89181308052153</v>
      </c>
      <c r="AM14" s="23"/>
      <c r="AO14" s="20" t="str">
        <f t="shared" si="2"/>
        <v>MALUKU_PAPUA</v>
      </c>
      <c r="AP14" s="20">
        <f t="shared" si="2"/>
        <v>2029</v>
      </c>
      <c r="AQ14" s="30">
        <v>99999</v>
      </c>
      <c r="AR14" s="30">
        <v>99999</v>
      </c>
      <c r="AS14" s="30">
        <v>99999</v>
      </c>
      <c r="AT14" s="30">
        <v>999</v>
      </c>
      <c r="AU14" s="30">
        <f t="shared" si="9"/>
        <v>23965.8</v>
      </c>
      <c r="AV14" s="30">
        <f t="shared" si="9"/>
        <v>74955.22009858134</v>
      </c>
      <c r="AW14" s="30">
        <f t="shared" si="9"/>
        <v>19149.034743308959</v>
      </c>
      <c r="AX14" s="30">
        <f t="shared" si="9"/>
        <v>207499.7742180097</v>
      </c>
      <c r="AY14" s="30">
        <f t="shared" si="9"/>
        <v>60349.182434857117</v>
      </c>
      <c r="AZ14" s="30">
        <f t="shared" si="9"/>
        <v>32654</v>
      </c>
      <c r="BA14" s="30">
        <f t="shared" si="9"/>
        <v>17987.447729734758</v>
      </c>
      <c r="BB14" s="30">
        <v>99999</v>
      </c>
      <c r="BC14" s="30">
        <v>99999</v>
      </c>
      <c r="BD14" s="30">
        <f t="shared" si="3"/>
        <v>436560.4592244919</v>
      </c>
      <c r="BF14" s="23"/>
      <c r="BG14" s="19"/>
      <c r="BH14" s="20" t="str">
        <f t="shared" si="10"/>
        <v>MALUKU_PAPUA</v>
      </c>
      <c r="BI14" s="20">
        <f t="shared" si="10"/>
        <v>2029</v>
      </c>
      <c r="BJ14" s="25">
        <f t="shared" si="4"/>
        <v>0.10636884396306383</v>
      </c>
      <c r="BK14" s="43">
        <f t="shared" si="5"/>
        <v>2.9616415866771066E-4</v>
      </c>
      <c r="BL14" s="34">
        <f t="shared" si="11"/>
        <v>4627.5020186212896</v>
      </c>
      <c r="BP14" s="23"/>
    </row>
    <row r="15" spans="1:68" x14ac:dyDescent="0.25">
      <c r="A15" s="19"/>
      <c r="B15" s="20" t="str">
        <f t="shared" si="12"/>
        <v>MALUKU_PAPUA</v>
      </c>
      <c r="C15" s="20">
        <f t="shared" si="13"/>
        <v>2030</v>
      </c>
      <c r="D15" s="30">
        <f t="shared" si="14"/>
        <v>834.62479176317515</v>
      </c>
      <c r="E15" s="30">
        <f t="shared" si="6"/>
        <v>3.9999920000000087</v>
      </c>
      <c r="F15" s="30">
        <f t="shared" si="6"/>
        <v>1457.9653183032908</v>
      </c>
      <c r="G15" s="30">
        <f t="shared" si="6"/>
        <v>893.06</v>
      </c>
      <c r="H15" s="30">
        <f t="shared" si="6"/>
        <v>0</v>
      </c>
      <c r="I15" s="30">
        <f t="shared" si="6"/>
        <v>185.0650254218188</v>
      </c>
      <c r="J15" s="30">
        <f t="shared" si="6"/>
        <v>263.00832878846944</v>
      </c>
      <c r="K15" s="30">
        <f t="shared" si="6"/>
        <v>412.7583198911783</v>
      </c>
      <c r="L15" s="30">
        <f t="shared" si="6"/>
        <v>311.33134633290274</v>
      </c>
      <c r="M15" s="30">
        <f t="shared" si="6"/>
        <v>0</v>
      </c>
      <c r="N15" s="30">
        <f t="shared" si="6"/>
        <v>0.55227026523796441</v>
      </c>
      <c r="O15" s="30">
        <f t="shared" si="6"/>
        <v>0</v>
      </c>
      <c r="P15" s="30">
        <f>BL15/((VLOOKUP(P$3,tech_data!$B$2:$G$15,6,FALSE)/100)*24*365)</f>
        <v>1.2482379464326077</v>
      </c>
      <c r="Q15" s="30">
        <f t="shared" si="7"/>
        <v>4362.3653927660735</v>
      </c>
      <c r="R15" s="30"/>
      <c r="S15" s="36"/>
      <c r="T15" s="19"/>
      <c r="U15" s="20" t="str">
        <f t="shared" si="0"/>
        <v>MALUKU_PAPUA</v>
      </c>
      <c r="V15" s="20">
        <f t="shared" si="0"/>
        <v>2030</v>
      </c>
      <c r="W15" s="30">
        <v>83.296350294970395</v>
      </c>
      <c r="X15" s="30">
        <v>0</v>
      </c>
      <c r="Y15" s="30">
        <v>116.31748270949591</v>
      </c>
      <c r="Z15" s="30">
        <v>0</v>
      </c>
      <c r="AA15" s="30">
        <v>3.3644175664115987E-15</v>
      </c>
      <c r="AB15" s="30">
        <v>19.49512400316085</v>
      </c>
      <c r="AC15" s="30">
        <v>27.04307209742424</v>
      </c>
      <c r="AD15" s="30">
        <v>8.122537900874784</v>
      </c>
      <c r="AE15" s="30">
        <v>13.513781190019042</v>
      </c>
      <c r="AF15" s="30">
        <v>0</v>
      </c>
      <c r="AG15" s="30">
        <v>0</v>
      </c>
      <c r="AH15" s="30">
        <v>0</v>
      </c>
      <c r="AI15" s="30">
        <f t="shared" si="8"/>
        <v>7.4340935113153206E-2</v>
      </c>
      <c r="AJ15" s="34">
        <f t="shared" si="1"/>
        <v>267.86268913105835</v>
      </c>
      <c r="AM15" s="23"/>
      <c r="AO15" s="20" t="str">
        <f t="shared" si="2"/>
        <v>MALUKU_PAPUA</v>
      </c>
      <c r="AP15" s="20">
        <f t="shared" si="2"/>
        <v>2030</v>
      </c>
      <c r="AQ15" s="30">
        <v>99999</v>
      </c>
      <c r="AR15" s="30">
        <v>99999</v>
      </c>
      <c r="AS15" s="30">
        <v>99999</v>
      </c>
      <c r="AT15" s="30">
        <v>999</v>
      </c>
      <c r="AU15" s="30">
        <f t="shared" si="9"/>
        <v>23965.8</v>
      </c>
      <c r="AV15" s="30">
        <f t="shared" si="9"/>
        <v>74935.724974578174</v>
      </c>
      <c r="AW15" s="30">
        <f t="shared" si="9"/>
        <v>19121.991671211534</v>
      </c>
      <c r="AX15" s="30">
        <f t="shared" si="9"/>
        <v>207491.65168010883</v>
      </c>
      <c r="AY15" s="30">
        <f t="shared" si="9"/>
        <v>60335.668653667097</v>
      </c>
      <c r="AZ15" s="30">
        <f t="shared" si="9"/>
        <v>32654</v>
      </c>
      <c r="BA15" s="30">
        <f t="shared" si="9"/>
        <v>17987.447729734758</v>
      </c>
      <c r="BB15" s="30">
        <v>99999</v>
      </c>
      <c r="BC15" s="30">
        <v>99999</v>
      </c>
      <c r="BD15" s="30">
        <f t="shared" si="3"/>
        <v>436492.28470930038</v>
      </c>
      <c r="BF15" s="23"/>
      <c r="BG15" s="19"/>
      <c r="BH15" s="20" t="str">
        <f t="shared" si="10"/>
        <v>MALUKU_PAPUA</v>
      </c>
      <c r="BI15" s="20">
        <f t="shared" si="10"/>
        <v>2030</v>
      </c>
      <c r="BJ15" s="25">
        <f t="shared" si="4"/>
        <v>0.10318981853958888</v>
      </c>
      <c r="BK15" s="43">
        <f t="shared" si="5"/>
        <v>2.9546258064321962E-4</v>
      </c>
      <c r="BL15" s="34">
        <f t="shared" si="11"/>
        <v>4920.5539848373401</v>
      </c>
      <c r="BP15" s="23"/>
    </row>
    <row r="16" spans="1:68" x14ac:dyDescent="0.25">
      <c r="A16" s="19"/>
      <c r="B16" s="20" t="str">
        <f t="shared" si="12"/>
        <v>MALUKU_PAPUA</v>
      </c>
      <c r="C16" s="20">
        <f t="shared" si="13"/>
        <v>2031</v>
      </c>
      <c r="D16" s="30">
        <f t="shared" si="14"/>
        <v>922.85722710828145</v>
      </c>
      <c r="E16" s="30">
        <f t="shared" si="6"/>
        <v>3.9999920000000087</v>
      </c>
      <c r="F16" s="30">
        <f t="shared" si="6"/>
        <v>1584.8129528170418</v>
      </c>
      <c r="G16" s="30">
        <f t="shared" si="6"/>
        <v>893.06</v>
      </c>
      <c r="H16" s="30">
        <f t="shared" si="6"/>
        <v>-1.541036613872393E-7</v>
      </c>
      <c r="I16" s="30">
        <f t="shared" si="6"/>
        <v>211.09385591882995</v>
      </c>
      <c r="J16" s="30">
        <f t="shared" si="6"/>
        <v>284.37582499274106</v>
      </c>
      <c r="K16" s="30">
        <f t="shared" si="6"/>
        <v>414.30443323089372</v>
      </c>
      <c r="L16" s="30">
        <f t="shared" si="6"/>
        <v>338.85072461016978</v>
      </c>
      <c r="M16" s="30">
        <f t="shared" si="6"/>
        <v>0</v>
      </c>
      <c r="N16" s="30">
        <f t="shared" si="6"/>
        <v>0.55227026523796441</v>
      </c>
      <c r="O16" s="30">
        <f t="shared" si="6"/>
        <v>0</v>
      </c>
      <c r="P16" s="30">
        <f>BL16/((VLOOKUP(P$3,tech_data!$B$2:$G$15,6,FALSE)/100)*24*365)</f>
        <v>1.3298102112721095</v>
      </c>
      <c r="Q16" s="30">
        <f t="shared" si="7"/>
        <v>4653.9072807890916</v>
      </c>
      <c r="R16" s="30"/>
      <c r="S16" s="36"/>
      <c r="T16" s="19"/>
      <c r="U16" s="20" t="str">
        <f t="shared" si="0"/>
        <v>MALUKU_PAPUA</v>
      </c>
      <c r="V16" s="20">
        <f t="shared" si="0"/>
        <v>2031</v>
      </c>
      <c r="W16" s="30">
        <v>88.23243534510631</v>
      </c>
      <c r="X16" s="30">
        <v>0</v>
      </c>
      <c r="Y16" s="30">
        <v>126.84763451375098</v>
      </c>
      <c r="Z16" s="30">
        <v>0</v>
      </c>
      <c r="AA16" s="30">
        <v>-1.541036613872393E-7</v>
      </c>
      <c r="AB16" s="30">
        <v>26.02883049701115</v>
      </c>
      <c r="AC16" s="30">
        <v>21.367496204271607</v>
      </c>
      <c r="AD16" s="30">
        <v>1.5461133397154032</v>
      </c>
      <c r="AE16" s="30">
        <v>27.519378277267037</v>
      </c>
      <c r="AF16" s="30">
        <v>0</v>
      </c>
      <c r="AG16" s="30">
        <v>0</v>
      </c>
      <c r="AH16" s="30">
        <v>0</v>
      </c>
      <c r="AI16" s="30">
        <f t="shared" si="8"/>
        <v>8.1572264839501862E-2</v>
      </c>
      <c r="AJ16" s="34">
        <f t="shared" si="1"/>
        <v>291.62346028785834</v>
      </c>
      <c r="AM16" s="23"/>
      <c r="AO16" s="20" t="str">
        <f t="shared" si="2"/>
        <v>MALUKU_PAPUA</v>
      </c>
      <c r="AP16" s="20">
        <f t="shared" si="2"/>
        <v>2031</v>
      </c>
      <c r="AQ16" s="30">
        <v>99999</v>
      </c>
      <c r="AR16" s="30">
        <v>99999</v>
      </c>
      <c r="AS16" s="30">
        <v>99999</v>
      </c>
      <c r="AT16" s="30">
        <v>999</v>
      </c>
      <c r="AU16" s="30">
        <f t="shared" si="9"/>
        <v>23965.800000154104</v>
      </c>
      <c r="AV16" s="30">
        <f t="shared" si="9"/>
        <v>74909.696144081157</v>
      </c>
      <c r="AW16" s="30">
        <f t="shared" si="9"/>
        <v>19100.624175007262</v>
      </c>
      <c r="AX16" s="30">
        <f t="shared" si="9"/>
        <v>207490.10556676911</v>
      </c>
      <c r="AY16" s="30">
        <f t="shared" si="9"/>
        <v>60308.149275389827</v>
      </c>
      <c r="AZ16" s="30">
        <f t="shared" si="9"/>
        <v>32654</v>
      </c>
      <c r="BA16" s="30">
        <f t="shared" si="9"/>
        <v>17987.447729734758</v>
      </c>
      <c r="BB16" s="30">
        <v>99999</v>
      </c>
      <c r="BC16" s="30">
        <v>99999</v>
      </c>
      <c r="BD16" s="30">
        <f t="shared" si="3"/>
        <v>436415.82289113622</v>
      </c>
      <c r="BF16" s="23"/>
      <c r="BG16" s="19"/>
      <c r="BH16" s="20" t="str">
        <f t="shared" si="10"/>
        <v>MALUKU_PAPUA</v>
      </c>
      <c r="BI16" s="20">
        <f t="shared" si="10"/>
        <v>2031</v>
      </c>
      <c r="BJ16" s="25">
        <f t="shared" si="4"/>
        <v>0.10167567116565648</v>
      </c>
      <c r="BK16" s="43">
        <f t="shared" si="5"/>
        <v>2.9512842398138627E-4</v>
      </c>
      <c r="BL16" s="34">
        <f t="shared" si="11"/>
        <v>5242.111852834656</v>
      </c>
      <c r="BP16" s="23"/>
    </row>
    <row r="17" spans="1:84" x14ac:dyDescent="0.25">
      <c r="A17" s="19"/>
      <c r="B17" s="20" t="str">
        <f t="shared" si="12"/>
        <v>MALUKU_PAPUA</v>
      </c>
      <c r="C17" s="20">
        <f t="shared" si="13"/>
        <v>2032</v>
      </c>
      <c r="D17" s="30">
        <f t="shared" si="14"/>
        <v>1016.2926490551766</v>
      </c>
      <c r="E17" s="30">
        <f t="shared" si="6"/>
        <v>3.9999920000000087</v>
      </c>
      <c r="F17" s="30">
        <f t="shared" si="6"/>
        <v>1723.1671404090325</v>
      </c>
      <c r="G17" s="30">
        <f t="shared" si="6"/>
        <v>893.06</v>
      </c>
      <c r="H17" s="30">
        <f t="shared" si="6"/>
        <v>-1.541036613872393E-7</v>
      </c>
      <c r="I17" s="30">
        <f t="shared" si="6"/>
        <v>234.60443835380769</v>
      </c>
      <c r="J17" s="30">
        <f t="shared" si="6"/>
        <v>315.71889740692671</v>
      </c>
      <c r="K17" s="30">
        <f t="shared" si="6"/>
        <v>424.05073165718107</v>
      </c>
      <c r="L17" s="30">
        <f t="shared" si="6"/>
        <v>355.14160628051638</v>
      </c>
      <c r="M17" s="30">
        <f t="shared" si="6"/>
        <v>0</v>
      </c>
      <c r="N17" s="30">
        <f t="shared" si="6"/>
        <v>0.66509036993853821</v>
      </c>
      <c r="O17" s="30">
        <f t="shared" si="6"/>
        <v>0</v>
      </c>
      <c r="P17" s="30">
        <f>BL17/((VLOOKUP(P$3,tech_data!$B$2:$G$15,6,FALSE)/100)*24*365)</f>
        <v>1.4162501521778701</v>
      </c>
      <c r="Q17" s="30">
        <f t="shared" si="7"/>
        <v>4966.7005453784759</v>
      </c>
      <c r="R17" s="30"/>
      <c r="S17" s="36"/>
      <c r="T17" s="19"/>
      <c r="U17" s="20" t="str">
        <f t="shared" si="0"/>
        <v>MALUKU_PAPUA</v>
      </c>
      <c r="V17" s="20">
        <f t="shared" si="0"/>
        <v>2032</v>
      </c>
      <c r="W17" s="30">
        <v>93.435421946895161</v>
      </c>
      <c r="X17" s="30">
        <v>0</v>
      </c>
      <c r="Y17" s="30">
        <v>138.35418759199081</v>
      </c>
      <c r="Z17" s="30">
        <v>0</v>
      </c>
      <c r="AA17" s="30">
        <v>0</v>
      </c>
      <c r="AB17" s="30">
        <v>23.510582434977742</v>
      </c>
      <c r="AC17" s="30">
        <v>31.343072414185656</v>
      </c>
      <c r="AD17" s="30">
        <v>9.7462984262873409</v>
      </c>
      <c r="AE17" s="30">
        <v>16.290881670346625</v>
      </c>
      <c r="AF17" s="30">
        <v>0</v>
      </c>
      <c r="AG17" s="30">
        <v>0.11282010470057383</v>
      </c>
      <c r="AH17" s="30">
        <v>0</v>
      </c>
      <c r="AI17" s="30">
        <f t="shared" si="8"/>
        <v>8.6439940905760571E-2</v>
      </c>
      <c r="AJ17" s="34">
        <f t="shared" si="1"/>
        <v>312.87970453028964</v>
      </c>
      <c r="AM17" s="23"/>
      <c r="AO17" s="20" t="str">
        <f t="shared" si="2"/>
        <v>MALUKU_PAPUA</v>
      </c>
      <c r="AP17" s="20">
        <f t="shared" si="2"/>
        <v>2032</v>
      </c>
      <c r="AQ17" s="30">
        <v>99999</v>
      </c>
      <c r="AR17" s="30">
        <v>99999</v>
      </c>
      <c r="AS17" s="30">
        <v>99999</v>
      </c>
      <c r="AT17" s="30">
        <v>999</v>
      </c>
      <c r="AU17" s="30">
        <f t="shared" si="9"/>
        <v>23965.800000154104</v>
      </c>
      <c r="AV17" s="30">
        <f t="shared" si="9"/>
        <v>74886.185561646183</v>
      </c>
      <c r="AW17" s="30">
        <f t="shared" si="9"/>
        <v>19069.281102593075</v>
      </c>
      <c r="AX17" s="30">
        <f t="shared" si="9"/>
        <v>207480.35926834281</v>
      </c>
      <c r="AY17" s="30">
        <f t="shared" si="9"/>
        <v>60291.858393719478</v>
      </c>
      <c r="AZ17" s="30">
        <f t="shared" si="9"/>
        <v>32654</v>
      </c>
      <c r="BA17" s="30">
        <f t="shared" si="9"/>
        <v>17987.334909630059</v>
      </c>
      <c r="BB17" s="30">
        <v>99999</v>
      </c>
      <c r="BC17" s="30">
        <v>99999</v>
      </c>
      <c r="BD17" s="30">
        <f t="shared" si="3"/>
        <v>436334.81923608575</v>
      </c>
      <c r="BF17" s="23"/>
      <c r="BG17" s="19"/>
      <c r="BH17" s="20" t="str">
        <f t="shared" si="10"/>
        <v>MALUKU_PAPUA</v>
      </c>
      <c r="BI17" s="20">
        <f t="shared" si="10"/>
        <v>2032</v>
      </c>
      <c r="BJ17" s="25">
        <f t="shared" si="4"/>
        <v>9.887702404862464E-2</v>
      </c>
      <c r="BK17" s="43">
        <f t="shared" si="5"/>
        <v>2.9451079151417923E-4</v>
      </c>
      <c r="BL17" s="34">
        <f t="shared" si="11"/>
        <v>5582.8580998851648</v>
      </c>
      <c r="BP17" s="23"/>
    </row>
    <row r="18" spans="1:84" x14ac:dyDescent="0.25">
      <c r="A18" s="19"/>
      <c r="B18" s="20" t="str">
        <f t="shared" si="12"/>
        <v>MALUKU_PAPUA</v>
      </c>
      <c r="C18" s="20">
        <f t="shared" si="13"/>
        <v>2033</v>
      </c>
      <c r="D18" s="30">
        <f t="shared" si="14"/>
        <v>1115.2098111255218</v>
      </c>
      <c r="E18" s="30">
        <f t="shared" si="6"/>
        <v>3.9999910000000094</v>
      </c>
      <c r="F18" s="30">
        <f t="shared" si="6"/>
        <v>1874.0953027067205</v>
      </c>
      <c r="G18" s="30">
        <f t="shared" si="6"/>
        <v>893.06</v>
      </c>
      <c r="H18" s="30">
        <f t="shared" si="6"/>
        <v>0</v>
      </c>
      <c r="I18" s="30">
        <f t="shared" si="6"/>
        <v>234.74710796887388</v>
      </c>
      <c r="J18" s="30">
        <f t="shared" si="6"/>
        <v>338.62695952624148</v>
      </c>
      <c r="K18" s="30">
        <f t="shared" si="6"/>
        <v>501.78401691086077</v>
      </c>
      <c r="L18" s="30">
        <f t="shared" si="6"/>
        <v>391.03171644746038</v>
      </c>
      <c r="M18" s="30">
        <f t="shared" si="6"/>
        <v>0</v>
      </c>
      <c r="N18" s="30">
        <f t="shared" si="6"/>
        <v>0.66509036993853821</v>
      </c>
      <c r="O18" s="30">
        <f t="shared" si="6"/>
        <v>0</v>
      </c>
      <c r="P18" s="30">
        <f>BL18/((VLOOKUP(P$3,tech_data!$B$2:$G$15,6,FALSE)/100)*24*365)</f>
        <v>1.5194617661361036</v>
      </c>
      <c r="Q18" s="30">
        <f t="shared" si="7"/>
        <v>5353.2199960556154</v>
      </c>
      <c r="R18" s="30"/>
      <c r="S18" s="36"/>
      <c r="T18" s="19"/>
      <c r="U18" s="20" t="str">
        <f t="shared" si="0"/>
        <v>MALUKU_PAPUA</v>
      </c>
      <c r="V18" s="20">
        <f t="shared" si="0"/>
        <v>2033</v>
      </c>
      <c r="W18" s="30">
        <v>98.917162070345114</v>
      </c>
      <c r="X18" s="30">
        <v>-9.9999999925159955E-7</v>
      </c>
      <c r="Y18" s="30">
        <v>150.92816229768803</v>
      </c>
      <c r="Z18" s="30">
        <v>0</v>
      </c>
      <c r="AA18" s="30">
        <v>1.5410366138723922E-7</v>
      </c>
      <c r="AB18" s="30">
        <v>0.14266961506617118</v>
      </c>
      <c r="AC18" s="30">
        <v>22.908062119314767</v>
      </c>
      <c r="AD18" s="30">
        <v>77.733285253679682</v>
      </c>
      <c r="AE18" s="30">
        <v>35.890110166943998</v>
      </c>
      <c r="AF18" s="30">
        <v>0</v>
      </c>
      <c r="AG18" s="30">
        <v>0</v>
      </c>
      <c r="AH18" s="30">
        <v>0</v>
      </c>
      <c r="AI18" s="30">
        <f t="shared" si="8"/>
        <v>0.10321161395823353</v>
      </c>
      <c r="AJ18" s="34">
        <f t="shared" si="1"/>
        <v>386.62266229109974</v>
      </c>
      <c r="AM18" s="23"/>
      <c r="AO18" s="20" t="str">
        <f t="shared" si="2"/>
        <v>MALUKU_PAPUA</v>
      </c>
      <c r="AP18" s="20">
        <f t="shared" si="2"/>
        <v>2033</v>
      </c>
      <c r="AQ18" s="30">
        <v>99999</v>
      </c>
      <c r="AR18" s="30">
        <v>99999</v>
      </c>
      <c r="AS18" s="30">
        <v>99999</v>
      </c>
      <c r="AT18" s="30">
        <v>999</v>
      </c>
      <c r="AU18" s="30">
        <f t="shared" si="9"/>
        <v>23965.8</v>
      </c>
      <c r="AV18" s="30">
        <f t="shared" si="9"/>
        <v>74886.042892031124</v>
      </c>
      <c r="AW18" s="30">
        <f t="shared" si="9"/>
        <v>19046.373040473762</v>
      </c>
      <c r="AX18" s="30">
        <f t="shared" si="9"/>
        <v>207402.62598308912</v>
      </c>
      <c r="AY18" s="30">
        <f t="shared" si="9"/>
        <v>60255.968283552531</v>
      </c>
      <c r="AZ18" s="30">
        <f t="shared" si="9"/>
        <v>32654</v>
      </c>
      <c r="BA18" s="30">
        <f t="shared" si="9"/>
        <v>17987.334909630059</v>
      </c>
      <c r="BB18" s="30">
        <v>99999</v>
      </c>
      <c r="BC18" s="30">
        <v>99999</v>
      </c>
      <c r="BD18" s="30">
        <f t="shared" si="3"/>
        <v>436198.14510877657</v>
      </c>
      <c r="BF18" s="23"/>
      <c r="BG18" s="19"/>
      <c r="BH18" s="20" t="str">
        <f t="shared" si="10"/>
        <v>MALUKU_PAPUA</v>
      </c>
      <c r="BI18" s="20">
        <f t="shared" si="10"/>
        <v>2033</v>
      </c>
      <c r="BJ18" s="25">
        <f t="shared" si="4"/>
        <v>0.10510769001522791</v>
      </c>
      <c r="BK18" s="43">
        <f t="shared" si="5"/>
        <v>2.9588583503784341E-4</v>
      </c>
      <c r="BL18" s="34">
        <f t="shared" si="11"/>
        <v>5989.7182821085207</v>
      </c>
      <c r="BP18" s="23"/>
    </row>
    <row r="19" spans="1:84" x14ac:dyDescent="0.25">
      <c r="A19" s="19"/>
      <c r="B19" s="20" t="str">
        <f t="shared" si="12"/>
        <v>MALUKU_PAPUA</v>
      </c>
      <c r="C19" s="20">
        <f t="shared" si="13"/>
        <v>2034</v>
      </c>
      <c r="D19" s="30">
        <f t="shared" si="14"/>
        <v>1219.8994952624062</v>
      </c>
      <c r="E19" s="30">
        <f t="shared" si="6"/>
        <v>3.9999910000000094</v>
      </c>
      <c r="F19" s="30">
        <f t="shared" si="6"/>
        <v>2038.7645919991025</v>
      </c>
      <c r="G19" s="30">
        <f t="shared" si="6"/>
        <v>893.06</v>
      </c>
      <c r="H19" s="30">
        <f t="shared" si="6"/>
        <v>-3.3644177517000575E-15</v>
      </c>
      <c r="I19" s="30">
        <f t="shared" si="6"/>
        <v>260.48639636684607</v>
      </c>
      <c r="J19" s="30">
        <f t="shared" si="6"/>
        <v>380.26372316796363</v>
      </c>
      <c r="K19" s="30">
        <f t="shared" si="6"/>
        <v>510.95364485948875</v>
      </c>
      <c r="L19" s="30">
        <f t="shared" si="6"/>
        <v>406.04517163335919</v>
      </c>
      <c r="M19" s="30">
        <f t="shared" si="6"/>
        <v>0</v>
      </c>
      <c r="N19" s="30">
        <f t="shared" si="6"/>
        <v>0.66983032080737559</v>
      </c>
      <c r="O19" s="30">
        <f t="shared" si="6"/>
        <v>0</v>
      </c>
      <c r="P19" s="30">
        <f>BL19/((VLOOKUP(P$3,tech_data!$B$2:$G$15,6,FALSE)/100)*24*365)</f>
        <v>1.6189486178844579</v>
      </c>
      <c r="Q19" s="30">
        <f t="shared" si="7"/>
        <v>5714.1428446099735</v>
      </c>
      <c r="R19" s="30"/>
      <c r="S19" s="36"/>
      <c r="T19" s="19"/>
      <c r="U19" s="20" t="str">
        <f t="shared" si="0"/>
        <v>MALUKU_PAPUA</v>
      </c>
      <c r="V19" s="20">
        <f t="shared" si="0"/>
        <v>2034</v>
      </c>
      <c r="W19" s="30">
        <v>104.68968413688447</v>
      </c>
      <c r="X19" s="30">
        <v>0</v>
      </c>
      <c r="Y19" s="30">
        <v>164.66928929238208</v>
      </c>
      <c r="Z19" s="30">
        <v>0</v>
      </c>
      <c r="AA19" s="30">
        <v>-3.3644177517000575E-15</v>
      </c>
      <c r="AB19" s="30">
        <v>25.739288397972164</v>
      </c>
      <c r="AC19" s="30">
        <v>41.636763641722162</v>
      </c>
      <c r="AD19" s="30">
        <v>9.1696279486279781</v>
      </c>
      <c r="AE19" s="30">
        <v>15.013455185898813</v>
      </c>
      <c r="AF19" s="30">
        <v>0</v>
      </c>
      <c r="AG19" s="30">
        <v>4.739950868837434E-3</v>
      </c>
      <c r="AH19" s="30">
        <v>0</v>
      </c>
      <c r="AI19" s="30">
        <f t="shared" si="8"/>
        <v>9.9486851748354255E-2</v>
      </c>
      <c r="AJ19" s="34">
        <f t="shared" si="1"/>
        <v>361.02233540610484</v>
      </c>
      <c r="AM19" s="23"/>
      <c r="AO19" s="20" t="str">
        <f t="shared" si="2"/>
        <v>MALUKU_PAPUA</v>
      </c>
      <c r="AP19" s="20">
        <f t="shared" si="2"/>
        <v>2034</v>
      </c>
      <c r="AQ19" s="30">
        <v>99999</v>
      </c>
      <c r="AR19" s="30">
        <v>99999</v>
      </c>
      <c r="AS19" s="30">
        <v>99999</v>
      </c>
      <c r="AT19" s="30">
        <v>999</v>
      </c>
      <c r="AU19" s="30">
        <f t="shared" si="9"/>
        <v>23965.8</v>
      </c>
      <c r="AV19" s="30">
        <f t="shared" si="9"/>
        <v>74860.303603633147</v>
      </c>
      <c r="AW19" s="30">
        <f t="shared" si="9"/>
        <v>19004.736276832038</v>
      </c>
      <c r="AX19" s="30">
        <f t="shared" si="9"/>
        <v>207393.45635514049</v>
      </c>
      <c r="AY19" s="30">
        <f t="shared" si="9"/>
        <v>60240.95482836663</v>
      </c>
      <c r="AZ19" s="30">
        <f t="shared" si="9"/>
        <v>32654</v>
      </c>
      <c r="BA19" s="30">
        <f t="shared" si="9"/>
        <v>17987.33016967919</v>
      </c>
      <c r="BB19" s="30">
        <v>99999</v>
      </c>
      <c r="BC19" s="30">
        <v>99999</v>
      </c>
      <c r="BD19" s="30">
        <f t="shared" si="3"/>
        <v>436106.58123365149</v>
      </c>
      <c r="BF19" s="23"/>
      <c r="BG19" s="19"/>
      <c r="BH19" s="20" t="str">
        <f t="shared" si="10"/>
        <v>MALUKU_PAPUA</v>
      </c>
      <c r="BI19" s="20">
        <f t="shared" si="10"/>
        <v>2034</v>
      </c>
      <c r="BJ19" s="25">
        <f t="shared" si="4"/>
        <v>0.10128242710353638</v>
      </c>
      <c r="BK19" s="43">
        <f t="shared" si="5"/>
        <v>2.950416390849184E-4</v>
      </c>
      <c r="BL19" s="34">
        <f t="shared" si="11"/>
        <v>6381.8954517005341</v>
      </c>
      <c r="BP19" s="23"/>
    </row>
    <row r="20" spans="1:84" x14ac:dyDescent="0.25">
      <c r="A20" s="19"/>
      <c r="B20" s="20" t="str">
        <f t="shared" si="12"/>
        <v>MALUKU_PAPUA</v>
      </c>
      <c r="C20" s="20">
        <f t="shared" si="13"/>
        <v>2035</v>
      </c>
      <c r="D20" s="30">
        <f t="shared" si="14"/>
        <v>1333.7002841775402</v>
      </c>
      <c r="E20" s="30">
        <f t="shared" si="6"/>
        <v>3.9999900000000119</v>
      </c>
      <c r="F20" s="30">
        <f t="shared" si="6"/>
        <v>2205.5659603302192</v>
      </c>
      <c r="G20" s="30">
        <f t="shared" si="6"/>
        <v>893.06</v>
      </c>
      <c r="H20" s="30">
        <f t="shared" si="6"/>
        <v>-1.5410365942258653E-7</v>
      </c>
      <c r="I20" s="30">
        <f t="shared" si="6"/>
        <v>327.36205885490375</v>
      </c>
      <c r="J20" s="30">
        <f t="shared" si="6"/>
        <v>380.46372216796362</v>
      </c>
      <c r="K20" s="30">
        <f t="shared" si="6"/>
        <v>595.04632641178364</v>
      </c>
      <c r="L20" s="30">
        <f t="shared" si="6"/>
        <v>406.13521630383042</v>
      </c>
      <c r="M20" s="30">
        <f t="shared" si="6"/>
        <v>0</v>
      </c>
      <c r="N20" s="30">
        <f t="shared" si="6"/>
        <v>0.85004839142260535</v>
      </c>
      <c r="O20" s="30">
        <f t="shared" si="6"/>
        <v>0</v>
      </c>
      <c r="P20" s="30">
        <f>BL20/((VLOOKUP(P$3,tech_data!$B$2:$G$15,6,FALSE)/100)*24*365)</f>
        <v>1.7291381954349059</v>
      </c>
      <c r="Q20" s="30">
        <f t="shared" si="7"/>
        <v>6146.1836064835588</v>
      </c>
      <c r="R20" s="30"/>
      <c r="S20" s="36"/>
      <c r="T20" s="19"/>
      <c r="U20" s="20" t="str">
        <f t="shared" si="0"/>
        <v>MALUKU_PAPUA</v>
      </c>
      <c r="V20" s="20">
        <f t="shared" si="0"/>
        <v>2035</v>
      </c>
      <c r="W20" s="30">
        <v>113.80078891513401</v>
      </c>
      <c r="X20" s="30">
        <v>-9.9999999747524271E-7</v>
      </c>
      <c r="Y20" s="30">
        <v>166.80136833111652</v>
      </c>
      <c r="Z20" s="30">
        <v>0</v>
      </c>
      <c r="AA20" s="30">
        <v>-1.5410365605816878E-7</v>
      </c>
      <c r="AB20" s="30">
        <v>66.875662488057699</v>
      </c>
      <c r="AC20" s="30">
        <v>0.19999900000000076</v>
      </c>
      <c r="AD20" s="30">
        <v>84.092681552294863</v>
      </c>
      <c r="AE20" s="30">
        <v>9.004467047123986E-2</v>
      </c>
      <c r="AF20" s="30">
        <v>0</v>
      </c>
      <c r="AG20" s="30">
        <v>0.18021807061522982</v>
      </c>
      <c r="AH20" s="30">
        <v>0</v>
      </c>
      <c r="AI20" s="30">
        <f t="shared" si="8"/>
        <v>0.110189577550448</v>
      </c>
      <c r="AJ20" s="34">
        <f t="shared" si="1"/>
        <v>432.15095145113628</v>
      </c>
      <c r="AM20" s="23"/>
      <c r="AO20" s="20" t="str">
        <f t="shared" si="2"/>
        <v>MALUKU_PAPUA</v>
      </c>
      <c r="AP20" s="20">
        <f t="shared" si="2"/>
        <v>2035</v>
      </c>
      <c r="AQ20" s="30">
        <v>99999</v>
      </c>
      <c r="AR20" s="30">
        <v>99999</v>
      </c>
      <c r="AS20" s="30">
        <v>99999</v>
      </c>
      <c r="AT20" s="30">
        <v>999</v>
      </c>
      <c r="AU20" s="30">
        <f t="shared" si="9"/>
        <v>23965.800000154104</v>
      </c>
      <c r="AV20" s="30">
        <f t="shared" si="9"/>
        <v>74793.427941145084</v>
      </c>
      <c r="AW20" s="30">
        <f t="shared" si="9"/>
        <v>19004.536277832038</v>
      </c>
      <c r="AX20" s="30">
        <f t="shared" si="9"/>
        <v>207309.3636735882</v>
      </c>
      <c r="AY20" s="30">
        <f t="shared" si="9"/>
        <v>60240.864783696161</v>
      </c>
      <c r="AZ20" s="30">
        <f t="shared" si="9"/>
        <v>32654</v>
      </c>
      <c r="BA20" s="30">
        <f t="shared" si="9"/>
        <v>17987.149951608575</v>
      </c>
      <c r="BB20" s="30">
        <v>99999</v>
      </c>
      <c r="BC20" s="30">
        <v>99999</v>
      </c>
      <c r="BD20" s="30">
        <f t="shared" si="3"/>
        <v>435955.14262802416</v>
      </c>
      <c r="BF20" s="23"/>
      <c r="BG20" s="19"/>
      <c r="BH20" s="20" t="str">
        <f t="shared" si="10"/>
        <v>MALUKU_PAPUA</v>
      </c>
      <c r="BI20" s="20">
        <f t="shared" si="10"/>
        <v>2035</v>
      </c>
      <c r="BJ20" s="25">
        <f t="shared" si="4"/>
        <v>0.10158253053809281</v>
      </c>
      <c r="BK20" s="43">
        <f t="shared" si="5"/>
        <v>2.9510786880840669E-4</v>
      </c>
      <c r="BL20" s="34">
        <f t="shared" si="11"/>
        <v>6816.2627664043994</v>
      </c>
      <c r="BP20" s="23"/>
    </row>
    <row r="21" spans="1:84" x14ac:dyDescent="0.25">
      <c r="A21" s="19"/>
      <c r="B21" s="20" t="str">
        <f t="shared" si="12"/>
        <v>MALUKU_PAPUA</v>
      </c>
      <c r="C21" s="20">
        <f t="shared" si="13"/>
        <v>2036</v>
      </c>
      <c r="D21" s="30">
        <f t="shared" si="14"/>
        <v>1439.3421237082241</v>
      </c>
      <c r="E21" s="30">
        <f t="shared" si="14"/>
        <v>3.9999900000000119</v>
      </c>
      <c r="F21" s="30">
        <f t="shared" si="14"/>
        <v>2450.5402261758204</v>
      </c>
      <c r="G21" s="30">
        <f t="shared" si="14"/>
        <v>893.06</v>
      </c>
      <c r="H21" s="30">
        <f t="shared" si="14"/>
        <v>-3.3644179105187351E-15</v>
      </c>
      <c r="I21" s="30">
        <f t="shared" si="14"/>
        <v>327.39378666943429</v>
      </c>
      <c r="J21" s="30">
        <f t="shared" si="14"/>
        <v>494.89645094011473</v>
      </c>
      <c r="K21" s="30">
        <f t="shared" si="14"/>
        <v>629.67958674366901</v>
      </c>
      <c r="L21" s="30">
        <f t="shared" si="14"/>
        <v>431.3189881705822</v>
      </c>
      <c r="M21" s="30">
        <f t="shared" si="14"/>
        <v>0</v>
      </c>
      <c r="N21" s="30">
        <f t="shared" si="14"/>
        <v>0.85004839142260535</v>
      </c>
      <c r="O21" s="30">
        <f t="shared" si="14"/>
        <v>0</v>
      </c>
      <c r="P21" s="30">
        <f>BL21/((VLOOKUP(P$3,tech_data!$B$2:$G$15,6,FALSE)/100)*24*365)</f>
        <v>1.8760062315218486</v>
      </c>
      <c r="Q21" s="30">
        <f t="shared" si="7"/>
        <v>6671.0812007992672</v>
      </c>
      <c r="R21" s="30"/>
      <c r="S21" s="36"/>
      <c r="T21" s="19"/>
      <c r="U21" s="20" t="str">
        <f t="shared" si="0"/>
        <v>MALUKU_PAPUA</v>
      </c>
      <c r="V21" s="20">
        <f t="shared" si="0"/>
        <v>2036</v>
      </c>
      <c r="W21" s="30">
        <v>105.64183953068388</v>
      </c>
      <c r="X21" s="30">
        <v>0</v>
      </c>
      <c r="Y21" s="30">
        <v>244.97426584560102</v>
      </c>
      <c r="Z21" s="30">
        <v>0</v>
      </c>
      <c r="AA21" s="30">
        <v>1.5410365605816862E-7</v>
      </c>
      <c r="AB21" s="30">
        <v>3.1727814530538467E-2</v>
      </c>
      <c r="AC21" s="30">
        <v>114.43272877215108</v>
      </c>
      <c r="AD21" s="30">
        <v>34.633260331885417</v>
      </c>
      <c r="AE21" s="30">
        <v>25.183771866751812</v>
      </c>
      <c r="AF21" s="30">
        <v>0</v>
      </c>
      <c r="AG21" s="30">
        <v>0</v>
      </c>
      <c r="AH21" s="30">
        <v>0</v>
      </c>
      <c r="AI21" s="30">
        <f t="shared" si="8"/>
        <v>0.14686803608694277</v>
      </c>
      <c r="AJ21" s="34">
        <f t="shared" si="1"/>
        <v>525.04446235179432</v>
      </c>
      <c r="AM21" s="23"/>
      <c r="AO21" s="20" t="str">
        <f t="shared" si="2"/>
        <v>MALUKU_PAPUA</v>
      </c>
      <c r="AP21" s="20">
        <f t="shared" si="2"/>
        <v>2036</v>
      </c>
      <c r="AQ21" s="30">
        <v>99999</v>
      </c>
      <c r="AR21" s="30">
        <v>99999</v>
      </c>
      <c r="AS21" s="30">
        <v>99999</v>
      </c>
      <c r="AT21" s="30">
        <v>999</v>
      </c>
      <c r="AU21" s="30">
        <f t="shared" ref="AU21:BA23" si="15">AU20-AA21</f>
        <v>23965.8</v>
      </c>
      <c r="AV21" s="30">
        <f t="shared" si="15"/>
        <v>74793.396213330547</v>
      </c>
      <c r="AW21" s="30">
        <f t="shared" si="15"/>
        <v>18890.103549059888</v>
      </c>
      <c r="AX21" s="30">
        <f t="shared" si="15"/>
        <v>207274.73041325633</v>
      </c>
      <c r="AY21" s="30">
        <f t="shared" si="15"/>
        <v>60215.681011829409</v>
      </c>
      <c r="AZ21" s="30">
        <f t="shared" si="15"/>
        <v>32654</v>
      </c>
      <c r="BA21" s="30">
        <f t="shared" si="15"/>
        <v>17987.149951608575</v>
      </c>
      <c r="BB21" s="30">
        <v>99999</v>
      </c>
      <c r="BC21" s="30">
        <v>99999</v>
      </c>
      <c r="BD21" s="30">
        <f t="shared" si="3"/>
        <v>435780.86113908474</v>
      </c>
      <c r="BF21" s="23"/>
      <c r="BG21" s="19"/>
      <c r="BH21" s="20" t="str">
        <f t="shared" si="10"/>
        <v>MALUKU_PAPUA</v>
      </c>
      <c r="BI21" s="20">
        <f t="shared" si="10"/>
        <v>2036</v>
      </c>
      <c r="BJ21" s="25">
        <f t="shared" si="4"/>
        <v>9.9077152323364615E-2</v>
      </c>
      <c r="BK21" s="43">
        <f t="shared" si="5"/>
        <v>2.9455495775412187E-4</v>
      </c>
      <c r="BL21" s="34">
        <f t="shared" si="11"/>
        <v>7395.2165646591284</v>
      </c>
      <c r="BP21" s="23"/>
    </row>
    <row r="22" spans="1:84" x14ac:dyDescent="0.25">
      <c r="A22" s="19"/>
      <c r="B22" s="20" t="str">
        <f t="shared" si="12"/>
        <v>MALUKU_PAPUA</v>
      </c>
      <c r="C22" s="20">
        <f t="shared" si="13"/>
        <v>2037</v>
      </c>
      <c r="D22" s="30">
        <f t="shared" ref="D22:O23" si="16">D21+W22</f>
        <v>1552.8352781669912</v>
      </c>
      <c r="E22" s="30">
        <f t="shared" si="16"/>
        <v>3.9999890000000144</v>
      </c>
      <c r="F22" s="30">
        <f t="shared" si="16"/>
        <v>2708.6452808340387</v>
      </c>
      <c r="G22" s="30">
        <f t="shared" si="16"/>
        <v>893.06</v>
      </c>
      <c r="H22" s="30">
        <f t="shared" si="16"/>
        <v>0</v>
      </c>
      <c r="I22" s="30">
        <f t="shared" si="16"/>
        <v>356.32960780911492</v>
      </c>
      <c r="J22" s="30">
        <f t="shared" si="16"/>
        <v>612.91363345602338</v>
      </c>
      <c r="K22" s="30">
        <f t="shared" si="16"/>
        <v>641.67602896407561</v>
      </c>
      <c r="L22" s="30">
        <f t="shared" si="16"/>
        <v>451.36888112956018</v>
      </c>
      <c r="M22" s="30">
        <f t="shared" si="16"/>
        <v>0</v>
      </c>
      <c r="N22" s="30">
        <f t="shared" si="16"/>
        <v>1.0316561567192768</v>
      </c>
      <c r="O22" s="30">
        <f t="shared" si="16"/>
        <v>0</v>
      </c>
      <c r="P22" s="30">
        <f>BL22/((VLOOKUP(P$3,tech_data!$B$2:$G$15,6,FALSE)/100)*24*365)</f>
        <v>2.0312458460772875</v>
      </c>
      <c r="Q22" s="30">
        <f t="shared" si="7"/>
        <v>7221.8603555165255</v>
      </c>
      <c r="R22" s="30"/>
      <c r="S22" s="36"/>
      <c r="T22" s="19"/>
      <c r="U22" s="20" t="str">
        <f t="shared" si="0"/>
        <v>MALUKU_PAPUA</v>
      </c>
      <c r="V22" s="20">
        <f t="shared" si="0"/>
        <v>2037</v>
      </c>
      <c r="W22" s="30">
        <v>113.49315445876709</v>
      </c>
      <c r="X22" s="30">
        <v>-9.9999999747524271E-7</v>
      </c>
      <c r="Y22" s="30">
        <v>258.10505465821814</v>
      </c>
      <c r="Z22" s="30">
        <v>0</v>
      </c>
      <c r="AA22" s="30">
        <v>3.3644179105187355E-15</v>
      </c>
      <c r="AB22" s="30">
        <v>28.935821139680655</v>
      </c>
      <c r="AC22" s="30">
        <v>118.01718251590863</v>
      </c>
      <c r="AD22" s="30">
        <v>11.99644222040658</v>
      </c>
      <c r="AE22" s="30">
        <v>20.049892958977953</v>
      </c>
      <c r="AF22" s="30">
        <v>0</v>
      </c>
      <c r="AG22" s="30">
        <v>0.18160776529667144</v>
      </c>
      <c r="AH22" s="30">
        <v>0</v>
      </c>
      <c r="AI22" s="30">
        <f t="shared" si="8"/>
        <v>0.15523961455543889</v>
      </c>
      <c r="AJ22" s="34">
        <f t="shared" si="1"/>
        <v>550.93439433181118</v>
      </c>
      <c r="AM22" s="23"/>
      <c r="AO22" s="20" t="str">
        <f t="shared" si="2"/>
        <v>MALUKU_PAPUA</v>
      </c>
      <c r="AP22" s="20">
        <f t="shared" si="2"/>
        <v>2037</v>
      </c>
      <c r="AQ22" s="30">
        <v>99999</v>
      </c>
      <c r="AR22" s="30">
        <v>99999</v>
      </c>
      <c r="AS22" s="30">
        <v>99999</v>
      </c>
      <c r="AT22" s="30">
        <v>999</v>
      </c>
      <c r="AU22" s="30">
        <f t="shared" si="15"/>
        <v>23965.8</v>
      </c>
      <c r="AV22" s="30">
        <f t="shared" si="15"/>
        <v>74764.460392190871</v>
      </c>
      <c r="AW22" s="30">
        <f t="shared" si="15"/>
        <v>18772.086366543979</v>
      </c>
      <c r="AX22" s="30">
        <f t="shared" si="15"/>
        <v>207262.73397103592</v>
      </c>
      <c r="AY22" s="30">
        <f t="shared" si="15"/>
        <v>60195.631118870428</v>
      </c>
      <c r="AZ22" s="30">
        <f t="shared" si="15"/>
        <v>32654</v>
      </c>
      <c r="BA22" s="30">
        <f t="shared" si="15"/>
        <v>17986.968343843277</v>
      </c>
      <c r="BB22" s="30">
        <v>99999</v>
      </c>
      <c r="BC22" s="30">
        <v>99999</v>
      </c>
      <c r="BD22" s="30">
        <f t="shared" si="3"/>
        <v>435601.68019248446</v>
      </c>
      <c r="BF22" s="23"/>
      <c r="BG22" s="19"/>
      <c r="BH22" s="20" t="str">
        <f t="shared" si="10"/>
        <v>MALUKU_PAPUA</v>
      </c>
      <c r="BI22" s="20">
        <f t="shared" si="10"/>
        <v>2037</v>
      </c>
      <c r="BJ22" s="25">
        <f t="shared" si="4"/>
        <v>9.4264346910360702E-2</v>
      </c>
      <c r="BK22" s="43">
        <f t="shared" si="5"/>
        <v>2.934928213871141E-4</v>
      </c>
      <c r="BL22" s="34">
        <f t="shared" si="11"/>
        <v>8007.1711252366686</v>
      </c>
      <c r="BP22" s="23"/>
    </row>
    <row r="23" spans="1:84" x14ac:dyDescent="0.25">
      <c r="A23" s="19"/>
      <c r="B23" s="20" t="str">
        <f t="shared" si="12"/>
        <v>MALUKU_PAPUA</v>
      </c>
      <c r="C23" s="20">
        <f t="shared" si="13"/>
        <v>2038</v>
      </c>
      <c r="D23" s="30">
        <f t="shared" si="16"/>
        <v>1590.8922986899956</v>
      </c>
      <c r="E23" s="30">
        <f t="shared" si="16"/>
        <v>3.9999890000000144</v>
      </c>
      <c r="F23" s="30">
        <f t="shared" si="16"/>
        <v>2842.2225559156855</v>
      </c>
      <c r="G23" s="30">
        <f t="shared" si="16"/>
        <v>956.78354153643295</v>
      </c>
      <c r="H23" s="30">
        <f t="shared" si="16"/>
        <v>0</v>
      </c>
      <c r="I23" s="30">
        <f t="shared" si="16"/>
        <v>356.32960780911492</v>
      </c>
      <c r="J23" s="30">
        <f t="shared" si="16"/>
        <v>612.91363345602338</v>
      </c>
      <c r="K23" s="30">
        <f t="shared" si="16"/>
        <v>641.67602896407561</v>
      </c>
      <c r="L23" s="30">
        <f t="shared" si="16"/>
        <v>451.36888112956018</v>
      </c>
      <c r="M23" s="30">
        <f t="shared" si="16"/>
        <v>0</v>
      </c>
      <c r="N23" s="30">
        <f t="shared" si="16"/>
        <v>1.0316561567192768</v>
      </c>
      <c r="O23" s="30">
        <f t="shared" si="16"/>
        <v>0</v>
      </c>
      <c r="P23" s="30">
        <f>BL23/((VLOOKUP(P$3,tech_data!$B$2:$G$15,6,FALSE)/100)*24*365)</f>
        <v>2.091612456942169</v>
      </c>
      <c r="Q23" s="30">
        <f t="shared" si="7"/>
        <v>7457.2181926576095</v>
      </c>
      <c r="R23" s="30"/>
      <c r="S23" s="36"/>
      <c r="T23" s="19"/>
      <c r="U23" s="20" t="str">
        <f t="shared" si="0"/>
        <v>MALUKU_PAPUA</v>
      </c>
      <c r="V23" s="20">
        <f t="shared" si="0"/>
        <v>2038</v>
      </c>
      <c r="W23" s="30">
        <v>38.057020523004461</v>
      </c>
      <c r="X23" s="30">
        <v>0</v>
      </c>
      <c r="Y23" s="30">
        <v>133.57727508164666</v>
      </c>
      <c r="Z23" s="30">
        <v>63.723541536433018</v>
      </c>
      <c r="AA23" s="30">
        <v>0</v>
      </c>
      <c r="AB23" s="30">
        <v>0</v>
      </c>
      <c r="AC23" s="30">
        <v>0</v>
      </c>
      <c r="AD23" s="30">
        <v>0</v>
      </c>
      <c r="AE23" s="30">
        <v>0</v>
      </c>
      <c r="AF23" s="30">
        <v>0</v>
      </c>
      <c r="AG23" s="30">
        <v>0</v>
      </c>
      <c r="AH23" s="30">
        <v>0</v>
      </c>
      <c r="AI23" s="30">
        <f t="shared" si="8"/>
        <v>6.0366610864881487E-2</v>
      </c>
      <c r="AJ23" s="34">
        <f t="shared" si="1"/>
        <v>235.41820375194902</v>
      </c>
      <c r="AM23" s="23"/>
      <c r="AO23" s="20" t="str">
        <f t="shared" si="2"/>
        <v>MALUKU_PAPUA</v>
      </c>
      <c r="AP23" s="20">
        <f t="shared" si="2"/>
        <v>2038</v>
      </c>
      <c r="AQ23" s="30">
        <v>99999</v>
      </c>
      <c r="AR23" s="30">
        <v>99999</v>
      </c>
      <c r="AS23" s="30">
        <v>99999</v>
      </c>
      <c r="AT23" s="30">
        <v>999</v>
      </c>
      <c r="AU23" s="30">
        <f t="shared" si="15"/>
        <v>23965.8</v>
      </c>
      <c r="AV23" s="30">
        <f t="shared" si="15"/>
        <v>74764.460392190871</v>
      </c>
      <c r="AW23" s="30">
        <f t="shared" si="15"/>
        <v>18772.086366543979</v>
      </c>
      <c r="AX23" s="30">
        <f t="shared" si="15"/>
        <v>207262.73397103592</v>
      </c>
      <c r="AY23" s="30">
        <f t="shared" si="15"/>
        <v>60195.631118870428</v>
      </c>
      <c r="AZ23" s="30">
        <f t="shared" si="15"/>
        <v>32654</v>
      </c>
      <c r="BA23" s="30">
        <f t="shared" si="15"/>
        <v>17986.968343843277</v>
      </c>
      <c r="BB23" s="30">
        <v>99999</v>
      </c>
      <c r="BC23" s="30">
        <v>99999</v>
      </c>
      <c r="BD23" s="30">
        <f t="shared" si="3"/>
        <v>435601.68019248446</v>
      </c>
      <c r="BF23" s="23"/>
      <c r="BG23" s="19"/>
      <c r="BH23" s="20" t="str">
        <f t="shared" si="10"/>
        <v>MALUKU_PAPUA</v>
      </c>
      <c r="BI23" s="20">
        <f t="shared" si="10"/>
        <v>2038</v>
      </c>
      <c r="BJ23" s="25">
        <f>SUM(K47:L47,N47)/Q47</f>
        <v>9.1342639764182318E-2</v>
      </c>
      <c r="BK23" s="43">
        <f t="shared" si="5"/>
        <v>2.928480308445092E-4</v>
      </c>
      <c r="BL23" s="34">
        <f t="shared" si="11"/>
        <v>8245.1363052660308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MALUKU_PAPUA</v>
      </c>
      <c r="C28" s="20">
        <f>C4</f>
        <v>2019</v>
      </c>
      <c r="D28" s="30">
        <f>(D4*(VLOOKUP(D$27,tech_data!$B$2:$O$15,6, FALSE)/100)*(1-(VLOOKUP(D$27,tech_data!$B$2:$O$15,7, FALSE)/100))*8760)/1000</f>
        <v>1352.91192</v>
      </c>
      <c r="E28" s="30">
        <f>(E4*(VLOOKUP(E$27,tech_data!$B$2:$O$15,6, FALSE)/100)*(1-(VLOOKUP(E$27,tech_data!$B$2:$O$15,7, FALSE)/100))*8760)/1000</f>
        <v>11.957534769230767</v>
      </c>
      <c r="F28" s="30">
        <f>(F4*(VLOOKUP(F$27,tech_data!$B$2:$O$15,6, FALSE)/100)*(1-(VLOOKUP(F$27,tech_data!$B$2:$O$15,7, FALSE)/100))*8760)/1000</f>
        <v>0</v>
      </c>
      <c r="G28" s="30">
        <f>(G4*(VLOOKUP(G$27,tech_data!$B$2:$O$15,6, FALSE)/100)*(1-(VLOOKUP(G$27,tech_data!$B$2:$O$15,7, FALSE)/100))*8760)/1000</f>
        <v>4462.8379022769232</v>
      </c>
      <c r="H28" s="30">
        <f>(H4*(VLOOKUP(H$27,tech_data!$B$2:$O$15,6, FALSE)/100)*(1-(VLOOKUP(H$27,tech_data!$B$2:$O$15,7, FALSE)/100))*8760)/1000</f>
        <v>0</v>
      </c>
      <c r="I28" s="30">
        <f>(I4*(VLOOKUP(I$27,tech_data!$B$2:$O$15,6, FALSE)/100)*(1-(VLOOKUP(I$27,tech_data!$B$2:$O$15,7, FALSE)/100))*8760)/1000</f>
        <v>132.24670116923076</v>
      </c>
      <c r="J28" s="30">
        <f>(J4*(VLOOKUP(J$27,tech_data!$B$2:$O$15,6, FALSE)/100)*(1-(VLOOKUP(J$27,tech_data!$B$2:$O$15,7, FALSE)/100))*8760)/1000</f>
        <v>0</v>
      </c>
      <c r="K28" s="30">
        <f>(K4*(VLOOKUP(K$27,tech_data!$B$2:$O$15,6, FALSE)/100)*(1-(VLOOKUP(K$27,tech_data!$B$2:$O$15,7, FALSE)/100))*8760)/1000</f>
        <v>11.791836000000002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0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5971.7458942153853</v>
      </c>
      <c r="R28" s="34">
        <f>proj_rukn!D122</f>
        <v>7765</v>
      </c>
      <c r="S28" s="35"/>
      <c r="T28" s="19"/>
      <c r="U28" s="20" t="str">
        <f t="shared" ref="U28:V47" si="18">B28</f>
        <v>MALUKU_PAPUA</v>
      </c>
      <c r="V28" s="20">
        <f t="shared" si="18"/>
        <v>2019</v>
      </c>
      <c r="W28" s="29">
        <f t="shared" ref="W28:AI47" si="19">D28/$Q28</f>
        <v>0.22655215810681378</v>
      </c>
      <c r="X28" s="29">
        <f t="shared" si="19"/>
        <v>2.002351570386409E-3</v>
      </c>
      <c r="Y28" s="29">
        <f t="shared" si="19"/>
        <v>0</v>
      </c>
      <c r="Z28" s="29">
        <f t="shared" si="19"/>
        <v>0.74732548593534653</v>
      </c>
      <c r="AA28" s="29">
        <f t="shared" si="19"/>
        <v>0</v>
      </c>
      <c r="AB28" s="29">
        <f t="shared" si="19"/>
        <v>2.2145399940297756E-2</v>
      </c>
      <c r="AC28" s="29">
        <f t="shared" si="19"/>
        <v>0</v>
      </c>
      <c r="AD28" s="29">
        <f t="shared" si="19"/>
        <v>1.9746044471554503E-3</v>
      </c>
      <c r="AE28" s="29">
        <f t="shared" si="19"/>
        <v>0</v>
      </c>
      <c r="AF28" s="29">
        <f t="shared" si="19"/>
        <v>0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MALUKU_PAPUA</v>
      </c>
      <c r="AP28" s="20">
        <f>C28</f>
        <v>2019</v>
      </c>
      <c r="AQ28" s="25">
        <f t="shared" ref="AQ28:AQ47" si="21">D28/Q28</f>
        <v>0.22655215810681378</v>
      </c>
      <c r="AR28" s="25">
        <f t="shared" ref="AR28:AR47" si="22">SUM(E28:F28)/Q28</f>
        <v>2.002351570386409E-3</v>
      </c>
      <c r="AS28" s="25">
        <f t="shared" ref="AS28:AS47" si="23">G28/Q28</f>
        <v>0.74732548593534653</v>
      </c>
      <c r="AT28" s="37">
        <f t="shared" ref="AT28:AT47" si="24">SUM(H28:N28)/Q28</f>
        <v>2.4120004387453205E-2</v>
      </c>
      <c r="AU28" s="24">
        <f>SUM(AQ28:AT28)</f>
        <v>1</v>
      </c>
      <c r="AW28" s="24">
        <f>$BD$29+((AP28-$BC$29)*($BD$30-$BD$29)/($BC$30-$BC$29))</f>
        <v>0.22655215810681378</v>
      </c>
      <c r="AX28" s="24">
        <f t="shared" ref="AX28:AX47" si="25">$BE$29+((AP28-$BC$29)*($BE$30-$BE$29)/($BC$30-$BC$29))</f>
        <v>0.19239999999999999</v>
      </c>
      <c r="AY28" s="24">
        <f>BF29</f>
        <v>0.74732548593534653</v>
      </c>
      <c r="AZ28" s="25">
        <f>$BG$29+((AP28-$BC$29)*($BG$30-$BG$29)/($BC$30-$BC$29))</f>
        <v>0.1166</v>
      </c>
      <c r="BA28" s="24">
        <f>SUM(AW28:AZ28)</f>
        <v>1.2828776440421603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MALUKU_PAPUA</v>
      </c>
      <c r="BL28" s="20">
        <f>C4</f>
        <v>2019</v>
      </c>
      <c r="BM28" s="34">
        <f>proj_rukn!E122</f>
        <v>579</v>
      </c>
      <c r="BN28" s="30">
        <f t="shared" ref="BN28:BN47" si="26">(1+$CD$28)*BM28*$CD$29</f>
        <v>665.84999999999991</v>
      </c>
      <c r="BO28" s="30">
        <f>SUM(D4:I4,M4,O4:P4)</f>
        <v>1205.8499999999999</v>
      </c>
      <c r="BQ28" s="30">
        <f t="shared" ref="BQ28:BQ47" si="27">BN28*$CD$30</f>
        <v>266.33999999999997</v>
      </c>
      <c r="BR28" s="30">
        <f>SUM(D4,F4,H4,M4)</f>
        <v>279</v>
      </c>
      <c r="BS28" s="30"/>
      <c r="BT28" s="30">
        <f t="shared" ref="BT28:BT47" si="28">BN28*$CD$31</f>
        <v>133.16999999999999</v>
      </c>
      <c r="BU28" s="30">
        <f>SUM(E4,G4,P4,I4)</f>
        <v>926.84999999999991</v>
      </c>
      <c r="BW28" s="30">
        <f t="shared" ref="BW28:BW47" si="29">$CD$32*SUM(H4:O4)</f>
        <v>1.8100000000000002E-2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8.1865841126571456E-2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MALUKU_PAPUA</v>
      </c>
      <c r="C29" s="20">
        <f t="shared" si="31"/>
        <v>2020</v>
      </c>
      <c r="D29" s="30">
        <f>(D5*(VLOOKUP(D$27,tech_data!$B$2:$O$15,6, FALSE)/100)*(1-(VLOOKUP(D$27,tech_data!$B$2:$O$15,7, FALSE)/100))*8760)/1000</f>
        <v>1352.91192</v>
      </c>
      <c r="E29" s="30">
        <f>(E5*(VLOOKUP(E$27,tech_data!$B$2:$O$15,6, FALSE)/100)*(1-(VLOOKUP(E$27,tech_data!$B$2:$O$15,7, FALSE)/100))*8760)/1000</f>
        <v>11.957531779847084</v>
      </c>
      <c r="F29" s="30">
        <f>(F5*(VLOOKUP(F$27,tech_data!$B$2:$O$15,6, FALSE)/100)*(1-(VLOOKUP(F$27,tech_data!$B$2:$O$15,7, FALSE)/100))*8760)/1000</f>
        <v>679.88586475070099</v>
      </c>
      <c r="G29" s="30">
        <f>(G5*(VLOOKUP(G$27,tech_data!$B$2:$O$15,6, FALSE)/100)*(1-(VLOOKUP(G$27,tech_data!$B$2:$O$15,7, FALSE)/100))*8760)/1000</f>
        <v>4462.8379022769232</v>
      </c>
      <c r="H29" s="30">
        <f>(H5*(VLOOKUP(H$27,tech_data!$B$2:$O$15,6, FALSE)/100)*(1-(VLOOKUP(H$27,tech_data!$B$2:$O$15,7, FALSE)/100))*8760)/1000</f>
        <v>0</v>
      </c>
      <c r="I29" s="30">
        <f>(I5*(VLOOKUP(I$27,tech_data!$B$2:$O$15,6, FALSE)/100)*(1-(VLOOKUP(I$27,tech_data!$B$2:$O$15,7, FALSE)/100))*8760)/1000</f>
        <v>132.24670116923076</v>
      </c>
      <c r="J29" s="30">
        <f>(J5*(VLOOKUP(J$27,tech_data!$B$2:$O$15,6, FALSE)/100)*(1-(VLOOKUP(J$27,tech_data!$B$2:$O$15,7, FALSE)/100))*8760)/1000</f>
        <v>0</v>
      </c>
      <c r="K29" s="30">
        <f>(K5*(VLOOKUP(K$27,tech_data!$B$2:$O$15,6, FALSE)/100)*(1-(VLOOKUP(K$27,tech_data!$B$2:$O$15,7, FALSE)/100))*8760)/1000</f>
        <v>11.791834160400001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0</v>
      </c>
      <c r="N29" s="30">
        <f>(N5*(VLOOKUP(N$27,tech_data!$B$2:$O$15,6, FALSE)/100)*(1-(VLOOKUP(N$27,tech_data!$B$2:$O$15,7, FALSE)/100))*8760)/1000</f>
        <v>-9.9999999999918511E-7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1.6389819238479777</v>
      </c>
      <c r="Q29" s="34">
        <f t="shared" si="17"/>
        <v>6651.6317531371014</v>
      </c>
      <c r="R29" s="34">
        <f>proj_rukn!D123</f>
        <v>9798</v>
      </c>
      <c r="S29" s="35"/>
      <c r="T29" s="19"/>
      <c r="U29" s="20" t="str">
        <f t="shared" si="18"/>
        <v>MALUKU_PAPUA</v>
      </c>
      <c r="V29" s="20">
        <f t="shared" si="18"/>
        <v>2020</v>
      </c>
      <c r="W29" s="29">
        <f t="shared" si="19"/>
        <v>0.20339549304754095</v>
      </c>
      <c r="X29" s="29">
        <f t="shared" si="19"/>
        <v>1.7976839704344078E-3</v>
      </c>
      <c r="Y29" s="29">
        <f t="shared" si="19"/>
        <v>0.10221339514624321</v>
      </c>
      <c r="Z29" s="29">
        <f t="shared" si="19"/>
        <v>0.670938811393478</v>
      </c>
      <c r="AA29" s="29">
        <f t="shared" si="19"/>
        <v>0</v>
      </c>
      <c r="AB29" s="29">
        <f t="shared" si="19"/>
        <v>1.9881843444935057E-2</v>
      </c>
      <c r="AC29" s="29">
        <f t="shared" si="19"/>
        <v>0</v>
      </c>
      <c r="AD29" s="29">
        <f t="shared" si="19"/>
        <v>1.7727731477074978E-3</v>
      </c>
      <c r="AE29" s="29">
        <f t="shared" si="19"/>
        <v>0</v>
      </c>
      <c r="AF29" s="29">
        <f t="shared" si="19"/>
        <v>0</v>
      </c>
      <c r="AG29" s="29">
        <f t="shared" si="19"/>
        <v>-1.5033905019284271E-10</v>
      </c>
      <c r="AH29" s="29">
        <f t="shared" si="19"/>
        <v>0</v>
      </c>
      <c r="AI29" s="29">
        <f t="shared" si="19"/>
        <v>2.4640298571474383E-4</v>
      </c>
      <c r="AJ29" s="29">
        <f t="shared" si="20"/>
        <v>1</v>
      </c>
      <c r="AM29" s="23"/>
      <c r="AO29" s="20" t="str">
        <f>AO28</f>
        <v>MALUKU_PAPUA</v>
      </c>
      <c r="AP29" s="20">
        <f>AP28+1</f>
        <v>2020</v>
      </c>
      <c r="AQ29" s="25">
        <f t="shared" si="21"/>
        <v>0.20339549304754095</v>
      </c>
      <c r="AR29" s="25">
        <f t="shared" si="22"/>
        <v>0.1040110791166776</v>
      </c>
      <c r="AS29" s="25">
        <f t="shared" si="23"/>
        <v>0.670938811393478</v>
      </c>
      <c r="AT29" s="37">
        <f t="shared" si="24"/>
        <v>2.1654616442303501E-2</v>
      </c>
      <c r="AU29" s="24">
        <f t="shared" ref="AU29:AU47" si="32">SUM(AQ29:AT29)</f>
        <v>1</v>
      </c>
      <c r="AW29" s="24">
        <f>$BD$29+((AP29-$BC$29)*($BD$30-$BD$29)/($BC$30-$BC$29))</f>
        <v>0.23879346508901148</v>
      </c>
      <c r="AX29" s="24">
        <f t="shared" si="25"/>
        <v>0.19699999999999998</v>
      </c>
      <c r="AY29" s="24">
        <f>AY28*0.98</f>
        <v>0.73237897621663961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1.3036724413056511</v>
      </c>
      <c r="BC29" s="20">
        <v>2019</v>
      </c>
      <c r="BD29" s="25">
        <f>AQ28</f>
        <v>0.22655215810681378</v>
      </c>
      <c r="BE29" s="25">
        <v>0.19239999999999999</v>
      </c>
      <c r="BF29" s="25">
        <f>AS28</f>
        <v>0.74732548593534653</v>
      </c>
      <c r="BG29" s="25">
        <v>0.1166</v>
      </c>
      <c r="BH29" s="24">
        <f>SUM(BD29:BG29)</f>
        <v>1.2828776440421603</v>
      </c>
      <c r="BJ29" s="19"/>
      <c r="BK29" s="20" t="str">
        <f>BK28</f>
        <v>MALUKU_PAPUA</v>
      </c>
      <c r="BL29" s="20">
        <f>BL28+1</f>
        <v>2020</v>
      </c>
      <c r="BM29" s="34">
        <f>proj_rukn!E123</f>
        <v>624</v>
      </c>
      <c r="BN29" s="30">
        <f t="shared" si="26"/>
        <v>717.59999999999991</v>
      </c>
      <c r="BO29" s="30">
        <f t="shared" ref="BO29:BO47" si="35">SUM(D5:I5,M5,O5:P5)</f>
        <v>1451.9799004178542</v>
      </c>
      <c r="BQ29" s="30">
        <f t="shared" si="27"/>
        <v>287.03999999999996</v>
      </c>
      <c r="BR29" s="30">
        <f t="shared" ref="BR29:BR47" si="36">SUM(D5,F5,H5,M5)</f>
        <v>524.66911158916537</v>
      </c>
      <c r="BS29" s="30"/>
      <c r="BT29" s="30">
        <f t="shared" si="28"/>
        <v>143.51999999999998</v>
      </c>
      <c r="BU29" s="30">
        <f t="shared" ref="BU29:BU47" si="37">SUM(E5,G5,P5,I5)</f>
        <v>927.3107888286886</v>
      </c>
      <c r="BW29" s="30">
        <f t="shared" si="29"/>
        <v>1.8099999334076671E-2</v>
      </c>
      <c r="BX29" s="30">
        <f t="shared" ref="BX29:BX47" si="38">N5</f>
        <v>-3.3184666029494048E-7</v>
      </c>
      <c r="BZ29" s="24">
        <f>BZ28+$CD$34</f>
        <v>5.0800000000000005E-2</v>
      </c>
      <c r="CA29" s="24">
        <f t="shared" si="30"/>
        <v>8.1865829968906137E-2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MALUKU_PAPUA</v>
      </c>
      <c r="C30" s="20">
        <f t="shared" si="31"/>
        <v>2021</v>
      </c>
      <c r="D30" s="30">
        <f>(D6*(VLOOKUP(D$27,tech_data!$B$2:$O$15,6, FALSE)/100)*(1-(VLOOKUP(D$27,tech_data!$B$2:$O$15,7, FALSE)/100))*8760)/1000</f>
        <v>1352.91192</v>
      </c>
      <c r="E30" s="30">
        <f>(E6*(VLOOKUP(E$27,tech_data!$B$2:$O$15,6, FALSE)/100)*(1-(VLOOKUP(E$27,tech_data!$B$2:$O$15,7, FALSE)/100))*8760)/1000</f>
        <v>11.957528790463392</v>
      </c>
      <c r="F30" s="30">
        <f>(F6*(VLOOKUP(F$27,tech_data!$B$2:$O$15,6, FALSE)/100)*(1-(VLOOKUP(F$27,tech_data!$B$2:$O$15,7, FALSE)/100))*8760)/1000</f>
        <v>1405.3240818153029</v>
      </c>
      <c r="G30" s="30">
        <f>(G6*(VLOOKUP(G$27,tech_data!$B$2:$O$15,6, FALSE)/100)*(1-(VLOOKUP(G$27,tech_data!$B$2:$O$15,7, FALSE)/100))*8760)/1000</f>
        <v>4462.8379022769232</v>
      </c>
      <c r="H30" s="30">
        <f>(H6*(VLOOKUP(H$27,tech_data!$B$2:$O$15,6, FALSE)/100)*(1-(VLOOKUP(H$27,tech_data!$B$2:$O$15,7, FALSE)/100))*8760)/1000</f>
        <v>-2.1832167652023721E-14</v>
      </c>
      <c r="I30" s="30">
        <f>(I6*(VLOOKUP(I$27,tech_data!$B$2:$O$15,6, FALSE)/100)*(1-(VLOOKUP(I$27,tech_data!$B$2:$O$15,7, FALSE)/100))*8760)/1000</f>
        <v>132.24894493911538</v>
      </c>
      <c r="J30" s="30">
        <f>(J6*(VLOOKUP(J$27,tech_data!$B$2:$O$15,6, FALSE)/100)*(1-(VLOOKUP(J$27,tech_data!$B$2:$O$15,7, FALSE)/100))*8760)/1000</f>
        <v>446.95332908982277</v>
      </c>
      <c r="K30" s="30">
        <f>(K6*(VLOOKUP(K$27,tech_data!$B$2:$O$15,6, FALSE)/100)*(1-(VLOOKUP(K$27,tech_data!$B$2:$O$15,7, FALSE)/100))*8760)/1000</f>
        <v>626.48923510315547</v>
      </c>
      <c r="L30" s="30">
        <f>(L6*(VLOOKUP(L$27,tech_data!$B$2:$O$15,6, FALSE)/100)*(1-(VLOOKUP(L$27,tech_data!$B$2:$O$15,7, FALSE)/100))*8760)/1000</f>
        <v>114.27578487423514</v>
      </c>
      <c r="M30" s="30">
        <f>(M6*(VLOOKUP(M$27,tech_data!$B$2:$O$15,6, FALSE)/100)*(1-(VLOOKUP(M$27,tech_data!$B$2:$O$15,7, FALSE)/100))*8760)/1000</f>
        <v>0</v>
      </c>
      <c r="N30" s="30">
        <f>(N6*(VLOOKUP(N$27,tech_data!$B$2:$O$15,6, FALSE)/100)*(1-(VLOOKUP(N$27,tech_data!$B$2:$O$15,7, FALSE)/100))*8760)/1000</f>
        <v>0.72813189352989238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2.2522977783779417</v>
      </c>
      <c r="Q30" s="34">
        <f t="shared" si="17"/>
        <v>8553.7268587825474</v>
      </c>
      <c r="R30" s="34">
        <f>proj_rukn!D124</f>
        <v>13786</v>
      </c>
      <c r="S30" s="35"/>
      <c r="T30" s="19"/>
      <c r="U30" s="20" t="str">
        <f t="shared" si="18"/>
        <v>MALUKU_PAPUA</v>
      </c>
      <c r="V30" s="20">
        <f t="shared" si="18"/>
        <v>2021</v>
      </c>
      <c r="W30" s="29">
        <f t="shared" si="19"/>
        <v>0.15816636915532278</v>
      </c>
      <c r="X30" s="29">
        <f t="shared" si="19"/>
        <v>1.3979320345243417E-3</v>
      </c>
      <c r="Y30" s="29">
        <f t="shared" si="19"/>
        <v>0.16429377568590292</v>
      </c>
      <c r="Z30" s="29">
        <f t="shared" si="19"/>
        <v>0.52174192325240076</v>
      </c>
      <c r="AA30" s="29">
        <f t="shared" si="19"/>
        <v>-2.5523573539886326E-18</v>
      </c>
      <c r="AB30" s="29">
        <f t="shared" si="19"/>
        <v>1.5460973575901437E-2</v>
      </c>
      <c r="AC30" s="29">
        <f t="shared" si="19"/>
        <v>5.2252466845011891E-2</v>
      </c>
      <c r="AD30" s="29">
        <f t="shared" si="19"/>
        <v>7.3241669443759136E-2</v>
      </c>
      <c r="AE30" s="29">
        <f t="shared" si="19"/>
        <v>1.335976548712242E-2</v>
      </c>
      <c r="AF30" s="29">
        <f t="shared" si="19"/>
        <v>0</v>
      </c>
      <c r="AG30" s="29">
        <f t="shared" si="19"/>
        <v>8.5124520054352941E-5</v>
      </c>
      <c r="AH30" s="29">
        <f t="shared" si="19"/>
        <v>0</v>
      </c>
      <c r="AI30" s="29">
        <f t="shared" si="19"/>
        <v>2.6331186575888761E-4</v>
      </c>
      <c r="AJ30" s="29">
        <f t="shared" si="20"/>
        <v>1</v>
      </c>
      <c r="AM30" s="23"/>
      <c r="AO30" s="20" t="str">
        <f t="shared" ref="AO30:AO47" si="39">AO29</f>
        <v>MALUKU_PAPUA</v>
      </c>
      <c r="AP30" s="20">
        <f t="shared" ref="AP30:AP47" si="40">AP29+1</f>
        <v>2021</v>
      </c>
      <c r="AQ30" s="25">
        <f t="shared" si="21"/>
        <v>0.15816636915532278</v>
      </c>
      <c r="AR30" s="25">
        <f t="shared" si="22"/>
        <v>0.16569170772042727</v>
      </c>
      <c r="AS30" s="25">
        <f t="shared" si="23"/>
        <v>0.52174192325240076</v>
      </c>
      <c r="AT30" s="37">
        <f t="shared" si="24"/>
        <v>0.15439999987184921</v>
      </c>
      <c r="AU30" s="24">
        <f t="shared" si="32"/>
        <v>1</v>
      </c>
      <c r="AW30" s="24">
        <f t="shared" ref="AW30:AW34" si="41">$BD$29+((AP30-$BC$29)*($BD$30-$BD$29)/($BC$30-$BC$29))</f>
        <v>0.25103477207120917</v>
      </c>
      <c r="AX30" s="24">
        <f t="shared" si="25"/>
        <v>0.2016</v>
      </c>
      <c r="AY30" s="24">
        <f t="shared" ref="AY30:AY47" si="42">AY29*0.98</f>
        <v>0.71773139669230679</v>
      </c>
      <c r="AZ30" s="25">
        <f t="shared" si="33"/>
        <v>0.15440000000000001</v>
      </c>
      <c r="BA30" s="24">
        <f t="shared" si="34"/>
        <v>1.3247661687635162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MALUKU_PAPUA</v>
      </c>
      <c r="BL30" s="20">
        <f t="shared" ref="BL30:BL47" si="45">BL29+1</f>
        <v>2021</v>
      </c>
      <c r="BM30" s="34">
        <f>proj_rukn!E124</f>
        <v>677</v>
      </c>
      <c r="BN30" s="30">
        <f t="shared" si="26"/>
        <v>778.55</v>
      </c>
      <c r="BO30" s="30">
        <f t="shared" si="35"/>
        <v>1714.2817767245119</v>
      </c>
      <c r="BQ30" s="30">
        <f t="shared" si="27"/>
        <v>311.42</v>
      </c>
      <c r="BR30" s="30">
        <f t="shared" si="36"/>
        <v>786.79805342918644</v>
      </c>
      <c r="BS30" s="30"/>
      <c r="BT30" s="30">
        <f t="shared" si="28"/>
        <v>155.71</v>
      </c>
      <c r="BU30" s="30">
        <f t="shared" si="37"/>
        <v>927.48372329532538</v>
      </c>
      <c r="BW30" s="30">
        <f t="shared" si="29"/>
        <v>0.24162811902199172</v>
      </c>
      <c r="BX30" s="30">
        <f t="shared" si="38"/>
        <v>0.24162813712232287</v>
      </c>
      <c r="BZ30" s="24">
        <f t="shared" ref="BZ30:BZ47" si="46">BZ29*1.05</f>
        <v>5.3340000000000005E-2</v>
      </c>
      <c r="CA30" s="24">
        <f t="shared" si="30"/>
        <v>0.47436314445951516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MALUKU_PAPUA</v>
      </c>
      <c r="C31" s="20">
        <f t="shared" si="31"/>
        <v>2022</v>
      </c>
      <c r="D31" s="30">
        <f>(D7*(VLOOKUP(D$27,tech_data!$B$2:$O$15,6, FALSE)/100)*(1-(VLOOKUP(D$27,tech_data!$B$2:$O$15,7, FALSE)/100))*8760)/1000</f>
        <v>1446.8110852999639</v>
      </c>
      <c r="E31" s="30">
        <f>(E7*(VLOOKUP(E$27,tech_data!$B$2:$O$15,6, FALSE)/100)*(1-(VLOOKUP(E$27,tech_data!$B$2:$O$15,7, FALSE)/100))*8760)/1000</f>
        <v>11.95752580107971</v>
      </c>
      <c r="F31" s="30">
        <f>(F7*(VLOOKUP(F$27,tech_data!$B$2:$O$15,6, FALSE)/100)*(1-(VLOOKUP(F$27,tech_data!$B$2:$O$15,7, FALSE)/100))*8760)/1000</f>
        <v>1951.8922900079785</v>
      </c>
      <c r="G31" s="30">
        <f>(G7*(VLOOKUP(G$27,tech_data!$B$2:$O$15,6, FALSE)/100)*(1-(VLOOKUP(G$27,tech_data!$B$2:$O$15,7, FALSE)/100))*8760)/1000</f>
        <v>4462.8379022769232</v>
      </c>
      <c r="H31" s="30">
        <f>(H7*(VLOOKUP(H$27,tech_data!$B$2:$O$15,6, FALSE)/100)*(1-(VLOOKUP(H$27,tech_data!$B$2:$O$15,7, FALSE)/100))*8760)/1000</f>
        <v>0</v>
      </c>
      <c r="I31" s="30">
        <f>(I7*(VLOOKUP(I$27,tech_data!$B$2:$O$15,6, FALSE)/100)*(1-(VLOOKUP(I$27,tech_data!$B$2:$O$15,7, FALSE)/100))*8760)/1000</f>
        <v>219.10088702831135</v>
      </c>
      <c r="J31" s="30">
        <f>(J7*(VLOOKUP(J$27,tech_data!$B$2:$O$15,6, FALSE)/100)*(1-(VLOOKUP(J$27,tech_data!$B$2:$O$15,7, FALSE)/100))*8760)/1000</f>
        <v>633.19440066564994</v>
      </c>
      <c r="K31" s="30">
        <f>(K7*(VLOOKUP(K$27,tech_data!$B$2:$O$15,6, FALSE)/100)*(1-(VLOOKUP(K$27,tech_data!$B$2:$O$15,7, FALSE)/100))*8760)/1000</f>
        <v>641.41050908794716</v>
      </c>
      <c r="L31" s="30">
        <f>(L7*(VLOOKUP(L$27,tech_data!$B$2:$O$15,6, FALSE)/100)*(1-(VLOOKUP(L$27,tech_data!$B$2:$O$15,7, FALSE)/100))*8760)/1000</f>
        <v>155.96914288189063</v>
      </c>
      <c r="M31" s="30">
        <f>(M7*(VLOOKUP(M$27,tech_data!$B$2:$O$15,6, FALSE)/100)*(1-(VLOOKUP(M$27,tech_data!$B$2:$O$15,7, FALSE)/100))*8760)/1000</f>
        <v>0</v>
      </c>
      <c r="N31" s="30">
        <f>(N7*(VLOOKUP(N$27,tech_data!$B$2:$O$15,6, FALSE)/100)*(1-(VLOOKUP(N$27,tech_data!$B$2:$O$15,7, FALSE)/100))*8760)/1000</f>
        <v>0.83769469948186648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2.5023317607012863</v>
      </c>
      <c r="Q31" s="34">
        <f t="shared" si="17"/>
        <v>9524.0114377492264</v>
      </c>
      <c r="R31" s="34">
        <f>proj_rukn!D125</f>
        <v>15018</v>
      </c>
      <c r="S31" s="35"/>
      <c r="T31" s="19"/>
      <c r="U31" s="20" t="str">
        <f t="shared" si="18"/>
        <v>MALUKU_PAPUA</v>
      </c>
      <c r="V31" s="20">
        <f t="shared" si="18"/>
        <v>2022</v>
      </c>
      <c r="W31" s="29">
        <f t="shared" si="19"/>
        <v>0.15191194327690594</v>
      </c>
      <c r="X31" s="29">
        <f t="shared" si="19"/>
        <v>1.2555135910153408E-3</v>
      </c>
      <c r="Y31" s="29">
        <f t="shared" si="19"/>
        <v>0.2049443454332161</v>
      </c>
      <c r="Z31" s="29">
        <f t="shared" si="19"/>
        <v>0.4685880452209546</v>
      </c>
      <c r="AA31" s="29">
        <f t="shared" si="19"/>
        <v>0</v>
      </c>
      <c r="AB31" s="29">
        <f t="shared" si="19"/>
        <v>2.3005105407568751E-2</v>
      </c>
      <c r="AC31" s="29">
        <f t="shared" si="19"/>
        <v>6.6484002544970736E-2</v>
      </c>
      <c r="AD31" s="29">
        <f t="shared" si="19"/>
        <v>6.7346675639811004E-2</v>
      </c>
      <c r="AE31" s="29">
        <f t="shared" si="19"/>
        <v>1.6376412806865574E-2</v>
      </c>
      <c r="AF31" s="29">
        <f t="shared" si="19"/>
        <v>0</v>
      </c>
      <c r="AG31" s="29">
        <f t="shared" si="19"/>
        <v>8.7956078691967191E-5</v>
      </c>
      <c r="AH31" s="29">
        <f t="shared" si="19"/>
        <v>0</v>
      </c>
      <c r="AI31" s="29">
        <f t="shared" si="19"/>
        <v>2.6273926454803301E-4</v>
      </c>
      <c r="AJ31" s="29">
        <f t="shared" si="20"/>
        <v>0.99999999999999989</v>
      </c>
      <c r="AM31" s="23"/>
      <c r="AO31" s="20" t="str">
        <f t="shared" si="39"/>
        <v>MALUKU_PAPUA</v>
      </c>
      <c r="AP31" s="20">
        <f t="shared" si="40"/>
        <v>2022</v>
      </c>
      <c r="AQ31" s="25">
        <f t="shared" si="21"/>
        <v>0.15191194327690594</v>
      </c>
      <c r="AR31" s="25">
        <f t="shared" si="22"/>
        <v>0.20619985902423144</v>
      </c>
      <c r="AS31" s="25">
        <f t="shared" si="23"/>
        <v>0.4685880452209546</v>
      </c>
      <c r="AT31" s="37">
        <f t="shared" si="24"/>
        <v>0.17330015247790803</v>
      </c>
      <c r="AU31" s="24">
        <f t="shared" si="32"/>
        <v>1</v>
      </c>
      <c r="AW31" s="24">
        <f t="shared" si="41"/>
        <v>0.26327607905340689</v>
      </c>
      <c r="AX31" s="24">
        <f t="shared" si="25"/>
        <v>0.20619999999999999</v>
      </c>
      <c r="AY31" s="24">
        <f t="shared" si="42"/>
        <v>0.70337676875846067</v>
      </c>
      <c r="AZ31" s="25">
        <f t="shared" si="33"/>
        <v>0.17330000000000001</v>
      </c>
      <c r="BA31" s="24">
        <f t="shared" si="34"/>
        <v>1.3461528478118676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MALUKU_PAPUA</v>
      </c>
      <c r="BL31" s="20">
        <f t="shared" si="45"/>
        <v>2022</v>
      </c>
      <c r="BM31" s="34">
        <f>proj_rukn!E125</f>
        <v>727</v>
      </c>
      <c r="BN31" s="30">
        <f t="shared" si="26"/>
        <v>836.05</v>
      </c>
      <c r="BO31" s="30">
        <f t="shared" si="35"/>
        <v>1950.7767459887214</v>
      </c>
      <c r="BQ31" s="30">
        <f t="shared" si="27"/>
        <v>334.42</v>
      </c>
      <c r="BR31" s="30">
        <f t="shared" si="36"/>
        <v>1003.6583886902638</v>
      </c>
      <c r="BS31" s="30"/>
      <c r="BT31" s="30">
        <f t="shared" si="28"/>
        <v>167.21</v>
      </c>
      <c r="BU31" s="30">
        <f t="shared" si="37"/>
        <v>947.11835729845768</v>
      </c>
      <c r="BW31" s="30">
        <f t="shared" si="29"/>
        <v>0.27799450386876945</v>
      </c>
      <c r="BX31" s="30">
        <f t="shared" si="38"/>
        <v>0.27798618837005767</v>
      </c>
      <c r="BZ31" s="24">
        <f t="shared" si="46"/>
        <v>5.6007000000000008E-2</v>
      </c>
      <c r="CA31" s="24">
        <f t="shared" si="30"/>
        <v>0.3886129047024135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MALUKU_PAPUA</v>
      </c>
      <c r="C32" s="20">
        <f t="shared" si="31"/>
        <v>2023</v>
      </c>
      <c r="D32" s="30">
        <f>(D8*(VLOOKUP(D$27,tech_data!$B$2:$O$15,6, FALSE)/100)*(1-(VLOOKUP(D$27,tech_data!$B$2:$O$15,7, FALSE)/100))*8760)/1000</f>
        <v>1700.1090107728662</v>
      </c>
      <c r="E32" s="30">
        <f>(E8*(VLOOKUP(E$27,tech_data!$B$2:$O$15,6, FALSE)/100)*(1-(VLOOKUP(E$27,tech_data!$B$2:$O$15,7, FALSE)/100))*8760)/1000</f>
        <v>11.95752580107971</v>
      </c>
      <c r="F32" s="30">
        <f>(F8*(VLOOKUP(F$27,tech_data!$B$2:$O$15,6, FALSE)/100)*(1-(VLOOKUP(F$27,tech_data!$B$2:$O$15,7, FALSE)/100))*8760)/1000</f>
        <v>2164.1716796087644</v>
      </c>
      <c r="G32" s="30">
        <f>(G8*(VLOOKUP(G$27,tech_data!$B$2:$O$15,6, FALSE)/100)*(1-(VLOOKUP(G$27,tech_data!$B$2:$O$15,7, FALSE)/100))*8760)/1000</f>
        <v>4462.8379022769232</v>
      </c>
      <c r="H32" s="30">
        <f>(H8*(VLOOKUP(H$27,tech_data!$B$2:$O$15,6, FALSE)/100)*(1-(VLOOKUP(H$27,tech_data!$B$2:$O$15,7, FALSE)/100))*8760)/1000</f>
        <v>-2.1832171774409277E-14</v>
      </c>
      <c r="I32" s="30">
        <f>(I8*(VLOOKUP(I$27,tech_data!$B$2:$O$15,6, FALSE)/100)*(1-(VLOOKUP(I$27,tech_data!$B$2:$O$15,7, FALSE)/100))*8760)/1000</f>
        <v>221.4910782935371</v>
      </c>
      <c r="J32" s="30">
        <f>(J8*(VLOOKUP(J$27,tech_data!$B$2:$O$15,6, FALSE)/100)*(1-(VLOOKUP(J$27,tech_data!$B$2:$O$15,7, FALSE)/100))*8760)/1000</f>
        <v>633.21492864578624</v>
      </c>
      <c r="K32" s="30">
        <f>(K8*(VLOOKUP(K$27,tech_data!$B$2:$O$15,6, FALSE)/100)*(1-(VLOOKUP(K$27,tech_data!$B$2:$O$15,7, FALSE)/100))*8760)/1000</f>
        <v>653.17276426389981</v>
      </c>
      <c r="L32" s="30">
        <f>(L8*(VLOOKUP(L$27,tech_data!$B$2:$O$15,6, FALSE)/100)*(1-(VLOOKUP(L$27,tech_data!$B$2:$O$15,7, FALSE)/100))*8760)/1000</f>
        <v>475.38508473974741</v>
      </c>
      <c r="M32" s="30">
        <f>(M8*(VLOOKUP(M$27,tech_data!$B$2:$O$15,6, FALSE)/100)*(1-(VLOOKUP(M$27,tech_data!$B$2:$O$15,7, FALSE)/100))*8760)/1000</f>
        <v>0</v>
      </c>
      <c r="N32" s="30">
        <f>(N8*(VLOOKUP(N$27,tech_data!$B$2:$O$15,6, FALSE)/100)*(1-(VLOOKUP(N$27,tech_data!$B$2:$O$15,7, FALSE)/100))*8760)/1000</f>
        <v>0.85398797743155919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2.7649213497590015</v>
      </c>
      <c r="Q32" s="34">
        <f t="shared" si="17"/>
        <v>10323.193962380035</v>
      </c>
      <c r="R32" s="34">
        <f>proj_rukn!D126</f>
        <v>15788</v>
      </c>
      <c r="S32" s="35"/>
      <c r="T32" s="19"/>
      <c r="U32" s="20" t="str">
        <f t="shared" si="18"/>
        <v>MALUKU_PAPUA</v>
      </c>
      <c r="V32" s="20">
        <f t="shared" si="18"/>
        <v>2023</v>
      </c>
      <c r="W32" s="29">
        <f t="shared" si="19"/>
        <v>0.16468827544735024</v>
      </c>
      <c r="X32" s="29">
        <f t="shared" si="19"/>
        <v>1.1583164904830361E-3</v>
      </c>
      <c r="Y32" s="29">
        <f t="shared" si="19"/>
        <v>0.20964167557981345</v>
      </c>
      <c r="Z32" s="29">
        <f t="shared" si="19"/>
        <v>0.43231173593564892</v>
      </c>
      <c r="AA32" s="29">
        <f t="shared" si="19"/>
        <v>-2.1148659856601029E-18</v>
      </c>
      <c r="AB32" s="29">
        <f t="shared" si="19"/>
        <v>2.1455673418585255E-2</v>
      </c>
      <c r="AC32" s="29">
        <f t="shared" si="19"/>
        <v>6.1339051746325722E-2</v>
      </c>
      <c r="AD32" s="29">
        <f t="shared" si="19"/>
        <v>6.3272352204579649E-2</v>
      </c>
      <c r="AE32" s="29">
        <f t="shared" si="19"/>
        <v>4.6050194007024772E-2</v>
      </c>
      <c r="AF32" s="29">
        <f t="shared" si="19"/>
        <v>0</v>
      </c>
      <c r="AG32" s="29">
        <f t="shared" si="19"/>
        <v>8.2725170188962564E-5</v>
      </c>
      <c r="AH32" s="29">
        <f t="shared" si="19"/>
        <v>0</v>
      </c>
      <c r="AI32" s="29">
        <f t="shared" si="19"/>
        <v>2.6783584226306085E-4</v>
      </c>
      <c r="AJ32" s="29">
        <f t="shared" si="20"/>
        <v>1</v>
      </c>
      <c r="AM32" s="23"/>
      <c r="AO32" s="20" t="str">
        <f t="shared" si="39"/>
        <v>MALUKU_PAPUA</v>
      </c>
      <c r="AP32" s="20">
        <f t="shared" si="40"/>
        <v>2023</v>
      </c>
      <c r="AQ32" s="25">
        <f t="shared" si="21"/>
        <v>0.16468827544735024</v>
      </c>
      <c r="AR32" s="25">
        <f t="shared" si="22"/>
        <v>0.21079999207029648</v>
      </c>
      <c r="AS32" s="25">
        <f t="shared" si="23"/>
        <v>0.43231173593564892</v>
      </c>
      <c r="AT32" s="37">
        <f t="shared" si="24"/>
        <v>0.19219999654670439</v>
      </c>
      <c r="AU32" s="24">
        <f t="shared" si="32"/>
        <v>1</v>
      </c>
      <c r="AW32" s="24">
        <f t="shared" si="41"/>
        <v>0.27551738603560461</v>
      </c>
      <c r="AX32" s="24">
        <f t="shared" si="25"/>
        <v>0.21079999999999999</v>
      </c>
      <c r="AY32" s="24">
        <f t="shared" si="42"/>
        <v>0.68930923338329142</v>
      </c>
      <c r="AZ32" s="25">
        <f t="shared" si="33"/>
        <v>0.19220000000000001</v>
      </c>
      <c r="BA32" s="24">
        <f t="shared" si="34"/>
        <v>1.3678266194188959</v>
      </c>
      <c r="BJ32" s="19"/>
      <c r="BK32" s="20" t="str">
        <f t="shared" si="44"/>
        <v>MALUKU_PAPUA</v>
      </c>
      <c r="BL32" s="20">
        <f t="shared" si="45"/>
        <v>2023</v>
      </c>
      <c r="BM32" s="34">
        <f>proj_rukn!E126</f>
        <v>774</v>
      </c>
      <c r="BN32" s="30">
        <f t="shared" si="26"/>
        <v>890.09999999999991</v>
      </c>
      <c r="BO32" s="30">
        <f t="shared" si="35"/>
        <v>2080.3293251212331</v>
      </c>
      <c r="BQ32" s="30">
        <f t="shared" si="27"/>
        <v>356.03999999999996</v>
      </c>
      <c r="BR32" s="30">
        <f t="shared" si="36"/>
        <v>1132.5987259141436</v>
      </c>
      <c r="BS32" s="30"/>
      <c r="BT32" s="30">
        <f t="shared" si="28"/>
        <v>178.01999999999998</v>
      </c>
      <c r="BU32" s="30">
        <f t="shared" si="37"/>
        <v>947.73059920708943</v>
      </c>
      <c r="BW32" s="30">
        <f t="shared" si="29"/>
        <v>0.33339305879876047</v>
      </c>
      <c r="BX32" s="30">
        <f t="shared" si="38"/>
        <v>0.28339305824292482</v>
      </c>
      <c r="BZ32" s="24">
        <f t="shared" si="46"/>
        <v>5.8807350000000008E-2</v>
      </c>
      <c r="CA32" s="24">
        <f t="shared" si="30"/>
        <v>0.3292005897055495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MALUKU_PAPUA</v>
      </c>
      <c r="C33" s="20">
        <f t="shared" si="31"/>
        <v>2024</v>
      </c>
      <c r="D33" s="30">
        <f>(D9*(VLOOKUP(D$27,tech_data!$B$2:$O$15,6, FALSE)/100)*(1-(VLOOKUP(D$27,tech_data!$B$2:$O$15,7, FALSE)/100))*8760)/1000</f>
        <v>1965.5144984204978</v>
      </c>
      <c r="E33" s="30">
        <f>(E9*(VLOOKUP(E$27,tech_data!$B$2:$O$15,6, FALSE)/100)*(1-(VLOOKUP(E$27,tech_data!$B$2:$O$15,7, FALSE)/100))*8760)/1000</f>
        <v>11.957522811696016</v>
      </c>
      <c r="F33" s="30">
        <f>(F9*(VLOOKUP(F$27,tech_data!$B$2:$O$15,6, FALSE)/100)*(1-(VLOOKUP(F$27,tech_data!$B$2:$O$15,7, FALSE)/100))*8760)/1000</f>
        <v>2402.4555627483333</v>
      </c>
      <c r="G33" s="30">
        <f>(G9*(VLOOKUP(G$27,tech_data!$B$2:$O$15,6, FALSE)/100)*(1-(VLOOKUP(G$27,tech_data!$B$2:$O$15,7, FALSE)/100))*8760)/1000</f>
        <v>4462.8379022769232</v>
      </c>
      <c r="H33" s="30">
        <f>(H9*(VLOOKUP(H$27,tech_data!$B$2:$O$15,6, FALSE)/100)*(1-(VLOOKUP(H$27,tech_data!$B$2:$O$15,7, FALSE)/100))*8760)/1000</f>
        <v>-9.9999999494995479E-7</v>
      </c>
      <c r="I33" s="30">
        <f>(I9*(VLOOKUP(I$27,tech_data!$B$2:$O$15,6, FALSE)/100)*(1-(VLOOKUP(I$27,tech_data!$B$2:$O$15,7, FALSE)/100))*8760)/1000</f>
        <v>280.44314625060116</v>
      </c>
      <c r="J33" s="30">
        <f>(J9*(VLOOKUP(J$27,tech_data!$B$2:$O$15,6, FALSE)/100)*(1-(VLOOKUP(J$27,tech_data!$B$2:$O$15,7, FALSE)/100))*8760)/1000</f>
        <v>931.64535865247694</v>
      </c>
      <c r="K33" s="30">
        <f>(K9*(VLOOKUP(K$27,tech_data!$B$2:$O$15,6, FALSE)/100)*(1-(VLOOKUP(K$27,tech_data!$B$2:$O$15,7, FALSE)/100))*8760)/1000</f>
        <v>653.17276426389981</v>
      </c>
      <c r="L33" s="30">
        <f>(L9*(VLOOKUP(L$27,tech_data!$B$2:$O$15,6, FALSE)/100)*(1-(VLOOKUP(L$27,tech_data!$B$2:$O$15,7, FALSE)/100))*8760)/1000</f>
        <v>500.10053041079567</v>
      </c>
      <c r="M33" s="30">
        <f>(M9*(VLOOKUP(M$27,tech_data!$B$2:$O$15,6, FALSE)/100)*(1-(VLOOKUP(M$27,tech_data!$B$2:$O$15,7, FALSE)/100))*8760)/1000</f>
        <v>0</v>
      </c>
      <c r="N33" s="30">
        <f>(N9*(VLOOKUP(N$27,tech_data!$B$2:$O$15,6, FALSE)/100)*(1-(VLOOKUP(N$27,tech_data!$B$2:$O$15,7, FALSE)/100))*8760)/1000</f>
        <v>0.85398797743155919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2.9877908800361563</v>
      </c>
      <c r="Q33" s="34">
        <f t="shared" si="17"/>
        <v>11208.981272812653</v>
      </c>
      <c r="R33" s="34">
        <f>proj_rukn!D127</f>
        <v>17243</v>
      </c>
      <c r="S33" s="35"/>
      <c r="T33" s="19"/>
      <c r="U33" s="20" t="str">
        <f t="shared" si="18"/>
        <v>MALUKU_PAPUA</v>
      </c>
      <c r="V33" s="20">
        <f t="shared" si="18"/>
        <v>2024</v>
      </c>
      <c r="W33" s="29">
        <f t="shared" si="19"/>
        <v>0.17535175147342308</v>
      </c>
      <c r="X33" s="29">
        <f t="shared" si="19"/>
        <v>1.0667805147198299E-3</v>
      </c>
      <c r="Y33" s="29">
        <f t="shared" si="19"/>
        <v>0.21433308739443444</v>
      </c>
      <c r="Z33" s="29">
        <f t="shared" si="19"/>
        <v>0.39814839490378329</v>
      </c>
      <c r="AA33" s="29">
        <f t="shared" si="19"/>
        <v>-8.921417304670243E-11</v>
      </c>
      <c r="AB33" s="29">
        <f t="shared" si="19"/>
        <v>2.5019503505712432E-2</v>
      </c>
      <c r="AC33" s="29">
        <f t="shared" si="19"/>
        <v>8.3115970664718625E-2</v>
      </c>
      <c r="AD33" s="29">
        <f t="shared" si="19"/>
        <v>5.8272268314710114E-2</v>
      </c>
      <c r="AE33" s="29">
        <f t="shared" si="19"/>
        <v>4.4616055486129493E-2</v>
      </c>
      <c r="AF33" s="29">
        <f t="shared" si="19"/>
        <v>0</v>
      </c>
      <c r="AG33" s="29">
        <f t="shared" si="19"/>
        <v>7.6187831583134514E-5</v>
      </c>
      <c r="AH33" s="29">
        <f t="shared" si="19"/>
        <v>0</v>
      </c>
      <c r="AI33" s="29">
        <f t="shared" si="19"/>
        <v>2.6655329394501117E-4</v>
      </c>
      <c r="AJ33" s="29">
        <f t="shared" si="20"/>
        <v>1.0000000000000002</v>
      </c>
      <c r="AM33" s="23"/>
      <c r="AO33" s="20" t="str">
        <f t="shared" si="39"/>
        <v>MALUKU_PAPUA</v>
      </c>
      <c r="AP33" s="20">
        <f t="shared" si="40"/>
        <v>2024</v>
      </c>
      <c r="AQ33" s="25">
        <f t="shared" si="21"/>
        <v>0.17535175147342308</v>
      </c>
      <c r="AR33" s="25">
        <f t="shared" si="22"/>
        <v>0.21539986790915427</v>
      </c>
      <c r="AS33" s="25">
        <f t="shared" si="23"/>
        <v>0.39814839490378329</v>
      </c>
      <c r="AT33" s="37">
        <f t="shared" si="24"/>
        <v>0.21109998571363964</v>
      </c>
      <c r="AU33" s="24">
        <f t="shared" si="32"/>
        <v>1.0000000000000004</v>
      </c>
      <c r="AW33" s="24">
        <f t="shared" si="41"/>
        <v>0.28775869301780227</v>
      </c>
      <c r="AX33" s="24">
        <f t="shared" si="25"/>
        <v>0.21540000000000001</v>
      </c>
      <c r="AY33" s="24">
        <f t="shared" si="42"/>
        <v>0.67552304871562563</v>
      </c>
      <c r="AZ33" s="25">
        <f t="shared" si="33"/>
        <v>0.21110000000000001</v>
      </c>
      <c r="BA33" s="24">
        <f t="shared" si="34"/>
        <v>1.3897817417334279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MALUKU_PAPUA</v>
      </c>
      <c r="BL33" s="20">
        <f t="shared" si="45"/>
        <v>2024</v>
      </c>
      <c r="BM33" s="34">
        <f>proj_rukn!E127</f>
        <v>822</v>
      </c>
      <c r="BN33" s="30">
        <f t="shared" si="26"/>
        <v>945.3</v>
      </c>
      <c r="BO33" s="30">
        <f t="shared" si="35"/>
        <v>2234.5051858083725</v>
      </c>
      <c r="BQ33" s="30">
        <f t="shared" si="27"/>
        <v>378.12</v>
      </c>
      <c r="BR33" s="30">
        <f t="shared" si="36"/>
        <v>1273.4323381706636</v>
      </c>
      <c r="BS33" s="30"/>
      <c r="BT33" s="30">
        <f t="shared" si="28"/>
        <v>189.06</v>
      </c>
      <c r="BU33" s="30">
        <f t="shared" si="37"/>
        <v>961.07284763770895</v>
      </c>
      <c r="BW33" s="30">
        <f t="shared" si="29"/>
        <v>0.36926013885821168</v>
      </c>
      <c r="BX33" s="30">
        <f t="shared" si="38"/>
        <v>0.28339305824292482</v>
      </c>
      <c r="BZ33" s="24">
        <f t="shared" si="46"/>
        <v>6.1747717500000014E-2</v>
      </c>
      <c r="CA33" s="24">
        <f t="shared" si="30"/>
        <v>0.27604108128058963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MALUKU_PAPUA</v>
      </c>
      <c r="C34" s="20">
        <f t="shared" si="31"/>
        <v>2025</v>
      </c>
      <c r="D34" s="30">
        <f>(D10*(VLOOKUP(D$27,tech_data!$B$2:$O$15,6, FALSE)/100)*(1-(VLOOKUP(D$27,tech_data!$B$2:$O$15,7, FALSE)/100))*8760)/1000</f>
        <v>2243.0508368023193</v>
      </c>
      <c r="E34" s="30">
        <f>(E10*(VLOOKUP(E$27,tech_data!$B$2:$O$15,6, FALSE)/100)*(1-(VLOOKUP(E$27,tech_data!$B$2:$O$15,7, FALSE)/100))*8760)/1000</f>
        <v>11.95751982231233</v>
      </c>
      <c r="F34" s="30">
        <f>(F10*(VLOOKUP(F$27,tech_data!$B$2:$O$15,6, FALSE)/100)*(1-(VLOOKUP(F$27,tech_data!$B$2:$O$15,7, FALSE)/100))*8760)/1000</f>
        <v>2670.395013757427</v>
      </c>
      <c r="G34" s="30">
        <f>(G10*(VLOOKUP(G$27,tech_data!$B$2:$O$15,6, FALSE)/100)*(1-(VLOOKUP(G$27,tech_data!$B$2:$O$15,7, FALSE)/100))*8760)/1000</f>
        <v>4462.8379022769232</v>
      </c>
      <c r="H34" s="30">
        <f>(H10*(VLOOKUP(H$27,tech_data!$B$2:$O$15,6, FALSE)/100)*(1-(VLOOKUP(H$27,tech_data!$B$2:$O$15,7, FALSE)/100))*8760)/1000</f>
        <v>-9.9999999494995479E-7</v>
      </c>
      <c r="I34" s="30">
        <f>(I10*(VLOOKUP(I$27,tech_data!$B$2:$O$15,6, FALSE)/100)*(1-(VLOOKUP(I$27,tech_data!$B$2:$O$15,7, FALSE)/100))*8760)/1000</f>
        <v>543.03501866956913</v>
      </c>
      <c r="J34" s="30">
        <f>(J10*(VLOOKUP(J$27,tech_data!$B$2:$O$15,6, FALSE)/100)*(1-(VLOOKUP(J$27,tech_data!$B$2:$O$15,7, FALSE)/100))*8760)/1000</f>
        <v>969.6791587096609</v>
      </c>
      <c r="K34" s="30">
        <f>(K10*(VLOOKUP(K$27,tech_data!$B$2:$O$15,6, FALSE)/100)*(1-(VLOOKUP(K$27,tech_data!$B$2:$O$15,7, FALSE)/100))*8760)/1000</f>
        <v>696.94285221268274</v>
      </c>
      <c r="L34" s="30">
        <f>(L10*(VLOOKUP(L$27,tech_data!$B$2:$O$15,6, FALSE)/100)*(1-(VLOOKUP(L$27,tech_data!$B$2:$O$15,7, FALSE)/100))*8760)/1000</f>
        <v>593.77084722817551</v>
      </c>
      <c r="M34" s="30">
        <f>(M10*(VLOOKUP(M$27,tech_data!$B$2:$O$15,6, FALSE)/100)*(1-(VLOOKUP(M$27,tech_data!$B$2:$O$15,7, FALSE)/100))*8760)/1000</f>
        <v>0</v>
      </c>
      <c r="N34" s="30">
        <f>(N10*(VLOOKUP(N$27,tech_data!$B$2:$O$15,6, FALSE)/100)*(1-(VLOOKUP(N$27,tech_data!$B$2:$O$15,7, FALSE)/100))*8760)/1000</f>
        <v>0.85403305108910432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3.2571598537184228</v>
      </c>
      <c r="Q34" s="34">
        <f t="shared" si="17"/>
        <v>12192.523181530159</v>
      </c>
      <c r="R34" s="34">
        <f>proj_rukn!D128</f>
        <v>18758</v>
      </c>
      <c r="S34" s="35"/>
      <c r="T34" s="19"/>
      <c r="U34" s="20" t="str">
        <f t="shared" si="18"/>
        <v>MALUKU_PAPUA</v>
      </c>
      <c r="V34" s="20">
        <f t="shared" si="18"/>
        <v>2025</v>
      </c>
      <c r="W34" s="29">
        <f t="shared" si="19"/>
        <v>0.18396937232813337</v>
      </c>
      <c r="X34" s="29">
        <f t="shared" si="19"/>
        <v>9.8072561719022818E-4</v>
      </c>
      <c r="Y34" s="29">
        <f t="shared" si="19"/>
        <v>0.2190190638966899</v>
      </c>
      <c r="Z34" s="29">
        <f t="shared" si="19"/>
        <v>0.36603070880664407</v>
      </c>
      <c r="AA34" s="29">
        <f t="shared" si="19"/>
        <v>-8.2017477437713997E-11</v>
      </c>
      <c r="AB34" s="29">
        <f t="shared" si="19"/>
        <v>4.4538362616540733E-2</v>
      </c>
      <c r="AC34" s="29">
        <f t="shared" si="19"/>
        <v>7.9530638922924432E-2</v>
      </c>
      <c r="AD34" s="29">
        <f t="shared" si="19"/>
        <v>5.7161494945397885E-2</v>
      </c>
      <c r="AE34" s="29">
        <f t="shared" si="19"/>
        <v>4.8699587311644331E-2</v>
      </c>
      <c r="AF34" s="29">
        <f t="shared" si="19"/>
        <v>0</v>
      </c>
      <c r="AG34" s="29">
        <f t="shared" si="19"/>
        <v>7.00456368524963E-5</v>
      </c>
      <c r="AH34" s="29">
        <f t="shared" si="19"/>
        <v>0</v>
      </c>
      <c r="AI34" s="29">
        <f t="shared" si="19"/>
        <v>2.6714403616246801E-4</v>
      </c>
      <c r="AJ34" s="29">
        <f t="shared" si="20"/>
        <v>1</v>
      </c>
      <c r="AM34" s="23"/>
      <c r="AO34" s="20" t="str">
        <f t="shared" si="39"/>
        <v>MALUKU_PAPUA</v>
      </c>
      <c r="AP34" s="20">
        <f t="shared" si="40"/>
        <v>2025</v>
      </c>
      <c r="AQ34" s="25">
        <f t="shared" si="21"/>
        <v>0.18396937232813337</v>
      </c>
      <c r="AR34" s="25">
        <f t="shared" si="22"/>
        <v>0.21999978951388016</v>
      </c>
      <c r="AS34" s="25">
        <f t="shared" si="23"/>
        <v>0.36603070880664407</v>
      </c>
      <c r="AT34" s="37">
        <f t="shared" si="24"/>
        <v>0.23000012935134242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0.66201258774131311</v>
      </c>
      <c r="AZ34" s="25">
        <f t="shared" si="33"/>
        <v>0.23</v>
      </c>
      <c r="BA34" s="24">
        <f t="shared" si="34"/>
        <v>1.4120125877413132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MALUKU_PAPUA</v>
      </c>
      <c r="BL34" s="20">
        <f t="shared" si="45"/>
        <v>2025</v>
      </c>
      <c r="BM34" s="34">
        <f>proj_rukn!E128</f>
        <v>871</v>
      </c>
      <c r="BN34" s="30">
        <f t="shared" si="26"/>
        <v>1001.65</v>
      </c>
      <c r="BO34" s="30">
        <f t="shared" si="35"/>
        <v>2447.7835409364347</v>
      </c>
      <c r="BQ34" s="30">
        <f t="shared" si="27"/>
        <v>400.66</v>
      </c>
      <c r="BR34" s="30">
        <f t="shared" si="36"/>
        <v>1427.483303029217</v>
      </c>
      <c r="BS34" s="30"/>
      <c r="BT34" s="30">
        <f t="shared" si="28"/>
        <v>200.33</v>
      </c>
      <c r="BU34" s="30">
        <f t="shared" si="37"/>
        <v>1020.3002379072175</v>
      </c>
      <c r="BW34" s="30">
        <f t="shared" si="29"/>
        <v>0.42917355984643307</v>
      </c>
      <c r="BX34" s="30">
        <f t="shared" si="38"/>
        <v>0.28340801578564845</v>
      </c>
      <c r="BZ34" s="24">
        <f t="shared" si="46"/>
        <v>6.4835103375000022E-2</v>
      </c>
      <c r="CA34" s="24">
        <f t="shared" si="30"/>
        <v>0.24852809912154189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MALUKU_PAPUA</v>
      </c>
      <c r="C35" s="20">
        <f t="shared" si="31"/>
        <v>2026</v>
      </c>
      <c r="D35" s="30">
        <f>(D11*(VLOOKUP(D$27,tech_data!$B$2:$O$15,6, FALSE)/100)*(1-(VLOOKUP(D$27,tech_data!$B$2:$O$15,7, FALSE)/100))*8760)/1000</f>
        <v>2563.0610137735753</v>
      </c>
      <c r="E35" s="30">
        <f>(E11*(VLOOKUP(E$27,tech_data!$B$2:$O$15,6, FALSE)/100)*(1-(VLOOKUP(E$27,tech_data!$B$2:$O$15,7, FALSE)/100))*8760)/1000</f>
        <v>11.95751982231233</v>
      </c>
      <c r="F35" s="30">
        <f>(F11*(VLOOKUP(F$27,tech_data!$B$2:$O$15,6, FALSE)/100)*(1-(VLOOKUP(F$27,tech_data!$B$2:$O$15,7, FALSE)/100))*8760)/1000</f>
        <v>2898.4388218028198</v>
      </c>
      <c r="G35" s="30">
        <f>(G11*(VLOOKUP(G$27,tech_data!$B$2:$O$15,6, FALSE)/100)*(1-(VLOOKUP(G$27,tech_data!$B$2:$O$15,7, FALSE)/100))*8760)/1000</f>
        <v>4462.8379022769232</v>
      </c>
      <c r="H35" s="30">
        <f>(H11*(VLOOKUP(H$27,tech_data!$B$2:$O$15,6, FALSE)/100)*(1-(VLOOKUP(H$27,tech_data!$B$2:$O$15,7, FALSE)/100))*8760)/1000</f>
        <v>0</v>
      </c>
      <c r="I35" s="30">
        <f>(I11*(VLOOKUP(I$27,tech_data!$B$2:$O$15,6, FALSE)/100)*(1-(VLOOKUP(I$27,tech_data!$B$2:$O$15,7, FALSE)/100))*8760)/1000</f>
        <v>608.84564012110798</v>
      </c>
      <c r="J35" s="30">
        <f>(J11*(VLOOKUP(J$27,tech_data!$B$2:$O$15,6, FALSE)/100)*(1-(VLOOKUP(J$27,tech_data!$B$2:$O$15,7, FALSE)/100))*8760)/1000</f>
        <v>1081.675619049885</v>
      </c>
      <c r="K35" s="30">
        <f>(K11*(VLOOKUP(K$27,tech_data!$B$2:$O$15,6, FALSE)/100)*(1-(VLOOKUP(K$27,tech_data!$B$2:$O$15,7, FALSE)/100))*8760)/1000</f>
        <v>706.24983862901661</v>
      </c>
      <c r="L35" s="30">
        <f>(L11*(VLOOKUP(L$27,tech_data!$B$2:$O$15,6, FALSE)/100)*(1-(VLOOKUP(L$27,tech_data!$B$2:$O$15,7, FALSE)/100))*8760)/1000</f>
        <v>624.04990815647659</v>
      </c>
      <c r="M35" s="30">
        <f>(M11*(VLOOKUP(M$27,tech_data!$B$2:$O$15,6, FALSE)/100)*(1-(VLOOKUP(M$27,tech_data!$B$2:$O$15,7, FALSE)/100))*8760)/1000</f>
        <v>0</v>
      </c>
      <c r="N35" s="30">
        <f>(N11*(VLOOKUP(N$27,tech_data!$B$2:$O$15,6, FALSE)/100)*(1-(VLOOKUP(N$27,tech_data!$B$2:$O$15,7, FALSE)/100))*8760)/1000</f>
        <v>1.0152669484241608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3.4534526427537644</v>
      </c>
      <c r="Q35" s="34">
        <f t="shared" si="17"/>
        <v>12958.131530580542</v>
      </c>
      <c r="R35" s="34">
        <f>proj_rukn!D129</f>
        <v>20342</v>
      </c>
      <c r="S35" s="35"/>
      <c r="T35" s="19"/>
      <c r="U35" s="20" t="str">
        <f t="shared" si="18"/>
        <v>MALUKU_PAPUA</v>
      </c>
      <c r="V35" s="20">
        <f t="shared" si="18"/>
        <v>2026</v>
      </c>
      <c r="W35" s="29">
        <f t="shared" si="19"/>
        <v>0.19779557011941726</v>
      </c>
      <c r="X35" s="29">
        <f t="shared" si="19"/>
        <v>9.2278117366637166E-4</v>
      </c>
      <c r="Y35" s="29">
        <f t="shared" si="19"/>
        <v>0.22367721881527822</v>
      </c>
      <c r="Z35" s="29">
        <f t="shared" si="19"/>
        <v>0.34440442989368097</v>
      </c>
      <c r="AA35" s="29">
        <f t="shared" si="19"/>
        <v>0</v>
      </c>
      <c r="AB35" s="29">
        <f t="shared" si="19"/>
        <v>4.6985604265882219E-2</v>
      </c>
      <c r="AC35" s="29">
        <f t="shared" si="19"/>
        <v>8.3474659637246665E-2</v>
      </c>
      <c r="AD35" s="29">
        <f t="shared" si="19"/>
        <v>5.4502444041589049E-2</v>
      </c>
      <c r="AE35" s="29">
        <f t="shared" si="19"/>
        <v>4.8158942258283925E-2</v>
      </c>
      <c r="AF35" s="29">
        <f t="shared" si="19"/>
        <v>0</v>
      </c>
      <c r="AG35" s="29">
        <f t="shared" si="19"/>
        <v>7.8349794955251195E-5</v>
      </c>
      <c r="AH35" s="29">
        <f t="shared" si="19"/>
        <v>0</v>
      </c>
      <c r="AI35" s="29">
        <f t="shared" si="19"/>
        <v>2.6650853439817224E-4</v>
      </c>
      <c r="AJ35" s="29">
        <f t="shared" si="20"/>
        <v>0.99999999999999989</v>
      </c>
      <c r="AM35" s="23"/>
      <c r="AO35" s="20" t="str">
        <f t="shared" si="39"/>
        <v>MALUKU_PAPUA</v>
      </c>
      <c r="AP35" s="20">
        <f t="shared" si="40"/>
        <v>2026</v>
      </c>
      <c r="AQ35" s="25">
        <f t="shared" si="21"/>
        <v>0.19779557011941726</v>
      </c>
      <c r="AR35" s="25">
        <f t="shared" si="22"/>
        <v>0.22459999998894459</v>
      </c>
      <c r="AS35" s="25">
        <f t="shared" si="23"/>
        <v>0.34440442989368097</v>
      </c>
      <c r="AT35" s="37">
        <f t="shared" si="24"/>
        <v>0.23319999999795712</v>
      </c>
      <c r="AU35" s="24">
        <f t="shared" si="32"/>
        <v>0.99999999999999989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0.64877233598648687</v>
      </c>
      <c r="AZ35" s="25">
        <f t="shared" ref="AZ35:AZ47" si="47">$BG$30+((AP35-$BC$30)*($BG$31-$BG$30)/($BC$31-$BC$30))</f>
        <v>0.23320000000000002</v>
      </c>
      <c r="BA35" s="24">
        <f t="shared" si="34"/>
        <v>1.404572335986487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MALUKU_PAPUA</v>
      </c>
      <c r="BL35" s="20">
        <f t="shared" si="45"/>
        <v>2026</v>
      </c>
      <c r="BM35" s="34">
        <f>proj_rukn!E129</f>
        <v>927</v>
      </c>
      <c r="BN35" s="30">
        <f t="shared" si="26"/>
        <v>1066.05</v>
      </c>
      <c r="BO35" s="30">
        <f t="shared" si="35"/>
        <v>2611.057438517676</v>
      </c>
      <c r="BQ35" s="30">
        <f t="shared" si="27"/>
        <v>426.42</v>
      </c>
      <c r="BR35" s="30">
        <f t="shared" si="36"/>
        <v>1575.8774597033225</v>
      </c>
      <c r="BS35" s="30"/>
      <c r="BT35" s="30">
        <f t="shared" si="28"/>
        <v>213.21</v>
      </c>
      <c r="BU35" s="30">
        <f t="shared" si="37"/>
        <v>1035.179978814353</v>
      </c>
      <c r="BW35" s="30">
        <f t="shared" si="29"/>
        <v>0.45352538150846122</v>
      </c>
      <c r="BX35" s="30">
        <f t="shared" si="38"/>
        <v>0.33691294614266781</v>
      </c>
      <c r="BZ35" s="24">
        <f t="shared" si="46"/>
        <v>6.8076858543750021E-2</v>
      </c>
      <c r="CA35" s="24">
        <f t="shared" si="30"/>
        <v>0.23371545472584263</v>
      </c>
      <c r="CF35" s="23"/>
    </row>
    <row r="36" spans="1:84" x14ac:dyDescent="0.25">
      <c r="A36" s="19"/>
      <c r="B36" s="20" t="str">
        <f t="shared" si="31"/>
        <v>MALUKU_PAPUA</v>
      </c>
      <c r="C36" s="20">
        <f t="shared" si="31"/>
        <v>2027</v>
      </c>
      <c r="D36" s="30">
        <f>(D12*(VLOOKUP(D$27,tech_data!$B$2:$O$15,6, FALSE)/100)*(1-(VLOOKUP(D$27,tech_data!$B$2:$O$15,7, FALSE)/100))*8760)/1000</f>
        <v>2902.3799895809152</v>
      </c>
      <c r="E36" s="30">
        <f>(E12*(VLOOKUP(E$27,tech_data!$B$2:$O$15,6, FALSE)/100)*(1-(VLOOKUP(E$27,tech_data!$B$2:$O$15,7, FALSE)/100))*8760)/1000</f>
        <v>11.957516832928636</v>
      </c>
      <c r="F36" s="30">
        <f>(F12*(VLOOKUP(F$27,tech_data!$B$2:$O$15,6, FALSE)/100)*(1-(VLOOKUP(F$27,tech_data!$B$2:$O$15,7, FALSE)/100))*8760)/1000</f>
        <v>3146.9261393789852</v>
      </c>
      <c r="G36" s="30">
        <f>(G12*(VLOOKUP(G$27,tech_data!$B$2:$O$15,6, FALSE)/100)*(1-(VLOOKUP(G$27,tech_data!$B$2:$O$15,7, FALSE)/100))*8760)/1000</f>
        <v>4462.8379022769232</v>
      </c>
      <c r="H36" s="30">
        <f>(H12*(VLOOKUP(H$27,tech_data!$B$2:$O$15,6, FALSE)/100)*(1-(VLOOKUP(H$27,tech_data!$B$2:$O$15,7, FALSE)/100))*8760)/1000</f>
        <v>-9.9999999617183413E-7</v>
      </c>
      <c r="I36" s="30">
        <f>(I12*(VLOOKUP(I$27,tech_data!$B$2:$O$15,6, FALSE)/100)*(1-(VLOOKUP(I$27,tech_data!$B$2:$O$15,7, FALSE)/100))*8760)/1000</f>
        <v>674.22646041888015</v>
      </c>
      <c r="J36" s="30">
        <f>(J12*(VLOOKUP(J$27,tech_data!$B$2:$O$15,6, FALSE)/100)*(1-(VLOOKUP(J$27,tech_data!$B$2:$O$15,7, FALSE)/100))*8760)/1000</f>
        <v>1214.1415645290285</v>
      </c>
      <c r="K36" s="30">
        <f>(K12*(VLOOKUP(K$27,tech_data!$B$2:$O$15,6, FALSE)/100)*(1-(VLOOKUP(K$27,tech_data!$B$2:$O$15,7, FALSE)/100))*8760)/1000</f>
        <v>712.86103401425055</v>
      </c>
      <c r="L36" s="30">
        <f>(L12*(VLOOKUP(L$27,tech_data!$B$2:$O$15,6, FALSE)/100)*(1-(VLOOKUP(L$27,tech_data!$B$2:$O$15,7, FALSE)/100))*8760)/1000</f>
        <v>655.72171607453856</v>
      </c>
      <c r="M36" s="30">
        <f>(M12*(VLOOKUP(M$27,tech_data!$B$2:$O$15,6, FALSE)/100)*(1-(VLOOKUP(M$27,tech_data!$B$2:$O$15,7, FALSE)/100))*8760)/1000</f>
        <v>0</v>
      </c>
      <c r="N36" s="30">
        <f>(N12*(VLOOKUP(N$27,tech_data!$B$2:$O$15,6, FALSE)/100)*(1-(VLOOKUP(N$27,tech_data!$B$2:$O$15,7, FALSE)/100))*8760)/1000</f>
        <v>1.162582654931857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3.6638709635170352</v>
      </c>
      <c r="Q36" s="34">
        <f t="shared" si="17"/>
        <v>13782.214904761384</v>
      </c>
      <c r="R36" s="34">
        <f>proj_rukn!D130</f>
        <v>22547</v>
      </c>
      <c r="S36" s="35"/>
      <c r="T36" s="19"/>
      <c r="U36" s="20" t="str">
        <f t="shared" si="18"/>
        <v>MALUKU_PAPUA</v>
      </c>
      <c r="V36" s="20">
        <f t="shared" si="18"/>
        <v>2027</v>
      </c>
      <c r="W36" s="29">
        <f t="shared" si="19"/>
        <v>0.210588792123552</v>
      </c>
      <c r="X36" s="29">
        <f t="shared" si="19"/>
        <v>8.6760487451096387E-4</v>
      </c>
      <c r="Y36" s="29">
        <f t="shared" si="19"/>
        <v>0.2283323951284352</v>
      </c>
      <c r="Z36" s="29">
        <f t="shared" si="19"/>
        <v>0.32381137089475603</v>
      </c>
      <c r="AA36" s="29">
        <f t="shared" si="19"/>
        <v>-7.2557277845548692E-11</v>
      </c>
      <c r="AB36" s="29">
        <f t="shared" si="19"/>
        <v>4.8920036806707541E-2</v>
      </c>
      <c r="AC36" s="29">
        <f t="shared" si="19"/>
        <v>8.8094807178603449E-2</v>
      </c>
      <c r="AD36" s="29">
        <f t="shared" si="19"/>
        <v>5.1723256308242316E-2</v>
      </c>
      <c r="AE36" s="29">
        <f t="shared" si="19"/>
        <v>4.7577382924714397E-2</v>
      </c>
      <c r="AF36" s="29">
        <f t="shared" si="19"/>
        <v>0</v>
      </c>
      <c r="AG36" s="29">
        <f t="shared" si="19"/>
        <v>8.4353833035226869E-5</v>
      </c>
      <c r="AH36" s="29">
        <f t="shared" si="19"/>
        <v>0</v>
      </c>
      <c r="AI36" s="29">
        <f t="shared" si="19"/>
        <v>2.6584050450782526E-4</v>
      </c>
      <c r="AJ36" s="29">
        <f t="shared" si="20"/>
        <v>0.99999999999999967</v>
      </c>
      <c r="AM36" s="23"/>
      <c r="AO36" s="20" t="str">
        <f t="shared" si="39"/>
        <v>MALUKU_PAPUA</v>
      </c>
      <c r="AP36" s="20">
        <f t="shared" si="40"/>
        <v>2027</v>
      </c>
      <c r="AQ36" s="25">
        <f t="shared" si="21"/>
        <v>0.210588792123552</v>
      </c>
      <c r="AR36" s="25">
        <f t="shared" si="22"/>
        <v>0.22920000000294619</v>
      </c>
      <c r="AS36" s="25">
        <f t="shared" si="23"/>
        <v>0.32381137089475603</v>
      </c>
      <c r="AT36" s="37">
        <f t="shared" si="24"/>
        <v>0.23639983697874564</v>
      </c>
      <c r="AU36" s="24">
        <f t="shared" si="32"/>
        <v>0.99999999999999989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0.63579688926675715</v>
      </c>
      <c r="AZ36" s="25">
        <f t="shared" si="47"/>
        <v>0.2364</v>
      </c>
      <c r="BA36" s="24">
        <f t="shared" si="34"/>
        <v>1.397396889266757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MALUKU_PAPUA</v>
      </c>
      <c r="BL36" s="20">
        <f t="shared" si="45"/>
        <v>2027</v>
      </c>
      <c r="BM36" s="34">
        <f>proj_rukn!E130</f>
        <v>986</v>
      </c>
      <c r="BN36" s="30">
        <f t="shared" si="26"/>
        <v>1133.8999999999999</v>
      </c>
      <c r="BO36" s="30">
        <f t="shared" si="35"/>
        <v>2785.607417242195</v>
      </c>
      <c r="BQ36" s="30">
        <f t="shared" si="27"/>
        <v>453.55999999999995</v>
      </c>
      <c r="BR36" s="30">
        <f t="shared" si="36"/>
        <v>1735.6405445723267</v>
      </c>
      <c r="BS36" s="30"/>
      <c r="BT36" s="30">
        <f t="shared" si="28"/>
        <v>226.77999999999997</v>
      </c>
      <c r="BU36" s="30">
        <f t="shared" si="37"/>
        <v>1049.9668726698687</v>
      </c>
      <c r="BW36" s="30">
        <f t="shared" si="29"/>
        <v>0.47904930970251319</v>
      </c>
      <c r="BX36" s="30">
        <f t="shared" si="38"/>
        <v>0.38579917135627628</v>
      </c>
      <c r="BZ36" s="24">
        <f t="shared" si="46"/>
        <v>7.1480701470937519E-2</v>
      </c>
      <c r="CA36" s="24">
        <f t="shared" si="30"/>
        <v>0.21879565133918716</v>
      </c>
      <c r="CF36" s="23"/>
    </row>
    <row r="37" spans="1:84" x14ac:dyDescent="0.25">
      <c r="A37" s="19"/>
      <c r="B37" s="20" t="str">
        <f t="shared" si="31"/>
        <v>MALUKU_PAPUA</v>
      </c>
      <c r="C37" s="20">
        <f t="shared" si="31"/>
        <v>2028</v>
      </c>
      <c r="D37" s="30">
        <f>(D13*(VLOOKUP(D$27,tech_data!$B$2:$O$15,6, FALSE)/100)*(1-(VLOOKUP(D$27,tech_data!$B$2:$O$15,7, FALSE)/100))*8760)/1000</f>
        <v>3262.0833780909111</v>
      </c>
      <c r="E37" s="30">
        <f>(E13*(VLOOKUP(E$27,tech_data!$B$2:$O$15,6, FALSE)/100)*(1-(VLOOKUP(E$27,tech_data!$B$2:$O$15,7, FALSE)/100))*8760)/1000</f>
        <v>11.957513843544945</v>
      </c>
      <c r="F37" s="30">
        <f>(F13*(VLOOKUP(F$27,tech_data!$B$2:$O$15,6, FALSE)/100)*(1-(VLOOKUP(F$27,tech_data!$B$2:$O$15,7, FALSE)/100))*8760)/1000</f>
        <v>3417.7549724992177</v>
      </c>
      <c r="G37" s="30">
        <f>(G13*(VLOOKUP(G$27,tech_data!$B$2:$O$15,6, FALSE)/100)*(1-(VLOOKUP(G$27,tech_data!$B$2:$O$15,7, FALSE)/100))*8760)/1000</f>
        <v>4462.8379022769232</v>
      </c>
      <c r="H37" s="30">
        <f>(H13*(VLOOKUP(H$27,tech_data!$B$2:$O$15,6, FALSE)/100)*(1-(VLOOKUP(H$27,tech_data!$B$2:$O$15,7, FALSE)/100))*8760)/1000</f>
        <v>-2.1832171430877143E-14</v>
      </c>
      <c r="I37" s="30">
        <f>(I13*(VLOOKUP(I$27,tech_data!$B$2:$O$15,6, FALSE)/100)*(1-(VLOOKUP(I$27,tech_data!$B$2:$O$15,7, FALSE)/100))*8760)/1000</f>
        <v>674.22646041888015</v>
      </c>
      <c r="J37" s="30">
        <f>(J13*(VLOOKUP(J$27,tech_data!$B$2:$O$15,6, FALSE)/100)*(1-(VLOOKUP(J$27,tech_data!$B$2:$O$15,7, FALSE)/100))*8760)/1000</f>
        <v>1214.1415586099638</v>
      </c>
      <c r="K37" s="30">
        <f>(K13*(VLOOKUP(K$27,tech_data!$B$2:$O$15,6, FALSE)/100)*(1-(VLOOKUP(K$27,tech_data!$B$2:$O$15,7, FALSE)/100))*8760)/1000</f>
        <v>737.83196999895995</v>
      </c>
      <c r="L37" s="30">
        <f>(L13*(VLOOKUP(L$27,tech_data!$B$2:$O$15,6, FALSE)/100)*(1-(VLOOKUP(L$27,tech_data!$B$2:$O$15,7, FALSE)/100))*8760)/1000</f>
        <v>887.2554334963379</v>
      </c>
      <c r="M37" s="30">
        <f>(M13*(VLOOKUP(M$27,tech_data!$B$2:$O$15,6, FALSE)/100)*(1-(VLOOKUP(M$27,tech_data!$B$2:$O$15,7, FALSE)/100))*8760)/1000</f>
        <v>0</v>
      </c>
      <c r="N37" s="30">
        <f>(N13*(VLOOKUP(N$27,tech_data!$B$2:$O$15,6, FALSE)/100)*(1-(VLOOKUP(N$27,tech_data!$B$2:$O$15,7, FALSE)/100))*8760)/1000</f>
        <v>1.3397516498447688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3.9332829980578783</v>
      </c>
      <c r="Q37" s="34">
        <f t="shared" si="17"/>
        <v>14669.428940884583</v>
      </c>
      <c r="R37" s="34">
        <f>proj_rukn!D131</f>
        <v>22887</v>
      </c>
      <c r="S37" s="35"/>
      <c r="T37" s="19"/>
      <c r="U37" s="20" t="str">
        <f t="shared" si="18"/>
        <v>MALUKU_PAPUA</v>
      </c>
      <c r="V37" s="20">
        <f t="shared" si="18"/>
        <v>2028</v>
      </c>
      <c r="W37" s="29">
        <f t="shared" si="19"/>
        <v>0.22237289476206451</v>
      </c>
      <c r="X37" s="29">
        <f t="shared" si="19"/>
        <v>8.1513151546197082E-4</v>
      </c>
      <c r="Y37" s="29">
        <f t="shared" si="19"/>
        <v>0.23298486848208033</v>
      </c>
      <c r="Z37" s="29">
        <f t="shared" si="19"/>
        <v>0.30422710524461688</v>
      </c>
      <c r="AA37" s="29">
        <f t="shared" si="19"/>
        <v>-1.4882768455989152E-18</v>
      </c>
      <c r="AB37" s="29">
        <f t="shared" si="19"/>
        <v>4.5961329724279201E-2</v>
      </c>
      <c r="AC37" s="29">
        <f t="shared" si="19"/>
        <v>8.2766790957082045E-2</v>
      </c>
      <c r="AD37" s="29">
        <f t="shared" si="19"/>
        <v>5.0297252399688019E-2</v>
      </c>
      <c r="AE37" s="29">
        <f t="shared" si="19"/>
        <v>6.0483297412041954E-2</v>
      </c>
      <c r="AF37" s="29">
        <f t="shared" si="19"/>
        <v>0</v>
      </c>
      <c r="AG37" s="29">
        <f t="shared" si="19"/>
        <v>9.1329502685056821E-5</v>
      </c>
      <c r="AH37" s="29">
        <f t="shared" si="19"/>
        <v>0</v>
      </c>
      <c r="AI37" s="29">
        <f t="shared" si="19"/>
        <v>2.6812788786178182E-4</v>
      </c>
      <c r="AJ37" s="29">
        <f t="shared" si="20"/>
        <v>1</v>
      </c>
      <c r="AM37" s="23"/>
      <c r="AO37" s="20" t="str">
        <f t="shared" si="39"/>
        <v>MALUKU_PAPUA</v>
      </c>
      <c r="AP37" s="20">
        <f t="shared" si="40"/>
        <v>2028</v>
      </c>
      <c r="AQ37" s="25">
        <f t="shared" si="21"/>
        <v>0.22237289476206451</v>
      </c>
      <c r="AR37" s="25">
        <f t="shared" si="22"/>
        <v>0.23379999999754231</v>
      </c>
      <c r="AS37" s="25">
        <f t="shared" si="23"/>
        <v>0.30422710524461688</v>
      </c>
      <c r="AT37" s="37">
        <f t="shared" si="24"/>
        <v>0.23959999999577627</v>
      </c>
      <c r="AU37" s="24">
        <f t="shared" si="32"/>
        <v>1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0.62308095148142195</v>
      </c>
      <c r="AZ37" s="25">
        <f t="shared" si="47"/>
        <v>0.23960000000000001</v>
      </c>
      <c r="BA37" s="24">
        <f t="shared" si="34"/>
        <v>1.390480951481422</v>
      </c>
      <c r="BJ37" s="19"/>
      <c r="BK37" s="20" t="str">
        <f t="shared" si="44"/>
        <v>MALUKU_PAPUA</v>
      </c>
      <c r="BL37" s="20">
        <f t="shared" si="45"/>
        <v>2028</v>
      </c>
      <c r="BM37" s="34">
        <f>proj_rukn!E131</f>
        <v>1048</v>
      </c>
      <c r="BN37" s="30">
        <f t="shared" si="26"/>
        <v>1205.1999999999998</v>
      </c>
      <c r="BO37" s="30">
        <f t="shared" si="35"/>
        <v>2957.7228116933902</v>
      </c>
      <c r="BQ37" s="30">
        <f t="shared" si="27"/>
        <v>482.07999999999993</v>
      </c>
      <c r="BR37" s="30">
        <f t="shared" si="36"/>
        <v>1907.6801964637934</v>
      </c>
      <c r="BS37" s="30"/>
      <c r="BT37" s="30">
        <f t="shared" si="28"/>
        <v>241.03999999999996</v>
      </c>
      <c r="BU37" s="30">
        <f t="shared" si="37"/>
        <v>1050.042615229597</v>
      </c>
      <c r="BW37" s="30">
        <f t="shared" si="29"/>
        <v>0.52350656018732611</v>
      </c>
      <c r="BX37" s="30">
        <f t="shared" si="38"/>
        <v>0.44459211062598525</v>
      </c>
      <c r="BZ37" s="24">
        <f t="shared" si="46"/>
        <v>7.5054736544484399E-2</v>
      </c>
      <c r="CA37" s="24">
        <f t="shared" si="30"/>
        <v>0.20992175459338341</v>
      </c>
      <c r="CF37" s="23"/>
    </row>
    <row r="38" spans="1:84" x14ac:dyDescent="0.25">
      <c r="A38" s="19"/>
      <c r="B38" s="20" t="str">
        <f t="shared" si="31"/>
        <v>MALUKU_PAPUA</v>
      </c>
      <c r="C38" s="20">
        <f t="shared" si="31"/>
        <v>2029</v>
      </c>
      <c r="D38" s="30">
        <f>(D14*(VLOOKUP(D$27,tech_data!$B$2:$O$15,6, FALSE)/100)*(1-(VLOOKUP(D$27,tech_data!$B$2:$O$15,7, FALSE)/100))*8760)/1000</f>
        <v>3643.3018075174073</v>
      </c>
      <c r="E38" s="30">
        <f>(E14*(VLOOKUP(E$27,tech_data!$B$2:$O$15,6, FALSE)/100)*(1-(VLOOKUP(E$27,tech_data!$B$2:$O$15,7, FALSE)/100))*8760)/1000</f>
        <v>11.957510854161255</v>
      </c>
      <c r="F38" s="30">
        <f>(F14*(VLOOKUP(F$27,tech_data!$B$2:$O$15,6, FALSE)/100)*(1-(VLOOKUP(F$27,tech_data!$B$2:$O$15,7, FALSE)/100))*8760)/1000</f>
        <v>3712.9918083434882</v>
      </c>
      <c r="G38" s="30">
        <f>(G14*(VLOOKUP(G$27,tech_data!$B$2:$O$15,6, FALSE)/100)*(1-(VLOOKUP(G$27,tech_data!$B$2:$O$15,7, FALSE)/100))*8760)/1000</f>
        <v>4462.8379022769232</v>
      </c>
      <c r="H38" s="30">
        <f>(H14*(VLOOKUP(H$27,tech_data!$B$2:$O$15,6, FALSE)/100)*(1-(VLOOKUP(H$27,tech_data!$B$2:$O$15,7, FALSE)/100))*8760)/1000</f>
        <v>-2.1832171430877143E-14</v>
      </c>
      <c r="I38" s="30">
        <f>(I14*(VLOOKUP(I$27,tech_data!$B$2:$O$15,6, FALSE)/100)*(1-(VLOOKUP(I$27,tech_data!$B$2:$O$15,7, FALSE)/100))*8760)/1000</f>
        <v>735.01420864492309</v>
      </c>
      <c r="J38" s="30">
        <f>(J14*(VLOOKUP(J$27,tech_data!$B$2:$O$15,6, FALSE)/100)*(1-(VLOOKUP(J$27,tech_data!$B$2:$O$15,7, FALSE)/100))*8760)/1000</f>
        <v>1396.6936013401139</v>
      </c>
      <c r="K38" s="30">
        <f>(K14*(VLOOKUP(K$27,tech_data!$B$2:$O$15,6, FALSE)/100)*(1-(VLOOKUP(K$27,tech_data!$B$2:$O$15,7, FALSE)/100))*8760)/1000</f>
        <v>744.36798454936229</v>
      </c>
      <c r="L38" s="30">
        <f>(L14*(VLOOKUP(L$27,tech_data!$B$2:$O$15,6, FALSE)/100)*(1-(VLOOKUP(L$27,tech_data!$B$2:$O$15,7, FALSE)/100))*8760)/1000</f>
        <v>915.95835646371631</v>
      </c>
      <c r="M38" s="30">
        <f>(M14*(VLOOKUP(M$27,tech_data!$B$2:$O$15,6, FALSE)/100)*(1-(VLOOKUP(M$27,tech_data!$B$2:$O$15,7, FALSE)/100))*8760)/1000</f>
        <v>0</v>
      </c>
      <c r="N38" s="30">
        <f>(N14*(VLOOKUP(N$27,tech_data!$B$2:$O$15,6, FALSE)/100)*(1-(VLOOKUP(N$27,tech_data!$B$2:$O$15,7, FALSE)/100))*8760)/1000</f>
        <v>1.6642333080786911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4.1754306675713631</v>
      </c>
      <c r="Q38" s="34">
        <f t="shared" si="17"/>
        <v>15624.787413298174</v>
      </c>
      <c r="R38" s="34">
        <f>proj_rukn!D132</f>
        <v>23247</v>
      </c>
      <c r="S38" s="35"/>
      <c r="T38" s="19"/>
      <c r="U38" s="20" t="str">
        <f t="shared" si="18"/>
        <v>MALUKU_PAPUA</v>
      </c>
      <c r="V38" s="20">
        <f t="shared" si="18"/>
        <v>2029</v>
      </c>
      <c r="W38" s="29">
        <f t="shared" si="19"/>
        <v>0.23317448814801872</v>
      </c>
      <c r="X38" s="29">
        <f t="shared" si="19"/>
        <v>7.6529110687191049E-4</v>
      </c>
      <c r="Y38" s="29">
        <f t="shared" si="19"/>
        <v>0.23763470888463931</v>
      </c>
      <c r="Z38" s="29">
        <f t="shared" si="19"/>
        <v>0.28562551183759627</v>
      </c>
      <c r="AA38" s="29">
        <f t="shared" si="19"/>
        <v>-1.397277982310076E-18</v>
      </c>
      <c r="AB38" s="29">
        <f t="shared" si="19"/>
        <v>4.7041549379376282E-2</v>
      </c>
      <c r="AC38" s="29">
        <f t="shared" si="19"/>
        <v>8.9389606680433636E-2</v>
      </c>
      <c r="AD38" s="29">
        <f t="shared" si="19"/>
        <v>4.7640199182219567E-2</v>
      </c>
      <c r="AE38" s="29">
        <f t="shared" si="19"/>
        <v>5.8622132399967823E-2</v>
      </c>
      <c r="AF38" s="29">
        <f t="shared" si="19"/>
        <v>0</v>
      </c>
      <c r="AG38" s="29">
        <f t="shared" si="19"/>
        <v>1.0651238087644449E-4</v>
      </c>
      <c r="AH38" s="29">
        <f t="shared" si="19"/>
        <v>0</v>
      </c>
      <c r="AI38" s="29">
        <f t="shared" si="19"/>
        <v>2.6723119855171125E-4</v>
      </c>
      <c r="AJ38" s="29">
        <f t="shared" si="20"/>
        <v>0.99999999999999989</v>
      </c>
      <c r="AM38" s="23"/>
      <c r="AO38" s="20" t="str">
        <f t="shared" si="39"/>
        <v>MALUKU_PAPUA</v>
      </c>
      <c r="AP38" s="20">
        <f t="shared" si="40"/>
        <v>2029</v>
      </c>
      <c r="AQ38" s="25">
        <f t="shared" si="21"/>
        <v>0.23317448814801872</v>
      </c>
      <c r="AR38" s="25">
        <f t="shared" si="22"/>
        <v>0.23839999999151124</v>
      </c>
      <c r="AS38" s="25">
        <f t="shared" si="23"/>
        <v>0.28562551183759627</v>
      </c>
      <c r="AT38" s="37">
        <f t="shared" si="24"/>
        <v>0.24280000002287377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0.61061933245179345</v>
      </c>
      <c r="AZ38" s="25">
        <f t="shared" si="47"/>
        <v>0.24280000000000002</v>
      </c>
      <c r="BA38" s="24">
        <f t="shared" si="34"/>
        <v>1.3838193324517936</v>
      </c>
      <c r="BJ38" s="19"/>
      <c r="BK38" s="20" t="str">
        <f t="shared" si="44"/>
        <v>MALUKU_PAPUA</v>
      </c>
      <c r="BL38" s="20">
        <f t="shared" si="45"/>
        <v>2029</v>
      </c>
      <c r="BM38" s="34">
        <f>proj_rukn!E132</f>
        <v>1119.4511508358466</v>
      </c>
      <c r="BN38" s="30">
        <f t="shared" si="26"/>
        <v>1287.3688234612237</v>
      </c>
      <c r="BO38" s="30">
        <f t="shared" si="35"/>
        <v>3156.7800674919772</v>
      </c>
      <c r="BQ38" s="30">
        <f t="shared" si="27"/>
        <v>514.94752938448948</v>
      </c>
      <c r="BR38" s="30">
        <f t="shared" si="36"/>
        <v>2092.976277062</v>
      </c>
      <c r="BS38" s="30"/>
      <c r="BT38" s="30">
        <f t="shared" si="28"/>
        <v>257.47376469224474</v>
      </c>
      <c r="BU38" s="30">
        <f t="shared" si="37"/>
        <v>1063.8037904299774</v>
      </c>
      <c r="BW38" s="30">
        <f t="shared" si="29"/>
        <v>0.55227038775406412</v>
      </c>
      <c r="BX38" s="30">
        <f t="shared" si="38"/>
        <v>0.55227026523796441</v>
      </c>
      <c r="BZ38" s="24">
        <f t="shared" si="46"/>
        <v>7.8807473371708625E-2</v>
      </c>
      <c r="CA38" s="24">
        <f t="shared" si="30"/>
        <v>0.19621169348324327</v>
      </c>
      <c r="CF38" s="23"/>
    </row>
    <row r="39" spans="1:84" x14ac:dyDescent="0.25">
      <c r="A39" s="19"/>
      <c r="B39" s="20" t="str">
        <f t="shared" si="31"/>
        <v>MALUKU_PAPUA</v>
      </c>
      <c r="C39" s="20">
        <f t="shared" si="31"/>
        <v>2030</v>
      </c>
      <c r="D39" s="30">
        <f>(D15*(VLOOKUP(D$27,tech_data!$B$2:$O$15,6, FALSE)/100)*(1-(VLOOKUP(D$27,tech_data!$B$2:$O$15,7, FALSE)/100))*8760)/1000</f>
        <v>4047.2180268957618</v>
      </c>
      <c r="E39" s="30">
        <f>(E15*(VLOOKUP(E$27,tech_data!$B$2:$O$15,6, FALSE)/100)*(1-(VLOOKUP(E$27,tech_data!$B$2:$O$15,7, FALSE)/100))*8760)/1000</f>
        <v>11.957510854161255</v>
      </c>
      <c r="F39" s="30">
        <f>(F15*(VLOOKUP(F$27,tech_data!$B$2:$O$15,6, FALSE)/100)*(1-(VLOOKUP(F$27,tech_data!$B$2:$O$15,7, FALSE)/100))*8760)/1000</f>
        <v>4034.8988311922567</v>
      </c>
      <c r="G39" s="30">
        <f>(G15*(VLOOKUP(G$27,tech_data!$B$2:$O$15,6, FALSE)/100)*(1-(VLOOKUP(G$27,tech_data!$B$2:$O$15,7, FALSE)/100))*8760)/1000</f>
        <v>4462.8379022769232</v>
      </c>
      <c r="H39" s="30">
        <f>(H15*(VLOOKUP(H$27,tech_data!$B$2:$O$15,6, FALSE)/100)*(1-(VLOOKUP(H$27,tech_data!$B$2:$O$15,7, FALSE)/100))*8760)/1000</f>
        <v>0</v>
      </c>
      <c r="I39" s="30">
        <f>(I15*(VLOOKUP(I$27,tech_data!$B$2:$O$15,6, FALSE)/100)*(1-(VLOOKUP(I$27,tech_data!$B$2:$O$15,7, FALSE)/100))*8760)/1000</f>
        <v>821.55888263965653</v>
      </c>
      <c r="J39" s="30">
        <f>(J15*(VLOOKUP(J$27,tech_data!$B$2:$O$15,6, FALSE)/100)*(1-(VLOOKUP(J$27,tech_data!$B$2:$O$15,7, FALSE)/100))*8760)/1000</f>
        <v>1556.7632924832726</v>
      </c>
      <c r="K39" s="30">
        <f>(K15*(VLOOKUP(K$27,tech_data!$B$2:$O$15,6, FALSE)/100)*(1-(VLOOKUP(K$27,tech_data!$B$2:$O$15,7, FALSE)/100))*8760)/1000</f>
        <v>759.31020527181158</v>
      </c>
      <c r="L39" s="30">
        <f>(L15*(VLOOKUP(L$27,tech_data!$B$2:$O$15,6, FALSE)/100)*(1-(VLOOKUP(L$27,tech_data!$B$2:$O$15,7, FALSE)/100))*8760)/1000</f>
        <v>957.52091776691384</v>
      </c>
      <c r="M39" s="30">
        <f>(M15*(VLOOKUP(M$27,tech_data!$B$2:$O$15,6, FALSE)/100)*(1-(VLOOKUP(M$27,tech_data!$B$2:$O$15,7, FALSE)/100))*8760)/1000</f>
        <v>0</v>
      </c>
      <c r="N39" s="30">
        <f>(N15*(VLOOKUP(N$27,tech_data!$B$2:$O$15,6, FALSE)/100)*(1-(VLOOKUP(N$27,tech_data!$B$2:$O$15,7, FALSE)/100))*8760)/1000</f>
        <v>1.6642333080786911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4.4398537109339999</v>
      </c>
      <c r="Q39" s="34">
        <f t="shared" si="17"/>
        <v>16653.729802688835</v>
      </c>
      <c r="R39" s="34">
        <f>proj_rukn!D133</f>
        <v>23609</v>
      </c>
      <c r="S39" s="35"/>
      <c r="T39" s="19"/>
      <c r="U39" s="20" t="str">
        <f t="shared" si="18"/>
        <v>MALUKU_PAPUA</v>
      </c>
      <c r="V39" s="20">
        <f t="shared" si="18"/>
        <v>2030</v>
      </c>
      <c r="W39" s="29">
        <f t="shared" si="19"/>
        <v>0.24302171794827104</v>
      </c>
      <c r="X39" s="29">
        <f t="shared" si="19"/>
        <v>7.1800797754210293E-4</v>
      </c>
      <c r="Y39" s="29">
        <f t="shared" si="19"/>
        <v>0.24228199202203943</v>
      </c>
      <c r="Z39" s="29">
        <f t="shared" si="19"/>
        <v>0.26797828205165031</v>
      </c>
      <c r="AA39" s="29">
        <f t="shared" si="19"/>
        <v>0</v>
      </c>
      <c r="AB39" s="29">
        <f t="shared" si="19"/>
        <v>4.933182490489376E-2</v>
      </c>
      <c r="AC39" s="29">
        <f t="shared" si="19"/>
        <v>9.3478356556014539E-2</v>
      </c>
      <c r="AD39" s="29">
        <f t="shared" si="19"/>
        <v>4.5594002921148444E-2</v>
      </c>
      <c r="AE39" s="29">
        <f t="shared" si="19"/>
        <v>5.7495884051890704E-2</v>
      </c>
      <c r="AF39" s="29">
        <f t="shared" si="19"/>
        <v>0</v>
      </c>
      <c r="AG39" s="29">
        <f t="shared" si="19"/>
        <v>9.9931566549734199E-5</v>
      </c>
      <c r="AH39" s="29">
        <f t="shared" si="19"/>
        <v>0</v>
      </c>
      <c r="AI39" s="29">
        <f t="shared" si="19"/>
        <v>2.6659815930345893E-4</v>
      </c>
      <c r="AJ39" s="29">
        <f t="shared" si="20"/>
        <v>1</v>
      </c>
      <c r="AM39" s="23"/>
      <c r="AO39" s="20" t="str">
        <f t="shared" si="39"/>
        <v>MALUKU_PAPUA</v>
      </c>
      <c r="AP39" s="20">
        <f t="shared" si="40"/>
        <v>2030</v>
      </c>
      <c r="AQ39" s="25">
        <f t="shared" si="21"/>
        <v>0.24302171794827104</v>
      </c>
      <c r="AR39" s="25">
        <f t="shared" si="22"/>
        <v>0.24299999999958155</v>
      </c>
      <c r="AS39" s="25">
        <f t="shared" si="23"/>
        <v>0.26797828205165031</v>
      </c>
      <c r="AT39" s="37">
        <f t="shared" si="24"/>
        <v>0.24600000000049721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0.59840694580275755</v>
      </c>
      <c r="AZ39" s="25">
        <f t="shared" si="47"/>
        <v>0.246</v>
      </c>
      <c r="BA39" s="24">
        <f t="shared" si="34"/>
        <v>1.3774069458027576</v>
      </c>
      <c r="BJ39" s="19"/>
      <c r="BK39" s="20" t="str">
        <f t="shared" si="44"/>
        <v>MALUKU_PAPUA</v>
      </c>
      <c r="BL39" s="20">
        <f t="shared" si="45"/>
        <v>2030</v>
      </c>
      <c r="BM39" s="34">
        <f>proj_rukn!E133</f>
        <v>1195.7737396065852</v>
      </c>
      <c r="BN39" s="30">
        <f t="shared" si="26"/>
        <v>1375.1398005475728</v>
      </c>
      <c r="BO39" s="30">
        <f t="shared" si="35"/>
        <v>3375.9633654347176</v>
      </c>
      <c r="BQ39" s="30">
        <f t="shared" si="27"/>
        <v>550.05592021902919</v>
      </c>
      <c r="BR39" s="30">
        <f t="shared" si="36"/>
        <v>2292.590110066466</v>
      </c>
      <c r="BS39" s="30"/>
      <c r="BT39" s="30">
        <f t="shared" si="28"/>
        <v>275.02796010951459</v>
      </c>
      <c r="BU39" s="30">
        <f t="shared" si="37"/>
        <v>1083.3732553682514</v>
      </c>
      <c r="BW39" s="30">
        <f t="shared" si="29"/>
        <v>0.5863576453498035</v>
      </c>
      <c r="BX39" s="30">
        <f t="shared" si="38"/>
        <v>0.55227026523796441</v>
      </c>
      <c r="BZ39" s="24">
        <f t="shared" si="46"/>
        <v>8.2747847040294059E-2</v>
      </c>
      <c r="CA39" s="24">
        <f t="shared" si="30"/>
        <v>0.1853414752888467</v>
      </c>
      <c r="CF39" s="23"/>
    </row>
    <row r="40" spans="1:84" x14ac:dyDescent="0.25">
      <c r="A40" s="19"/>
      <c r="B40" s="20" t="str">
        <f t="shared" si="31"/>
        <v>MALUKU_PAPUA</v>
      </c>
      <c r="C40" s="20">
        <f t="shared" si="31"/>
        <v>2031</v>
      </c>
      <c r="D40" s="30">
        <f>(D16*(VLOOKUP(D$27,tech_data!$B$2:$O$15,6, FALSE)/100)*(1-(VLOOKUP(D$27,tech_data!$B$2:$O$15,7, FALSE)/100))*8760)/1000</f>
        <v>4475.0700466413655</v>
      </c>
      <c r="E40" s="30">
        <f>(E16*(VLOOKUP(E$27,tech_data!$B$2:$O$15,6, FALSE)/100)*(1-(VLOOKUP(E$27,tech_data!$B$2:$O$15,7, FALSE)/100))*8760)/1000</f>
        <v>11.957510854161255</v>
      </c>
      <c r="F40" s="30">
        <f>(F16*(VLOOKUP(F$27,tech_data!$B$2:$O$15,6, FALSE)/100)*(1-(VLOOKUP(F$27,tech_data!$B$2:$O$15,7, FALSE)/100))*8760)/1000</f>
        <v>4385.9479033572015</v>
      </c>
      <c r="G40" s="30">
        <f>(G16*(VLOOKUP(G$27,tech_data!$B$2:$O$15,6, FALSE)/100)*(1-(VLOOKUP(G$27,tech_data!$B$2:$O$15,7, FALSE)/100))*8760)/1000</f>
        <v>4462.8379022769232</v>
      </c>
      <c r="H40" s="30">
        <f>(H16*(VLOOKUP(H$27,tech_data!$B$2:$O$15,6, FALSE)/100)*(1-(VLOOKUP(H$27,tech_data!$B$2:$O$15,7, FALSE)/100))*8760)/1000</f>
        <v>-9.9999999617183413E-7</v>
      </c>
      <c r="I40" s="30">
        <f>(I16*(VLOOKUP(I$27,tech_data!$B$2:$O$15,6, FALSE)/100)*(1-(VLOOKUP(I$27,tech_data!$B$2:$O$15,7, FALSE)/100))*8760)/1000</f>
        <v>937.1086298206834</v>
      </c>
      <c r="J40" s="30">
        <f>(J16*(VLOOKUP(J$27,tech_data!$B$2:$O$15,6, FALSE)/100)*(1-(VLOOKUP(J$27,tech_data!$B$2:$O$15,7, FALSE)/100))*8760)/1000</f>
        <v>1683.2388831853418</v>
      </c>
      <c r="K40" s="30">
        <f>(K16*(VLOOKUP(K$27,tech_data!$B$2:$O$15,6, FALSE)/100)*(1-(VLOOKUP(K$27,tech_data!$B$2:$O$15,7, FALSE)/100))*8760)/1000</f>
        <v>762.15443537155204</v>
      </c>
      <c r="L40" s="30">
        <f>(L16*(VLOOKUP(L$27,tech_data!$B$2:$O$15,6, FALSE)/100)*(1-(VLOOKUP(L$27,tech_data!$B$2:$O$15,7, FALSE)/100))*8760)/1000</f>
        <v>1042.1586539113734</v>
      </c>
      <c r="M40" s="30">
        <f>(M16*(VLOOKUP(M$27,tech_data!$B$2:$O$15,6, FALSE)/100)*(1-(VLOOKUP(M$27,tech_data!$B$2:$O$15,7, FALSE)/100))*8760)/1000</f>
        <v>0</v>
      </c>
      <c r="N40" s="30">
        <f>(N16*(VLOOKUP(N$27,tech_data!$B$2:$O$15,6, FALSE)/100)*(1-(VLOOKUP(N$27,tech_data!$B$2:$O$15,7, FALSE)/100))*8760)/1000</f>
        <v>1.6642333080786911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4.72999784875004</v>
      </c>
      <c r="Q40" s="34">
        <f t="shared" si="17"/>
        <v>17762.138197726679</v>
      </c>
      <c r="R40" s="34">
        <f>proj_rukn!D134</f>
        <v>24061</v>
      </c>
      <c r="S40" s="35"/>
      <c r="T40" s="19"/>
      <c r="U40" s="20" t="str">
        <f t="shared" si="18"/>
        <v>MALUKU_PAPUA</v>
      </c>
      <c r="V40" s="20">
        <f t="shared" si="18"/>
        <v>2031</v>
      </c>
      <c r="W40" s="29">
        <f t="shared" si="19"/>
        <v>0.25194433219836765</v>
      </c>
      <c r="X40" s="29">
        <f t="shared" si="19"/>
        <v>6.732022192965292E-4</v>
      </c>
      <c r="Y40" s="29">
        <f t="shared" si="19"/>
        <v>0.24692679758107869</v>
      </c>
      <c r="Z40" s="29">
        <f t="shared" si="19"/>
        <v>0.25125566824201989</v>
      </c>
      <c r="AA40" s="29">
        <f t="shared" si="19"/>
        <v>-5.6299527964477893E-11</v>
      </c>
      <c r="AB40" s="29">
        <f t="shared" si="19"/>
        <v>5.2758773712312461E-2</v>
      </c>
      <c r="AC40" s="29">
        <f t="shared" si="19"/>
        <v>9.4765554937567956E-2</v>
      </c>
      <c r="AD40" s="29">
        <f t="shared" si="19"/>
        <v>4.2908935111714071E-2</v>
      </c>
      <c r="AE40" s="29">
        <f t="shared" si="19"/>
        <v>5.8673040503916141E-2</v>
      </c>
      <c r="AF40" s="29">
        <f t="shared" si="19"/>
        <v>0</v>
      </c>
      <c r="AG40" s="29">
        <f t="shared" si="19"/>
        <v>9.3695550026273933E-5</v>
      </c>
      <c r="AH40" s="29">
        <f t="shared" si="19"/>
        <v>0</v>
      </c>
      <c r="AI40" s="29">
        <f t="shared" si="19"/>
        <v>2.662966471770509E-4</v>
      </c>
      <c r="AJ40" s="29">
        <f t="shared" si="20"/>
        <v>1.0000000000000002</v>
      </c>
      <c r="AM40" s="23"/>
      <c r="AO40" s="20" t="str">
        <f t="shared" si="39"/>
        <v>MALUKU_PAPUA</v>
      </c>
      <c r="AP40" s="20">
        <f t="shared" si="40"/>
        <v>2031</v>
      </c>
      <c r="AQ40" s="25">
        <f t="shared" si="21"/>
        <v>0.25194433219836765</v>
      </c>
      <c r="AR40" s="25">
        <f t="shared" si="22"/>
        <v>0.24759999980037523</v>
      </c>
      <c r="AS40" s="25">
        <f t="shared" si="23"/>
        <v>0.25125566824201989</v>
      </c>
      <c r="AT40" s="37">
        <f t="shared" si="24"/>
        <v>0.24919999975923737</v>
      </c>
      <c r="AU40" s="24">
        <f t="shared" si="32"/>
        <v>1.0000000000000002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0.58643880688670236</v>
      </c>
      <c r="AZ40" s="25">
        <f t="shared" si="47"/>
        <v>0.2492</v>
      </c>
      <c r="BA40" s="24">
        <f t="shared" si="34"/>
        <v>1.3712388068867023</v>
      </c>
      <c r="BJ40" s="19"/>
      <c r="BK40" s="20" t="str">
        <f t="shared" si="44"/>
        <v>MALUKU_PAPUA</v>
      </c>
      <c r="BL40" s="20">
        <f t="shared" si="45"/>
        <v>2031</v>
      </c>
      <c r="BM40" s="34">
        <f>proj_rukn!E134</f>
        <v>1277.2998940285074</v>
      </c>
      <c r="BN40" s="30">
        <f t="shared" si="26"/>
        <v>1468.8948781327833</v>
      </c>
      <c r="BO40" s="30">
        <f t="shared" si="35"/>
        <v>3617.1538379013214</v>
      </c>
      <c r="BQ40" s="30">
        <f t="shared" si="27"/>
        <v>587.5579512531134</v>
      </c>
      <c r="BR40" s="30">
        <f t="shared" si="36"/>
        <v>2507.6701797712194</v>
      </c>
      <c r="BS40" s="30"/>
      <c r="BT40" s="30">
        <f t="shared" si="28"/>
        <v>293.7789756265567</v>
      </c>
      <c r="BU40" s="30">
        <f t="shared" si="37"/>
        <v>1109.483658130102</v>
      </c>
      <c r="BW40" s="30">
        <f t="shared" si="29"/>
        <v>0.62458855443188444</v>
      </c>
      <c r="BX40" s="30">
        <f t="shared" si="38"/>
        <v>0.55227026523796441</v>
      </c>
      <c r="BZ40" s="24">
        <f t="shared" si="46"/>
        <v>8.6885239392308772E-2</v>
      </c>
      <c r="CA40" s="24">
        <f t="shared" si="30"/>
        <v>0.17218673817484029</v>
      </c>
      <c r="CF40" s="23"/>
    </row>
    <row r="41" spans="1:84" x14ac:dyDescent="0.25">
      <c r="A41" s="19"/>
      <c r="B41" s="20" t="str">
        <f t="shared" si="31"/>
        <v>MALUKU_PAPUA</v>
      </c>
      <c r="C41" s="20">
        <f t="shared" si="31"/>
        <v>2032</v>
      </c>
      <c r="D41" s="30">
        <f>(D17*(VLOOKUP(D$27,tech_data!$B$2:$O$15,6, FALSE)/100)*(1-(VLOOKUP(D$27,tech_data!$B$2:$O$15,7, FALSE)/100))*8760)/1000</f>
        <v>4928.1521115237465</v>
      </c>
      <c r="E41" s="30">
        <f>(E17*(VLOOKUP(E$27,tech_data!$B$2:$O$15,6, FALSE)/100)*(1-(VLOOKUP(E$27,tech_data!$B$2:$O$15,7, FALSE)/100))*8760)/1000</f>
        <v>11.957510854161255</v>
      </c>
      <c r="F41" s="30">
        <f>(F17*(VLOOKUP(F$27,tech_data!$B$2:$O$15,6, FALSE)/100)*(1-(VLOOKUP(F$27,tech_data!$B$2:$O$15,7, FALSE)/100))*8760)/1000</f>
        <v>4768.8412018446679</v>
      </c>
      <c r="G41" s="30">
        <f>(G17*(VLOOKUP(G$27,tech_data!$B$2:$O$15,6, FALSE)/100)*(1-(VLOOKUP(G$27,tech_data!$B$2:$O$15,7, FALSE)/100))*8760)/1000</f>
        <v>4462.8379022769232</v>
      </c>
      <c r="H41" s="30">
        <f>(H17*(VLOOKUP(H$27,tech_data!$B$2:$O$15,6, FALSE)/100)*(1-(VLOOKUP(H$27,tech_data!$B$2:$O$15,7, FALSE)/100))*8760)/1000</f>
        <v>-9.9999999617183413E-7</v>
      </c>
      <c r="I41" s="30">
        <f>(I17*(VLOOKUP(I$27,tech_data!$B$2:$O$15,6, FALSE)/100)*(1-(VLOOKUP(I$27,tech_data!$B$2:$O$15,7, FALSE)/100))*8760)/1000</f>
        <v>1041.4791222541533</v>
      </c>
      <c r="J41" s="30">
        <f>(J17*(VLOOKUP(J$27,tech_data!$B$2:$O$15,6, FALSE)/100)*(1-(VLOOKUP(J$27,tech_data!$B$2:$O$15,7, FALSE)/100))*8760)/1000</f>
        <v>1868.7605540495856</v>
      </c>
      <c r="K41" s="30">
        <f>(K17*(VLOOKUP(K$27,tech_data!$B$2:$O$15,6, FALSE)/100)*(1-(VLOOKUP(K$27,tech_data!$B$2:$O$15,7, FALSE)/100))*8760)/1000</f>
        <v>780.08372595655032</v>
      </c>
      <c r="L41" s="30">
        <f>(L17*(VLOOKUP(L$27,tech_data!$B$2:$O$15,6, FALSE)/100)*(1-(VLOOKUP(L$27,tech_data!$B$2:$O$15,7, FALSE)/100))*8760)/1000</f>
        <v>1092.2623782936359</v>
      </c>
      <c r="M41" s="30">
        <f>(M17*(VLOOKUP(M$27,tech_data!$B$2:$O$15,6, FALSE)/100)*(1-(VLOOKUP(M$27,tech_data!$B$2:$O$15,7, FALSE)/100))*8760)/1000</f>
        <v>0</v>
      </c>
      <c r="N41" s="30">
        <f>(N17*(VLOOKUP(N$27,tech_data!$B$2:$O$15,6, FALSE)/100)*(1-(VLOOKUP(N$27,tech_data!$B$2:$O$15,7, FALSE)/100))*8760)/1000</f>
        <v>2.0042099243875882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5.0374558085886898</v>
      </c>
      <c r="Q41" s="34">
        <f t="shared" si="17"/>
        <v>18956.378715977808</v>
      </c>
      <c r="R41" s="34">
        <f>proj_rukn!D135</f>
        <v>24553</v>
      </c>
      <c r="S41" s="35"/>
      <c r="T41" s="19"/>
      <c r="U41" s="20" t="str">
        <f t="shared" si="18"/>
        <v>MALUKU_PAPUA</v>
      </c>
      <c r="V41" s="20">
        <f t="shared" si="18"/>
        <v>2032</v>
      </c>
      <c r="W41" s="29">
        <f t="shared" si="19"/>
        <v>0.25997328843034473</v>
      </c>
      <c r="X41" s="29">
        <f t="shared" si="19"/>
        <v>6.3079088223124595E-4</v>
      </c>
      <c r="Y41" s="29">
        <f t="shared" si="19"/>
        <v>0.25156920914568687</v>
      </c>
      <c r="Z41" s="29">
        <f t="shared" si="19"/>
        <v>0.23542671145915228</v>
      </c>
      <c r="AA41" s="29">
        <f t="shared" si="19"/>
        <v>-5.2752691384508046E-11</v>
      </c>
      <c r="AB41" s="29">
        <f t="shared" si="19"/>
        <v>5.4940826930004266E-2</v>
      </c>
      <c r="AC41" s="29">
        <f t="shared" si="19"/>
        <v>9.8582149156708876E-2</v>
      </c>
      <c r="AD41" s="29">
        <f t="shared" si="19"/>
        <v>4.1151516206997876E-2</v>
      </c>
      <c r="AE41" s="29">
        <f t="shared" si="19"/>
        <v>5.7619780373611033E-2</v>
      </c>
      <c r="AF41" s="29">
        <f t="shared" si="19"/>
        <v>0</v>
      </c>
      <c r="AG41" s="29">
        <f t="shared" si="19"/>
        <v>1.0572746801572893E-4</v>
      </c>
      <c r="AH41" s="29">
        <f t="shared" si="19"/>
        <v>0</v>
      </c>
      <c r="AI41" s="29">
        <f t="shared" si="19"/>
        <v>2.6573935265087088E-4</v>
      </c>
      <c r="AJ41" s="29">
        <f t="shared" si="20"/>
        <v>1</v>
      </c>
      <c r="AM41" s="23"/>
      <c r="AO41" s="20" t="str">
        <f t="shared" si="39"/>
        <v>MALUKU_PAPUA</v>
      </c>
      <c r="AP41" s="20">
        <f t="shared" si="40"/>
        <v>2032</v>
      </c>
      <c r="AQ41" s="25">
        <f t="shared" si="21"/>
        <v>0.25997328843034473</v>
      </c>
      <c r="AR41" s="25">
        <f t="shared" si="22"/>
        <v>0.25220000002791809</v>
      </c>
      <c r="AS41" s="25">
        <f t="shared" si="23"/>
        <v>0.23542671145915228</v>
      </c>
      <c r="AT41" s="37">
        <f t="shared" si="24"/>
        <v>0.25240000008258512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0.57471003074896831</v>
      </c>
      <c r="AZ41" s="25">
        <f t="shared" si="47"/>
        <v>0.25240000000000001</v>
      </c>
      <c r="BA41" s="24">
        <f t="shared" si="34"/>
        <v>1.3653100307489683</v>
      </c>
      <c r="BJ41" s="19"/>
      <c r="BK41" s="20" t="str">
        <f t="shared" si="44"/>
        <v>MALUKU_PAPUA</v>
      </c>
      <c r="BL41" s="20">
        <f t="shared" si="45"/>
        <v>2032</v>
      </c>
      <c r="BM41" s="34">
        <f>proj_rukn!E135</f>
        <v>1364.3843858136618</v>
      </c>
      <c r="BN41" s="30">
        <f t="shared" si="26"/>
        <v>1569.042043685711</v>
      </c>
      <c r="BO41" s="30">
        <f t="shared" si="35"/>
        <v>3872.540469816091</v>
      </c>
      <c r="BQ41" s="30">
        <f t="shared" si="27"/>
        <v>627.6168174742844</v>
      </c>
      <c r="BR41" s="30">
        <f t="shared" si="36"/>
        <v>2739.4597893101054</v>
      </c>
      <c r="BS41" s="30"/>
      <c r="BT41" s="30">
        <f t="shared" si="28"/>
        <v>313.8084087371422</v>
      </c>
      <c r="BU41" s="30">
        <f t="shared" si="37"/>
        <v>1133.0806805059856</v>
      </c>
      <c r="BW41" s="30">
        <f t="shared" si="29"/>
        <v>0.66509038195713344</v>
      </c>
      <c r="BX41" s="30">
        <f t="shared" si="38"/>
        <v>0.66509036993853821</v>
      </c>
      <c r="BZ41" s="24">
        <f t="shared" si="46"/>
        <v>9.1229501361924217E-2</v>
      </c>
      <c r="CA41" s="24">
        <f t="shared" si="30"/>
        <v>0.16304087239910114</v>
      </c>
      <c r="CF41" s="23"/>
    </row>
    <row r="42" spans="1:84" x14ac:dyDescent="0.25">
      <c r="A42" s="19"/>
      <c r="B42" s="20" t="str">
        <f t="shared" si="31"/>
        <v>MALUKU_PAPUA</v>
      </c>
      <c r="C42" s="20">
        <f t="shared" si="31"/>
        <v>2033</v>
      </c>
      <c r="D42" s="30">
        <f>(D18*(VLOOKUP(D$27,tech_data!$B$2:$O$15,6, FALSE)/100)*(1-(VLOOKUP(D$27,tech_data!$B$2:$O$15,7, FALSE)/100))*8760)/1000</f>
        <v>5407.8159382532876</v>
      </c>
      <c r="E42" s="30">
        <f>(E18*(VLOOKUP(E$27,tech_data!$B$2:$O$15,6, FALSE)/100)*(1-(VLOOKUP(E$27,tech_data!$B$2:$O$15,7, FALSE)/100))*8760)/1000</f>
        <v>11.957507864777568</v>
      </c>
      <c r="F42" s="30">
        <f>(F18*(VLOOKUP(F$27,tech_data!$B$2:$O$15,6, FALSE)/100)*(1-(VLOOKUP(F$27,tech_data!$B$2:$O$15,7, FALSE)/100))*8760)/1000</f>
        <v>5186.5328012289647</v>
      </c>
      <c r="G42" s="30">
        <f>(G18*(VLOOKUP(G$27,tech_data!$B$2:$O$15,6, FALSE)/100)*(1-(VLOOKUP(G$27,tech_data!$B$2:$O$15,7, FALSE)/100))*8760)/1000</f>
        <v>4462.8379022769232</v>
      </c>
      <c r="H42" s="30">
        <f>(H18*(VLOOKUP(H$27,tech_data!$B$2:$O$15,6, FALSE)/100)*(1-(VLOOKUP(H$27,tech_data!$B$2:$O$15,7, FALSE)/100))*8760)/1000</f>
        <v>0</v>
      </c>
      <c r="I42" s="30">
        <f>(I18*(VLOOKUP(I$27,tech_data!$B$2:$O$15,6, FALSE)/100)*(1-(VLOOKUP(I$27,tech_data!$B$2:$O$15,7, FALSE)/100))*8760)/1000</f>
        <v>1042.1124752568251</v>
      </c>
      <c r="J42" s="30">
        <f>(J18*(VLOOKUP(J$27,tech_data!$B$2:$O$15,6, FALSE)/100)*(1-(VLOOKUP(J$27,tech_data!$B$2:$O$15,7, FALSE)/100))*8760)/1000</f>
        <v>2004.3548539470544</v>
      </c>
      <c r="K42" s="30">
        <f>(K18*(VLOOKUP(K$27,tech_data!$B$2:$O$15,6, FALSE)/100)*(1-(VLOOKUP(K$27,tech_data!$B$2:$O$15,7, FALSE)/100))*8760)/1000</f>
        <v>923.08187750921945</v>
      </c>
      <c r="L42" s="30">
        <f>(L18*(VLOOKUP(L$27,tech_data!$B$2:$O$15,6, FALSE)/100)*(1-(VLOOKUP(L$27,tech_data!$B$2:$O$15,7, FALSE)/100))*8760)/1000</f>
        <v>1202.6448747257853</v>
      </c>
      <c r="M42" s="30">
        <f>(M18*(VLOOKUP(M$27,tech_data!$B$2:$O$15,6, FALSE)/100)*(1-(VLOOKUP(M$27,tech_data!$B$2:$O$15,7, FALSE)/100))*8760)/1000</f>
        <v>0</v>
      </c>
      <c r="N42" s="30">
        <f>(N18*(VLOOKUP(N$27,tech_data!$B$2:$O$15,6, FALSE)/100)*(1-(VLOOKUP(N$27,tech_data!$B$2:$O$15,7, FALSE)/100))*8760)/1000</f>
        <v>2.0042099243875882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5.4045688807025334</v>
      </c>
      <c r="Q42" s="34">
        <f t="shared" si="17"/>
        <v>20243.342440987224</v>
      </c>
      <c r="R42" s="34">
        <f>proj_rukn!D136</f>
        <v>25000</v>
      </c>
      <c r="S42" s="35"/>
      <c r="T42" s="19"/>
      <c r="U42" s="20" t="str">
        <f t="shared" si="18"/>
        <v>MALUKU_PAPUA</v>
      </c>
      <c r="V42" s="20">
        <f t="shared" si="18"/>
        <v>2033</v>
      </c>
      <c r="W42" s="29">
        <f t="shared" si="19"/>
        <v>0.26714046625541155</v>
      </c>
      <c r="X42" s="29">
        <f t="shared" si="19"/>
        <v>5.9068841519802041E-4</v>
      </c>
      <c r="Y42" s="29">
        <f t="shared" si="19"/>
        <v>0.25620931011509523</v>
      </c>
      <c r="Z42" s="29">
        <f t="shared" si="19"/>
        <v>0.22045953701997842</v>
      </c>
      <c r="AA42" s="29">
        <f t="shared" si="19"/>
        <v>0</v>
      </c>
      <c r="AB42" s="29">
        <f t="shared" si="19"/>
        <v>5.147926921133502E-2</v>
      </c>
      <c r="AC42" s="29">
        <f t="shared" si="19"/>
        <v>9.9013038967753902E-2</v>
      </c>
      <c r="AD42" s="29">
        <f t="shared" si="19"/>
        <v>4.5599281847854903E-2</v>
      </c>
      <c r="AE42" s="29">
        <f t="shared" si="19"/>
        <v>5.9409402287774311E-2</v>
      </c>
      <c r="AF42" s="29">
        <f t="shared" si="19"/>
        <v>0</v>
      </c>
      <c r="AG42" s="29">
        <f t="shared" si="19"/>
        <v>9.9005879598697689E-5</v>
      </c>
      <c r="AH42" s="29">
        <f t="shared" si="19"/>
        <v>0</v>
      </c>
      <c r="AI42" s="29">
        <f t="shared" si="19"/>
        <v>2.6698006499953098E-4</v>
      </c>
      <c r="AJ42" s="29">
        <f t="shared" si="20"/>
        <v>1.0000000000000002</v>
      </c>
      <c r="AM42" s="23"/>
      <c r="AO42" s="20" t="str">
        <f t="shared" si="39"/>
        <v>MALUKU_PAPUA</v>
      </c>
      <c r="AP42" s="20">
        <f t="shared" si="40"/>
        <v>2033</v>
      </c>
      <c r="AQ42" s="25">
        <f t="shared" si="21"/>
        <v>0.26714046625541155</v>
      </c>
      <c r="AR42" s="25">
        <f t="shared" si="22"/>
        <v>0.25679999853029328</v>
      </c>
      <c r="AS42" s="25">
        <f t="shared" si="23"/>
        <v>0.22045953701997842</v>
      </c>
      <c r="AT42" s="37">
        <f t="shared" si="24"/>
        <v>0.25559999819431684</v>
      </c>
      <c r="AU42" s="24">
        <f t="shared" si="32"/>
        <v>1.0000000000000002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0.5632158301339889</v>
      </c>
      <c r="AZ42" s="25">
        <f t="shared" si="47"/>
        <v>0.25559999999999999</v>
      </c>
      <c r="BA42" s="24">
        <f t="shared" si="34"/>
        <v>1.3596158301339889</v>
      </c>
      <c r="BJ42" s="19"/>
      <c r="BK42" s="20" t="str">
        <f t="shared" si="44"/>
        <v>MALUKU_PAPUA</v>
      </c>
      <c r="BL42" s="20">
        <f t="shared" si="45"/>
        <v>2033</v>
      </c>
      <c r="BM42" s="34">
        <f>proj_rukn!E136</f>
        <v>1457.4061745053086</v>
      </c>
      <c r="BN42" s="30">
        <f t="shared" si="26"/>
        <v>1676.0171006811047</v>
      </c>
      <c r="BO42" s="30">
        <f t="shared" si="35"/>
        <v>4122.631674567252</v>
      </c>
      <c r="BQ42" s="30">
        <f t="shared" si="27"/>
        <v>670.40684027244197</v>
      </c>
      <c r="BR42" s="30">
        <f t="shared" si="36"/>
        <v>2989.3051138322426</v>
      </c>
      <c r="BS42" s="30"/>
      <c r="BT42" s="30">
        <f t="shared" si="28"/>
        <v>335.20342013622098</v>
      </c>
      <c r="BU42" s="30">
        <f t="shared" si="37"/>
        <v>1133.3265607350099</v>
      </c>
      <c r="BW42" s="30">
        <f t="shared" si="29"/>
        <v>0.73342744561168749</v>
      </c>
      <c r="BX42" s="30">
        <f t="shared" si="38"/>
        <v>0.66509036993853821</v>
      </c>
      <c r="BZ42" s="24">
        <f t="shared" si="46"/>
        <v>9.5790976430020436E-2</v>
      </c>
      <c r="CA42" s="24">
        <f t="shared" si="30"/>
        <v>0.17840094745692678</v>
      </c>
      <c r="CF42" s="23"/>
    </row>
    <row r="43" spans="1:84" x14ac:dyDescent="0.25">
      <c r="A43" s="19"/>
      <c r="B43" s="20" t="str">
        <f t="shared" si="31"/>
        <v>MALUKU_PAPUA</v>
      </c>
      <c r="C43" s="20">
        <f t="shared" si="31"/>
        <v>2034</v>
      </c>
      <c r="D43" s="30">
        <f>(D19*(VLOOKUP(D$27,tech_data!$B$2:$O$15,6, FALSE)/100)*(1-(VLOOKUP(D$27,tech_data!$B$2:$O$15,7, FALSE)/100))*8760)/1000</f>
        <v>5915.4715711200452</v>
      </c>
      <c r="E43" s="30">
        <f>(E19*(VLOOKUP(E$27,tech_data!$B$2:$O$15,6, FALSE)/100)*(1-(VLOOKUP(E$27,tech_data!$B$2:$O$15,7, FALSE)/100))*8760)/1000</f>
        <v>11.957507864777568</v>
      </c>
      <c r="F43" s="30">
        <f>(F19*(VLOOKUP(F$27,tech_data!$B$2:$O$15,6, FALSE)/100)*(1-(VLOOKUP(F$27,tech_data!$B$2:$O$15,7, FALSE)/100))*8760)/1000</f>
        <v>5642.2527793093195</v>
      </c>
      <c r="G43" s="30">
        <f>(G19*(VLOOKUP(G$27,tech_data!$B$2:$O$15,6, FALSE)/100)*(1-(VLOOKUP(G$27,tech_data!$B$2:$O$15,7, FALSE)/100))*8760)/1000</f>
        <v>4462.8379022769232</v>
      </c>
      <c r="H43" s="30">
        <f>(H19*(VLOOKUP(H$27,tech_data!$B$2:$O$15,6, FALSE)/100)*(1-(VLOOKUP(H$27,tech_data!$B$2:$O$15,7, FALSE)/100))*8760)/1000</f>
        <v>-2.1832172633239601E-14</v>
      </c>
      <c r="I43" s="30">
        <f>(I19*(VLOOKUP(I$27,tech_data!$B$2:$O$15,6, FALSE)/100)*(1-(VLOOKUP(I$27,tech_data!$B$2:$O$15,7, FALSE)/100))*8760)/1000</f>
        <v>1156.3768586430376</v>
      </c>
      <c r="J43" s="30">
        <f>(J19*(VLOOKUP(J$27,tech_data!$B$2:$O$15,6, FALSE)/100)*(1-(VLOOKUP(J$27,tech_data!$B$2:$O$15,7, FALSE)/100))*8760)/1000</f>
        <v>2250.8055483179046</v>
      </c>
      <c r="K43" s="30">
        <f>(K19*(VLOOKUP(K$27,tech_data!$B$2:$O$15,6, FALSE)/100)*(1-(VLOOKUP(K$27,tech_data!$B$2:$O$15,7, FALSE)/100))*8760)/1000</f>
        <v>939.95032508351551</v>
      </c>
      <c r="L43" s="30">
        <f>(L19*(VLOOKUP(L$27,tech_data!$B$2:$O$15,6, FALSE)/100)*(1-(VLOOKUP(L$27,tech_data!$B$2:$O$15,7, FALSE)/100))*8760)/1000</f>
        <v>1248.8197863040191</v>
      </c>
      <c r="M43" s="30">
        <f>(M19*(VLOOKUP(M$27,tech_data!$B$2:$O$15,6, FALSE)/100)*(1-(VLOOKUP(M$27,tech_data!$B$2:$O$15,7, FALSE)/100))*8760)/1000</f>
        <v>0</v>
      </c>
      <c r="N43" s="30">
        <f>(N19*(VLOOKUP(N$27,tech_data!$B$2:$O$15,6, FALSE)/100)*(1-(VLOOKUP(N$27,tech_data!$B$2:$O$15,7, FALSE)/100))*8760)/1000</f>
        <v>2.0184934819337776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5.7584333575728657</v>
      </c>
      <c r="Q43" s="34">
        <f t="shared" si="17"/>
        <v>21630.490772401474</v>
      </c>
      <c r="R43" s="34">
        <f>proj_rukn!D137</f>
        <v>25570</v>
      </c>
      <c r="S43" s="35"/>
      <c r="T43" s="19"/>
      <c r="U43" s="20" t="str">
        <f t="shared" si="18"/>
        <v>MALUKU_PAPUA</v>
      </c>
      <c r="V43" s="20">
        <f t="shared" si="18"/>
        <v>2034</v>
      </c>
      <c r="W43" s="29">
        <f t="shared" si="19"/>
        <v>0.27347837981871614</v>
      </c>
      <c r="X43" s="29">
        <f t="shared" si="19"/>
        <v>5.5280797789545547E-4</v>
      </c>
      <c r="Y43" s="29">
        <f t="shared" si="19"/>
        <v>0.26084719198827971</v>
      </c>
      <c r="Z43" s="29">
        <f t="shared" si="19"/>
        <v>0.20632162021821049</v>
      </c>
      <c r="AA43" s="29">
        <f t="shared" si="19"/>
        <v>-1.009323961391364E-18</v>
      </c>
      <c r="AB43" s="29">
        <f t="shared" si="19"/>
        <v>5.346050030998227E-2</v>
      </c>
      <c r="AC43" s="29">
        <f t="shared" si="19"/>
        <v>0.10405707258337968</v>
      </c>
      <c r="AD43" s="29">
        <f t="shared" si="19"/>
        <v>4.3454877421588885E-2</v>
      </c>
      <c r="AE43" s="29">
        <f t="shared" si="19"/>
        <v>5.7734232636894159E-2</v>
      </c>
      <c r="AF43" s="29">
        <f t="shared" si="19"/>
        <v>0</v>
      </c>
      <c r="AG43" s="29">
        <f t="shared" si="19"/>
        <v>9.3317045053327715E-5</v>
      </c>
      <c r="AH43" s="29">
        <f t="shared" si="19"/>
        <v>0</v>
      </c>
      <c r="AI43" s="29">
        <f t="shared" si="19"/>
        <v>2.6621834049739176E-4</v>
      </c>
      <c r="AJ43" s="29">
        <f t="shared" si="20"/>
        <v>1.0000000000000002</v>
      </c>
      <c r="AM43" s="23"/>
      <c r="AO43" s="20" t="str">
        <f t="shared" si="39"/>
        <v>MALUKU_PAPUA</v>
      </c>
      <c r="AP43" s="20">
        <f t="shared" si="40"/>
        <v>2034</v>
      </c>
      <c r="AQ43" s="25">
        <f t="shared" si="21"/>
        <v>0.27347837981871614</v>
      </c>
      <c r="AR43" s="25">
        <f t="shared" si="22"/>
        <v>0.26139999996617513</v>
      </c>
      <c r="AS43" s="25">
        <f t="shared" si="23"/>
        <v>0.20632162021821049</v>
      </c>
      <c r="AT43" s="37">
        <f t="shared" si="24"/>
        <v>0.25879999999689829</v>
      </c>
      <c r="AU43" s="24">
        <f t="shared" si="32"/>
        <v>1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0.55195151353130911</v>
      </c>
      <c r="AZ43" s="25">
        <f t="shared" si="47"/>
        <v>0.25880000000000003</v>
      </c>
      <c r="BA43" s="24">
        <f t="shared" si="34"/>
        <v>1.3541515135313089</v>
      </c>
      <c r="BJ43" s="19"/>
      <c r="BK43" s="20" t="str">
        <f t="shared" si="44"/>
        <v>MALUKU_PAPUA</v>
      </c>
      <c r="BL43" s="20">
        <f t="shared" si="45"/>
        <v>2034</v>
      </c>
      <c r="BM43" s="34">
        <f>proj_rukn!E137</f>
        <v>1556.7700565698819</v>
      </c>
      <c r="BN43" s="30">
        <f t="shared" si="26"/>
        <v>1790.285565055364</v>
      </c>
      <c r="BO43" s="30">
        <f t="shared" si="35"/>
        <v>4417.8294232462385</v>
      </c>
      <c r="BQ43" s="30">
        <f t="shared" si="27"/>
        <v>716.11422602214566</v>
      </c>
      <c r="BR43" s="30">
        <f t="shared" si="36"/>
        <v>3258.6640872615089</v>
      </c>
      <c r="BS43" s="30"/>
      <c r="BT43" s="30">
        <f t="shared" si="28"/>
        <v>358.05711301107283</v>
      </c>
      <c r="BU43" s="30">
        <f t="shared" si="37"/>
        <v>1159.1653359847305</v>
      </c>
      <c r="BW43" s="30">
        <f t="shared" si="29"/>
        <v>0.77920938317423261</v>
      </c>
      <c r="BX43" s="30">
        <f t="shared" si="38"/>
        <v>0.66983032080737559</v>
      </c>
      <c r="BZ43" s="24">
        <f t="shared" si="46"/>
        <v>0.10058052525152146</v>
      </c>
      <c r="CA43" s="24">
        <f t="shared" si="30"/>
        <v>0.16790910904988288</v>
      </c>
      <c r="CF43" s="23"/>
    </row>
    <row r="44" spans="1:84" x14ac:dyDescent="0.25">
      <c r="A44" s="19"/>
      <c r="B44" s="20" t="str">
        <f t="shared" si="31"/>
        <v>MALUKU_PAPUA</v>
      </c>
      <c r="C44" s="20">
        <f t="shared" si="31"/>
        <v>2035</v>
      </c>
      <c r="D44" s="30">
        <f>(D20*(VLOOKUP(D$27,tech_data!$B$2:$O$15,6, FALSE)/100)*(1-(VLOOKUP(D$27,tech_data!$B$2:$O$15,7, FALSE)/100))*8760)/1000</f>
        <v>6467.3082873519043</v>
      </c>
      <c r="E44" s="30">
        <f>(E20*(VLOOKUP(E$27,tech_data!$B$2:$O$15,6, FALSE)/100)*(1-(VLOOKUP(E$27,tech_data!$B$2:$O$15,7, FALSE)/100))*8760)/1000</f>
        <v>11.957504875393882</v>
      </c>
      <c r="F44" s="30">
        <f>(F20*(VLOOKUP(F$27,tech_data!$B$2:$O$15,6, FALSE)/100)*(1-(VLOOKUP(F$27,tech_data!$B$2:$O$15,7, FALSE)/100))*8760)/1000</f>
        <v>6103.8732566082763</v>
      </c>
      <c r="G44" s="30">
        <f>(G20*(VLOOKUP(G$27,tech_data!$B$2:$O$15,6, FALSE)/100)*(1-(VLOOKUP(G$27,tech_data!$B$2:$O$15,7, FALSE)/100))*8760)/1000</f>
        <v>4462.8379022769232</v>
      </c>
      <c r="H44" s="30">
        <f>(H20*(VLOOKUP(H$27,tech_data!$B$2:$O$15,6, FALSE)/100)*(1-(VLOOKUP(H$27,tech_data!$B$2:$O$15,7, FALSE)/100))*8760)/1000</f>
        <v>-9.9999998342293033E-7</v>
      </c>
      <c r="I44" s="30">
        <f>(I20*(VLOOKUP(I$27,tech_data!$B$2:$O$15,6, FALSE)/100)*(1-(VLOOKUP(I$27,tech_data!$B$2:$O$15,7, FALSE)/100))*8760)/1000</f>
        <v>1453.2578842406376</v>
      </c>
      <c r="J44" s="30">
        <f>(J20*(VLOOKUP(J$27,tech_data!$B$2:$O$15,6, FALSE)/100)*(1-(VLOOKUP(J$27,tech_data!$B$2:$O$15,7, FALSE)/100))*8760)/1000</f>
        <v>2251.9893553219172</v>
      </c>
      <c r="K44" s="30">
        <f>(K20*(VLOOKUP(K$27,tech_data!$B$2:$O$15,6, FALSE)/100)*(1-(VLOOKUP(K$27,tech_data!$B$2:$O$15,7, FALSE)/100))*8760)/1000</f>
        <v>1094.6472220671171</v>
      </c>
      <c r="L44" s="30">
        <f>(L20*(VLOOKUP(L$27,tech_data!$B$2:$O$15,6, FALSE)/100)*(1-(VLOOKUP(L$27,tech_data!$B$2:$O$15,7, FALSE)/100))*8760)/1000</f>
        <v>1249.0967248665029</v>
      </c>
      <c r="M44" s="30">
        <f>(M20*(VLOOKUP(M$27,tech_data!$B$2:$O$15,6, FALSE)/100)*(1-(VLOOKUP(M$27,tech_data!$B$2:$O$15,7, FALSE)/100))*8760)/1000</f>
        <v>0</v>
      </c>
      <c r="N44" s="30">
        <f>(N20*(VLOOKUP(N$27,tech_data!$B$2:$O$15,6, FALSE)/100)*(1-(VLOOKUP(N$27,tech_data!$B$2:$O$15,7, FALSE)/100))*8760)/1000</f>
        <v>2.5615698246485357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6.1503663269172</v>
      </c>
      <c r="Q44" s="34">
        <f t="shared" si="17"/>
        <v>23097.529706433317</v>
      </c>
      <c r="R44" s="34">
        <f>proj_rukn!D138</f>
        <v>26114</v>
      </c>
      <c r="S44" s="35"/>
      <c r="T44" s="19"/>
      <c r="U44" s="20" t="str">
        <f t="shared" si="18"/>
        <v>MALUKU_PAPUA</v>
      </c>
      <c r="V44" s="20">
        <f t="shared" si="18"/>
        <v>2035</v>
      </c>
      <c r="W44" s="29">
        <f t="shared" si="19"/>
        <v>0.27999999868170211</v>
      </c>
      <c r="X44" s="29">
        <f t="shared" si="19"/>
        <v>5.1769626567742342E-4</v>
      </c>
      <c r="Y44" s="29">
        <f t="shared" si="19"/>
        <v>0.26426519780200453</v>
      </c>
      <c r="Z44" s="29">
        <f t="shared" si="19"/>
        <v>0.19321710845267995</v>
      </c>
      <c r="AA44" s="29">
        <f t="shared" si="19"/>
        <v>-4.3294672466398081E-11</v>
      </c>
      <c r="AB44" s="29">
        <f t="shared" si="19"/>
        <v>6.2918325150410528E-2</v>
      </c>
      <c r="AC44" s="29">
        <f t="shared" si="19"/>
        <v>9.7499143152727466E-2</v>
      </c>
      <c r="AD44" s="29">
        <f t="shared" si="19"/>
        <v>4.7392393731275378E-2</v>
      </c>
      <c r="AE44" s="29">
        <f t="shared" si="19"/>
        <v>5.4079234478421043E-2</v>
      </c>
      <c r="AF44" s="29">
        <f t="shared" si="19"/>
        <v>0</v>
      </c>
      <c r="AG44" s="29">
        <f t="shared" si="19"/>
        <v>1.1090232839640275E-4</v>
      </c>
      <c r="AH44" s="29">
        <f t="shared" si="19"/>
        <v>0</v>
      </c>
      <c r="AI44" s="29">
        <f t="shared" si="19"/>
        <v>2.6627810008635462E-4</v>
      </c>
      <c r="AJ44" s="29">
        <f t="shared" si="20"/>
        <v>1</v>
      </c>
      <c r="AM44" s="23"/>
      <c r="AO44" s="20" t="str">
        <f t="shared" si="39"/>
        <v>MALUKU_PAPUA</v>
      </c>
      <c r="AP44" s="20">
        <f t="shared" si="40"/>
        <v>2035</v>
      </c>
      <c r="AQ44" s="25">
        <f t="shared" si="21"/>
        <v>0.27999999868170211</v>
      </c>
      <c r="AR44" s="25">
        <f t="shared" si="22"/>
        <v>0.26478289406768196</v>
      </c>
      <c r="AS44" s="25">
        <f t="shared" si="23"/>
        <v>0.19321710845267995</v>
      </c>
      <c r="AT44" s="37">
        <f t="shared" si="24"/>
        <v>0.26199999879793612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0.54091248326068297</v>
      </c>
      <c r="AZ44" s="25">
        <f t="shared" si="47"/>
        <v>0.26200000000000001</v>
      </c>
      <c r="BA44" s="24">
        <f t="shared" si="34"/>
        <v>1.3489124832606829</v>
      </c>
      <c r="BJ44" s="19"/>
      <c r="BK44" s="20" t="str">
        <f t="shared" si="44"/>
        <v>MALUKU_PAPUA</v>
      </c>
      <c r="BL44" s="20">
        <f t="shared" si="45"/>
        <v>2035</v>
      </c>
      <c r="BM44" s="34">
        <f>proj_rukn!E138</f>
        <v>1662.9084269216987</v>
      </c>
      <c r="BN44" s="30">
        <f t="shared" si="26"/>
        <v>1912.3446909599534</v>
      </c>
      <c r="BO44" s="30">
        <f t="shared" si="35"/>
        <v>4765.4174314039947</v>
      </c>
      <c r="BQ44" s="30">
        <f t="shared" si="27"/>
        <v>764.93787638398135</v>
      </c>
      <c r="BR44" s="30">
        <f t="shared" si="36"/>
        <v>3539.2662443536556</v>
      </c>
      <c r="BS44" s="30"/>
      <c r="BT44" s="30">
        <f t="shared" si="28"/>
        <v>382.46893819199067</v>
      </c>
      <c r="BU44" s="30">
        <f t="shared" si="37"/>
        <v>1226.1511870503386</v>
      </c>
      <c r="BW44" s="30">
        <f t="shared" si="29"/>
        <v>0.85492868598790028</v>
      </c>
      <c r="BX44" s="30">
        <f t="shared" si="38"/>
        <v>0.85004839142260535</v>
      </c>
      <c r="BZ44" s="24">
        <f t="shared" si="46"/>
        <v>0.10560955151409754</v>
      </c>
      <c r="CA44" s="24">
        <f t="shared" si="30"/>
        <v>0.18088699980424849</v>
      </c>
      <c r="CF44" s="23"/>
    </row>
    <row r="45" spans="1:84" x14ac:dyDescent="0.25">
      <c r="A45" s="19"/>
      <c r="B45" s="20" t="str">
        <f t="shared" ref="B45:C47" si="50">B21</f>
        <v>MALUKU_PAPUA</v>
      </c>
      <c r="C45" s="20">
        <f t="shared" si="50"/>
        <v>2036</v>
      </c>
      <c r="D45" s="30">
        <f>(D21*(VLOOKUP(D$27,tech_data!$B$2:$O$15,6, FALSE)/100)*(1-(VLOOKUP(D$27,tech_data!$B$2:$O$15,7, FALSE)/100))*8760)/1000</f>
        <v>6979.5810613726553</v>
      </c>
      <c r="E45" s="30">
        <f>(E21*(VLOOKUP(E$27,tech_data!$B$2:$O$15,6, FALSE)/100)*(1-(VLOOKUP(E$27,tech_data!$B$2:$O$15,7, FALSE)/100))*8760)/1000</f>
        <v>11.957504875393882</v>
      </c>
      <c r="F45" s="30">
        <f>(F21*(VLOOKUP(F$27,tech_data!$B$2:$O$15,6, FALSE)/100)*(1-(VLOOKUP(F$27,tech_data!$B$2:$O$15,7, FALSE)/100))*8760)/1000</f>
        <v>6781.8361453846046</v>
      </c>
      <c r="G45" s="30">
        <f>(G21*(VLOOKUP(G$27,tech_data!$B$2:$O$15,6, FALSE)/100)*(1-(VLOOKUP(G$27,tech_data!$B$2:$O$15,7, FALSE)/100))*8760)/1000</f>
        <v>4462.8379022769232</v>
      </c>
      <c r="H45" s="30">
        <f>(H21*(VLOOKUP(H$27,tech_data!$B$2:$O$15,6, FALSE)/100)*(1-(VLOOKUP(H$27,tech_data!$B$2:$O$15,7, FALSE)/100))*8760)/1000</f>
        <v>-2.1832173663835991E-14</v>
      </c>
      <c r="I45" s="30">
        <f>(I21*(VLOOKUP(I$27,tech_data!$B$2:$O$15,6, FALSE)/100)*(1-(VLOOKUP(I$27,tech_data!$B$2:$O$15,7, FALSE)/100))*8760)/1000</f>
        <v>1453.398733478871</v>
      </c>
      <c r="J45" s="30">
        <f>(J21*(VLOOKUP(J$27,tech_data!$B$2:$O$15,6, FALSE)/100)*(1-(VLOOKUP(J$27,tech_data!$B$2:$O$15,7, FALSE)/100))*8760)/1000</f>
        <v>2929.3240710390619</v>
      </c>
      <c r="K45" s="30">
        <f>(K21*(VLOOKUP(K$27,tech_data!$B$2:$O$15,6, FALSE)/100)*(1-(VLOOKUP(K$27,tech_data!$B$2:$O$15,7, FALSE)/100))*8760)/1000</f>
        <v>1158.3585677736535</v>
      </c>
      <c r="L45" s="30">
        <f>(L21*(VLOOKUP(L$27,tech_data!$B$2:$O$15,6, FALSE)/100)*(1-(VLOOKUP(L$27,tech_data!$B$2:$O$15,7, FALSE)/100))*8760)/1000</f>
        <v>1326.551143236891</v>
      </c>
      <c r="M45" s="30">
        <f>(M21*(VLOOKUP(M$27,tech_data!$B$2:$O$15,6, FALSE)/100)*(1-(VLOOKUP(M$27,tech_data!$B$2:$O$15,7, FALSE)/100))*8760)/1000</f>
        <v>0</v>
      </c>
      <c r="N45" s="30">
        <f>(N21*(VLOOKUP(N$27,tech_data!$B$2:$O$15,6, FALSE)/100)*(1-(VLOOKUP(N$27,tech_data!$B$2:$O$15,7, FALSE)/100))*8760)/1000</f>
        <v>2.5615698246485357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6.6727607925731984</v>
      </c>
      <c r="Q45" s="34">
        <f t="shared" si="17"/>
        <v>25106.406699262705</v>
      </c>
      <c r="R45" s="34">
        <f>proj_rukn!D139</f>
        <v>26747</v>
      </c>
      <c r="S45" s="35"/>
      <c r="T45" s="19"/>
      <c r="U45" s="20" t="str">
        <f t="shared" si="18"/>
        <v>MALUKU_PAPUA</v>
      </c>
      <c r="V45" s="20">
        <f t="shared" si="18"/>
        <v>2036</v>
      </c>
      <c r="W45" s="29">
        <f t="shared" si="19"/>
        <v>0.27799999995927827</v>
      </c>
      <c r="X45" s="29">
        <f t="shared" si="19"/>
        <v>4.7627304929084239E-4</v>
      </c>
      <c r="Y45" s="29">
        <f t="shared" si="19"/>
        <v>0.27012372684872366</v>
      </c>
      <c r="Z45" s="29">
        <f t="shared" si="19"/>
        <v>0.1777569349423461</v>
      </c>
      <c r="AA45" s="29">
        <f t="shared" si="19"/>
        <v>-8.6958575655022468E-19</v>
      </c>
      <c r="AB45" s="29">
        <f t="shared" si="19"/>
        <v>5.7889555876650109E-2</v>
      </c>
      <c r="AC45" s="29">
        <f t="shared" si="19"/>
        <v>0.11667635700034633</v>
      </c>
      <c r="AD45" s="29">
        <f t="shared" si="19"/>
        <v>4.613796715910249E-2</v>
      </c>
      <c r="AE45" s="29">
        <f t="shared" si="19"/>
        <v>5.2837156632049923E-2</v>
      </c>
      <c r="AF45" s="29">
        <f t="shared" si="19"/>
        <v>0</v>
      </c>
      <c r="AG45" s="29">
        <f t="shared" si="19"/>
        <v>1.0202853221220864E-4</v>
      </c>
      <c r="AH45" s="29">
        <f t="shared" si="19"/>
        <v>0</v>
      </c>
      <c r="AI45" s="29">
        <f t="shared" si="19"/>
        <v>2.657792041889115E-4</v>
      </c>
      <c r="AJ45" s="29">
        <f t="shared" si="20"/>
        <v>0.99999999999999989</v>
      </c>
      <c r="AM45" s="23"/>
      <c r="AO45" s="20" t="str">
        <f t="shared" si="39"/>
        <v>MALUKU_PAPUA</v>
      </c>
      <c r="AP45" s="20">
        <f t="shared" si="40"/>
        <v>2036</v>
      </c>
      <c r="AQ45" s="25">
        <f t="shared" si="21"/>
        <v>0.27799999995927827</v>
      </c>
      <c r="AR45" s="25">
        <f t="shared" si="22"/>
        <v>0.27059999989801453</v>
      </c>
      <c r="AS45" s="25">
        <f t="shared" si="23"/>
        <v>0.1777569349423461</v>
      </c>
      <c r="AT45" s="37">
        <f t="shared" si="24"/>
        <v>0.27364306520036108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0.53009423359546926</v>
      </c>
      <c r="AZ45" s="25">
        <f t="shared" si="47"/>
        <v>0.26519999999999999</v>
      </c>
      <c r="BA45" s="24">
        <f t="shared" si="34"/>
        <v>1.3438942335954693</v>
      </c>
      <c r="BJ45" s="19"/>
      <c r="BK45" s="20" t="str">
        <f t="shared" si="44"/>
        <v>MALUKU_PAPUA</v>
      </c>
      <c r="BL45" s="20">
        <f t="shared" si="45"/>
        <v>2036</v>
      </c>
      <c r="BM45" s="34">
        <f>proj_rukn!E139</f>
        <v>1776.2831605459187</v>
      </c>
      <c r="BN45" s="30">
        <f t="shared" si="26"/>
        <v>2042.7256346278064</v>
      </c>
      <c r="BO45" s="30">
        <f t="shared" si="35"/>
        <v>5116.2121327850009</v>
      </c>
      <c r="BQ45" s="30">
        <f t="shared" si="27"/>
        <v>817.09025385112261</v>
      </c>
      <c r="BR45" s="30">
        <f t="shared" si="36"/>
        <v>3889.8823498840447</v>
      </c>
      <c r="BS45" s="30"/>
      <c r="BT45" s="30">
        <f t="shared" si="28"/>
        <v>408.54512692556131</v>
      </c>
      <c r="BU45" s="30">
        <f t="shared" si="37"/>
        <v>1226.3297829009562</v>
      </c>
      <c r="BW45" s="30">
        <f t="shared" si="29"/>
        <v>0.94206943045761138</v>
      </c>
      <c r="BX45" s="30">
        <f t="shared" si="38"/>
        <v>0.85004839142260535</v>
      </c>
      <c r="BZ45" s="24">
        <f t="shared" si="46"/>
        <v>0.11089002908980242</v>
      </c>
      <c r="CA45" s="24">
        <f t="shared" si="30"/>
        <v>0.16860638191331595</v>
      </c>
      <c r="CF45" s="23"/>
    </row>
    <row r="46" spans="1:84" x14ac:dyDescent="0.25">
      <c r="A46" s="19"/>
      <c r="B46" s="20" t="str">
        <f t="shared" si="50"/>
        <v>MALUKU_PAPUA</v>
      </c>
      <c r="C46" s="20">
        <f t="shared" si="50"/>
        <v>2037</v>
      </c>
      <c r="D46" s="30">
        <f>(D22*(VLOOKUP(D$27,tech_data!$B$2:$O$15,6, FALSE)/100)*(1-(VLOOKUP(D$27,tech_data!$B$2:$O$15,7, FALSE)/100))*8760)/1000</f>
        <v>7529.926013005871</v>
      </c>
      <c r="E46" s="30">
        <f>(E22*(VLOOKUP(E$27,tech_data!$B$2:$O$15,6, FALSE)/100)*(1-(VLOOKUP(E$27,tech_data!$B$2:$O$15,7, FALSE)/100))*8760)/1000</f>
        <v>11.957501886010196</v>
      </c>
      <c r="F46" s="30">
        <f>(F22*(VLOOKUP(F$27,tech_data!$B$2:$O$15,6, FALSE)/100)*(1-(VLOOKUP(F$27,tech_data!$B$2:$O$15,7, FALSE)/100))*8760)/1000</f>
        <v>7496.1383103889284</v>
      </c>
      <c r="G46" s="30">
        <f>(G22*(VLOOKUP(G$27,tech_data!$B$2:$O$15,6, FALSE)/100)*(1-(VLOOKUP(G$27,tech_data!$B$2:$O$15,7, FALSE)/100))*8760)/1000</f>
        <v>4462.8379022769232</v>
      </c>
      <c r="H46" s="30">
        <f>(H22*(VLOOKUP(H$27,tech_data!$B$2:$O$15,6, FALSE)/100)*(1-(VLOOKUP(H$27,tech_data!$B$2:$O$15,7, FALSE)/100))*8760)/1000</f>
        <v>0</v>
      </c>
      <c r="I46" s="30">
        <f>(I22*(VLOOKUP(I$27,tech_data!$B$2:$O$15,6, FALSE)/100)*(1-(VLOOKUP(I$27,tech_data!$B$2:$O$15,7, FALSE)/100))*8760)/1000</f>
        <v>1581.8534797476073</v>
      </c>
      <c r="J46" s="30">
        <f>(J22*(VLOOKUP(J$27,tech_data!$B$2:$O$15,6, FALSE)/100)*(1-(VLOOKUP(J$27,tech_data!$B$2:$O$15,7, FALSE)/100))*8760)/1000</f>
        <v>3627.8754000763647</v>
      </c>
      <c r="K46" s="30">
        <f>(K22*(VLOOKUP(K$27,tech_data!$B$2:$O$15,6, FALSE)/100)*(1-(VLOOKUP(K$27,tech_data!$B$2:$O$15,7, FALSE)/100))*8760)/1000</f>
        <v>1180.4272228823133</v>
      </c>
      <c r="L46" s="30">
        <f>(L22*(VLOOKUP(L$27,tech_data!$B$2:$O$15,6, FALSE)/100)*(1-(VLOOKUP(L$27,tech_data!$B$2:$O$15,7, FALSE)/100))*8760)/1000</f>
        <v>1388.2159647633446</v>
      </c>
      <c r="M46" s="30">
        <f>(M22*(VLOOKUP(M$27,tech_data!$B$2:$O$15,6, FALSE)/100)*(1-(VLOOKUP(M$27,tech_data!$B$2:$O$15,7, FALSE)/100))*8760)/1000</f>
        <v>0</v>
      </c>
      <c r="N46" s="30">
        <f>(N22*(VLOOKUP(N$27,tech_data!$B$2:$O$15,6, FALSE)/100)*(1-(VLOOKUP(N$27,tech_data!$B$2:$O$15,7, FALSE)/100))*8760)/1000</f>
        <v>3.1088339289041369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7.224932099925085</v>
      </c>
      <c r="Q46" s="34">
        <f t="shared" si="17"/>
        <v>27282.34062895627</v>
      </c>
      <c r="R46" s="34">
        <f>proj_rukn!D140</f>
        <v>27382</v>
      </c>
      <c r="S46" s="35"/>
      <c r="T46" s="19"/>
      <c r="U46" s="20" t="str">
        <f t="shared" si="18"/>
        <v>MALUKU_PAPUA</v>
      </c>
      <c r="V46" s="20">
        <f t="shared" si="18"/>
        <v>2037</v>
      </c>
      <c r="W46" s="29">
        <f t="shared" si="19"/>
        <v>0.27599999997851871</v>
      </c>
      <c r="X46" s="29">
        <f t="shared" si="19"/>
        <v>4.3828724406875239E-4</v>
      </c>
      <c r="Y46" s="29">
        <f t="shared" si="19"/>
        <v>0.27476155408868619</v>
      </c>
      <c r="Z46" s="29">
        <f t="shared" si="19"/>
        <v>0.16357972957570452</v>
      </c>
      <c r="AA46" s="29">
        <f t="shared" si="19"/>
        <v>0</v>
      </c>
      <c r="AB46" s="29">
        <f t="shared" si="19"/>
        <v>5.7980856601016775E-2</v>
      </c>
      <c r="AC46" s="29">
        <f t="shared" si="19"/>
        <v>0.13297522560164424</v>
      </c>
      <c r="AD46" s="29">
        <f t="shared" si="19"/>
        <v>4.3267080304299849E-2</v>
      </c>
      <c r="AE46" s="29">
        <f t="shared" si="19"/>
        <v>5.0883316195017139E-2</v>
      </c>
      <c r="AF46" s="29">
        <f t="shared" si="19"/>
        <v>0</v>
      </c>
      <c r="AG46" s="29">
        <f t="shared" si="19"/>
        <v>1.1395041104371222E-4</v>
      </c>
      <c r="AH46" s="29">
        <f t="shared" si="19"/>
        <v>0</v>
      </c>
      <c r="AI46" s="29">
        <f t="shared" si="19"/>
        <v>2.6482083037468061E-4</v>
      </c>
      <c r="AJ46" s="29">
        <f t="shared" si="20"/>
        <v>0.99999999999999989</v>
      </c>
      <c r="AM46" s="23"/>
      <c r="AO46" s="20" t="str">
        <f t="shared" si="39"/>
        <v>MALUKU_PAPUA</v>
      </c>
      <c r="AP46" s="20">
        <f t="shared" si="40"/>
        <v>2037</v>
      </c>
      <c r="AQ46" s="25">
        <f t="shared" si="21"/>
        <v>0.27599999997851871</v>
      </c>
      <c r="AR46" s="25">
        <f t="shared" si="22"/>
        <v>0.27519984133275494</v>
      </c>
      <c r="AS46" s="25">
        <f t="shared" si="23"/>
        <v>0.16357972957570452</v>
      </c>
      <c r="AT46" s="37">
        <f t="shared" si="24"/>
        <v>0.2852204291130217</v>
      </c>
      <c r="AU46" s="24">
        <f t="shared" si="32"/>
        <v>0.99999999999999989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0.51949234892355989</v>
      </c>
      <c r="AZ46" s="25">
        <f t="shared" si="47"/>
        <v>0.26840000000000003</v>
      </c>
      <c r="BA46" s="24">
        <f t="shared" si="34"/>
        <v>1.33909234892356</v>
      </c>
      <c r="BJ46" s="19"/>
      <c r="BK46" s="20" t="str">
        <f t="shared" si="44"/>
        <v>MALUKU_PAPUA</v>
      </c>
      <c r="BL46" s="20">
        <f t="shared" si="45"/>
        <v>2037</v>
      </c>
      <c r="BM46" s="34">
        <f>proj_rukn!E140</f>
        <v>1897.3876224078849</v>
      </c>
      <c r="BN46" s="30">
        <f t="shared" si="26"/>
        <v>2181.9957657690675</v>
      </c>
      <c r="BO46" s="30">
        <f t="shared" si="35"/>
        <v>5516.9014016562232</v>
      </c>
      <c r="BQ46" s="30">
        <f t="shared" si="27"/>
        <v>872.79830630762706</v>
      </c>
      <c r="BR46" s="30">
        <f t="shared" si="36"/>
        <v>4261.4805590010301</v>
      </c>
      <c r="BS46" s="30"/>
      <c r="BT46" s="30">
        <f t="shared" si="28"/>
        <v>436.39915315381353</v>
      </c>
      <c r="BU46" s="30">
        <f t="shared" si="37"/>
        <v>1255.4208426551922</v>
      </c>
      <c r="BW46" s="30">
        <f t="shared" si="29"/>
        <v>1.0316599037577467</v>
      </c>
      <c r="BX46" s="30">
        <f t="shared" si="38"/>
        <v>1.0316561567192768</v>
      </c>
      <c r="BZ46" s="24">
        <f t="shared" si="46"/>
        <v>0.11643453054429254</v>
      </c>
      <c r="CA46" s="24">
        <f t="shared" si="30"/>
        <v>0.15169698902302259</v>
      </c>
      <c r="CF46" s="23"/>
    </row>
    <row r="47" spans="1:84" x14ac:dyDescent="0.25">
      <c r="A47" s="19"/>
      <c r="B47" s="20" t="str">
        <f t="shared" si="50"/>
        <v>MALUKU_PAPUA</v>
      </c>
      <c r="C47" s="20">
        <f t="shared" si="50"/>
        <v>2038</v>
      </c>
      <c r="D47" s="30">
        <f>(D23*(VLOOKUP(D$27,tech_data!$B$2:$O$15,6, FALSE)/100)*(1-(VLOOKUP(D$27,tech_data!$B$2:$O$15,7, FALSE)/100))*8760)/1000</f>
        <v>7714.4700872182639</v>
      </c>
      <c r="E47" s="30">
        <f>(E23*(VLOOKUP(E$27,tech_data!$B$2:$O$15,6, FALSE)/100)*(1-(VLOOKUP(E$27,tech_data!$B$2:$O$15,7, FALSE)/100))*8760)/1000</f>
        <v>11.957501886010196</v>
      </c>
      <c r="F47" s="30">
        <f>(F23*(VLOOKUP(F$27,tech_data!$B$2:$O$15,6, FALSE)/100)*(1-(VLOOKUP(F$27,tech_data!$B$2:$O$15,7, FALSE)/100))*8760)/1000</f>
        <v>7865.8115696458844</v>
      </c>
      <c r="G47" s="30">
        <f>(G23*(VLOOKUP(G$27,tech_data!$B$2:$O$15,6, FALSE)/100)*(1-(VLOOKUP(G$27,tech_data!$B$2:$O$15,7, FALSE)/100))*8760)/1000</f>
        <v>4781.2799290568819</v>
      </c>
      <c r="H47" s="30">
        <f>(H23*(VLOOKUP(H$27,tech_data!$B$2:$O$15,6, FALSE)/100)*(1-(VLOOKUP(H$27,tech_data!$B$2:$O$15,7, FALSE)/100))*8760)/1000</f>
        <v>0</v>
      </c>
      <c r="I47" s="30">
        <f>(I23*(VLOOKUP(I$27,tech_data!$B$2:$O$15,6, FALSE)/100)*(1-(VLOOKUP(I$27,tech_data!$B$2:$O$15,7, FALSE)/100))*8760)/1000</f>
        <v>1581.8534797476073</v>
      </c>
      <c r="J47" s="30">
        <f>(J23*(VLOOKUP(J$27,tech_data!$B$2:$O$15,6, FALSE)/100)*(1-(VLOOKUP(J$27,tech_data!$B$2:$O$15,7, FALSE)/100))*8760)/1000</f>
        <v>3627.8754000763647</v>
      </c>
      <c r="K47" s="30">
        <f>(K23*(VLOOKUP(K$27,tech_data!$B$2:$O$15,6, FALSE)/100)*(1-(VLOOKUP(K$27,tech_data!$B$2:$O$15,7, FALSE)/100))*8760)/1000</f>
        <v>1180.4272228823133</v>
      </c>
      <c r="L47" s="30">
        <f>(L23*(VLOOKUP(L$27,tech_data!$B$2:$O$15,6, FALSE)/100)*(1-(VLOOKUP(L$27,tech_data!$B$2:$O$15,7, FALSE)/100))*8760)/1000</f>
        <v>1388.2159647633446</v>
      </c>
      <c r="M47" s="30">
        <f>(M23*(VLOOKUP(M$27,tech_data!$B$2:$O$15,6, FALSE)/100)*(1-(VLOOKUP(M$27,tech_data!$B$2:$O$15,7, FALSE)/100))*8760)/1000</f>
        <v>0</v>
      </c>
      <c r="N47" s="30">
        <f>(N23*(VLOOKUP(N$27,tech_data!$B$2:$O$15,6, FALSE)/100)*(1-(VLOOKUP(N$27,tech_data!$B$2:$O$15,7, FALSE)/100))*8760)/1000</f>
        <v>3.1088339289041369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7.4396499123669635</v>
      </c>
      <c r="Q47" s="34">
        <f t="shared" si="17"/>
        <v>28154.999989205578</v>
      </c>
      <c r="R47" s="34">
        <f>proj_rukn!D141</f>
        <v>28155</v>
      </c>
      <c r="S47" s="35"/>
      <c r="T47" s="19"/>
      <c r="U47" s="20" t="str">
        <f t="shared" si="18"/>
        <v>MALUKU_PAPUA</v>
      </c>
      <c r="V47" s="20">
        <f t="shared" si="18"/>
        <v>2038</v>
      </c>
      <c r="W47" s="29">
        <f t="shared" si="19"/>
        <v>0.27400000320283913</v>
      </c>
      <c r="X47" s="29">
        <f t="shared" si="19"/>
        <v>4.2470260666292362E-4</v>
      </c>
      <c r="Y47" s="29">
        <f t="shared" si="19"/>
        <v>0.2793753000412566</v>
      </c>
      <c r="Z47" s="29">
        <f t="shared" si="19"/>
        <v>0.16981992295826637</v>
      </c>
      <c r="AA47" s="29">
        <f t="shared" si="19"/>
        <v>0</v>
      </c>
      <c r="AB47" s="29">
        <f t="shared" si="19"/>
        <v>5.6183749968178952E-2</v>
      </c>
      <c r="AC47" s="29">
        <f t="shared" si="19"/>
        <v>0.12885368145861359</v>
      </c>
      <c r="AD47" s="29">
        <f t="shared" si="19"/>
        <v>4.1926024625639512E-2</v>
      </c>
      <c r="AE47" s="29">
        <f t="shared" ref="AE47:AI47" si="51">L47/$Q47</f>
        <v>4.9306196600801863E-2</v>
      </c>
      <c r="AF47" s="29">
        <f t="shared" si="51"/>
        <v>0</v>
      </c>
      <c r="AG47" s="29">
        <f t="shared" si="51"/>
        <v>1.1041853774093557E-4</v>
      </c>
      <c r="AH47" s="29">
        <f t="shared" si="51"/>
        <v>0</v>
      </c>
      <c r="AI47" s="29">
        <f t="shared" si="51"/>
        <v>2.6423903090816095E-4</v>
      </c>
      <c r="AJ47" s="29">
        <f t="shared" si="20"/>
        <v>1</v>
      </c>
      <c r="AM47" s="23"/>
      <c r="AO47" s="20" t="str">
        <f t="shared" si="39"/>
        <v>MALUKU_PAPUA</v>
      </c>
      <c r="AP47" s="20">
        <f t="shared" si="40"/>
        <v>2038</v>
      </c>
      <c r="AQ47" s="25">
        <f t="shared" si="21"/>
        <v>0.27400000320283913</v>
      </c>
      <c r="AR47" s="25">
        <f t="shared" si="22"/>
        <v>0.27980000264791954</v>
      </c>
      <c r="AS47" s="25">
        <f t="shared" si="23"/>
        <v>0.16981992295826637</v>
      </c>
      <c r="AT47" s="37">
        <f t="shared" si="24"/>
        <v>0.27638007119097485</v>
      </c>
      <c r="AU47" s="24">
        <f t="shared" si="32"/>
        <v>0.99999999999999989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0.50910250194508866</v>
      </c>
      <c r="AZ47" s="25">
        <f t="shared" si="47"/>
        <v>0.27160000000000001</v>
      </c>
      <c r="BA47" s="24">
        <f t="shared" si="34"/>
        <v>1.3345025019450889</v>
      </c>
      <c r="BJ47" s="19"/>
      <c r="BK47" s="20" t="str">
        <f t="shared" si="44"/>
        <v>MALUKU_PAPUA</v>
      </c>
      <c r="BL47" s="20">
        <f t="shared" si="45"/>
        <v>2038</v>
      </c>
      <c r="BM47" s="34">
        <f>proj_rukn!E141</f>
        <v>2026.7488143952266</v>
      </c>
      <c r="BN47" s="30">
        <f t="shared" si="26"/>
        <v>2330.7611365545104</v>
      </c>
      <c r="BO47" s="30">
        <f t="shared" si="35"/>
        <v>5752.3196054081718</v>
      </c>
      <c r="BQ47" s="30">
        <f t="shared" si="27"/>
        <v>932.30445462180421</v>
      </c>
      <c r="BR47" s="30">
        <f t="shared" si="36"/>
        <v>4433.1148546056811</v>
      </c>
      <c r="BS47" s="30"/>
      <c r="BT47" s="30">
        <f t="shared" si="28"/>
        <v>466.15222731090211</v>
      </c>
      <c r="BU47" s="30">
        <f t="shared" si="37"/>
        <v>1319.20475080249</v>
      </c>
      <c r="BW47" s="30">
        <f t="shared" si="29"/>
        <v>1.0316599037577467</v>
      </c>
      <c r="BX47" s="30">
        <f t="shared" si="38"/>
        <v>1.0316561567192768</v>
      </c>
      <c r="BZ47" s="24">
        <f t="shared" si="46"/>
        <v>0.12225625707150717</v>
      </c>
      <c r="CA47" s="24">
        <f t="shared" si="30"/>
        <v>0.15169698902302259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MALUKU_PAPUA</v>
      </c>
      <c r="C52" s="20">
        <f t="shared" si="52"/>
        <v>2019</v>
      </c>
      <c r="D52" s="30">
        <f>(maluku_papua!D28*3.6/(VLOOKUP(D$51,tech_data!$B$2:$J$15,4,FALSE)/100))/1000</f>
        <v>12.596076496551724</v>
      </c>
      <c r="E52" s="30">
        <f>(maluku_papua!E28*3.6/(VLOOKUP(E$51,tech_data!$B$2:$J$15,4,FALSE)/100))/1000</f>
        <v>0.12069287430625449</v>
      </c>
      <c r="F52" s="30">
        <f>(maluku_papua!F28*3.6/(VLOOKUP(F$51,tech_data!$B$2:$J$15,4,FALSE)/100))/1000</f>
        <v>0</v>
      </c>
      <c r="G52" s="30">
        <f>(maluku_papua!G28*3.6/(VLOOKUP(G$51,tech_data!$B$2:$J$15,4,FALSE)/100))/1000</f>
        <v>34.926557496080264</v>
      </c>
      <c r="H52" s="30">
        <f>(maluku_papua!H28*3.6/(VLOOKUP(H$51,tech_data!$B$2:$J$15,4,FALSE)/100))/1000</f>
        <v>0</v>
      </c>
      <c r="I52" s="30">
        <f>(maluku_papua!I28*3.6/(VLOOKUP(I$51,tech_data!$B$2:$J$15,4,FALSE)/100))/1000</f>
        <v>0.50114539390445345</v>
      </c>
      <c r="J52" s="30">
        <f>(maluku_papua!J28*3.6/(VLOOKUP(J$51,tech_data!$B$2:$J$15,4,FALSE)/100))/1000</f>
        <v>0</v>
      </c>
      <c r="K52" s="30">
        <f>K28*3.6/1000</f>
        <v>4.2450609600000008E-2</v>
      </c>
      <c r="L52" s="30">
        <f>L28*3.6/1000</f>
        <v>0</v>
      </c>
      <c r="M52" s="30">
        <f>(maluku_papua!M28*3.6/(VLOOKUP(M$51,tech_data!$B$2:$J$15,4,FALSE)/100))/1000</f>
        <v>0</v>
      </c>
      <c r="N52" s="30">
        <f>N28*3.6/1000</f>
        <v>0</v>
      </c>
      <c r="O52" s="30">
        <f>(maluku_papua!O28*3.6/(VLOOKUP(O$51,tech_data!$B$2:$J$15,4,FALSE)/100))/1000</f>
        <v>0</v>
      </c>
      <c r="P52" s="30">
        <v>0</v>
      </c>
      <c r="Q52" s="30">
        <f t="shared" ref="Q52:Q71" si="53">SUM(D52:O52)</f>
        <v>48.186922870442693</v>
      </c>
      <c r="R52" s="30"/>
      <c r="T52" s="19"/>
      <c r="U52" s="20" t="str">
        <f t="shared" ref="U52:V71" si="54">B52</f>
        <v>MALUKU_PAPUA</v>
      </c>
      <c r="V52" s="20">
        <f t="shared" si="54"/>
        <v>2019</v>
      </c>
      <c r="W52" s="30">
        <f>D52*VLOOKUP(W$51,tech_data!$B$2:$K$15,10,FALSE)*1000</f>
        <v>1256080.7482361379</v>
      </c>
      <c r="X52" s="30">
        <f>E52*VLOOKUP(X$51,tech_data!$B$2:$K$15,10,FALSE)*1000</f>
        <v>7495.0274944184039</v>
      </c>
      <c r="Y52" s="30">
        <f>F52*VLOOKUP(Y$51,tech_data!$B$2:$K$15,10,FALSE)*1000</f>
        <v>0</v>
      </c>
      <c r="Z52" s="30">
        <f>G52*VLOOKUP(Z$51,tech_data!$B$2:$K$15,10,FALSE)*1000</f>
        <v>2625429.3269803533</v>
      </c>
      <c r="AA52" s="30">
        <f>H28*VLOOKUP(AA$51,tech_data!$B$2:$K$15,10,FALSE)/1000</f>
        <v>0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0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3889005.1027109097</v>
      </c>
      <c r="AK52" s="25"/>
      <c r="AM52" s="23"/>
      <c r="AO52" s="20" t="str">
        <f t="shared" ref="AO52:AP71" si="56">U52</f>
        <v>MALUKU_PAPUA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12.908564845335718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9.0004252483709538E-2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0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7.0779698234787505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0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1.126558773959482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6.9227999999999998E-2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21.272325695257656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MALUKU_PAPUA</v>
      </c>
      <c r="C53" s="20">
        <f t="shared" si="52"/>
        <v>2020</v>
      </c>
      <c r="D53" s="30">
        <f>(maluku_papua!D29*3.6/(VLOOKUP(D$51,tech_data!$B$2:$J$15,4,FALSE)/100))/1000</f>
        <v>12.596076496551724</v>
      </c>
      <c r="E53" s="30">
        <f>(maluku_papua!E29*3.6/(VLOOKUP(E$51,tech_data!$B$2:$J$15,4,FALSE)/100))/1000</f>
        <v>0.12069284413303601</v>
      </c>
      <c r="F53" s="30">
        <f>(maluku_papua!F29*3.6/(VLOOKUP(F$51,tech_data!$B$2:$J$15,4,FALSE)/100))/1000</f>
        <v>4.1958670510328977</v>
      </c>
      <c r="G53" s="30">
        <f>(maluku_papua!G29*3.6/(VLOOKUP(G$51,tech_data!$B$2:$J$15,4,FALSE)/100))/1000</f>
        <v>34.926557496080264</v>
      </c>
      <c r="H53" s="30">
        <f>(maluku_papua!H29*3.6/(VLOOKUP(H$51,tech_data!$B$2:$J$15,4,FALSE)/100))/1000</f>
        <v>0</v>
      </c>
      <c r="I53" s="30">
        <f>(maluku_papua!I29*3.6/(VLOOKUP(I$51,tech_data!$B$2:$J$15,4,FALSE)/100))/1000</f>
        <v>0.50114539390445345</v>
      </c>
      <c r="J53" s="30">
        <f>(maluku_papua!J29*3.6/(VLOOKUP(J$51,tech_data!$B$2:$J$15,4,FALSE)/100))/1000</f>
        <v>0</v>
      </c>
      <c r="K53" s="30">
        <f t="shared" ref="K53:L71" si="57">K29*3.6/1000</f>
        <v>4.2450602977440008E-2</v>
      </c>
      <c r="L53" s="30">
        <f t="shared" si="57"/>
        <v>0</v>
      </c>
      <c r="M53" s="30">
        <f>(maluku_papua!M29*3.6/(VLOOKUP(M$51,tech_data!$B$2:$J$15,4,FALSE)/100))/1000</f>
        <v>0</v>
      </c>
      <c r="N53" s="30">
        <f t="shared" ref="N53:N71" si="58">N29*3.6/1000</f>
        <v>-3.5999999999970664E-9</v>
      </c>
      <c r="O53" s="30">
        <f>(maluku_papua!O29*3.6/(VLOOKUP(O$51,tech_data!$B$2:$J$15,4,FALSE)/100))/1000</f>
        <v>0</v>
      </c>
      <c r="P53" s="30">
        <v>0</v>
      </c>
      <c r="Q53" s="30">
        <f t="shared" si="53"/>
        <v>52.382789881079809</v>
      </c>
      <c r="R53" s="30"/>
      <c r="T53" s="19"/>
      <c r="U53" s="20" t="str">
        <f t="shared" si="54"/>
        <v>MALUKU_PAPUA</v>
      </c>
      <c r="V53" s="20">
        <f t="shared" si="54"/>
        <v>2020</v>
      </c>
      <c r="W53" s="30">
        <f>D53*VLOOKUP(W$51,tech_data!$B$2:$K$15,10,FALSE)*1000</f>
        <v>1256080.7482361379</v>
      </c>
      <c r="X53" s="30">
        <f>E53*VLOOKUP(X$51,tech_data!$B$2:$K$15,10,FALSE)*1000</f>
        <v>7495.0256206615368</v>
      </c>
      <c r="Y53" s="30">
        <f>F53*VLOOKUP(Y$51,tech_data!$B$2:$K$15,10,FALSE)*1000</f>
        <v>260563.34386914296</v>
      </c>
      <c r="Z53" s="30">
        <f>G53*VLOOKUP(Z$51,tech_data!$B$2:$K$15,10,FALSE)*1000</f>
        <v>2625429.3269803533</v>
      </c>
      <c r="AA53" s="30">
        <f>H29*VLOOKUP(AA$51,tech_data!$B$2:$K$15,10,FALSE)/1000</f>
        <v>0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0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4149568.4447062956</v>
      </c>
      <c r="AK53" s="25">
        <f>(AJ53-AJ52)/AJ52</f>
        <v>6.7000000029250412E-2</v>
      </c>
      <c r="AL53" s="24">
        <f>sulawesi!AL53</f>
        <v>5.2999999999999999E-2</v>
      </c>
      <c r="AM53" s="26"/>
      <c r="AN53" s="24"/>
      <c r="AO53" s="20" t="str">
        <f t="shared" si="56"/>
        <v>MALUKU_PAPUA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12.908564845335718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9.0003503315981642E-2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166.10516934328356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7.0779698234787505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0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1.126558773959482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6.9226870200000096E-2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0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-1.6482270707082533E-6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0.39996557130179122</v>
      </c>
      <c r="BD53" s="30">
        <f>SUM(AQ53:BC53)</f>
        <v>187.7774570826482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MALUKU_PAPUA</v>
      </c>
      <c r="C54" s="20">
        <f t="shared" si="52"/>
        <v>2021</v>
      </c>
      <c r="D54" s="30">
        <f>(maluku_papua!D30*3.6/(VLOOKUP(D$51,tech_data!$B$2:$J$15,4,FALSE)/100))/1000</f>
        <v>12.596076496551724</v>
      </c>
      <c r="E54" s="30">
        <f>(maluku_papua!E30*3.6/(VLOOKUP(E$51,tech_data!$B$2:$J$15,4,FALSE)/100))/1000</f>
        <v>0.12069281395981744</v>
      </c>
      <c r="F54" s="30">
        <f>(maluku_papua!F30*3.6/(VLOOKUP(F$51,tech_data!$B$2:$J$15,4,FALSE)/100))/1000</f>
        <v>8.6728571906315821</v>
      </c>
      <c r="G54" s="30">
        <f>(maluku_papua!G30*3.6/(VLOOKUP(G$51,tech_data!$B$2:$J$15,4,FALSE)/100))/1000</f>
        <v>34.926557496080264</v>
      </c>
      <c r="H54" s="30">
        <f>(maluku_papua!H30*3.6/(VLOOKUP(H$51,tech_data!$B$2:$J$15,4,FALSE)/100))/1000</f>
        <v>-5.8219113738729918E-16</v>
      </c>
      <c r="I54" s="30">
        <f>(maluku_papua!I30*3.6/(VLOOKUP(I$51,tech_data!$B$2:$J$15,4,FALSE)/100))/1000</f>
        <v>0.50115389661138454</v>
      </c>
      <c r="J54" s="30">
        <f>(maluku_papua!J30*3.6/(VLOOKUP(J$51,tech_data!$B$2:$J$15,4,FALSE)/100))/1000</f>
        <v>2.0112899809042024</v>
      </c>
      <c r="K54" s="30">
        <f t="shared" si="57"/>
        <v>2.2553612463713599</v>
      </c>
      <c r="L54" s="30">
        <f t="shared" si="57"/>
        <v>0.41139282554724649</v>
      </c>
      <c r="M54" s="30">
        <f>(maluku_papua!M30*3.6/(VLOOKUP(M$51,tech_data!$B$2:$J$15,4,FALSE)/100))/1000</f>
        <v>0</v>
      </c>
      <c r="N54" s="30">
        <f t="shared" si="58"/>
        <v>2.6212748167076128E-3</v>
      </c>
      <c r="O54" s="30">
        <f>(maluku_papua!O30*3.6/(VLOOKUP(O$51,tech_data!$B$2:$J$15,4,FALSE)/100))/1000</f>
        <v>0</v>
      </c>
      <c r="P54" s="30">
        <v>0</v>
      </c>
      <c r="Q54" s="30">
        <f t="shared" si="53"/>
        <v>61.498003221474292</v>
      </c>
      <c r="R54" s="30"/>
      <c r="T54" s="19"/>
      <c r="U54" s="20" t="str">
        <f t="shared" si="54"/>
        <v>MALUKU_PAPUA</v>
      </c>
      <c r="V54" s="20">
        <f t="shared" si="54"/>
        <v>2021</v>
      </c>
      <c r="W54" s="30">
        <f>D54*VLOOKUP(W$51,tech_data!$B$2:$K$15,10,FALSE)*1000</f>
        <v>1256080.7482361379</v>
      </c>
      <c r="X54" s="30">
        <f>E54*VLOOKUP(X$51,tech_data!$B$2:$K$15,10,FALSE)*1000</f>
        <v>7495.0237469046633</v>
      </c>
      <c r="Y54" s="30">
        <f>F54*VLOOKUP(Y$51,tech_data!$B$2:$K$15,10,FALSE)*1000</f>
        <v>538584.43153822119</v>
      </c>
      <c r="Z54" s="30">
        <f>G54*VLOOKUP(Z$51,tech_data!$B$2:$K$15,10,FALSE)*1000</f>
        <v>2625429.3269803533</v>
      </c>
      <c r="AA54" s="30">
        <f>H30*VLOOKUP(AA$51,tech_data!$B$2:$K$15,10,FALSE)/1000</f>
        <v>-1.3732433453122919E-15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0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4427589.5305016171</v>
      </c>
      <c r="AK54" s="25">
        <f t="shared" ref="AK54:AK71" si="59">(AJ54-AJ53)/AJ53</f>
        <v>6.6999999999999921E-2</v>
      </c>
      <c r="AL54" s="24">
        <f>AL53</f>
        <v>5.2999999999999999E-2</v>
      </c>
      <c r="AM54" s="26"/>
      <c r="AN54" s="24"/>
      <c r="AO54" s="20" t="str">
        <f t="shared" si="56"/>
        <v>MALUKU_PAPUA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12.908564845335718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9.0003480814917255E-2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182.83556530843083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7.0779698234787505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-1.3135581238947847E-14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1.127627504545307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197.36258983901229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377.5888646412576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49.717186533412104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0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1.2001283018885314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0.15335558744584848</v>
      </c>
      <c r="BD54" s="30">
        <f t="shared" ref="BD54:BD71" si="60">SUM(AQ54:BC54)</f>
        <v>830.06185586562185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MALUKU_PAPUA</v>
      </c>
      <c r="C55" s="20">
        <f t="shared" si="52"/>
        <v>2022</v>
      </c>
      <c r="D55" s="30">
        <f>(maluku_papua!D31*3.6/(VLOOKUP(D$51,tech_data!$B$2:$J$15,4,FALSE)/100))/1000</f>
        <v>13.470310104516907</v>
      </c>
      <c r="E55" s="30">
        <f>(maluku_papua!E31*3.6/(VLOOKUP(E$51,tech_data!$B$2:$J$15,4,FALSE)/100))/1000</f>
        <v>0.12069278378659895</v>
      </c>
      <c r="F55" s="30">
        <f>(maluku_papua!F31*3.6/(VLOOKUP(F$51,tech_data!$B$2:$J$15,4,FALSE)/100))/1000</f>
        <v>12.045963846906382</v>
      </c>
      <c r="G55" s="30">
        <f>(maluku_papua!G31*3.6/(VLOOKUP(G$51,tech_data!$B$2:$J$15,4,FALSE)/100))/1000</f>
        <v>34.926557496080264</v>
      </c>
      <c r="H55" s="30">
        <f>(maluku_papua!H31*3.6/(VLOOKUP(H$51,tech_data!$B$2:$J$15,4,FALSE)/100))/1000</f>
        <v>0</v>
      </c>
      <c r="I55" s="30">
        <f>(maluku_papua!I31*3.6/(VLOOKUP(I$51,tech_data!$B$2:$J$15,4,FALSE)/100))/1000</f>
        <v>0.83027704558096938</v>
      </c>
      <c r="J55" s="30">
        <f>(maluku_papua!J31*3.6/(VLOOKUP(J$51,tech_data!$B$2:$J$15,4,FALSE)/100))/1000</f>
        <v>2.8493748029954244</v>
      </c>
      <c r="K55" s="30">
        <f t="shared" si="57"/>
        <v>2.3090778327166097</v>
      </c>
      <c r="L55" s="30">
        <f t="shared" si="57"/>
        <v>0.5614889143748063</v>
      </c>
      <c r="M55" s="30">
        <f>(maluku_papua!M31*3.6/(VLOOKUP(M$51,tech_data!$B$2:$J$15,4,FALSE)/100))/1000</f>
        <v>0</v>
      </c>
      <c r="N55" s="30">
        <f t="shared" si="58"/>
        <v>3.0157009181347194E-3</v>
      </c>
      <c r="O55" s="30">
        <f>(maluku_papua!O31*3.6/(VLOOKUP(O$51,tech_data!$B$2:$J$15,4,FALSE)/100))/1000</f>
        <v>0</v>
      </c>
      <c r="P55" s="30">
        <v>0</v>
      </c>
      <c r="Q55" s="30">
        <f t="shared" si="53"/>
        <v>67.116758527876101</v>
      </c>
      <c r="R55" s="30"/>
      <c r="T55" s="19"/>
      <c r="U55" s="20" t="str">
        <f t="shared" si="54"/>
        <v>MALUKU_PAPUA</v>
      </c>
      <c r="V55" s="20">
        <f t="shared" si="54"/>
        <v>2022</v>
      </c>
      <c r="W55" s="30">
        <f>D55*VLOOKUP(W$51,tech_data!$B$2:$K$15,10,FALSE)*1000</f>
        <v>1343259.3236224258</v>
      </c>
      <c r="X55" s="30">
        <f>E55*VLOOKUP(X$51,tech_data!$B$2:$K$15,10,FALSE)*1000</f>
        <v>7495.0218731477953</v>
      </c>
      <c r="Y55" s="30">
        <f>F55*VLOOKUP(Y$51,tech_data!$B$2:$K$15,10,FALSE)*1000</f>
        <v>748054.35489288624</v>
      </c>
      <c r="Z55" s="30">
        <f>G55*VLOOKUP(Z$51,tech_data!$B$2:$K$15,10,FALSE)*1000</f>
        <v>2625429.3269803533</v>
      </c>
      <c r="AA55" s="30">
        <f>H31*VLOOKUP(AA$51,tech_data!$B$2:$K$15,10,FALSE)/1000</f>
        <v>0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0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4724238.0273688128</v>
      </c>
      <c r="AK55" s="25">
        <f t="shared" si="59"/>
        <v>6.6999999621371265E-2</v>
      </c>
      <c r="AL55" s="24">
        <f t="shared" ref="AL55:AL71" si="61">AL54</f>
        <v>5.2999999999999999E-2</v>
      </c>
      <c r="AM55" s="26"/>
      <c r="AN55" s="24"/>
      <c r="AO55" s="20" t="str">
        <f t="shared" si="56"/>
        <v>MALUKU_PAPUA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42.441779438208528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9.0003458313855478E-2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145.11188071325765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7.0779698234787505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1.2969827473614704E-14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42.495047794684794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86.042285268371842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12.84199776425945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20.049062669430345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0.21284175125139185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6.6082285758327988E-2</v>
      </c>
      <c r="BD55" s="30">
        <f t="shared" si="60"/>
        <v>356.428950967015</v>
      </c>
      <c r="BE55" s="20">
        <v>2022</v>
      </c>
      <c r="BF55" s="23"/>
      <c r="BG55" s="19"/>
      <c r="BH55" s="30"/>
      <c r="BI55" s="30">
        <f>MIN($BD$53)</f>
        <v>187.7774570826482</v>
      </c>
      <c r="BJ55" s="30">
        <f>MIN($BD$54)</f>
        <v>830.06185586562185</v>
      </c>
      <c r="BK55" s="30">
        <f t="shared" ref="BK55" si="62">MIN($BD$55)</f>
        <v>356.428950967015</v>
      </c>
      <c r="BL55" s="30">
        <f>MIN($BD$56)</f>
        <v>329.6813615430238</v>
      </c>
      <c r="BM55" s="30">
        <f>MIN($BD$57)</f>
        <v>372.67453912926447</v>
      </c>
      <c r="BN55" s="30">
        <f>MIN($BD$58)</f>
        <v>430.59014949293584</v>
      </c>
      <c r="BO55" s="30">
        <f>MIN($BD$59)</f>
        <v>333.8750631500742</v>
      </c>
      <c r="BP55" s="30">
        <f>MIN($BD$60)</f>
        <v>359.72153096364502</v>
      </c>
      <c r="BQ55" s="30">
        <f>MIN($BD$61)</f>
        <v>387.79212091383943</v>
      </c>
      <c r="BR55" s="30">
        <f>MIN($BD$62)</f>
        <v>420.44403108700578</v>
      </c>
      <c r="BS55" s="30">
        <f>MIN($BD$63)</f>
        <v>455.34147953015071</v>
      </c>
      <c r="BT55" s="30">
        <f>MIN($BD$64)</f>
        <v>489.67559957908247</v>
      </c>
      <c r="BU55" s="30">
        <f>MIN($BD$65)</f>
        <v>531.41080938223536</v>
      </c>
      <c r="BV55" s="30">
        <f>MIN($BD$66)</f>
        <v>590.20996147194546</v>
      </c>
      <c r="BW55" s="30">
        <f>MIN($BD$67)</f>
        <v>617.8645039314523</v>
      </c>
      <c r="BX55" s="30">
        <f>MIN($BD$68)</f>
        <v>689.98210392281874</v>
      </c>
      <c r="BY55" s="30">
        <f>MIN($BD$69)</f>
        <v>877.00326003409555</v>
      </c>
      <c r="BZ55" s="30">
        <f>MIN($BD$70)</f>
        <v>954.71427395536148</v>
      </c>
      <c r="CA55" s="30">
        <f>MIN($BD$71)</f>
        <v>414.87206461637618</v>
      </c>
      <c r="CD55" s="23"/>
    </row>
    <row r="56" spans="1:82" x14ac:dyDescent="0.25">
      <c r="A56" s="19"/>
      <c r="B56" s="20" t="str">
        <f t="shared" si="52"/>
        <v>MALUKU_PAPUA</v>
      </c>
      <c r="C56" s="20">
        <f t="shared" si="52"/>
        <v>2023</v>
      </c>
      <c r="D56" s="30">
        <f>(maluku_papua!D32*3.6/(VLOOKUP(D$51,tech_data!$B$2:$J$15,4,FALSE)/100))/1000</f>
        <v>15.828601134781856</v>
      </c>
      <c r="E56" s="30">
        <f>(maluku_papua!E32*3.6/(VLOOKUP(E$51,tech_data!$B$2:$J$15,4,FALSE)/100))/1000</f>
        <v>0.12069278378659895</v>
      </c>
      <c r="F56" s="30">
        <f>(maluku_papua!F32*3.6/(VLOOKUP(F$51,tech_data!$B$2:$J$15,4,FALSE)/100))/1000</f>
        <v>13.356030937014088</v>
      </c>
      <c r="G56" s="30">
        <f>(maluku_papua!G32*3.6/(VLOOKUP(G$51,tech_data!$B$2:$J$15,4,FALSE)/100))/1000</f>
        <v>34.926557496080264</v>
      </c>
      <c r="H56" s="30">
        <f>(maluku_papua!H32*3.6/(VLOOKUP(H$51,tech_data!$B$2:$J$15,4,FALSE)/100))/1000</f>
        <v>-5.8219124731758072E-16</v>
      </c>
      <c r="I56" s="30">
        <f>(maluku_papua!I32*3.6/(VLOOKUP(I$51,tech_data!$B$2:$J$15,4,FALSE)/100))/1000</f>
        <v>0.83933461248077224</v>
      </c>
      <c r="J56" s="30">
        <f>(maluku_papua!J32*3.6/(VLOOKUP(J$51,tech_data!$B$2:$J$15,4,FALSE)/100))/1000</f>
        <v>2.8494671789060377</v>
      </c>
      <c r="K56" s="30">
        <f t="shared" si="57"/>
        <v>2.3514219513500394</v>
      </c>
      <c r="L56" s="30">
        <f t="shared" si="57"/>
        <v>1.7113863050630906</v>
      </c>
      <c r="M56" s="30">
        <f>(maluku_papua!M32*3.6/(VLOOKUP(M$51,tech_data!$B$2:$J$15,4,FALSE)/100))/1000</f>
        <v>0</v>
      </c>
      <c r="N56" s="30">
        <f t="shared" si="58"/>
        <v>3.0743567187536129E-3</v>
      </c>
      <c r="O56" s="30">
        <f>(maluku_papua!O32*3.6/(VLOOKUP(O$51,tech_data!$B$2:$J$15,4,FALSE)/100))/1000</f>
        <v>0</v>
      </c>
      <c r="P56" s="30">
        <v>0</v>
      </c>
      <c r="Q56" s="30">
        <f t="shared" si="53"/>
        <v>71.986566756181489</v>
      </c>
      <c r="R56" s="30"/>
      <c r="T56" s="19"/>
      <c r="U56" s="20" t="str">
        <f t="shared" si="54"/>
        <v>MALUKU_PAPUA</v>
      </c>
      <c r="V56" s="20">
        <f t="shared" si="54"/>
        <v>2023</v>
      </c>
      <c r="W56" s="30">
        <f>D56*VLOOKUP(W$51,tech_data!$B$2:$K$15,10,FALSE)*1000</f>
        <v>1578428.1051604466</v>
      </c>
      <c r="X56" s="30">
        <f>E56*VLOOKUP(X$51,tech_data!$B$2:$K$15,10,FALSE)*1000</f>
        <v>7495.0218731477953</v>
      </c>
      <c r="Y56" s="30">
        <f>F56*VLOOKUP(Y$51,tech_data!$B$2:$K$15,10,FALSE)*1000</f>
        <v>829409.52118857484</v>
      </c>
      <c r="Z56" s="30">
        <f>G56*VLOOKUP(Z$51,tech_data!$B$2:$K$15,10,FALSE)*1000</f>
        <v>2625429.3269803533</v>
      </c>
      <c r="AA56" s="30">
        <f>H32*VLOOKUP(AA$51,tech_data!$B$2:$K$15,10,FALSE)/1000</f>
        <v>-1.3732436046103435E-15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0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5040761.9752025222</v>
      </c>
      <c r="AK56" s="25">
        <f t="shared" si="59"/>
        <v>6.6999999999999782E-2</v>
      </c>
      <c r="AL56" s="24">
        <f t="shared" si="61"/>
        <v>5.2999999999999999E-2</v>
      </c>
      <c r="AM56" s="26"/>
      <c r="AN56" s="24"/>
      <c r="AO56" s="20" t="str">
        <f t="shared" si="56"/>
        <v>MALUKU_PAPUA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93.471882810431111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9.0004184980520305E-2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67.943661996379376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7.0779698234787505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-1.3135583719229753E-14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3.0049087614639758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5.3970610916669335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10.989470208709058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141.57272784226743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6.3966192007953129E-2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6.9708631638731713E-2</v>
      </c>
      <c r="BD56" s="30">
        <f t="shared" si="60"/>
        <v>329.6813615430238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MALUKU_PAPUA</v>
      </c>
      <c r="C57" s="20">
        <f t="shared" si="52"/>
        <v>2024</v>
      </c>
      <c r="D57" s="30">
        <f>(maluku_papua!D33*3.6/(VLOOKUP(D$51,tech_data!$B$2:$J$15,4,FALSE)/100))/1000</f>
        <v>18.299617743914979</v>
      </c>
      <c r="E57" s="30">
        <f>(maluku_papua!E33*3.6/(VLOOKUP(E$51,tech_data!$B$2:$J$15,4,FALSE)/100))/1000</f>
        <v>0.12069275361338036</v>
      </c>
      <c r="F57" s="30">
        <f>(maluku_papua!F33*3.6/(VLOOKUP(F$51,tech_data!$B$2:$J$15,4,FALSE)/100))/1000</f>
        <v>14.826582901532571</v>
      </c>
      <c r="G57" s="30">
        <f>(maluku_papua!G33*3.6/(VLOOKUP(G$51,tech_data!$B$2:$J$15,4,FALSE)/100))/1000</f>
        <v>34.926557496080264</v>
      </c>
      <c r="H57" s="30">
        <f>(maluku_papua!H33*3.6/(VLOOKUP(H$51,tech_data!$B$2:$J$15,4,FALSE)/100))/1000</f>
        <v>-2.6666666531998792E-8</v>
      </c>
      <c r="I57" s="30">
        <f>(maluku_papua!I33*3.6/(VLOOKUP(I$51,tech_data!$B$2:$J$15,4,FALSE)/100))/1000</f>
        <v>1.062731922633857</v>
      </c>
      <c r="J57" s="30">
        <f>(maluku_papua!J33*3.6/(VLOOKUP(J$51,tech_data!$B$2:$J$15,4,FALSE)/100))/1000</f>
        <v>4.1924041139361465</v>
      </c>
      <c r="K57" s="30">
        <f t="shared" si="57"/>
        <v>2.3514219513500394</v>
      </c>
      <c r="L57" s="30">
        <f t="shared" si="57"/>
        <v>1.8003619094788643</v>
      </c>
      <c r="M57" s="30">
        <f>(maluku_papua!M33*3.6/(VLOOKUP(M$51,tech_data!$B$2:$J$15,4,FALSE)/100))/1000</f>
        <v>0</v>
      </c>
      <c r="N57" s="30">
        <f t="shared" si="58"/>
        <v>3.0743567187536129E-3</v>
      </c>
      <c r="O57" s="30">
        <f>(maluku_papua!O33*3.6/(VLOOKUP(O$51,tech_data!$B$2:$J$15,4,FALSE)/100))/1000</f>
        <v>0</v>
      </c>
      <c r="P57" s="30">
        <v>0</v>
      </c>
      <c r="Q57" s="30">
        <f t="shared" si="53"/>
        <v>77.583445122592195</v>
      </c>
      <c r="R57" s="30"/>
      <c r="T57" s="19"/>
      <c r="U57" s="20" t="str">
        <f t="shared" si="54"/>
        <v>MALUKU_PAPUA</v>
      </c>
      <c r="V57" s="20">
        <f t="shared" si="54"/>
        <v>2024</v>
      </c>
      <c r="W57" s="30">
        <f>D57*VLOOKUP(W$51,tech_data!$B$2:$K$15,10,FALSE)*1000</f>
        <v>1824837.8814232016</v>
      </c>
      <c r="X57" s="30">
        <f>E57*VLOOKUP(X$51,tech_data!$B$2:$K$15,10,FALSE)*1000</f>
        <v>7495.01999939092</v>
      </c>
      <c r="Y57" s="30">
        <f>F57*VLOOKUP(Y$51,tech_data!$B$2:$K$15,10,FALSE)*1000</f>
        <v>920730.79818517272</v>
      </c>
      <c r="Z57" s="30">
        <f>G57*VLOOKUP(Z$51,tech_data!$B$2:$K$15,10,FALSE)*1000</f>
        <v>2625429.3269803533</v>
      </c>
      <c r="AA57" s="30">
        <f>H33*VLOOKUP(AA$51,tech_data!$B$2:$K$15,10,FALSE)/1000</f>
        <v>-6.289999968235215E-8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0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5378493.0265880553</v>
      </c>
      <c r="AK57" s="25">
        <f t="shared" si="59"/>
        <v>6.6999999810934158E-2</v>
      </c>
      <c r="AL57" s="24">
        <f t="shared" si="61"/>
        <v>5.2999999999999999E-2</v>
      </c>
      <c r="AM57" s="26"/>
      <c r="AN57" s="24"/>
      <c r="AO57" s="20" t="str">
        <f t="shared" si="56"/>
        <v>MALUKU_PAPUA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99.696756027988755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9.0003435812791091E-2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76.04580413378325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7.0779698234787505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-6.0166178177160853E-7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29.9662712858389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137.16703647164465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3.8346737628017604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18.697585569123202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0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3.7832987622428482E-2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6.0606232831780099E-2</v>
      </c>
      <c r="BD57" s="30">
        <f t="shared" si="60"/>
        <v>372.67453912926447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MALUKU_PAPUA</v>
      </c>
      <c r="C58" s="20">
        <f t="shared" si="52"/>
        <v>2025</v>
      </c>
      <c r="D58" s="30">
        <f>(maluku_papua!D34*3.6/(VLOOKUP(D$51,tech_data!$B$2:$J$15,4,FALSE)/100))/1000</f>
        <v>20.883576756435385</v>
      </c>
      <c r="E58" s="30">
        <f>(maluku_papua!E34*3.6/(VLOOKUP(E$51,tech_data!$B$2:$J$15,4,FALSE)/100))/1000</f>
        <v>0.12069272344016184</v>
      </c>
      <c r="F58" s="30">
        <f>(maluku_papua!F34*3.6/(VLOOKUP(F$51,tech_data!$B$2:$J$15,4,FALSE)/100))/1000</f>
        <v>16.480152084902979</v>
      </c>
      <c r="G58" s="30">
        <f>(maluku_papua!G34*3.6/(VLOOKUP(G$51,tech_data!$B$2:$J$15,4,FALSE)/100))/1000</f>
        <v>34.926557496080264</v>
      </c>
      <c r="H58" s="30">
        <f>(maluku_papua!H34*3.6/(VLOOKUP(H$51,tech_data!$B$2:$J$15,4,FALSE)/100))/1000</f>
        <v>-2.6666666531998792E-8</v>
      </c>
      <c r="I58" s="30">
        <f>(maluku_papua!I34*3.6/(VLOOKUP(I$51,tech_data!$B$2:$J$15,4,FALSE)/100))/1000</f>
        <v>2.0578169128531045</v>
      </c>
      <c r="J58" s="30">
        <f>(maluku_papua!J34*3.6/(VLOOKUP(J$51,tech_data!$B$2:$J$15,4,FALSE)/100))/1000</f>
        <v>4.3635562141934745</v>
      </c>
      <c r="K58" s="30">
        <f t="shared" si="57"/>
        <v>2.5089942679656581</v>
      </c>
      <c r="L58" s="30">
        <f t="shared" si="57"/>
        <v>2.1375750500214319</v>
      </c>
      <c r="M58" s="30">
        <f>(maluku_papua!M34*3.6/(VLOOKUP(M$51,tech_data!$B$2:$J$15,4,FALSE)/100))/1000</f>
        <v>0</v>
      </c>
      <c r="N58" s="30">
        <f t="shared" si="58"/>
        <v>3.0745189839207756E-3</v>
      </c>
      <c r="O58" s="30">
        <f>(maluku_papua!O34*3.6/(VLOOKUP(O$51,tech_data!$B$2:$J$15,4,FALSE)/100))/1000</f>
        <v>0</v>
      </c>
      <c r="P58" s="30">
        <v>0</v>
      </c>
      <c r="Q58" s="30">
        <f t="shared" si="53"/>
        <v>83.481995998209712</v>
      </c>
      <c r="R58" s="30"/>
      <c r="T58" s="19"/>
      <c r="U58" s="20" t="str">
        <f t="shared" si="54"/>
        <v>MALUKU_PAPUA</v>
      </c>
      <c r="V58" s="20">
        <f t="shared" si="54"/>
        <v>2025</v>
      </c>
      <c r="W58" s="30">
        <f>D58*VLOOKUP(W$51,tech_data!$B$2:$K$15,10,FALSE)*1000</f>
        <v>2082510.2741517366</v>
      </c>
      <c r="X58" s="30">
        <f>E58*VLOOKUP(X$51,tech_data!$B$2:$K$15,10,FALSE)*1000</f>
        <v>7495.0181256340511</v>
      </c>
      <c r="Y58" s="30">
        <f>F58*VLOOKUP(Y$51,tech_data!$B$2:$K$15,10,FALSE)*1000</f>
        <v>1023417.4444724751</v>
      </c>
      <c r="Z58" s="30">
        <f>G58*VLOOKUP(Z$51,tech_data!$B$2:$K$15,10,FALSE)*1000</f>
        <v>2625429.3269803533</v>
      </c>
      <c r="AA58" s="30">
        <f>H34*VLOOKUP(AA$51,tech_data!$B$2:$K$15,10,FALSE)/1000</f>
        <v>-6.289999968235215E-8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0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5738852.0637301356</v>
      </c>
      <c r="AK58" s="25">
        <f t="shared" si="59"/>
        <v>6.7000000810762517E-2</v>
      </c>
      <c r="AL58" s="24">
        <f t="shared" si="61"/>
        <v>5.2999999999999999E-2</v>
      </c>
      <c r="AM58" s="26"/>
      <c r="AN58" s="24"/>
      <c r="AO58" s="20" t="str">
        <f t="shared" si="56"/>
        <v>MALUKU_PAPUA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106.04447609417957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9.0003413311727967E-2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85.254194573929851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7.0779698234787505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-7.5921808195123444E-9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127.4641866447646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24.722289121720966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30.716303119474382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49.110364534549085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0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3.7907279244970164E-2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7.2454895874114328E-2</v>
      </c>
      <c r="BD58" s="30">
        <f t="shared" si="60"/>
        <v>430.59014949293584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0</v>
      </c>
      <c r="BK58" s="20" t="b">
        <f>$AK$55&lt;=$AL$55</f>
        <v>0</v>
      </c>
      <c r="BL58" s="20" t="b">
        <f>$AK$56&lt;=$AL$56</f>
        <v>0</v>
      </c>
      <c r="BM58" s="20" t="b">
        <f>$AK$57&lt;=$AL$57</f>
        <v>0</v>
      </c>
      <c r="BN58" s="20" t="b">
        <f>$AK$58&lt;=$AL$58</f>
        <v>0</v>
      </c>
      <c r="BO58" s="20" t="b">
        <f>$AK$59&lt;=$AL$59</f>
        <v>0</v>
      </c>
      <c r="BP58" s="20" t="b">
        <f>$AK$60&lt;=$AL$60</f>
        <v>0</v>
      </c>
      <c r="BQ58" s="20" t="b">
        <f>$AK$61&lt;=$AL$61</f>
        <v>0</v>
      </c>
      <c r="BR58" s="20" t="b">
        <f>$AK$62&lt;=$AL$62</f>
        <v>0</v>
      </c>
      <c r="BS58" s="20" t="b">
        <f>$AK$63&lt;=$AL$63</f>
        <v>0</v>
      </c>
      <c r="BT58" s="20" t="b">
        <f>$AK$64&lt;=$AL$64</f>
        <v>0</v>
      </c>
      <c r="BU58" s="20" t="b">
        <f>$AK$65&lt;=$AL$65</f>
        <v>0</v>
      </c>
      <c r="BV58" s="20" t="b">
        <f>$AK$66&lt;=$AL$66</f>
        <v>0</v>
      </c>
      <c r="BW58" s="20" t="b">
        <f>$AK$67&lt;=$AL$67</f>
        <v>0</v>
      </c>
      <c r="BX58" s="20" t="b">
        <f>$AK$68&lt;=$AL$68</f>
        <v>0</v>
      </c>
      <c r="BY58" s="20" t="b">
        <f>$AK$69&lt;=$AL$69</f>
        <v>0</v>
      </c>
      <c r="BZ58" s="20" t="b">
        <f>$AK$70&lt;=$AL$70</f>
        <v>0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MALUKU_PAPUA</v>
      </c>
      <c r="C59" s="20">
        <f t="shared" si="52"/>
        <v>2026</v>
      </c>
      <c r="D59" s="30">
        <f>(maluku_papua!D35*3.6/(VLOOKUP(D$51,tech_data!$B$2:$J$15,4,FALSE)/100))/1000</f>
        <v>23.862981852374666</v>
      </c>
      <c r="E59" s="30">
        <f>(maluku_papua!E35*3.6/(VLOOKUP(E$51,tech_data!$B$2:$J$15,4,FALSE)/100))/1000</f>
        <v>0.12069272344016184</v>
      </c>
      <c r="F59" s="30">
        <f>(maluku_papua!F35*3.6/(VLOOKUP(F$51,tech_data!$B$2:$J$15,4,FALSE)/100))/1000</f>
        <v>17.887508157411688</v>
      </c>
      <c r="G59" s="30">
        <f>(maluku_papua!G35*3.6/(VLOOKUP(G$51,tech_data!$B$2:$J$15,4,FALSE)/100))/1000</f>
        <v>34.926557496080264</v>
      </c>
      <c r="H59" s="30">
        <f>(maluku_papua!H35*3.6/(VLOOKUP(H$51,tech_data!$B$2:$J$15,4,FALSE)/100))/1000</f>
        <v>0</v>
      </c>
      <c r="I59" s="30">
        <f>(maluku_papua!I35*3.6/(VLOOKUP(I$51,tech_data!$B$2:$J$15,4,FALSE)/100))/1000</f>
        <v>2.3072045309852514</v>
      </c>
      <c r="J59" s="30">
        <f>(maluku_papua!J35*3.6/(VLOOKUP(J$51,tech_data!$B$2:$J$15,4,FALSE)/100))/1000</f>
        <v>4.8675402857244823</v>
      </c>
      <c r="K59" s="30">
        <f t="shared" si="57"/>
        <v>2.5424994190644599</v>
      </c>
      <c r="L59" s="30">
        <f t="shared" si="57"/>
        <v>2.2465796693633155</v>
      </c>
      <c r="M59" s="30">
        <f>(maluku_papua!M35*3.6/(VLOOKUP(M$51,tech_data!$B$2:$J$15,4,FALSE)/100))/1000</f>
        <v>0</v>
      </c>
      <c r="N59" s="30">
        <f t="shared" si="58"/>
        <v>3.6549610143269788E-3</v>
      </c>
      <c r="O59" s="30">
        <f>(maluku_papua!O35*3.6/(VLOOKUP(O$51,tech_data!$B$2:$J$15,4,FALSE)/100))/1000</f>
        <v>0</v>
      </c>
      <c r="P59" s="30">
        <v>0</v>
      </c>
      <c r="Q59" s="30">
        <f t="shared" si="53"/>
        <v>88.765219095458619</v>
      </c>
      <c r="R59" s="30"/>
      <c r="T59" s="19"/>
      <c r="U59" s="20" t="str">
        <f t="shared" si="54"/>
        <v>MALUKU_PAPUA</v>
      </c>
      <c r="V59" s="20">
        <f t="shared" si="54"/>
        <v>2026</v>
      </c>
      <c r="W59" s="30">
        <f>D59*VLOOKUP(W$51,tech_data!$B$2:$K$15,10,FALSE)*1000</f>
        <v>2379616.5503188018</v>
      </c>
      <c r="X59" s="30">
        <f>E59*VLOOKUP(X$51,tech_data!$B$2:$K$15,10,FALSE)*1000</f>
        <v>7495.0181256340511</v>
      </c>
      <c r="Y59" s="30">
        <f>F59*VLOOKUP(Y$51,tech_data!$B$2:$K$15,10,FALSE)*1000</f>
        <v>1110814.2565752657</v>
      </c>
      <c r="Z59" s="30">
        <f>G59*VLOOKUP(Z$51,tech_data!$B$2:$K$15,10,FALSE)*1000</f>
        <v>2625429.3269803533</v>
      </c>
      <c r="AA59" s="30">
        <f>H35*VLOOKUP(AA$51,tech_data!$B$2:$K$15,10,FALSE)/1000</f>
        <v>0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0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6123355.1520000547</v>
      </c>
      <c r="AK59" s="25">
        <f t="shared" si="59"/>
        <v>6.7000000000000018E-2</v>
      </c>
      <c r="AL59" s="24">
        <f t="shared" si="61"/>
        <v>5.2999999999999999E-2</v>
      </c>
      <c r="AM59" s="26"/>
      <c r="AN59" s="24"/>
      <c r="AO59" s="20" t="str">
        <f t="shared" si="56"/>
        <v>MALUKU_PAPUA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122.05143289665011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9.0004139978394085E-2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77.714620340118927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7.0779698234787505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5.9406961392192596E-7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35.97217972336162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57.70585240735241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9.8075755909278772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23.096614823783916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0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0.3035850587587911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5.5227751593794373E-2</v>
      </c>
      <c r="BD59" s="30">
        <f t="shared" si="60"/>
        <v>333.8750631500742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0</v>
      </c>
      <c r="BM59" s="20" t="b">
        <f>$AQ$33&gt;=$AW$33</f>
        <v>0</v>
      </c>
      <c r="BN59" s="20" t="b">
        <f>$AQ$34&gt;=$AW$34</f>
        <v>0</v>
      </c>
      <c r="BO59" s="20" t="b">
        <f>$AQ$35&gt;=$AW$35</f>
        <v>0</v>
      </c>
      <c r="BP59" s="20" t="b">
        <f>$AQ$36&gt;=$AW$36</f>
        <v>0</v>
      </c>
      <c r="BQ59" s="20" t="b">
        <f>$AQ$37&gt;=$AW$37</f>
        <v>0</v>
      </c>
      <c r="BR59" s="20" t="b">
        <f>$AQ$38&gt;=$AW$38</f>
        <v>0</v>
      </c>
      <c r="BS59" s="20" t="b">
        <f>$AQ$39&gt;=$AW$39</f>
        <v>0</v>
      </c>
      <c r="BT59" s="20" t="b">
        <f>$AQ$40&gt;=$AW$40</f>
        <v>0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MALUKU_PAPUA</v>
      </c>
      <c r="C60" s="20">
        <f t="shared" si="52"/>
        <v>2027</v>
      </c>
      <c r="D60" s="30">
        <f>(maluku_papua!D36*3.6/(VLOOKUP(D$51,tech_data!$B$2:$J$15,4,FALSE)/100))/1000</f>
        <v>27.022158523684386</v>
      </c>
      <c r="E60" s="30">
        <f>(maluku_papua!E36*3.6/(VLOOKUP(E$51,tech_data!$B$2:$J$15,4,FALSE)/100))/1000</f>
        <v>0.12069269326694325</v>
      </c>
      <c r="F60" s="30">
        <f>(maluku_papua!F36*3.6/(VLOOKUP(F$51,tech_data!$B$2:$J$15,4,FALSE)/100))/1000</f>
        <v>19.421029888738882</v>
      </c>
      <c r="G60" s="30">
        <f>(maluku_papua!G36*3.6/(VLOOKUP(G$51,tech_data!$B$2:$J$15,4,FALSE)/100))/1000</f>
        <v>34.926557496080264</v>
      </c>
      <c r="H60" s="30">
        <f>(maluku_papua!H36*3.6/(VLOOKUP(H$51,tech_data!$B$2:$J$15,4,FALSE)/100))/1000</f>
        <v>-2.6666666564582243E-8</v>
      </c>
      <c r="I60" s="30">
        <f>(maluku_papua!I36*3.6/(VLOOKUP(I$51,tech_data!$B$2:$J$15,4,FALSE)/100))/1000</f>
        <v>2.5549634289557566</v>
      </c>
      <c r="J60" s="30">
        <f>(maluku_papua!J36*3.6/(VLOOKUP(J$51,tech_data!$B$2:$J$15,4,FALSE)/100))/1000</f>
        <v>5.4636370403806289</v>
      </c>
      <c r="K60" s="30">
        <f t="shared" si="57"/>
        <v>2.5662997224513018</v>
      </c>
      <c r="L60" s="30">
        <f t="shared" si="57"/>
        <v>2.3605981778683391</v>
      </c>
      <c r="M60" s="30">
        <f>(maluku_papua!M36*3.6/(VLOOKUP(M$51,tech_data!$B$2:$J$15,4,FALSE)/100))/1000</f>
        <v>0</v>
      </c>
      <c r="N60" s="30">
        <f t="shared" si="58"/>
        <v>4.1852975577546855E-3</v>
      </c>
      <c r="O60" s="30">
        <f>(maluku_papua!O36*3.6/(VLOOKUP(O$51,tech_data!$B$2:$J$15,4,FALSE)/100))/1000</f>
        <v>0</v>
      </c>
      <c r="P60" s="30">
        <v>0</v>
      </c>
      <c r="Q60" s="30">
        <f t="shared" si="53"/>
        <v>94.440122242317599</v>
      </c>
      <c r="R60" s="30"/>
      <c r="T60" s="19"/>
      <c r="U60" s="20" t="str">
        <f t="shared" si="54"/>
        <v>MALUKU_PAPUA</v>
      </c>
      <c r="V60" s="20">
        <f t="shared" si="54"/>
        <v>2027</v>
      </c>
      <c r="W60" s="30">
        <f>D60*VLOOKUP(W$51,tech_data!$B$2:$K$15,10,FALSE)*1000</f>
        <v>2694649.6479818071</v>
      </c>
      <c r="X60" s="30">
        <f>E60*VLOOKUP(X$51,tech_data!$B$2:$K$15,10,FALSE)*1000</f>
        <v>7495.0162518771758</v>
      </c>
      <c r="Y60" s="30">
        <f>F60*VLOOKUP(Y$51,tech_data!$B$2:$K$15,10,FALSE)*1000</f>
        <v>1206045.9560906845</v>
      </c>
      <c r="Z60" s="30">
        <f>G60*VLOOKUP(Z$51,tech_data!$B$2:$K$15,10,FALSE)*1000</f>
        <v>2625429.3269803533</v>
      </c>
      <c r="AA60" s="30">
        <f>H36*VLOOKUP(AA$51,tech_data!$B$2:$K$15,10,FALSE)/1000</f>
        <v>-6.2899999759208373E-8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0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6533619.9473046586</v>
      </c>
      <c r="AK60" s="25">
        <f t="shared" si="59"/>
        <v>6.7000000019695125E-2</v>
      </c>
      <c r="AL60" s="24">
        <f t="shared" si="61"/>
        <v>5.2999999999999999E-2</v>
      </c>
      <c r="AM60" s="26"/>
      <c r="AN60" s="24"/>
      <c r="AO60" s="20" t="str">
        <f t="shared" si="56"/>
        <v>MALUKU_PAPUA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131.17776574041596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9.0003390810664372E-2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84.588017754293887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7.0779698234787505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-6.0166179547659654E-7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36.328076397853167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67.69763104438826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8.206581215172152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24.20858222932543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0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0.28778763077322567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5.9116338795292642E-2</v>
      </c>
      <c r="BD60" s="30">
        <f t="shared" si="60"/>
        <v>359.72153096364502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0</v>
      </c>
      <c r="BM60" s="20" t="b">
        <f>$AR$33&gt;=$AX$33</f>
        <v>0</v>
      </c>
      <c r="BN60" s="20" t="b">
        <f>$AR$34&gt;=$AX$34</f>
        <v>0</v>
      </c>
      <c r="BO60" s="20" t="b">
        <f>$AR$35&gt;=$AX$35</f>
        <v>0</v>
      </c>
      <c r="BP60" s="20" t="b">
        <f>$AR$36&gt;=$AX$36</f>
        <v>1</v>
      </c>
      <c r="BQ60" s="20" t="b">
        <f>$AR$37&gt;=$AX$37</f>
        <v>0</v>
      </c>
      <c r="BR60" s="20" t="b">
        <f>$AR$38&gt;=$AX$38</f>
        <v>0</v>
      </c>
      <c r="BS60" s="20" t="b">
        <f>$AR$39&gt;=$AX$39</f>
        <v>0</v>
      </c>
      <c r="BT60" s="20" t="b">
        <f>$AR$40&gt;=$AX$40</f>
        <v>0</v>
      </c>
      <c r="BU60" s="20" t="b">
        <f>$AR$41&gt;=$AX$41</f>
        <v>1</v>
      </c>
      <c r="BV60" s="20" t="b">
        <f>$AR$42&gt;=$AX$42</f>
        <v>0</v>
      </c>
      <c r="BW60" s="20" t="b">
        <f>$AR$43&gt;=$AX$43</f>
        <v>0</v>
      </c>
      <c r="BX60" s="20" t="b">
        <f>$AR$44&gt;=$AX$44</f>
        <v>0</v>
      </c>
      <c r="BY60" s="20" t="b">
        <f>$AR$45&gt;=$AX$45</f>
        <v>0</v>
      </c>
      <c r="BZ60" s="20" t="b">
        <f>$AR$46&gt;=$AX$46</f>
        <v>0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MALUKU_PAPUA</v>
      </c>
      <c r="C61" s="20">
        <f t="shared" si="52"/>
        <v>2028</v>
      </c>
      <c r="D61" s="30">
        <f>(maluku_papua!D37*3.6/(VLOOKUP(D$51,tech_data!$B$2:$J$15,4,FALSE)/100))/1000</f>
        <v>30.371121106363656</v>
      </c>
      <c r="E61" s="30">
        <f>(maluku_papua!E37*3.6/(VLOOKUP(E$51,tech_data!$B$2:$J$15,4,FALSE)/100))/1000</f>
        <v>0.12069266309372469</v>
      </c>
      <c r="F61" s="30">
        <f>(maluku_papua!F37*3.6/(VLOOKUP(F$51,tech_data!$B$2:$J$15,4,FALSE)/100))/1000</f>
        <v>21.092430687423743</v>
      </c>
      <c r="G61" s="30">
        <f>(maluku_papua!G37*3.6/(VLOOKUP(G$51,tech_data!$B$2:$J$15,4,FALSE)/100))/1000</f>
        <v>34.926557496080264</v>
      </c>
      <c r="H61" s="30">
        <f>(maluku_papua!H37*3.6/(VLOOKUP(H$51,tech_data!$B$2:$J$15,4,FALSE)/100))/1000</f>
        <v>-5.8219123815672382E-16</v>
      </c>
      <c r="I61" s="30">
        <f>(maluku_papua!I37*3.6/(VLOOKUP(I$51,tech_data!$B$2:$J$15,4,FALSE)/100))/1000</f>
        <v>2.5549634289557566</v>
      </c>
      <c r="J61" s="30">
        <f>(maluku_papua!J37*3.6/(VLOOKUP(J$51,tech_data!$B$2:$J$15,4,FALSE)/100))/1000</f>
        <v>5.4636370137448376</v>
      </c>
      <c r="K61" s="30">
        <f t="shared" si="57"/>
        <v>2.6561950919962558</v>
      </c>
      <c r="L61" s="30">
        <f t="shared" si="57"/>
        <v>3.1941195605868167</v>
      </c>
      <c r="M61" s="30">
        <f>(maluku_papua!M37*3.6/(VLOOKUP(M$51,tech_data!$B$2:$J$15,4,FALSE)/100))/1000</f>
        <v>0</v>
      </c>
      <c r="N61" s="30">
        <f t="shared" si="58"/>
        <v>4.8231059394411675E-3</v>
      </c>
      <c r="O61" s="30">
        <f>(maluku_papua!O37*3.6/(VLOOKUP(O$51,tech_data!$B$2:$J$15,4,FALSE)/100))/1000</f>
        <v>0</v>
      </c>
      <c r="P61" s="30">
        <v>0</v>
      </c>
      <c r="Q61" s="30">
        <f t="shared" si="53"/>
        <v>100.38454015418449</v>
      </c>
      <c r="R61" s="30"/>
      <c r="T61" s="19"/>
      <c r="U61" s="20" t="str">
        <f t="shared" si="54"/>
        <v>MALUKU_PAPUA</v>
      </c>
      <c r="V61" s="20">
        <f t="shared" si="54"/>
        <v>2028</v>
      </c>
      <c r="W61" s="30">
        <f>D61*VLOOKUP(W$51,tech_data!$B$2:$K$15,10,FALSE)*1000</f>
        <v>3028608.1967265834</v>
      </c>
      <c r="X61" s="30">
        <f>E61*VLOOKUP(X$51,tech_data!$B$2:$K$15,10,FALSE)*1000</f>
        <v>7495.0143781203033</v>
      </c>
      <c r="Y61" s="30">
        <f>F61*VLOOKUP(Y$51,tech_data!$B$2:$K$15,10,FALSE)*1000</f>
        <v>1309839.9456890144</v>
      </c>
      <c r="Z61" s="30">
        <f>G61*VLOOKUP(Z$51,tech_data!$B$2:$K$15,10,FALSE)*1000</f>
        <v>2625429.3269803533</v>
      </c>
      <c r="AA61" s="30">
        <f>H37*VLOOKUP(AA$51,tech_data!$B$2:$K$15,10,FALSE)/1000</f>
        <v>-1.3732435830021722E-15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0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6971372.4837740716</v>
      </c>
      <c r="AK61" s="25">
        <f t="shared" si="59"/>
        <v>6.7000000000000129E-2</v>
      </c>
      <c r="AL61" s="24">
        <f t="shared" si="61"/>
        <v>5.2999999999999999E-2</v>
      </c>
      <c r="AM61" s="26"/>
      <c r="AN61" s="24"/>
      <c r="AO61" s="20" t="str">
        <f t="shared" si="56"/>
        <v>MALUKU_PAPUA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140.82663263849994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9.0003368309601747E-2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92.093550472316224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7.0779698234787505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5.9406960151222402E-7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5.7434758516098015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10.331406630093875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19.521125594084928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111.69045098829713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0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0.34351894241332331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7.3986010666268823E-2</v>
      </c>
      <c r="BD61" s="30">
        <f t="shared" si="60"/>
        <v>387.79212091383943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MALUKU_PAPUA</v>
      </c>
      <c r="C62" s="20">
        <f t="shared" si="52"/>
        <v>2029</v>
      </c>
      <c r="D62" s="30">
        <f>(maluku_papua!D38*3.6/(VLOOKUP(D$51,tech_data!$B$2:$J$15,4,FALSE)/100))/1000</f>
        <v>33.920396138955176</v>
      </c>
      <c r="E62" s="30">
        <f>(maluku_papua!E38*3.6/(VLOOKUP(E$51,tech_data!$B$2:$J$15,4,FALSE)/100))/1000</f>
        <v>0.12069263292050614</v>
      </c>
      <c r="F62" s="30">
        <f>(maluku_papua!F38*3.6/(VLOOKUP(F$51,tech_data!$B$2:$J$15,4,FALSE)/100))/1000</f>
        <v>22.914463731491239</v>
      </c>
      <c r="G62" s="30">
        <f>(maluku_papua!G38*3.6/(VLOOKUP(G$51,tech_data!$B$2:$J$15,4,FALSE)/100))/1000</f>
        <v>34.926557496080264</v>
      </c>
      <c r="H62" s="30">
        <f>(maluku_papua!H38*3.6/(VLOOKUP(H$51,tech_data!$B$2:$J$15,4,FALSE)/100))/1000</f>
        <v>-5.8219123815672382E-16</v>
      </c>
      <c r="I62" s="30">
        <f>(maluku_papua!I38*3.6/(VLOOKUP(I$51,tech_data!$B$2:$J$15,4,FALSE)/100))/1000</f>
        <v>2.7853170011807613</v>
      </c>
      <c r="J62" s="30">
        <f>(maluku_papua!J38*3.6/(VLOOKUP(J$51,tech_data!$B$2:$J$15,4,FALSE)/100))/1000</f>
        <v>6.2851212060305128</v>
      </c>
      <c r="K62" s="30">
        <f t="shared" si="57"/>
        <v>2.6797247443777041</v>
      </c>
      <c r="L62" s="30">
        <f t="shared" si="57"/>
        <v>3.2974500832693789</v>
      </c>
      <c r="M62" s="30">
        <f>(maluku_papua!M38*3.6/(VLOOKUP(M$51,tech_data!$B$2:$J$15,4,FALSE)/100))/1000</f>
        <v>0</v>
      </c>
      <c r="N62" s="30">
        <f t="shared" si="58"/>
        <v>5.9912399090832876E-3</v>
      </c>
      <c r="O62" s="30">
        <f>(maluku_papua!O38*3.6/(VLOOKUP(O$51,tech_data!$B$2:$J$15,4,FALSE)/100))/1000</f>
        <v>0</v>
      </c>
      <c r="P62" s="30">
        <v>0</v>
      </c>
      <c r="Q62" s="30">
        <f t="shared" si="53"/>
        <v>106.93571427421462</v>
      </c>
      <c r="R62" s="30"/>
      <c r="T62" s="19"/>
      <c r="U62" s="20" t="str">
        <f t="shared" si="54"/>
        <v>MALUKU_PAPUA</v>
      </c>
      <c r="V62" s="20">
        <f t="shared" si="54"/>
        <v>2029</v>
      </c>
      <c r="W62" s="30">
        <f>D62*VLOOKUP(W$51,tech_data!$B$2:$K$15,10,FALSE)*1000</f>
        <v>3382541.9029766102</v>
      </c>
      <c r="X62" s="30">
        <f>E62*VLOOKUP(X$51,tech_data!$B$2:$K$15,10,FALSE)*1000</f>
        <v>7495.0125043634307</v>
      </c>
      <c r="Y62" s="30">
        <f>F62*VLOOKUP(Y$51,tech_data!$B$2:$K$15,10,FALSE)*1000</f>
        <v>1422988.1977256059</v>
      </c>
      <c r="Z62" s="30">
        <f>G62*VLOOKUP(Z$51,tech_data!$B$2:$K$15,10,FALSE)*1000</f>
        <v>2625429.3269803533</v>
      </c>
      <c r="AA62" s="30">
        <f>H38*VLOOKUP(AA$51,tech_data!$B$2:$K$15,10,FALSE)/1000</f>
        <v>-1.3732435830021722E-15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0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7438454.4401869327</v>
      </c>
      <c r="AK62" s="25">
        <f t="shared" si="59"/>
        <v>6.6999999999999754E-2</v>
      </c>
      <c r="AL62" s="24">
        <f t="shared" si="61"/>
        <v>5.2999999999999999E-2</v>
      </c>
      <c r="AM62" s="26"/>
      <c r="AN62" s="24"/>
      <c r="AO62" s="20" t="str">
        <f t="shared" si="56"/>
        <v>MALUKU_PAPUA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151.02559950771507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9.0003345808538651E-2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100.28801771633987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7.0779698234787505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-1.6575379402287501E-16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34.697303166323046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90.9414899081047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8.3458221977785456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27.31571434303897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0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0.59417252232628714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6.7938556092068697E-2</v>
      </c>
      <c r="BD62" s="30">
        <f t="shared" si="60"/>
        <v>420.44403108700578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0</v>
      </c>
      <c r="BK62" s="20" t="b">
        <f>$AT$31&gt;=$AZ$31</f>
        <v>1</v>
      </c>
      <c r="BL62" s="20" t="b">
        <f>$AT$32&gt;=$AZ$32</f>
        <v>0</v>
      </c>
      <c r="BM62" s="20" t="b">
        <f>$AT$33&gt;=$AZ$33</f>
        <v>0</v>
      </c>
      <c r="BN62" s="20" t="b">
        <f>$AT$34&gt;=$AZ$34</f>
        <v>1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1</v>
      </c>
      <c r="BS62" s="20" t="b">
        <f>$AT$39&gt;=$AZ$39</f>
        <v>1</v>
      </c>
      <c r="BT62" s="20" t="b">
        <f>$AT$40&gt;=$AZ$40</f>
        <v>0</v>
      </c>
      <c r="BU62" s="20" t="b">
        <f>$AT$41&gt;=$AZ$41</f>
        <v>1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MALUKU_PAPUA</v>
      </c>
      <c r="C63" s="20">
        <f t="shared" si="52"/>
        <v>2030</v>
      </c>
      <c r="D63" s="30">
        <f>(maluku_papua!D39*3.6/(VLOOKUP(D$51,tech_data!$B$2:$J$15,4,FALSE)/100))/1000</f>
        <v>37.680995422822612</v>
      </c>
      <c r="E63" s="30">
        <f>(maluku_papua!E39*3.6/(VLOOKUP(E$51,tech_data!$B$2:$J$15,4,FALSE)/100))/1000</f>
        <v>0.12069263292050614</v>
      </c>
      <c r="F63" s="30">
        <f>(maluku_papua!F39*3.6/(VLOOKUP(F$51,tech_data!$B$2:$J$15,4,FALSE)/100))/1000</f>
        <v>24.901089929643639</v>
      </c>
      <c r="G63" s="30">
        <f>(maluku_papua!G39*3.6/(VLOOKUP(G$51,tech_data!$B$2:$J$15,4,FALSE)/100))/1000</f>
        <v>34.926557496080264</v>
      </c>
      <c r="H63" s="30">
        <f>(maluku_papua!H39*3.6/(VLOOKUP(H$51,tech_data!$B$2:$J$15,4,FALSE)/100))/1000</f>
        <v>0</v>
      </c>
      <c r="I63" s="30">
        <f>(maluku_papua!I39*3.6/(VLOOKUP(I$51,tech_data!$B$2:$J$15,4,FALSE)/100))/1000</f>
        <v>3.1132757657923831</v>
      </c>
      <c r="J63" s="30">
        <f>(maluku_papua!J39*3.6/(VLOOKUP(J$51,tech_data!$B$2:$J$15,4,FALSE)/100))/1000</f>
        <v>7.0054348161747262</v>
      </c>
      <c r="K63" s="30">
        <f t="shared" si="57"/>
        <v>2.7335167389785218</v>
      </c>
      <c r="L63" s="30">
        <f t="shared" si="57"/>
        <v>3.4470753039608897</v>
      </c>
      <c r="M63" s="30">
        <f>(maluku_papua!M39*3.6/(VLOOKUP(M$51,tech_data!$B$2:$J$15,4,FALSE)/100))/1000</f>
        <v>0</v>
      </c>
      <c r="N63" s="30">
        <f t="shared" si="58"/>
        <v>5.9912399090832876E-3</v>
      </c>
      <c r="O63" s="30">
        <f>(maluku_papua!O39*3.6/(VLOOKUP(O$51,tech_data!$B$2:$J$15,4,FALSE)/100))/1000</f>
        <v>0</v>
      </c>
      <c r="P63" s="30">
        <v>0</v>
      </c>
      <c r="Q63" s="30">
        <f t="shared" si="53"/>
        <v>113.93462934628262</v>
      </c>
      <c r="R63" s="30"/>
      <c r="T63" s="19"/>
      <c r="U63" s="20" t="str">
        <f t="shared" si="54"/>
        <v>MALUKU_PAPUA</v>
      </c>
      <c r="V63" s="20">
        <f t="shared" si="54"/>
        <v>2030</v>
      </c>
      <c r="W63" s="30">
        <f>D63*VLOOKUP(W$51,tech_data!$B$2:$K$15,10,FALSE)*1000</f>
        <v>3757548.863563871</v>
      </c>
      <c r="X63" s="30">
        <f>E63*VLOOKUP(X$51,tech_data!$B$2:$K$15,10,FALSE)*1000</f>
        <v>7495.0125043634307</v>
      </c>
      <c r="Y63" s="30">
        <f>F63*VLOOKUP(Y$51,tech_data!$B$2:$K$15,10,FALSE)*1000</f>
        <v>1546357.6846308699</v>
      </c>
      <c r="Z63" s="30">
        <f>G63*VLOOKUP(Z$51,tech_data!$B$2:$K$15,10,FALSE)*1000</f>
        <v>2625429.3269803533</v>
      </c>
      <c r="AA63" s="30">
        <f>H39*VLOOKUP(AA$51,tech_data!$B$2:$K$15,10,FALSE)/1000</f>
        <v>0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0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7936830.8876794577</v>
      </c>
      <c r="AK63" s="25">
        <f t="shared" si="59"/>
        <v>6.700000000000006E-2</v>
      </c>
      <c r="AL63" s="24">
        <f t="shared" si="61"/>
        <v>5.2999999999999999E-2</v>
      </c>
      <c r="AM63" s="26"/>
      <c r="AN63" s="24"/>
      <c r="AO63" s="20" t="str">
        <f t="shared" si="56"/>
        <v>MALUKU_PAPUA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161.80184710110214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9.0004072475204769E-2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109.23625598289432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7.0779698234787505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1.2969829718516712E-14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47.483418259856556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82.567264308967296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13.546909765903608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33.390162999335701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0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7.3728108368387821E-2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7.3919107768772627E-2</v>
      </c>
      <c r="BD63" s="30">
        <f t="shared" si="60"/>
        <v>455.34147953015071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MALUKU_PAPUA</v>
      </c>
      <c r="C64" s="20">
        <f t="shared" si="52"/>
        <v>2031</v>
      </c>
      <c r="D64" s="30">
        <f>(maluku_papua!D40*3.6/(VLOOKUP(D$51,tech_data!$B$2:$J$15,4,FALSE)/100))/1000</f>
        <v>41.6644452618334</v>
      </c>
      <c r="E64" s="30">
        <f>(maluku_papua!E40*3.6/(VLOOKUP(E$51,tech_data!$B$2:$J$15,4,FALSE)/100))/1000</f>
        <v>0.12069263292050614</v>
      </c>
      <c r="F64" s="30">
        <f>(maluku_papua!F40*3.6/(VLOOKUP(F$51,tech_data!$B$2:$J$15,4,FALSE)/100))/1000</f>
        <v>27.067564203575873</v>
      </c>
      <c r="G64" s="30">
        <f>(maluku_papua!G40*3.6/(VLOOKUP(G$51,tech_data!$B$2:$J$15,4,FALSE)/100))/1000</f>
        <v>34.926557496080264</v>
      </c>
      <c r="H64" s="30">
        <f>(maluku_papua!H40*3.6/(VLOOKUP(H$51,tech_data!$B$2:$J$15,4,FALSE)/100))/1000</f>
        <v>-2.6666666564582243E-8</v>
      </c>
      <c r="I64" s="30">
        <f>(maluku_papua!I40*3.6/(VLOOKUP(I$51,tech_data!$B$2:$J$15,4,FALSE)/100))/1000</f>
        <v>3.5511484919520635</v>
      </c>
      <c r="J64" s="30">
        <f>(maluku_papua!J40*3.6/(VLOOKUP(J$51,tech_data!$B$2:$J$15,4,FALSE)/100))/1000</f>
        <v>7.5745749743340385</v>
      </c>
      <c r="K64" s="30">
        <f t="shared" si="57"/>
        <v>2.7437559673375871</v>
      </c>
      <c r="L64" s="30">
        <f t="shared" si="57"/>
        <v>3.7517711540809446</v>
      </c>
      <c r="M64" s="30">
        <f>(maluku_papua!M40*3.6/(VLOOKUP(M$51,tech_data!$B$2:$J$15,4,FALSE)/100))/1000</f>
        <v>0</v>
      </c>
      <c r="N64" s="30">
        <f t="shared" si="58"/>
        <v>5.9912399090832876E-3</v>
      </c>
      <c r="O64" s="30">
        <f>(maluku_papua!O40*3.6/(VLOOKUP(O$51,tech_data!$B$2:$J$15,4,FALSE)/100))/1000</f>
        <v>0</v>
      </c>
      <c r="P64" s="30">
        <v>0</v>
      </c>
      <c r="Q64" s="30">
        <f t="shared" si="53"/>
        <v>121.4065013953571</v>
      </c>
      <c r="R64" s="30"/>
      <c r="T64" s="19"/>
      <c r="U64" s="20" t="str">
        <f t="shared" si="54"/>
        <v>MALUKU_PAPUA</v>
      </c>
      <c r="V64" s="20">
        <f t="shared" si="54"/>
        <v>2031</v>
      </c>
      <c r="W64" s="30">
        <f>D64*VLOOKUP(W$51,tech_data!$B$2:$K$15,10,FALSE)*1000</f>
        <v>4154778.4815100268</v>
      </c>
      <c r="X64" s="30">
        <f>E64*VLOOKUP(X$51,tech_data!$B$2:$K$15,10,FALSE)*1000</f>
        <v>7495.0125043634307</v>
      </c>
      <c r="Y64" s="30">
        <f>F64*VLOOKUP(Y$51,tech_data!$B$2:$K$15,10,FALSE)*1000</f>
        <v>1680895.7370420618</v>
      </c>
      <c r="Z64" s="30">
        <f>G64*VLOOKUP(Z$51,tech_data!$B$2:$K$15,10,FALSE)*1000</f>
        <v>2625429.3269803533</v>
      </c>
      <c r="AA64" s="30">
        <f>H40*VLOOKUP(AA$51,tech_data!$B$2:$K$15,10,FALSE)/1000</f>
        <v>-6.2899999759208373E-8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0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8468598.5580367409</v>
      </c>
      <c r="AK64" s="25">
        <f t="shared" si="59"/>
        <v>6.7000000111223174E-2</v>
      </c>
      <c r="AL64" s="24">
        <f t="shared" si="61"/>
        <v>5.2999999999999999E-2</v>
      </c>
      <c r="AM64" s="26"/>
      <c r="AN64" s="24"/>
      <c r="AO64" s="20" t="str">
        <f t="shared" si="56"/>
        <v>MALUKU_PAPUA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173.18404124321961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9.0004072475204769E-2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119.00812977828592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7.0779698234787505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-6.0166179547659654E-7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62.036072591418069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69.09508126629801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6.2045887060351887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52.825193961712984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0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7.3728108368387821E-2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8.0790629452148488E-2</v>
      </c>
      <c r="BD64" s="30">
        <f t="shared" si="60"/>
        <v>489.67559957908247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MALUKU_PAPUA</v>
      </c>
      <c r="C65" s="20">
        <f t="shared" si="52"/>
        <v>2032</v>
      </c>
      <c r="D65" s="30">
        <f>(maluku_papua!D41*3.6/(VLOOKUP(D$51,tech_data!$B$2:$J$15,4,FALSE)/100))/1000</f>
        <v>45.882795521083168</v>
      </c>
      <c r="E65" s="30">
        <f>(maluku_papua!E41*3.6/(VLOOKUP(E$51,tech_data!$B$2:$J$15,4,FALSE)/100))/1000</f>
        <v>0.12069263292050614</v>
      </c>
      <c r="F65" s="30">
        <f>(maluku_papua!F41*3.6/(VLOOKUP(F$51,tech_data!$B$2:$J$15,4,FALSE)/100))/1000</f>
        <v>29.430562845669947</v>
      </c>
      <c r="G65" s="30">
        <f>(maluku_papua!G41*3.6/(VLOOKUP(G$51,tech_data!$B$2:$J$15,4,FALSE)/100))/1000</f>
        <v>34.926557496080264</v>
      </c>
      <c r="H65" s="30">
        <f>(maluku_papua!H41*3.6/(VLOOKUP(H$51,tech_data!$B$2:$J$15,4,FALSE)/100))/1000</f>
        <v>-2.6666666564582243E-8</v>
      </c>
      <c r="I65" s="30">
        <f>(maluku_papua!I41*3.6/(VLOOKUP(I$51,tech_data!$B$2:$J$15,4,FALSE)/100))/1000</f>
        <v>3.9466577264367917</v>
      </c>
      <c r="J65" s="30">
        <f>(maluku_papua!J41*3.6/(VLOOKUP(J$51,tech_data!$B$2:$J$15,4,FALSE)/100))/1000</f>
        <v>8.4094224932231345</v>
      </c>
      <c r="K65" s="30">
        <f t="shared" si="57"/>
        <v>2.8083014134435813</v>
      </c>
      <c r="L65" s="30">
        <f t="shared" si="57"/>
        <v>3.9321445618570898</v>
      </c>
      <c r="M65" s="30">
        <f>(maluku_papua!M41*3.6/(VLOOKUP(M$51,tech_data!$B$2:$J$15,4,FALSE)/100))/1000</f>
        <v>0</v>
      </c>
      <c r="N65" s="30">
        <f t="shared" si="58"/>
        <v>7.2151557277953179E-3</v>
      </c>
      <c r="O65" s="30">
        <f>(maluku_papua!O41*3.6/(VLOOKUP(O$51,tech_data!$B$2:$J$15,4,FALSE)/100))/1000</f>
        <v>0</v>
      </c>
      <c r="P65" s="30">
        <v>0</v>
      </c>
      <c r="Q65" s="30">
        <f t="shared" si="53"/>
        <v>129.46434981977563</v>
      </c>
      <c r="R65" s="30"/>
      <c r="T65" s="19"/>
      <c r="U65" s="20" t="str">
        <f t="shared" si="54"/>
        <v>MALUKU_PAPUA</v>
      </c>
      <c r="V65" s="20">
        <f t="shared" si="54"/>
        <v>2032</v>
      </c>
      <c r="W65" s="30">
        <f>D65*VLOOKUP(W$51,tech_data!$B$2:$K$15,10,FALSE)*1000</f>
        <v>4575432.3693624139</v>
      </c>
      <c r="X65" s="30">
        <f>E65*VLOOKUP(X$51,tech_data!$B$2:$K$15,10,FALSE)*1000</f>
        <v>7495.0125043634307</v>
      </c>
      <c r="Y65" s="30">
        <f>F65*VLOOKUP(Y$51,tech_data!$B$2:$K$15,10,FALSE)*1000</f>
        <v>1827637.9527161038</v>
      </c>
      <c r="Z65" s="30">
        <f>G65*VLOOKUP(Z$51,tech_data!$B$2:$K$15,10,FALSE)*1000</f>
        <v>2625429.3269803533</v>
      </c>
      <c r="AA65" s="30">
        <f>H41*VLOOKUP(AA$51,tech_data!$B$2:$K$15,10,FALSE)/1000</f>
        <v>-6.2899999759208373E-8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0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9035994.6615631711</v>
      </c>
      <c r="AK65" s="25">
        <f t="shared" si="59"/>
        <v>6.7000000016291777E-2</v>
      </c>
      <c r="AL65" s="24">
        <f t="shared" si="61"/>
        <v>5.2999999999999999E-2</v>
      </c>
      <c r="AM65" s="26"/>
      <c r="AN65" s="24"/>
      <c r="AO65" s="20" t="str">
        <f t="shared" si="56"/>
        <v>MALUKU_PAPUA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185.20168104543072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9.0004072475204769E-2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129.68027288688597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7.0779698234787505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-7.5921808287890724E-9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57.695602857889831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96.244454762916135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15.485855840913089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39.215212978664532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0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0.63408677077696163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8.5668350396377047E-2</v>
      </c>
      <c r="BD65" s="30">
        <f t="shared" si="60"/>
        <v>531.41080938223536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MALUKU_PAPUA</v>
      </c>
      <c r="C66" s="20">
        <f t="shared" si="52"/>
        <v>2033</v>
      </c>
      <c r="D66" s="30">
        <f>(maluku_papua!D42*3.6/(VLOOKUP(D$51,tech_data!$B$2:$J$15,4,FALSE)/100))/1000</f>
        <v>50.34863114925475</v>
      </c>
      <c r="E66" s="30">
        <f>(maluku_papua!E42*3.6/(VLOOKUP(E$51,tech_data!$B$2:$J$15,4,FALSE)/100))/1000</f>
        <v>0.12069260274728762</v>
      </c>
      <c r="F66" s="30">
        <f>(maluku_papua!F42*3.6/(VLOOKUP(F$51,tech_data!$B$2:$J$15,4,FALSE)/100))/1000</f>
        <v>32.008316716155896</v>
      </c>
      <c r="G66" s="30">
        <f>(maluku_papua!G42*3.6/(VLOOKUP(G$51,tech_data!$B$2:$J$15,4,FALSE)/100))/1000</f>
        <v>34.926557496080264</v>
      </c>
      <c r="H66" s="30">
        <f>(maluku_papua!H42*3.6/(VLOOKUP(H$51,tech_data!$B$2:$J$15,4,FALSE)/100))/1000</f>
        <v>0</v>
      </c>
      <c r="I66" s="30">
        <f>(maluku_papua!I42*3.6/(VLOOKUP(I$51,tech_data!$B$2:$J$15,4,FALSE)/100))/1000</f>
        <v>3.949057800973232</v>
      </c>
      <c r="J66" s="30">
        <f>(maluku_papua!J42*3.6/(VLOOKUP(J$51,tech_data!$B$2:$J$15,4,FALSE)/100))/1000</f>
        <v>9.0195968427617448</v>
      </c>
      <c r="K66" s="30">
        <f t="shared" si="57"/>
        <v>3.3230947590331903</v>
      </c>
      <c r="L66" s="30">
        <f t="shared" si="57"/>
        <v>4.3295215490128269</v>
      </c>
      <c r="M66" s="30">
        <f>(maluku_papua!M42*3.6/(VLOOKUP(M$51,tech_data!$B$2:$J$15,4,FALSE)/100))/1000</f>
        <v>0</v>
      </c>
      <c r="N66" s="30">
        <f t="shared" si="58"/>
        <v>7.2151557277953179E-3</v>
      </c>
      <c r="O66" s="30">
        <f>(maluku_papua!O42*3.6/(VLOOKUP(O$51,tech_data!$B$2:$J$15,4,FALSE)/100))/1000</f>
        <v>0</v>
      </c>
      <c r="P66" s="30">
        <v>0</v>
      </c>
      <c r="Q66" s="30">
        <f t="shared" si="53"/>
        <v>138.03268407174701</v>
      </c>
      <c r="R66" s="30"/>
      <c r="T66" s="19"/>
      <c r="U66" s="20" t="str">
        <f t="shared" si="54"/>
        <v>MALUKU_PAPUA</v>
      </c>
      <c r="V66" s="20">
        <f t="shared" si="54"/>
        <v>2033</v>
      </c>
      <c r="W66" s="30">
        <f>D66*VLOOKUP(W$51,tech_data!$B$2:$K$15,10,FALSE)*1000</f>
        <v>5020765.4982036836</v>
      </c>
      <c r="X66" s="30">
        <f>E66*VLOOKUP(X$51,tech_data!$B$2:$K$15,10,FALSE)*1000</f>
        <v>7495.0106306065618</v>
      </c>
      <c r="Y66" s="30">
        <f>F66*VLOOKUP(Y$51,tech_data!$B$2:$K$15,10,FALSE)*1000</f>
        <v>1987716.4680732812</v>
      </c>
      <c r="Z66" s="30">
        <f>G66*VLOOKUP(Z$51,tech_data!$B$2:$K$15,10,FALSE)*1000</f>
        <v>2625429.3269803533</v>
      </c>
      <c r="AA66" s="30">
        <f>H42*VLOOKUP(AA$51,tech_data!$B$2:$K$15,10,FALSE)/1000</f>
        <v>0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0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9641406.303887926</v>
      </c>
      <c r="AK66" s="25">
        <f t="shared" si="59"/>
        <v>6.7000000000002488E-2</v>
      </c>
      <c r="AL66" s="24">
        <f t="shared" si="61"/>
        <v>5.2999999999999999E-2</v>
      </c>
      <c r="AM66" s="26"/>
      <c r="AN66" s="24"/>
      <c r="AO66" s="20" t="str">
        <f t="shared" si="56"/>
        <v>MALUKU_PAPUA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197.88519141546055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9.0003323307475541E-2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141.33648956128133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7.0779698234787505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5.9406961464780715E-7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9.1736325257952611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75.776514726656359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92.402813581504859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66.277638640200735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0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8.8789598057521582E-2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0.10091768213316966</v>
      </c>
      <c r="BD66" s="30">
        <f t="shared" si="60"/>
        <v>590.20996147194546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MALUKU_PAPUA</v>
      </c>
      <c r="C67" s="20">
        <f t="shared" si="52"/>
        <v>2034</v>
      </c>
      <c r="D67" s="30">
        <f>(maluku_papua!D43*3.6/(VLOOKUP(D$51,tech_data!$B$2:$J$15,4,FALSE)/100))/1000</f>
        <v>55.075080144910764</v>
      </c>
      <c r="E67" s="30">
        <f>(maluku_papua!E43*3.6/(VLOOKUP(E$51,tech_data!$B$2:$J$15,4,FALSE)/100))/1000</f>
        <v>0.12069260274728762</v>
      </c>
      <c r="F67" s="30">
        <f>(maluku_papua!F43*3.6/(VLOOKUP(F$51,tech_data!$B$2:$J$15,4,FALSE)/100))/1000</f>
        <v>34.820760009451796</v>
      </c>
      <c r="G67" s="30">
        <f>(maluku_papua!G43*3.6/(VLOOKUP(G$51,tech_data!$B$2:$J$15,4,FALSE)/100))/1000</f>
        <v>34.926557496080264</v>
      </c>
      <c r="H67" s="30">
        <f>(maluku_papua!H43*3.6/(VLOOKUP(H$51,tech_data!$B$2:$J$15,4,FALSE)/100))/1000</f>
        <v>-5.8219127021972278E-16</v>
      </c>
      <c r="I67" s="30">
        <f>(maluku_papua!I43*3.6/(VLOOKUP(I$51,tech_data!$B$2:$J$15,4,FALSE)/100))/1000</f>
        <v>4.3820596748578273</v>
      </c>
      <c r="J67" s="30">
        <f>(maluku_papua!J43*3.6/(VLOOKUP(J$51,tech_data!$B$2:$J$15,4,FALSE)/100))/1000</f>
        <v>10.128624967430572</v>
      </c>
      <c r="K67" s="30">
        <f t="shared" si="57"/>
        <v>3.383821170300656</v>
      </c>
      <c r="L67" s="30">
        <f t="shared" si="57"/>
        <v>4.4957512306944691</v>
      </c>
      <c r="M67" s="30">
        <f>(maluku_papua!M43*3.6/(VLOOKUP(M$51,tech_data!$B$2:$J$15,4,FALSE)/100))/1000</f>
        <v>0</v>
      </c>
      <c r="N67" s="30">
        <f t="shared" si="58"/>
        <v>7.2665765349616005E-3</v>
      </c>
      <c r="O67" s="30">
        <f>(maluku_papua!O43*3.6/(VLOOKUP(O$51,tech_data!$B$2:$J$15,4,FALSE)/100))/1000</f>
        <v>0</v>
      </c>
      <c r="P67" s="30">
        <v>0</v>
      </c>
      <c r="Q67" s="30">
        <f t="shared" si="53"/>
        <v>147.34061387300858</v>
      </c>
      <c r="R67" s="30"/>
      <c r="T67" s="19"/>
      <c r="U67" s="20" t="str">
        <f t="shared" si="54"/>
        <v>MALUKU_PAPUA</v>
      </c>
      <c r="V67" s="20">
        <f t="shared" si="54"/>
        <v>2034</v>
      </c>
      <c r="W67" s="30">
        <f>D67*VLOOKUP(W$51,tech_data!$B$2:$K$15,10,FALSE)*1000</f>
        <v>5492086.9920505015</v>
      </c>
      <c r="X67" s="30">
        <f>E67*VLOOKUP(X$51,tech_data!$B$2:$K$15,10,FALSE)*1000</f>
        <v>7495.0106306065618</v>
      </c>
      <c r="Y67" s="30">
        <f>F67*VLOOKUP(Y$51,tech_data!$B$2:$K$15,10,FALSE)*1000</f>
        <v>2162369.1965869567</v>
      </c>
      <c r="Z67" s="30">
        <f>G67*VLOOKUP(Z$51,tech_data!$B$2:$K$15,10,FALSE)*1000</f>
        <v>2625429.3269803533</v>
      </c>
      <c r="AA67" s="30">
        <f>H43*VLOOKUP(AA$51,tech_data!$B$2:$K$15,10,FALSE)/1000</f>
        <v>-1.3732436586307707E-15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0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10287380.526248418</v>
      </c>
      <c r="AK67" s="25">
        <f t="shared" si="59"/>
        <v>6.7000000000000073E-2</v>
      </c>
      <c r="AL67" s="24">
        <f t="shared" si="61"/>
        <v>5.2999999999999999E-2</v>
      </c>
      <c r="AM67" s="26"/>
      <c r="AN67" s="24"/>
      <c r="AO67" s="20" t="str">
        <f t="shared" si="56"/>
        <v>MALUKU_PAPUA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211.26581473515046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9.0004049974141659E-2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154.06854868591628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7.0779698234787505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-1.313558423595515E-14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63.302651857921035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125.88152515315213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15.779113038997185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40.188034161144472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0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0.1123321442711894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9.8510281446660325E-2</v>
      </c>
      <c r="BD67" s="30">
        <f t="shared" si="60"/>
        <v>617.8645039314523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0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63">B20</f>
        <v>MALUKU_PAPUA</v>
      </c>
      <c r="C68" s="20">
        <f t="shared" si="63"/>
        <v>2035</v>
      </c>
      <c r="D68" s="30">
        <f>(maluku_papua!D44*3.6/(VLOOKUP(D$51,tech_data!$B$2:$J$15,4,FALSE)/100))/1000</f>
        <v>60.212870261552212</v>
      </c>
      <c r="E68" s="30">
        <f>(maluku_papua!E44*3.6/(VLOOKUP(E$51,tech_data!$B$2:$J$15,4,FALSE)/100))/1000</f>
        <v>0.1206925725740691</v>
      </c>
      <c r="F68" s="30">
        <f>(maluku_papua!F44*3.6/(VLOOKUP(F$51,tech_data!$B$2:$J$15,4,FALSE)/100))/1000</f>
        <v>37.669617812211072</v>
      </c>
      <c r="G68" s="30">
        <f>(maluku_papua!G44*3.6/(VLOOKUP(G$51,tech_data!$B$2:$J$15,4,FALSE)/100))/1000</f>
        <v>34.926557496080264</v>
      </c>
      <c r="H68" s="30">
        <f>(maluku_papua!H44*3.6/(VLOOKUP(H$51,tech_data!$B$2:$J$15,4,FALSE)/100))/1000</f>
        <v>-2.6666666224611475E-8</v>
      </c>
      <c r="I68" s="30">
        <f>(maluku_papua!I44*3.6/(VLOOKUP(I$51,tech_data!$B$2:$J$15,4,FALSE)/100))/1000</f>
        <v>5.5070825087013633</v>
      </c>
      <c r="J68" s="30">
        <f>(maluku_papua!J44*3.6/(VLOOKUP(J$51,tech_data!$B$2:$J$15,4,FALSE)/100))/1000</f>
        <v>10.133952098948626</v>
      </c>
      <c r="K68" s="30">
        <f t="shared" si="57"/>
        <v>3.9407299994416216</v>
      </c>
      <c r="L68" s="30">
        <f t="shared" si="57"/>
        <v>4.4967482095194109</v>
      </c>
      <c r="M68" s="30">
        <f>(maluku_papua!M44*3.6/(VLOOKUP(M$51,tech_data!$B$2:$J$15,4,FALSE)/100))/1000</f>
        <v>0</v>
      </c>
      <c r="N68" s="30">
        <f t="shared" si="58"/>
        <v>9.2216513687347294E-3</v>
      </c>
      <c r="O68" s="30">
        <f>(maluku_papua!O44*3.6/(VLOOKUP(O$51,tech_data!$B$2:$J$15,4,FALSE)/100))/1000</f>
        <v>0</v>
      </c>
      <c r="P68" s="30">
        <v>0</v>
      </c>
      <c r="Q68" s="30">
        <f t="shared" si="53"/>
        <v>157.01747258373069</v>
      </c>
      <c r="R68" s="30"/>
      <c r="T68" s="19"/>
      <c r="U68" s="20" t="str">
        <f t="shared" si="54"/>
        <v>MALUKU_PAPUA</v>
      </c>
      <c r="V68" s="20">
        <f t="shared" si="54"/>
        <v>2035</v>
      </c>
      <c r="W68" s="30">
        <f>D68*VLOOKUP(W$51,tech_data!$B$2:$K$15,10,FALSE)*1000</f>
        <v>6004427.4224819867</v>
      </c>
      <c r="X68" s="30">
        <f>E68*VLOOKUP(X$51,tech_data!$B$2:$K$15,10,FALSE)*1000</f>
        <v>7495.0087568496911</v>
      </c>
      <c r="Y68" s="30">
        <f>F68*VLOOKUP(Y$51,tech_data!$B$2:$K$15,10,FALSE)*1000</f>
        <v>2339283.2661383078</v>
      </c>
      <c r="Z68" s="30">
        <f>G68*VLOOKUP(Z$51,tech_data!$B$2:$K$15,10,FALSE)*1000</f>
        <v>2625429.3269803533</v>
      </c>
      <c r="AA68" s="30">
        <f>H44*VLOOKUP(AA$51,tech_data!$B$2:$K$15,10,FALSE)/1000</f>
        <v>-6.2899998957302324E-8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0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10976635.024357434</v>
      </c>
      <c r="AK68" s="25">
        <f t="shared" si="59"/>
        <v>6.7000000277074673E-2</v>
      </c>
      <c r="AL68" s="24">
        <f t="shared" si="61"/>
        <v>5.2999999999999999E-2</v>
      </c>
      <c r="AM68" s="26"/>
      <c r="AN68" s="24"/>
      <c r="AO68" s="20" t="str">
        <f t="shared" si="56"/>
        <v>MALUKU_PAPUA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230.00537676280248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9.0003300806413764E-2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159.26464203077325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7.0779698234787505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-6.0166177483623776E-7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151.25820396976783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19.675358407043603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100.5262109822652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20.991207594023212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0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0.98453551126290173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0.10859614225686452</v>
      </c>
      <c r="BD68" s="30">
        <f t="shared" si="60"/>
        <v>689.98210392281874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63"/>
        <v>MALUKU_PAPUA</v>
      </c>
      <c r="C69" s="20">
        <f t="shared" si="63"/>
        <v>2036</v>
      </c>
      <c r="D69" s="30">
        <f>(maluku_papua!D45*3.6/(VLOOKUP(D$51,tech_data!$B$2:$J$15,4,FALSE)/100))/1000</f>
        <v>64.982306433469546</v>
      </c>
      <c r="E69" s="30">
        <f>(maluku_papua!E45*3.6/(VLOOKUP(E$51,tech_data!$B$2:$J$15,4,FALSE)/100))/1000</f>
        <v>0.1206925725740691</v>
      </c>
      <c r="F69" s="30">
        <f>(maluku_papua!F45*3.6/(VLOOKUP(F$51,tech_data!$B$2:$J$15,4,FALSE)/100))/1000</f>
        <v>41.853617354373554</v>
      </c>
      <c r="G69" s="30">
        <f>(maluku_papua!G45*3.6/(VLOOKUP(G$51,tech_data!$B$2:$J$15,4,FALSE)/100))/1000</f>
        <v>34.926557496080264</v>
      </c>
      <c r="H69" s="30">
        <f>(maluku_papua!H45*3.6/(VLOOKUP(H$51,tech_data!$B$2:$J$15,4,FALSE)/100))/1000</f>
        <v>-5.8219129770229299E-16</v>
      </c>
      <c r="I69" s="30">
        <f>(maluku_papua!I45*3.6/(VLOOKUP(I$51,tech_data!$B$2:$J$15,4,FALSE)/100))/1000</f>
        <v>5.5076162531830901</v>
      </c>
      <c r="J69" s="30">
        <f>(maluku_papua!J45*3.6/(VLOOKUP(J$51,tech_data!$B$2:$J$15,4,FALSE)/100))/1000</f>
        <v>13.181958319675779</v>
      </c>
      <c r="K69" s="30">
        <f t="shared" si="57"/>
        <v>4.170090843985153</v>
      </c>
      <c r="L69" s="30">
        <f t="shared" si="57"/>
        <v>4.7755841156528076</v>
      </c>
      <c r="M69" s="30">
        <f>(maluku_papua!M45*3.6/(VLOOKUP(M$51,tech_data!$B$2:$J$15,4,FALSE)/100))/1000</f>
        <v>0</v>
      </c>
      <c r="N69" s="30">
        <f t="shared" si="58"/>
        <v>9.2216513687347294E-3</v>
      </c>
      <c r="O69" s="30">
        <f>(maluku_papua!O45*3.6/(VLOOKUP(O$51,tech_data!$B$2:$J$15,4,FALSE)/100))/1000</f>
        <v>0</v>
      </c>
      <c r="P69" s="30">
        <v>0</v>
      </c>
      <c r="Q69" s="30">
        <f t="shared" si="53"/>
        <v>169.52764504036298</v>
      </c>
      <c r="R69" s="30"/>
      <c r="T69" s="19"/>
      <c r="U69" s="20" t="str">
        <f t="shared" si="54"/>
        <v>MALUKU_PAPUA</v>
      </c>
      <c r="V69" s="20">
        <f t="shared" si="54"/>
        <v>2036</v>
      </c>
      <c r="W69" s="30">
        <f>D69*VLOOKUP(W$51,tech_data!$B$2:$K$15,10,FALSE)*1000</f>
        <v>6480035.5975455828</v>
      </c>
      <c r="X69" s="30">
        <f>E69*VLOOKUP(X$51,tech_data!$B$2:$K$15,10,FALSE)*1000</f>
        <v>7495.0087568496911</v>
      </c>
      <c r="Y69" s="30">
        <f>F69*VLOOKUP(Y$51,tech_data!$B$2:$K$15,10,FALSE)*1000</f>
        <v>2599109.6377065978</v>
      </c>
      <c r="Z69" s="30">
        <f>G69*VLOOKUP(Z$51,tech_data!$B$2:$K$15,10,FALSE)*1000</f>
        <v>2625429.3269803533</v>
      </c>
      <c r="AA69" s="30">
        <f>H45*VLOOKUP(AA$51,tech_data!$B$2:$K$15,10,FALSE)/1000</f>
        <v>-1.3732437234552839E-15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0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11712069.570989385</v>
      </c>
      <c r="AK69" s="25">
        <f t="shared" si="59"/>
        <v>6.7000000000000254E-2</v>
      </c>
      <c r="AL69" s="24">
        <f t="shared" si="61"/>
        <v>5.2999999999999999E-2</v>
      </c>
      <c r="AM69" s="26"/>
      <c r="AN69" s="24"/>
      <c r="AO69" s="20" t="str">
        <f t="shared" si="56"/>
        <v>MALUKU_PAPUA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222.82695536654592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9.0004027473078604E-2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215.92310876303321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7.0779698234787505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5.9406959393848623E-7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12.446832804887743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318.25551894836445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45.555157848211408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54.572915793855259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0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0.11348150328929087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0.14131456088694558</v>
      </c>
      <c r="BD69" s="30">
        <f t="shared" si="60"/>
        <v>877.00326003409555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63"/>
        <v>MALUKU_PAPUA</v>
      </c>
      <c r="C70" s="20">
        <f t="shared" si="63"/>
        <v>2037</v>
      </c>
      <c r="D70" s="30">
        <f>(maluku_papua!D46*3.6/(VLOOKUP(D$51,tech_data!$B$2:$J$15,4,FALSE)/100))/1000</f>
        <v>70.106207707296036</v>
      </c>
      <c r="E70" s="30">
        <f>(maluku_papua!E46*3.6/(VLOOKUP(E$51,tech_data!$B$2:$J$15,4,FALSE)/100))/1000</f>
        <v>0.12069254240085059</v>
      </c>
      <c r="F70" s="30">
        <f>(maluku_papua!F46*3.6/(VLOOKUP(F$51,tech_data!$B$2:$J$15,4,FALSE)/100))/1000</f>
        <v>46.261882144114523</v>
      </c>
      <c r="G70" s="30">
        <f>(maluku_papua!G46*3.6/(VLOOKUP(G$51,tech_data!$B$2:$J$15,4,FALSE)/100))/1000</f>
        <v>34.926557496080264</v>
      </c>
      <c r="H70" s="30">
        <f>(maluku_papua!H46*3.6/(VLOOKUP(H$51,tech_data!$B$2:$J$15,4,FALSE)/100))/1000</f>
        <v>0</v>
      </c>
      <c r="I70" s="30">
        <f>(maluku_papua!I46*3.6/(VLOOKUP(I$51,tech_data!$B$2:$J$15,4,FALSE)/100))/1000</f>
        <v>5.9943921337804076</v>
      </c>
      <c r="J70" s="30">
        <f>(maluku_papua!J46*3.6/(VLOOKUP(J$51,tech_data!$B$2:$J$15,4,FALSE)/100))/1000</f>
        <v>16.325439300343643</v>
      </c>
      <c r="K70" s="30">
        <f t="shared" si="57"/>
        <v>4.2495380023763278</v>
      </c>
      <c r="L70" s="30">
        <f t="shared" si="57"/>
        <v>4.9975774731480405</v>
      </c>
      <c r="M70" s="30">
        <f>(maluku_papua!M46*3.6/(VLOOKUP(M$51,tech_data!$B$2:$J$15,4,FALSE)/100))/1000</f>
        <v>0</v>
      </c>
      <c r="N70" s="30">
        <f t="shared" si="58"/>
        <v>1.1191802144054894E-2</v>
      </c>
      <c r="O70" s="30">
        <f>(maluku_papua!O46*3.6/(VLOOKUP(O$51,tech_data!$B$2:$J$15,4,FALSE)/100))/1000</f>
        <v>0</v>
      </c>
      <c r="P70" s="30">
        <v>0</v>
      </c>
      <c r="Q70" s="30">
        <f t="shared" si="53"/>
        <v>182.99347860168413</v>
      </c>
      <c r="R70" s="30"/>
      <c r="T70" s="19"/>
      <c r="U70" s="20" t="str">
        <f t="shared" si="54"/>
        <v>MALUKU_PAPUA</v>
      </c>
      <c r="V70" s="20">
        <f t="shared" si="54"/>
        <v>2037</v>
      </c>
      <c r="W70" s="30">
        <f>D70*VLOOKUP(W$51,tech_data!$B$2:$K$15,10,FALSE)*1000</f>
        <v>6990991.0325715607</v>
      </c>
      <c r="X70" s="30">
        <f>E70*VLOOKUP(X$51,tech_data!$B$2:$K$15,10,FALSE)*1000</f>
        <v>7495.0068830928221</v>
      </c>
      <c r="Y70" s="30">
        <f>F70*VLOOKUP(Y$51,tech_data!$B$2:$K$15,10,FALSE)*1000</f>
        <v>2872862.8811495118</v>
      </c>
      <c r="Z70" s="30">
        <f>G70*VLOOKUP(Z$51,tech_data!$B$2:$K$15,10,FALSE)*1000</f>
        <v>2625429.3269803533</v>
      </c>
      <c r="AA70" s="30">
        <f>H46*VLOOKUP(AA$51,tech_data!$B$2:$K$15,10,FALSE)/1000</f>
        <v>0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0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12496778.247584518</v>
      </c>
      <c r="AK70" s="25">
        <f t="shared" si="59"/>
        <v>6.7000001309661272E-2</v>
      </c>
      <c r="AL70" s="24">
        <f t="shared" si="61"/>
        <v>5.2999999999999999E-2</v>
      </c>
      <c r="AM70" s="26"/>
      <c r="AN70" s="24"/>
      <c r="AO70" s="20" t="str">
        <f t="shared" si="56"/>
        <v>MALUKU_PAPUA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239.68919477984022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9.0003278305350695E-2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230.38678482068252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7.0779698234787505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1.2969831045049725E-14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73.565256512319209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333.38780230264018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20.354119957446976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48.997889430611032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0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1.0154970147510121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0.14975603528629575</v>
      </c>
      <c r="BD70" s="30">
        <f t="shared" si="60"/>
        <v>954.71427395536148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63"/>
        <v>MALUKU_PAPUA</v>
      </c>
      <c r="C71" s="20">
        <f t="shared" si="63"/>
        <v>2038</v>
      </c>
      <c r="D71" s="30">
        <f>(maluku_papua!D47*3.6/(VLOOKUP(D$51,tech_data!$B$2:$J$15,4,FALSE)/100))/1000</f>
        <v>71.824376674101075</v>
      </c>
      <c r="E71" s="30">
        <f>(maluku_papua!E47*3.6/(VLOOKUP(E$51,tech_data!$B$2:$J$15,4,FALSE)/100))/1000</f>
        <v>0.12069254240085059</v>
      </c>
      <c r="F71" s="30">
        <f>(maluku_papua!F47*3.6/(VLOOKUP(F$51,tech_data!$B$2:$J$15,4,FALSE)/100))/1000</f>
        <v>48.543294258386027</v>
      </c>
      <c r="G71" s="30">
        <f>(maluku_papua!G47*3.6/(VLOOKUP(G$51,tech_data!$B$2:$J$15,4,FALSE)/100))/1000</f>
        <v>37.418712488271247</v>
      </c>
      <c r="H71" s="30">
        <f>(maluku_papua!H47*3.6/(VLOOKUP(H$51,tech_data!$B$2:$J$15,4,FALSE)/100))/1000</f>
        <v>0</v>
      </c>
      <c r="I71" s="30">
        <f>(maluku_papua!I47*3.6/(VLOOKUP(I$51,tech_data!$B$2:$J$15,4,FALSE)/100))/1000</f>
        <v>5.9943921337804076</v>
      </c>
      <c r="J71" s="30">
        <f>(maluku_papua!J47*3.6/(VLOOKUP(J$51,tech_data!$B$2:$J$15,4,FALSE)/100))/1000</f>
        <v>16.325439300343643</v>
      </c>
      <c r="K71" s="30">
        <f t="shared" si="57"/>
        <v>4.2495380023763278</v>
      </c>
      <c r="L71" s="30">
        <f t="shared" si="57"/>
        <v>4.9975774731480405</v>
      </c>
      <c r="M71" s="30">
        <f>(maluku_papua!M47*3.6/(VLOOKUP(M$51,tech_data!$B$2:$J$15,4,FALSE)/100))/1000</f>
        <v>0</v>
      </c>
      <c r="N71" s="30">
        <f t="shared" si="58"/>
        <v>1.1191802144054894E-2</v>
      </c>
      <c r="O71" s="30">
        <f>(maluku_papua!O47*3.6/(VLOOKUP(O$51,tech_data!$B$2:$J$15,4,FALSE)/100))/1000</f>
        <v>0</v>
      </c>
      <c r="P71" s="30">
        <v>0</v>
      </c>
      <c r="Q71" s="30">
        <f t="shared" si="53"/>
        <v>189.48521467495166</v>
      </c>
      <c r="R71" s="30"/>
      <c r="T71" s="19"/>
      <c r="U71" s="20" t="str">
        <f t="shared" si="54"/>
        <v>MALUKU_PAPUA</v>
      </c>
      <c r="V71" s="20">
        <f t="shared" si="54"/>
        <v>2038</v>
      </c>
      <c r="W71" s="30">
        <f>D71*VLOOKUP(W$51,tech_data!$B$2:$K$15,10,FALSE)*1000</f>
        <v>7162326.8419413585</v>
      </c>
      <c r="X71" s="30">
        <f>E71*VLOOKUP(X$51,tech_data!$B$2:$K$15,10,FALSE)*1000</f>
        <v>7495.0068830928221</v>
      </c>
      <c r="Y71" s="30">
        <f>F71*VLOOKUP(Y$51,tech_data!$B$2:$K$15,10,FALSE)*1000</f>
        <v>3014538.5734457723</v>
      </c>
      <c r="Z71" s="30">
        <f>G71*VLOOKUP(Z$51,tech_data!$B$2:$K$15,10,FALSE)*1000</f>
        <v>2812764.6177433496</v>
      </c>
      <c r="AA71" s="30">
        <f>H47*VLOOKUP(AA$51,tech_data!$B$2:$K$15,10,FALSE)/1000</f>
        <v>0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0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12997125.040013574</v>
      </c>
      <c r="AK71" s="25">
        <f t="shared" si="59"/>
        <v>4.0038062812370642E-2</v>
      </c>
      <c r="AL71" s="24">
        <f t="shared" si="61"/>
        <v>5.2999999999999999E-2</v>
      </c>
      <c r="AM71" s="26"/>
      <c r="AN71" s="24"/>
      <c r="AO71" s="20" t="str">
        <f t="shared" si="56"/>
        <v>MALUKU_PAPUA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129.88832845011424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9.0004004972015536E-2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152.07424849458656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58.137021997238698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0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13.475201278915728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30.870424453527775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6.9301011128120162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23.200360490059396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0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0.13772614915043346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6.8648184999335435E-2</v>
      </c>
      <c r="BD71" s="30">
        <f t="shared" si="60"/>
        <v>414.87206461637618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64">B28</f>
        <v>MALUKU_PAPUA</v>
      </c>
      <c r="C76" s="20">
        <f t="shared" si="64"/>
        <v>2019</v>
      </c>
      <c r="D76" s="30">
        <f>D28*3.6/1000</f>
        <v>4.8704829120000008</v>
      </c>
      <c r="E76" s="30">
        <f t="shared" ref="E76:O76" si="65">E28*3.6/1000</f>
        <v>4.304712516923076E-2</v>
      </c>
      <c r="F76" s="30">
        <f t="shared" si="65"/>
        <v>0</v>
      </c>
      <c r="G76" s="30">
        <f t="shared" si="65"/>
        <v>16.066216448196922</v>
      </c>
      <c r="H76" s="30">
        <f t="shared" si="65"/>
        <v>0</v>
      </c>
      <c r="I76" s="30">
        <f t="shared" si="65"/>
        <v>0.47608812420923075</v>
      </c>
      <c r="J76" s="30">
        <f t="shared" si="65"/>
        <v>0</v>
      </c>
      <c r="K76" s="30">
        <f t="shared" si="65"/>
        <v>4.2450609600000008E-2</v>
      </c>
      <c r="L76" s="30">
        <f t="shared" si="65"/>
        <v>0</v>
      </c>
      <c r="M76" s="30">
        <f t="shared" si="65"/>
        <v>0</v>
      </c>
      <c r="N76" s="30">
        <f t="shared" si="65"/>
        <v>0</v>
      </c>
      <c r="O76" s="30">
        <f t="shared" si="65"/>
        <v>0</v>
      </c>
      <c r="P76" s="30">
        <f>(maluku_papua!P52*3.6/(VLOOKUP(P$51,tech_data!$B$2:$J$15,4,FALSE)/100))/1000</f>
        <v>0</v>
      </c>
      <c r="Q76" s="30">
        <f t="shared" ref="Q76:Q95" si="66">SUM(D76:O76)</f>
        <v>21.498285219175383</v>
      </c>
      <c r="R76" s="30"/>
      <c r="S76" s="23"/>
      <c r="T76" s="19"/>
      <c r="U76" s="20" t="str">
        <f t="shared" ref="U76:V91" si="67">U28</f>
        <v>MALUKU_PAPUA</v>
      </c>
      <c r="V76" s="20">
        <f t="shared" si="67"/>
        <v>2019</v>
      </c>
      <c r="W76" s="30">
        <f>D52*(1-(VLOOKUP(W$75,tech_data!$B$2:$O$15,4,FALSE)/100))</f>
        <v>7.7255935845517234</v>
      </c>
      <c r="X76" s="30">
        <f>E52*(1-(VLOOKUP(X$75,tech_data!$B$2:$O$15,4,FALSE)/100))</f>
        <v>7.7645749137023712E-2</v>
      </c>
      <c r="Y76" s="30">
        <f>F52*(1-(VLOOKUP(Y$75,tech_data!$B$2:$O$15,4,FALSE)/100))</f>
        <v>0</v>
      </c>
      <c r="Z76" s="30">
        <f>G52*(1-(VLOOKUP(Z$75,tech_data!$B$2:$O$15,4,FALSE)/100))</f>
        <v>18.860341047883345</v>
      </c>
      <c r="AA76" s="30">
        <f>H52*(1-(VLOOKUP(AA$75,tech_data!$B$2:$O$15,4,FALSE)/100))</f>
        <v>0</v>
      </c>
      <c r="AB76" s="30">
        <f>I52*(1-(VLOOKUP(AB$75,tech_data!$B$2:$O$15,4,FALSE)/100))</f>
        <v>2.5057269695222695E-2</v>
      </c>
      <c r="AC76" s="30">
        <f>J52*(1-(VLOOKUP(AC$75,tech_data!$B$2:$O$15,4,FALSE)/100))</f>
        <v>0</v>
      </c>
      <c r="AD76" s="30">
        <f>K52*(1-(VLOOKUP(AD$75,tech_data!$B$2:$O$15,4,FALSE)/100))</f>
        <v>3.5658512064000003E-2</v>
      </c>
      <c r="AE76" s="30">
        <f>L52*(1-(VLOOKUP(AE$75,tech_data!$B$2:$O$15,4,FALSE)/100))</f>
        <v>0</v>
      </c>
      <c r="AF76" s="30">
        <f>M52*(1-(VLOOKUP(AF$75,tech_data!$B$2:$O$15,4,FALSE)/100))</f>
        <v>0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(maluku_papua!AI52*3.6/(VLOOKUP(AI$51,tech_data!$B$2:$J$15,4,FALSE)/100))/1000</f>
        <v>0</v>
      </c>
      <c r="AJ76" s="30">
        <f t="shared" ref="AJ76:AJ95" si="68">SUM(W76:AH76)</f>
        <v>26.724296163331314</v>
      </c>
      <c r="AK76" s="30"/>
      <c r="AL76" s="23"/>
      <c r="AR76" s="30"/>
      <c r="AS76" s="30"/>
    </row>
    <row r="77" spans="1:82" x14ac:dyDescent="0.25">
      <c r="A77" s="19"/>
      <c r="B77" s="20" t="str">
        <f t="shared" si="64"/>
        <v>MALUKU_PAPUA</v>
      </c>
      <c r="C77" s="20">
        <f t="shared" si="64"/>
        <v>2020</v>
      </c>
      <c r="D77" s="30">
        <f t="shared" ref="D77:O92" si="69">D29*3.6/1000</f>
        <v>4.8704829120000008</v>
      </c>
      <c r="E77" s="30">
        <f t="shared" si="69"/>
        <v>4.3047114407449509E-2</v>
      </c>
      <c r="F77" s="30">
        <f t="shared" si="69"/>
        <v>2.4475891131025236</v>
      </c>
      <c r="G77" s="30">
        <f t="shared" si="69"/>
        <v>16.066216448196922</v>
      </c>
      <c r="H77" s="30">
        <f t="shared" si="69"/>
        <v>0</v>
      </c>
      <c r="I77" s="30">
        <f t="shared" si="69"/>
        <v>0.47608812420923075</v>
      </c>
      <c r="J77" s="30">
        <f t="shared" si="69"/>
        <v>0</v>
      </c>
      <c r="K77" s="30">
        <f t="shared" si="69"/>
        <v>4.2450602977440008E-2</v>
      </c>
      <c r="L77" s="30">
        <f t="shared" si="69"/>
        <v>0</v>
      </c>
      <c r="M77" s="30">
        <f t="shared" si="69"/>
        <v>0</v>
      </c>
      <c r="N77" s="30">
        <f t="shared" si="69"/>
        <v>-3.5999999999970664E-9</v>
      </c>
      <c r="O77" s="30">
        <f t="shared" si="69"/>
        <v>0</v>
      </c>
      <c r="P77" s="30">
        <f>(maluku_papua!P53*3.6/(VLOOKUP(P$51,tech_data!$B$2:$J$15,4,FALSE)/100))/1000</f>
        <v>0</v>
      </c>
      <c r="Q77" s="30">
        <f t="shared" si="66"/>
        <v>23.945874311293565</v>
      </c>
      <c r="R77" s="30"/>
      <c r="S77" s="23"/>
      <c r="T77" s="19"/>
      <c r="U77" s="20" t="str">
        <f t="shared" si="67"/>
        <v>MALUKU_PAPUA</v>
      </c>
      <c r="V77" s="20">
        <f t="shared" si="67"/>
        <v>2020</v>
      </c>
      <c r="W77" s="30">
        <f>D53*(1-(VLOOKUP(W$75,tech_data!$B$2:$O$15,4,FALSE)/100))</f>
        <v>7.7255935845517234</v>
      </c>
      <c r="X77" s="30">
        <f>E53*(1-(VLOOKUP(X$75,tech_data!$B$2:$O$15,4,FALSE)/100))</f>
        <v>7.764572972558649E-2</v>
      </c>
      <c r="Y77" s="30">
        <f>F53*(1-(VLOOKUP(Y$75,tech_data!$B$2:$O$15,4,FALSE)/100))</f>
        <v>1.7482779379303739</v>
      </c>
      <c r="Z77" s="30">
        <f>G53*(1-(VLOOKUP(Z$75,tech_data!$B$2:$O$15,4,FALSE)/100))</f>
        <v>18.860341047883345</v>
      </c>
      <c r="AA77" s="30">
        <f>H53*(1-(VLOOKUP(AA$75,tech_data!$B$2:$O$15,4,FALSE)/100))</f>
        <v>0</v>
      </c>
      <c r="AB77" s="30">
        <f>I53*(1-(VLOOKUP(AB$75,tech_data!$B$2:$O$15,4,FALSE)/100))</f>
        <v>2.5057269695222695E-2</v>
      </c>
      <c r="AC77" s="30">
        <f>J53*(1-(VLOOKUP(AC$75,tech_data!$B$2:$O$15,4,FALSE)/100))</f>
        <v>0</v>
      </c>
      <c r="AD77" s="30">
        <f>K53*(1-(VLOOKUP(AD$75,tech_data!$B$2:$O$15,4,FALSE)/100))</f>
        <v>3.5658506501049604E-2</v>
      </c>
      <c r="AE77" s="30">
        <f>L53*(1-(VLOOKUP(AE$75,tech_data!$B$2:$O$15,4,FALSE)/100))</f>
        <v>0</v>
      </c>
      <c r="AF77" s="30">
        <f>M53*(1-(VLOOKUP(AF$75,tech_data!$B$2:$O$15,4,FALSE)/100))</f>
        <v>0</v>
      </c>
      <c r="AG77" s="30">
        <f>N53*(1-(VLOOKUP(AG$75,tech_data!$B$2:$O$15,4,FALSE)/100))</f>
        <v>-3.1799999999974103E-10</v>
      </c>
      <c r="AH77" s="30">
        <f>O53*(1-(VLOOKUP(AH$75,tech_data!$B$2:$O$15,4,FALSE)/100))</f>
        <v>0</v>
      </c>
      <c r="AI77" s="30">
        <f>(maluku_papua!AI53*3.6/(VLOOKUP(AI$51,tech_data!$B$2:$J$15,4,FALSE)/100))/1000</f>
        <v>0</v>
      </c>
      <c r="AJ77" s="30">
        <f t="shared" si="68"/>
        <v>28.472574075969298</v>
      </c>
      <c r="AK77" s="30"/>
      <c r="AL77" s="23"/>
      <c r="AR77" s="30"/>
      <c r="AS77" s="30"/>
    </row>
    <row r="78" spans="1:82" x14ac:dyDescent="0.25">
      <c r="A78" s="19"/>
      <c r="B78" s="20" t="str">
        <f t="shared" si="64"/>
        <v>MALUKU_PAPUA</v>
      </c>
      <c r="C78" s="20">
        <f t="shared" si="64"/>
        <v>2021</v>
      </c>
      <c r="D78" s="30">
        <f t="shared" si="69"/>
        <v>4.8704829120000008</v>
      </c>
      <c r="E78" s="30">
        <f t="shared" si="69"/>
        <v>4.3047103645668217E-2</v>
      </c>
      <c r="F78" s="30">
        <f t="shared" si="69"/>
        <v>5.059166694535091</v>
      </c>
      <c r="G78" s="30">
        <f t="shared" si="69"/>
        <v>16.066216448196922</v>
      </c>
      <c r="H78" s="30">
        <f t="shared" si="69"/>
        <v>-7.8595803547285404E-17</v>
      </c>
      <c r="I78" s="30">
        <f t="shared" si="69"/>
        <v>0.47609620178081535</v>
      </c>
      <c r="J78" s="30">
        <f t="shared" si="69"/>
        <v>1.6090319847233621</v>
      </c>
      <c r="K78" s="30">
        <f t="shared" si="69"/>
        <v>2.2553612463713599</v>
      </c>
      <c r="L78" s="30">
        <f t="shared" si="69"/>
        <v>0.41139282554724649</v>
      </c>
      <c r="M78" s="30">
        <f t="shared" si="69"/>
        <v>0</v>
      </c>
      <c r="N78" s="30">
        <f t="shared" si="69"/>
        <v>2.6212748167076128E-3</v>
      </c>
      <c r="O78" s="30">
        <f t="shared" si="69"/>
        <v>0</v>
      </c>
      <c r="P78" s="30">
        <f>(maluku_papua!P54*3.6/(VLOOKUP(P$51,tech_data!$B$2:$J$15,4,FALSE)/100))/1000</f>
        <v>0</v>
      </c>
      <c r="Q78" s="30">
        <f t="shared" si="66"/>
        <v>30.793416691617175</v>
      </c>
      <c r="R78" s="30"/>
      <c r="S78" s="23"/>
      <c r="T78" s="19"/>
      <c r="U78" s="20" t="str">
        <f t="shared" si="67"/>
        <v>MALUKU_PAPUA</v>
      </c>
      <c r="V78" s="20">
        <f t="shared" si="67"/>
        <v>2021</v>
      </c>
      <c r="W78" s="30">
        <f>D54*(1-(VLOOKUP(W$75,tech_data!$B$2:$O$15,4,FALSE)/100))</f>
        <v>7.7255935845517234</v>
      </c>
      <c r="X78" s="30">
        <f>E54*(1-(VLOOKUP(X$75,tech_data!$B$2:$O$15,4,FALSE)/100))</f>
        <v>7.7645710314149213E-2</v>
      </c>
      <c r="Y78" s="30">
        <f>F54*(1-(VLOOKUP(Y$75,tech_data!$B$2:$O$15,4,FALSE)/100))</f>
        <v>3.6136904960964924</v>
      </c>
      <c r="Z78" s="30">
        <f>G54*(1-(VLOOKUP(Z$75,tech_data!$B$2:$O$15,4,FALSE)/100))</f>
        <v>18.860341047883345</v>
      </c>
      <c r="AA78" s="30">
        <f>H54*(1-(VLOOKUP(AA$75,tech_data!$B$2:$O$15,4,FALSE)/100))</f>
        <v>-5.0359533384001375E-16</v>
      </c>
      <c r="AB78" s="30">
        <f>I54*(1-(VLOOKUP(AB$75,tech_data!$B$2:$O$15,4,FALSE)/100))</f>
        <v>2.5057694830569251E-2</v>
      </c>
      <c r="AC78" s="30">
        <f>J54*(1-(VLOOKUP(AC$75,tech_data!$B$2:$O$15,4,FALSE)/100))</f>
        <v>0.4022579961808404</v>
      </c>
      <c r="AD78" s="30">
        <f>K54*(1-(VLOOKUP(AD$75,tech_data!$B$2:$O$15,4,FALSE)/100))</f>
        <v>1.8945034469519422</v>
      </c>
      <c r="AE78" s="30">
        <f>L54*(1-(VLOOKUP(AE$75,tech_data!$B$2:$O$15,4,FALSE)/100))</f>
        <v>0.16743687999772933</v>
      </c>
      <c r="AF78" s="30">
        <f>M54*(1-(VLOOKUP(AF$75,tech_data!$B$2:$O$15,4,FALSE)/100))</f>
        <v>0</v>
      </c>
      <c r="AG78" s="30">
        <f>N54*(1-(VLOOKUP(AG$75,tech_data!$B$2:$O$15,4,FALSE)/100))</f>
        <v>2.315459421425059E-4</v>
      </c>
      <c r="AH78" s="30">
        <f>O54*(1-(VLOOKUP(AH$75,tech_data!$B$2:$O$15,4,FALSE)/100))</f>
        <v>0</v>
      </c>
      <c r="AI78" s="30">
        <f>(maluku_papua!AI54*3.6/(VLOOKUP(AI$51,tech_data!$B$2:$J$15,4,FALSE)/100))/1000</f>
        <v>0</v>
      </c>
      <c r="AJ78" s="30">
        <f t="shared" si="68"/>
        <v>32.766758402748934</v>
      </c>
      <c r="AK78" s="30"/>
      <c r="AL78" s="23"/>
      <c r="AR78" s="30"/>
      <c r="AS78" s="30"/>
    </row>
    <row r="79" spans="1:82" x14ac:dyDescent="0.25">
      <c r="A79" s="19"/>
      <c r="B79" s="20" t="str">
        <f t="shared" si="64"/>
        <v>MALUKU_PAPUA</v>
      </c>
      <c r="C79" s="20">
        <f t="shared" si="64"/>
        <v>2022</v>
      </c>
      <c r="D79" s="30">
        <f t="shared" si="69"/>
        <v>5.2085199070798698</v>
      </c>
      <c r="E79" s="30">
        <f t="shared" si="69"/>
        <v>4.3047092883886952E-2</v>
      </c>
      <c r="F79" s="30">
        <f t="shared" si="69"/>
        <v>7.0268122440287222</v>
      </c>
      <c r="G79" s="30">
        <f t="shared" si="69"/>
        <v>16.066216448196922</v>
      </c>
      <c r="H79" s="30">
        <f t="shared" si="69"/>
        <v>0</v>
      </c>
      <c r="I79" s="30">
        <f t="shared" si="69"/>
        <v>0.78876319330192091</v>
      </c>
      <c r="J79" s="30">
        <f t="shared" si="69"/>
        <v>2.2794998423963397</v>
      </c>
      <c r="K79" s="30">
        <f t="shared" si="69"/>
        <v>2.3090778327166097</v>
      </c>
      <c r="L79" s="30">
        <f t="shared" si="69"/>
        <v>0.5614889143748063</v>
      </c>
      <c r="M79" s="30">
        <f t="shared" si="69"/>
        <v>0</v>
      </c>
      <c r="N79" s="30">
        <f t="shared" si="69"/>
        <v>3.0157009181347194E-3</v>
      </c>
      <c r="O79" s="30">
        <f t="shared" si="69"/>
        <v>0</v>
      </c>
      <c r="P79" s="30">
        <f>(maluku_papua!P55*3.6/(VLOOKUP(P$51,tech_data!$B$2:$J$15,4,FALSE)/100))/1000</f>
        <v>0</v>
      </c>
      <c r="Q79" s="30">
        <f t="shared" si="66"/>
        <v>34.28644117589721</v>
      </c>
      <c r="R79" s="30"/>
      <c r="S79" s="23"/>
      <c r="T79" s="19"/>
      <c r="U79" s="20" t="str">
        <f t="shared" si="67"/>
        <v>MALUKU_PAPUA</v>
      </c>
      <c r="V79" s="20">
        <f t="shared" si="67"/>
        <v>2022</v>
      </c>
      <c r="W79" s="30">
        <f>D55*(1-(VLOOKUP(W$75,tech_data!$B$2:$O$15,4,FALSE)/100))</f>
        <v>8.2617901974370351</v>
      </c>
      <c r="X79" s="30">
        <f>E55*(1-(VLOOKUP(X$75,tech_data!$B$2:$O$15,4,FALSE)/100))</f>
        <v>7.7645690902711992E-2</v>
      </c>
      <c r="Y79" s="30">
        <f>F55*(1-(VLOOKUP(Y$75,tech_data!$B$2:$O$15,4,FALSE)/100))</f>
        <v>5.0191516028776588</v>
      </c>
      <c r="Z79" s="30">
        <f>G55*(1-(VLOOKUP(Z$75,tech_data!$B$2:$O$15,4,FALSE)/100))</f>
        <v>18.860341047883345</v>
      </c>
      <c r="AA79" s="30">
        <f>H55*(1-(VLOOKUP(AA$75,tech_data!$B$2:$O$15,4,FALSE)/100))</f>
        <v>0</v>
      </c>
      <c r="AB79" s="30">
        <f>I55*(1-(VLOOKUP(AB$75,tech_data!$B$2:$O$15,4,FALSE)/100))</f>
        <v>4.1513852279048503E-2</v>
      </c>
      <c r="AC79" s="30">
        <f>J55*(1-(VLOOKUP(AC$75,tech_data!$B$2:$O$15,4,FALSE)/100))</f>
        <v>0.56987496059908471</v>
      </c>
      <c r="AD79" s="30">
        <f>K55*(1-(VLOOKUP(AD$75,tech_data!$B$2:$O$15,4,FALSE)/100))</f>
        <v>1.939625379481952</v>
      </c>
      <c r="AE79" s="30">
        <f>L55*(1-(VLOOKUP(AE$75,tech_data!$B$2:$O$15,4,FALSE)/100))</f>
        <v>0.22852598815054617</v>
      </c>
      <c r="AF79" s="30">
        <f>M55*(1-(VLOOKUP(AF$75,tech_data!$B$2:$O$15,4,FALSE)/100))</f>
        <v>0</v>
      </c>
      <c r="AG79" s="30">
        <f>N55*(1-(VLOOKUP(AG$75,tech_data!$B$2:$O$15,4,FALSE)/100))</f>
        <v>2.6638691443523366E-4</v>
      </c>
      <c r="AH79" s="30">
        <f>O55*(1-(VLOOKUP(AH$75,tech_data!$B$2:$O$15,4,FALSE)/100))</f>
        <v>0</v>
      </c>
      <c r="AI79" s="30">
        <f>(maluku_papua!AI55*3.6/(VLOOKUP(AI$51,tech_data!$B$2:$J$15,4,FALSE)/100))/1000</f>
        <v>0</v>
      </c>
      <c r="AJ79" s="30">
        <f t="shared" si="68"/>
        <v>34.998735106525814</v>
      </c>
      <c r="AK79" s="30"/>
      <c r="AL79" s="23"/>
      <c r="AR79" s="30"/>
      <c r="AS79" s="30"/>
    </row>
    <row r="80" spans="1:82" x14ac:dyDescent="0.25">
      <c r="A80" s="19"/>
      <c r="B80" s="20" t="str">
        <f t="shared" si="64"/>
        <v>MALUKU_PAPUA</v>
      </c>
      <c r="C80" s="20">
        <f t="shared" si="64"/>
        <v>2023</v>
      </c>
      <c r="D80" s="30">
        <f t="shared" si="69"/>
        <v>6.1203924387823179</v>
      </c>
      <c r="E80" s="30">
        <f t="shared" si="69"/>
        <v>4.3047092883886952E-2</v>
      </c>
      <c r="F80" s="30">
        <f t="shared" si="69"/>
        <v>7.7910180465915522</v>
      </c>
      <c r="G80" s="30">
        <f t="shared" si="69"/>
        <v>16.066216448196922</v>
      </c>
      <c r="H80" s="30">
        <f t="shared" si="69"/>
        <v>-7.85958183878734E-17</v>
      </c>
      <c r="I80" s="30">
        <f t="shared" si="69"/>
        <v>0.79736788185673357</v>
      </c>
      <c r="J80" s="30">
        <f t="shared" si="69"/>
        <v>2.2795737431248302</v>
      </c>
      <c r="K80" s="30">
        <f t="shared" si="69"/>
        <v>2.3514219513500394</v>
      </c>
      <c r="L80" s="30">
        <f t="shared" si="69"/>
        <v>1.7113863050630906</v>
      </c>
      <c r="M80" s="30">
        <f t="shared" si="69"/>
        <v>0</v>
      </c>
      <c r="N80" s="30">
        <f t="shared" si="69"/>
        <v>3.0743567187536129E-3</v>
      </c>
      <c r="O80" s="30">
        <f t="shared" si="69"/>
        <v>0</v>
      </c>
      <c r="P80" s="30">
        <f>(maluku_papua!P56*3.6/(VLOOKUP(P$51,tech_data!$B$2:$J$15,4,FALSE)/100))/1000</f>
        <v>0</v>
      </c>
      <c r="Q80" s="30">
        <f t="shared" si="66"/>
        <v>37.163498264568133</v>
      </c>
      <c r="R80" s="30"/>
      <c r="S80" s="23"/>
      <c r="T80" s="19"/>
      <c r="U80" s="20" t="str">
        <f t="shared" si="67"/>
        <v>MALUKU_PAPUA</v>
      </c>
      <c r="V80" s="20">
        <f t="shared" si="67"/>
        <v>2023</v>
      </c>
      <c r="W80" s="30">
        <f>D56*(1-(VLOOKUP(W$75,tech_data!$B$2:$O$15,4,FALSE)/100))</f>
        <v>9.708208695999538</v>
      </c>
      <c r="X80" s="30">
        <f>E56*(1-(VLOOKUP(X$75,tech_data!$B$2:$O$15,4,FALSE)/100))</f>
        <v>7.7645690902711992E-2</v>
      </c>
      <c r="Y80" s="30">
        <f>F56*(1-(VLOOKUP(Y$75,tech_data!$B$2:$O$15,4,FALSE)/100))</f>
        <v>5.565012890422536</v>
      </c>
      <c r="Z80" s="30">
        <f>G56*(1-(VLOOKUP(Z$75,tech_data!$B$2:$O$15,4,FALSE)/100))</f>
        <v>18.860341047883345</v>
      </c>
      <c r="AA80" s="30">
        <f>H56*(1-(VLOOKUP(AA$75,tech_data!$B$2:$O$15,4,FALSE)/100))</f>
        <v>-5.0359542892970732E-16</v>
      </c>
      <c r="AB80" s="30">
        <f>I56*(1-(VLOOKUP(AB$75,tech_data!$B$2:$O$15,4,FALSE)/100))</f>
        <v>4.1966730624038648E-2</v>
      </c>
      <c r="AC80" s="30">
        <f>J56*(1-(VLOOKUP(AC$75,tech_data!$B$2:$O$15,4,FALSE)/100))</f>
        <v>0.56989343578120744</v>
      </c>
      <c r="AD80" s="30">
        <f>K56*(1-(VLOOKUP(AD$75,tech_data!$B$2:$O$15,4,FALSE)/100))</f>
        <v>1.975194439134033</v>
      </c>
      <c r="AE80" s="30">
        <f>L56*(1-(VLOOKUP(AE$75,tech_data!$B$2:$O$15,4,FALSE)/100))</f>
        <v>0.69653422616067795</v>
      </c>
      <c r="AF80" s="30">
        <f>M56*(1-(VLOOKUP(AF$75,tech_data!$B$2:$O$15,4,FALSE)/100))</f>
        <v>0</v>
      </c>
      <c r="AG80" s="30">
        <f>N56*(1-(VLOOKUP(AG$75,tech_data!$B$2:$O$15,4,FALSE)/100))</f>
        <v>2.7156817682323593E-4</v>
      </c>
      <c r="AH80" s="30">
        <f>O56*(1-(VLOOKUP(AH$75,tech_data!$B$2:$O$15,4,FALSE)/100))</f>
        <v>0</v>
      </c>
      <c r="AI80" s="30">
        <f>(maluku_papua!AI56*3.6/(VLOOKUP(AI$51,tech_data!$B$2:$J$15,4,FALSE)/100))/1000</f>
        <v>0</v>
      </c>
      <c r="AJ80" s="30">
        <f t="shared" si="68"/>
        <v>37.49506872508492</v>
      </c>
      <c r="AK80" s="30"/>
      <c r="AL80" s="23"/>
      <c r="AR80" s="30"/>
      <c r="AS80" s="30"/>
    </row>
    <row r="81" spans="1:38" x14ac:dyDescent="0.25">
      <c r="A81" s="19"/>
      <c r="B81" s="20" t="str">
        <f t="shared" si="64"/>
        <v>MALUKU_PAPUA</v>
      </c>
      <c r="C81" s="20">
        <f t="shared" si="64"/>
        <v>2024</v>
      </c>
      <c r="D81" s="30">
        <f t="shared" si="69"/>
        <v>7.075852194313792</v>
      </c>
      <c r="E81" s="30">
        <f t="shared" si="69"/>
        <v>4.3047082122105659E-2</v>
      </c>
      <c r="F81" s="30">
        <f t="shared" si="69"/>
        <v>8.6488400258939997</v>
      </c>
      <c r="G81" s="30">
        <f t="shared" si="69"/>
        <v>16.066216448196922</v>
      </c>
      <c r="H81" s="30">
        <f t="shared" si="69"/>
        <v>-3.5999999818198374E-9</v>
      </c>
      <c r="I81" s="30">
        <f t="shared" si="69"/>
        <v>1.0095953265021642</v>
      </c>
      <c r="J81" s="30">
        <f t="shared" si="69"/>
        <v>3.353923291148917</v>
      </c>
      <c r="K81" s="30">
        <f t="shared" si="69"/>
        <v>2.3514219513500394</v>
      </c>
      <c r="L81" s="30">
        <f t="shared" si="69"/>
        <v>1.8003619094788643</v>
      </c>
      <c r="M81" s="30">
        <f t="shared" si="69"/>
        <v>0</v>
      </c>
      <c r="N81" s="30">
        <f t="shared" si="69"/>
        <v>3.0743567187536129E-3</v>
      </c>
      <c r="O81" s="30">
        <f t="shared" si="69"/>
        <v>0</v>
      </c>
      <c r="P81" s="30">
        <f>(maluku_papua!P57*3.6/(VLOOKUP(P$51,tech_data!$B$2:$J$15,4,FALSE)/100))/1000</f>
        <v>0</v>
      </c>
      <c r="Q81" s="30">
        <f t="shared" si="66"/>
        <v>40.352332582125563</v>
      </c>
      <c r="R81" s="30"/>
      <c r="S81" s="23"/>
      <c r="T81" s="19"/>
      <c r="U81" s="20" t="str">
        <f t="shared" si="67"/>
        <v>MALUKU_PAPUA</v>
      </c>
      <c r="V81" s="20">
        <f t="shared" si="67"/>
        <v>2024</v>
      </c>
      <c r="W81" s="30">
        <f>D57*(1-(VLOOKUP(W$75,tech_data!$B$2:$O$15,4,FALSE)/100))</f>
        <v>11.223765549601186</v>
      </c>
      <c r="X81" s="30">
        <f>E57*(1-(VLOOKUP(X$75,tech_data!$B$2:$O$15,4,FALSE)/100))</f>
        <v>7.7645671491274701E-2</v>
      </c>
      <c r="Y81" s="30">
        <f>F57*(1-(VLOOKUP(Y$75,tech_data!$B$2:$O$15,4,FALSE)/100))</f>
        <v>6.1777428756385708</v>
      </c>
      <c r="Z81" s="30">
        <f>G57*(1-(VLOOKUP(Z$75,tech_data!$B$2:$O$15,4,FALSE)/100))</f>
        <v>18.860341047883345</v>
      </c>
      <c r="AA81" s="30">
        <f>H57*(1-(VLOOKUP(AA$75,tech_data!$B$2:$O$15,4,FALSE)/100))</f>
        <v>-2.3066666550178955E-8</v>
      </c>
      <c r="AB81" s="30">
        <f>I57*(1-(VLOOKUP(AB$75,tech_data!$B$2:$O$15,4,FALSE)/100))</f>
        <v>5.3136596131692894E-2</v>
      </c>
      <c r="AC81" s="30">
        <f>J57*(1-(VLOOKUP(AC$75,tech_data!$B$2:$O$15,4,FALSE)/100))</f>
        <v>0.83848082278722913</v>
      </c>
      <c r="AD81" s="30">
        <f>K57*(1-(VLOOKUP(AD$75,tech_data!$B$2:$O$15,4,FALSE)/100))</f>
        <v>1.975194439134033</v>
      </c>
      <c r="AE81" s="30">
        <f>L57*(1-(VLOOKUP(AE$75,tech_data!$B$2:$O$15,4,FALSE)/100))</f>
        <v>0.73274729715789788</v>
      </c>
      <c r="AF81" s="30">
        <f>M57*(1-(VLOOKUP(AF$75,tech_data!$B$2:$O$15,4,FALSE)/100))</f>
        <v>0</v>
      </c>
      <c r="AG81" s="30">
        <f>N57*(1-(VLOOKUP(AG$75,tech_data!$B$2:$O$15,4,FALSE)/100))</f>
        <v>2.7156817682323593E-4</v>
      </c>
      <c r="AH81" s="30">
        <f>O57*(1-(VLOOKUP(AH$75,tech_data!$B$2:$O$15,4,FALSE)/100))</f>
        <v>0</v>
      </c>
      <c r="AI81" s="30">
        <f>(maluku_papua!AI57*3.6/(VLOOKUP(AI$51,tech_data!$B$2:$J$15,4,FALSE)/100))/1000</f>
        <v>0</v>
      </c>
      <c r="AJ81" s="30">
        <f t="shared" si="68"/>
        <v>39.939325844935382</v>
      </c>
      <c r="AK81" s="30"/>
      <c r="AL81" s="23"/>
    </row>
    <row r="82" spans="1:38" x14ac:dyDescent="0.25">
      <c r="A82" s="19"/>
      <c r="B82" s="20" t="str">
        <f t="shared" si="64"/>
        <v>MALUKU_PAPUA</v>
      </c>
      <c r="C82" s="20">
        <f t="shared" si="64"/>
        <v>2025</v>
      </c>
      <c r="D82" s="30">
        <f t="shared" si="69"/>
        <v>8.0749830124883495</v>
      </c>
      <c r="E82" s="30">
        <f t="shared" si="69"/>
        <v>4.3047071360324388E-2</v>
      </c>
      <c r="F82" s="30">
        <f t="shared" si="69"/>
        <v>9.6134220495267382</v>
      </c>
      <c r="G82" s="30">
        <f t="shared" si="69"/>
        <v>16.066216448196922</v>
      </c>
      <c r="H82" s="30">
        <f t="shared" si="69"/>
        <v>-3.5999999818198374E-9</v>
      </c>
      <c r="I82" s="30">
        <f t="shared" si="69"/>
        <v>1.9549260672104489</v>
      </c>
      <c r="J82" s="30">
        <f t="shared" si="69"/>
        <v>3.4908449713547793</v>
      </c>
      <c r="K82" s="30">
        <f t="shared" si="69"/>
        <v>2.5089942679656581</v>
      </c>
      <c r="L82" s="30">
        <f t="shared" si="69"/>
        <v>2.1375750500214319</v>
      </c>
      <c r="M82" s="30">
        <f t="shared" si="69"/>
        <v>0</v>
      </c>
      <c r="N82" s="30">
        <f t="shared" si="69"/>
        <v>3.0745189839207756E-3</v>
      </c>
      <c r="O82" s="30">
        <f t="shared" si="69"/>
        <v>0</v>
      </c>
      <c r="P82" s="30">
        <f>(maluku_papua!P58*3.6/(VLOOKUP(P$51,tech_data!$B$2:$J$15,4,FALSE)/100))/1000</f>
        <v>0</v>
      </c>
      <c r="Q82" s="30">
        <f t="shared" si="66"/>
        <v>43.893083453508588</v>
      </c>
      <c r="R82" s="30"/>
      <c r="S82" s="23"/>
      <c r="T82" s="19"/>
      <c r="U82" s="20" t="str">
        <f t="shared" si="67"/>
        <v>MALUKU_PAPUA</v>
      </c>
      <c r="V82" s="20">
        <f t="shared" si="67"/>
        <v>2025</v>
      </c>
      <c r="W82" s="30">
        <f>D58*(1-(VLOOKUP(W$75,tech_data!$B$2:$O$15,4,FALSE)/100))</f>
        <v>12.808593743947036</v>
      </c>
      <c r="X82" s="30">
        <f>E58*(1-(VLOOKUP(X$75,tech_data!$B$2:$O$15,4,FALSE)/100))</f>
        <v>7.7645652079837452E-2</v>
      </c>
      <c r="Y82" s="30">
        <f>F58*(1-(VLOOKUP(Y$75,tech_data!$B$2:$O$15,4,FALSE)/100))</f>
        <v>6.866730035376241</v>
      </c>
      <c r="Z82" s="30">
        <f>G58*(1-(VLOOKUP(Z$75,tech_data!$B$2:$O$15,4,FALSE)/100))</f>
        <v>18.860341047883345</v>
      </c>
      <c r="AA82" s="30">
        <f>H58*(1-(VLOOKUP(AA$75,tech_data!$B$2:$O$15,4,FALSE)/100))</f>
        <v>-2.3066666550178955E-8</v>
      </c>
      <c r="AB82" s="30">
        <f>I58*(1-(VLOOKUP(AB$75,tech_data!$B$2:$O$15,4,FALSE)/100))</f>
        <v>0.10289084564265531</v>
      </c>
      <c r="AC82" s="30">
        <f>J58*(1-(VLOOKUP(AC$75,tech_data!$B$2:$O$15,4,FALSE)/100))</f>
        <v>0.87271124283869472</v>
      </c>
      <c r="AD82" s="30">
        <f>K58*(1-(VLOOKUP(AD$75,tech_data!$B$2:$O$15,4,FALSE)/100))</f>
        <v>2.1075551850911527</v>
      </c>
      <c r="AE82" s="30">
        <f>L58*(1-(VLOOKUP(AE$75,tech_data!$B$2:$O$15,4,FALSE)/100))</f>
        <v>0.86999304535872279</v>
      </c>
      <c r="AF82" s="30">
        <f>M58*(1-(VLOOKUP(AF$75,tech_data!$B$2:$O$15,4,FALSE)/100))</f>
        <v>0</v>
      </c>
      <c r="AG82" s="30">
        <f>N58*(1-(VLOOKUP(AG$75,tech_data!$B$2:$O$15,4,FALSE)/100))</f>
        <v>2.7158251024633529E-4</v>
      </c>
      <c r="AH82" s="30">
        <f>O58*(1-(VLOOKUP(AH$75,tech_data!$B$2:$O$15,4,FALSE)/100))</f>
        <v>0</v>
      </c>
      <c r="AI82" s="30">
        <f>(maluku_papua!AI58*3.6/(VLOOKUP(AI$51,tech_data!$B$2:$J$15,4,FALSE)/100))/1000</f>
        <v>0</v>
      </c>
      <c r="AJ82" s="30">
        <f t="shared" si="68"/>
        <v>42.566732357661266</v>
      </c>
      <c r="AK82" s="30"/>
      <c r="AL82" s="23"/>
    </row>
    <row r="83" spans="1:38" x14ac:dyDescent="0.25">
      <c r="A83" s="19"/>
      <c r="B83" s="20" t="str">
        <f t="shared" si="64"/>
        <v>MALUKU_PAPUA</v>
      </c>
      <c r="C83" s="20">
        <f t="shared" si="64"/>
        <v>2026</v>
      </c>
      <c r="D83" s="30">
        <f t="shared" si="69"/>
        <v>9.2270196495848698</v>
      </c>
      <c r="E83" s="30">
        <f t="shared" si="69"/>
        <v>4.3047071360324388E-2</v>
      </c>
      <c r="F83" s="30">
        <f t="shared" si="69"/>
        <v>10.434379758490151</v>
      </c>
      <c r="G83" s="30">
        <f t="shared" si="69"/>
        <v>16.066216448196922</v>
      </c>
      <c r="H83" s="30">
        <f t="shared" si="69"/>
        <v>0</v>
      </c>
      <c r="I83" s="30">
        <f t="shared" si="69"/>
        <v>2.1918443044359885</v>
      </c>
      <c r="J83" s="30">
        <f t="shared" si="69"/>
        <v>3.8940322285795861</v>
      </c>
      <c r="K83" s="30">
        <f t="shared" si="69"/>
        <v>2.5424994190644599</v>
      </c>
      <c r="L83" s="30">
        <f t="shared" si="69"/>
        <v>2.2465796693633155</v>
      </c>
      <c r="M83" s="30">
        <f t="shared" si="69"/>
        <v>0</v>
      </c>
      <c r="N83" s="30">
        <f t="shared" si="69"/>
        <v>3.6549610143269788E-3</v>
      </c>
      <c r="O83" s="30">
        <f t="shared" si="69"/>
        <v>0</v>
      </c>
      <c r="P83" s="30">
        <f>(maluku_papua!P59*3.6/(VLOOKUP(P$51,tech_data!$B$2:$J$15,4,FALSE)/100))/1000</f>
        <v>0</v>
      </c>
      <c r="Q83" s="30">
        <f t="shared" si="66"/>
        <v>46.649273510089948</v>
      </c>
      <c r="R83" s="30"/>
      <c r="S83" s="23"/>
      <c r="T83" s="19"/>
      <c r="U83" s="20" t="str">
        <f t="shared" si="67"/>
        <v>MALUKU_PAPUA</v>
      </c>
      <c r="V83" s="20">
        <f t="shared" si="67"/>
        <v>2026</v>
      </c>
      <c r="W83" s="30">
        <f>D59*(1-(VLOOKUP(W$75,tech_data!$B$2:$O$15,4,FALSE)/100))</f>
        <v>14.635962202789795</v>
      </c>
      <c r="X83" s="30">
        <f>E59*(1-(VLOOKUP(X$75,tech_data!$B$2:$O$15,4,FALSE)/100))</f>
        <v>7.7645652079837452E-2</v>
      </c>
      <c r="Y83" s="30">
        <f>F59*(1-(VLOOKUP(Y$75,tech_data!$B$2:$O$15,4,FALSE)/100))</f>
        <v>7.4531283989215362</v>
      </c>
      <c r="Z83" s="30">
        <f>G59*(1-(VLOOKUP(Z$75,tech_data!$B$2:$O$15,4,FALSE)/100))</f>
        <v>18.860341047883345</v>
      </c>
      <c r="AA83" s="30">
        <f>H59*(1-(VLOOKUP(AA$75,tech_data!$B$2:$O$15,4,FALSE)/100))</f>
        <v>0</v>
      </c>
      <c r="AB83" s="30">
        <f>I59*(1-(VLOOKUP(AB$75,tech_data!$B$2:$O$15,4,FALSE)/100))</f>
        <v>0.11536022654926267</v>
      </c>
      <c r="AC83" s="30">
        <f>J59*(1-(VLOOKUP(AC$75,tech_data!$B$2:$O$15,4,FALSE)/100))</f>
        <v>0.97350805714489619</v>
      </c>
      <c r="AD83" s="30">
        <f>K59*(1-(VLOOKUP(AD$75,tech_data!$B$2:$O$15,4,FALSE)/100))</f>
        <v>2.1356995120141464</v>
      </c>
      <c r="AE83" s="30">
        <f>L59*(1-(VLOOKUP(AE$75,tech_data!$B$2:$O$15,4,FALSE)/100))</f>
        <v>0.91435792543086947</v>
      </c>
      <c r="AF83" s="30">
        <f>M59*(1-(VLOOKUP(AF$75,tech_data!$B$2:$O$15,4,FALSE)/100))</f>
        <v>0</v>
      </c>
      <c r="AG83" s="30">
        <f>N59*(1-(VLOOKUP(AG$75,tech_data!$B$2:$O$15,4,FALSE)/100))</f>
        <v>3.228548895988833E-4</v>
      </c>
      <c r="AH83" s="30">
        <f>O59*(1-(VLOOKUP(AH$75,tech_data!$B$2:$O$15,4,FALSE)/100))</f>
        <v>0</v>
      </c>
      <c r="AI83" s="30">
        <f>(maluku_papua!AI59*3.6/(VLOOKUP(AI$51,tech_data!$B$2:$J$15,4,FALSE)/100))/1000</f>
        <v>0</v>
      </c>
      <c r="AJ83" s="30">
        <f t="shared" si="68"/>
        <v>45.166325877703287</v>
      </c>
      <c r="AK83" s="30"/>
      <c r="AL83" s="23"/>
    </row>
    <row r="84" spans="1:38" x14ac:dyDescent="0.25">
      <c r="A84" s="19"/>
      <c r="B84" s="20" t="str">
        <f t="shared" si="64"/>
        <v>MALUKU_PAPUA</v>
      </c>
      <c r="C84" s="20">
        <f t="shared" si="64"/>
        <v>2027</v>
      </c>
      <c r="D84" s="30">
        <f t="shared" si="69"/>
        <v>10.448567962491296</v>
      </c>
      <c r="E84" s="30">
        <f t="shared" si="69"/>
        <v>4.3047060598543088E-2</v>
      </c>
      <c r="F84" s="30">
        <f t="shared" si="69"/>
        <v>11.328934101764347</v>
      </c>
      <c r="G84" s="30">
        <f t="shared" si="69"/>
        <v>16.066216448196922</v>
      </c>
      <c r="H84" s="30">
        <f t="shared" si="69"/>
        <v>-3.5999999862186031E-9</v>
      </c>
      <c r="I84" s="30">
        <f t="shared" si="69"/>
        <v>2.4272152575079686</v>
      </c>
      <c r="J84" s="30">
        <f t="shared" si="69"/>
        <v>4.3709096323045031</v>
      </c>
      <c r="K84" s="30">
        <f t="shared" si="69"/>
        <v>2.5662997224513018</v>
      </c>
      <c r="L84" s="30">
        <f t="shared" si="69"/>
        <v>2.3605981778683391</v>
      </c>
      <c r="M84" s="30">
        <f t="shared" si="69"/>
        <v>0</v>
      </c>
      <c r="N84" s="30">
        <f t="shared" si="69"/>
        <v>4.1852975577546855E-3</v>
      </c>
      <c r="O84" s="30">
        <f t="shared" si="69"/>
        <v>0</v>
      </c>
      <c r="P84" s="30">
        <f>(maluku_papua!P60*3.6/(VLOOKUP(P$51,tech_data!$B$2:$J$15,4,FALSE)/100))/1000</f>
        <v>0</v>
      </c>
      <c r="Q84" s="30">
        <f t="shared" si="66"/>
        <v>49.615973657140977</v>
      </c>
      <c r="R84" s="30"/>
      <c r="S84" s="23"/>
      <c r="T84" s="19"/>
      <c r="U84" s="20" t="str">
        <f t="shared" si="67"/>
        <v>MALUKU_PAPUA</v>
      </c>
      <c r="V84" s="20">
        <f t="shared" si="67"/>
        <v>2027</v>
      </c>
      <c r="W84" s="30">
        <f>D60*(1-(VLOOKUP(W$75,tech_data!$B$2:$O$15,4,FALSE)/100))</f>
        <v>16.57359056119309</v>
      </c>
      <c r="X84" s="30">
        <f>E60*(1-(VLOOKUP(X$75,tech_data!$B$2:$O$15,4,FALSE)/100))</f>
        <v>7.7645632668400161E-2</v>
      </c>
      <c r="Y84" s="30">
        <f>F60*(1-(VLOOKUP(Y$75,tech_data!$B$2:$O$15,4,FALSE)/100))</f>
        <v>8.092095786974534</v>
      </c>
      <c r="Z84" s="30">
        <f>G60*(1-(VLOOKUP(Z$75,tech_data!$B$2:$O$15,4,FALSE)/100))</f>
        <v>18.860341047883345</v>
      </c>
      <c r="AA84" s="30">
        <f>H60*(1-(VLOOKUP(AA$75,tech_data!$B$2:$O$15,4,FALSE)/100))</f>
        <v>-2.3066666578363639E-8</v>
      </c>
      <c r="AB84" s="30">
        <f>I60*(1-(VLOOKUP(AB$75,tech_data!$B$2:$O$15,4,FALSE)/100))</f>
        <v>0.12774817144778794</v>
      </c>
      <c r="AC84" s="30">
        <f>J60*(1-(VLOOKUP(AC$75,tech_data!$B$2:$O$15,4,FALSE)/100))</f>
        <v>1.0927274080761256</v>
      </c>
      <c r="AD84" s="30">
        <f>K60*(1-(VLOOKUP(AD$75,tech_data!$B$2:$O$15,4,FALSE)/100))</f>
        <v>2.1556917668590936</v>
      </c>
      <c r="AE84" s="30">
        <f>L60*(1-(VLOOKUP(AE$75,tech_data!$B$2:$O$15,4,FALSE)/100))</f>
        <v>0.96076345839241406</v>
      </c>
      <c r="AF84" s="30">
        <f>M60*(1-(VLOOKUP(AF$75,tech_data!$B$2:$O$15,4,FALSE)/100))</f>
        <v>0</v>
      </c>
      <c r="AG84" s="30">
        <f>N60*(1-(VLOOKUP(AG$75,tech_data!$B$2:$O$15,4,FALSE)/100))</f>
        <v>3.6970128426833072E-4</v>
      </c>
      <c r="AH84" s="30">
        <f>O60*(1-(VLOOKUP(AH$75,tech_data!$B$2:$O$15,4,FALSE)/100))</f>
        <v>0</v>
      </c>
      <c r="AI84" s="30">
        <f>(maluku_papua!AI60*3.6/(VLOOKUP(AI$51,tech_data!$B$2:$J$15,4,FALSE)/100))/1000</f>
        <v>0</v>
      </c>
      <c r="AJ84" s="30">
        <f t="shared" si="68"/>
        <v>47.940973511712386</v>
      </c>
      <c r="AK84" s="30"/>
      <c r="AL84" s="23"/>
    </row>
    <row r="85" spans="1:38" x14ac:dyDescent="0.25">
      <c r="A85" s="19"/>
      <c r="B85" s="20" t="str">
        <f t="shared" si="64"/>
        <v>MALUKU_PAPUA</v>
      </c>
      <c r="C85" s="20">
        <f t="shared" si="64"/>
        <v>2028</v>
      </c>
      <c r="D85" s="30">
        <f t="shared" si="69"/>
        <v>11.74350016112728</v>
      </c>
      <c r="E85" s="30">
        <f t="shared" si="69"/>
        <v>4.3047049836761803E-2</v>
      </c>
      <c r="F85" s="30">
        <f t="shared" si="69"/>
        <v>12.303917900997185</v>
      </c>
      <c r="G85" s="30">
        <f t="shared" si="69"/>
        <v>16.066216448196922</v>
      </c>
      <c r="H85" s="30">
        <f t="shared" si="69"/>
        <v>-7.8595817151157719E-17</v>
      </c>
      <c r="I85" s="30">
        <f t="shared" si="69"/>
        <v>2.4272152575079686</v>
      </c>
      <c r="J85" s="30">
        <f t="shared" si="69"/>
        <v>4.3709096109958701</v>
      </c>
      <c r="K85" s="30">
        <f t="shared" si="69"/>
        <v>2.6561950919962558</v>
      </c>
      <c r="L85" s="30">
        <f t="shared" si="69"/>
        <v>3.1941195605868167</v>
      </c>
      <c r="M85" s="30">
        <f t="shared" si="69"/>
        <v>0</v>
      </c>
      <c r="N85" s="30">
        <f t="shared" si="69"/>
        <v>4.8231059394411675E-3</v>
      </c>
      <c r="O85" s="30">
        <f t="shared" si="69"/>
        <v>0</v>
      </c>
      <c r="P85" s="30">
        <f>(maluku_papua!P61*3.6/(VLOOKUP(P$51,tech_data!$B$2:$J$15,4,FALSE)/100))/1000</f>
        <v>0</v>
      </c>
      <c r="Q85" s="30">
        <f t="shared" si="66"/>
        <v>52.809944187184492</v>
      </c>
      <c r="R85" s="30"/>
      <c r="S85" s="23"/>
      <c r="T85" s="19"/>
      <c r="U85" s="20" t="str">
        <f t="shared" si="67"/>
        <v>MALUKU_PAPUA</v>
      </c>
      <c r="V85" s="20">
        <f t="shared" si="67"/>
        <v>2028</v>
      </c>
      <c r="W85" s="30">
        <f>D61*(1-(VLOOKUP(W$75,tech_data!$B$2:$O$15,4,FALSE)/100))</f>
        <v>18.627620945236373</v>
      </c>
      <c r="X85" s="30">
        <f>E61*(1-(VLOOKUP(X$75,tech_data!$B$2:$O$15,4,FALSE)/100))</f>
        <v>7.7645613256962884E-2</v>
      </c>
      <c r="Y85" s="30">
        <f>F61*(1-(VLOOKUP(Y$75,tech_data!$B$2:$O$15,4,FALSE)/100))</f>
        <v>8.7885127864265584</v>
      </c>
      <c r="Z85" s="30">
        <f>G61*(1-(VLOOKUP(Z$75,tech_data!$B$2:$O$15,4,FALSE)/100))</f>
        <v>18.860341047883345</v>
      </c>
      <c r="AA85" s="30">
        <f>H61*(1-(VLOOKUP(AA$75,tech_data!$B$2:$O$15,4,FALSE)/100))</f>
        <v>-5.035954210055661E-16</v>
      </c>
      <c r="AB85" s="30">
        <f>I61*(1-(VLOOKUP(AB$75,tech_data!$B$2:$O$15,4,FALSE)/100))</f>
        <v>0.12774817144778794</v>
      </c>
      <c r="AC85" s="30">
        <f>J61*(1-(VLOOKUP(AC$75,tech_data!$B$2:$O$15,4,FALSE)/100))</f>
        <v>1.0927274027489673</v>
      </c>
      <c r="AD85" s="30">
        <f>K61*(1-(VLOOKUP(AD$75,tech_data!$B$2:$O$15,4,FALSE)/100))</f>
        <v>2.231203877276855</v>
      </c>
      <c r="AE85" s="30">
        <f>L61*(1-(VLOOKUP(AE$75,tech_data!$B$2:$O$15,4,FALSE)/100))</f>
        <v>1.3000066611588346</v>
      </c>
      <c r="AF85" s="30">
        <f>M61*(1-(VLOOKUP(AF$75,tech_data!$B$2:$O$15,4,FALSE)/100))</f>
        <v>0</v>
      </c>
      <c r="AG85" s="30">
        <f>N61*(1-(VLOOKUP(AG$75,tech_data!$B$2:$O$15,4,FALSE)/100))</f>
        <v>4.2604102465063667E-4</v>
      </c>
      <c r="AH85" s="30">
        <f>O61*(1-(VLOOKUP(AH$75,tech_data!$B$2:$O$15,4,FALSE)/100))</f>
        <v>0</v>
      </c>
      <c r="AI85" s="30">
        <f>(maluku_papua!AI61*3.6/(VLOOKUP(AI$51,tech_data!$B$2:$J$15,4,FALSE)/100))/1000</f>
        <v>0</v>
      </c>
      <c r="AJ85" s="30">
        <f t="shared" si="68"/>
        <v>51.10623254646034</v>
      </c>
      <c r="AK85" s="30"/>
      <c r="AL85" s="23"/>
    </row>
    <row r="86" spans="1:38" x14ac:dyDescent="0.25">
      <c r="A86" s="19"/>
      <c r="B86" s="20" t="str">
        <f t="shared" si="64"/>
        <v>MALUKU_PAPUA</v>
      </c>
      <c r="C86" s="20">
        <f t="shared" si="64"/>
        <v>2029</v>
      </c>
      <c r="D86" s="30">
        <f t="shared" si="69"/>
        <v>13.115886507062667</v>
      </c>
      <c r="E86" s="30">
        <f t="shared" si="69"/>
        <v>4.3047039074980517E-2</v>
      </c>
      <c r="F86" s="30">
        <f t="shared" si="69"/>
        <v>13.366770510036558</v>
      </c>
      <c r="G86" s="30">
        <f t="shared" si="69"/>
        <v>16.066216448196922</v>
      </c>
      <c r="H86" s="30">
        <f t="shared" si="69"/>
        <v>-7.8595817151157719E-17</v>
      </c>
      <c r="I86" s="30">
        <f t="shared" si="69"/>
        <v>2.6460511511217231</v>
      </c>
      <c r="J86" s="30">
        <f t="shared" si="69"/>
        <v>5.0280969648244103</v>
      </c>
      <c r="K86" s="30">
        <f t="shared" si="69"/>
        <v>2.6797247443777041</v>
      </c>
      <c r="L86" s="30">
        <f t="shared" si="69"/>
        <v>3.2974500832693789</v>
      </c>
      <c r="M86" s="30">
        <f t="shared" si="69"/>
        <v>0</v>
      </c>
      <c r="N86" s="30">
        <f t="shared" si="69"/>
        <v>5.9912399090832876E-3</v>
      </c>
      <c r="O86" s="30">
        <f t="shared" si="69"/>
        <v>0</v>
      </c>
      <c r="P86" s="30">
        <f>(maluku_papua!P62*3.6/(VLOOKUP(P$51,tech_data!$B$2:$J$15,4,FALSE)/100))/1000</f>
        <v>0</v>
      </c>
      <c r="Q86" s="30">
        <f t="shared" si="66"/>
        <v>56.249234687873439</v>
      </c>
      <c r="R86" s="30"/>
      <c r="S86" s="23"/>
      <c r="T86" s="19"/>
      <c r="U86" s="20" t="str">
        <f t="shared" si="67"/>
        <v>MALUKU_PAPUA</v>
      </c>
      <c r="V86" s="20">
        <f t="shared" si="67"/>
        <v>2029</v>
      </c>
      <c r="W86" s="30">
        <f>D62*(1-(VLOOKUP(W$75,tech_data!$B$2:$O$15,4,FALSE)/100))</f>
        <v>20.804509631892508</v>
      </c>
      <c r="X86" s="30">
        <f>E62*(1-(VLOOKUP(X$75,tech_data!$B$2:$O$15,4,FALSE)/100))</f>
        <v>7.7645593845525607E-2</v>
      </c>
      <c r="Y86" s="30">
        <f>F62*(1-(VLOOKUP(Y$75,tech_data!$B$2:$O$15,4,FALSE)/100))</f>
        <v>9.5476932214546828</v>
      </c>
      <c r="Z86" s="30">
        <f>G62*(1-(VLOOKUP(Z$75,tech_data!$B$2:$O$15,4,FALSE)/100))</f>
        <v>18.860341047883345</v>
      </c>
      <c r="AA86" s="30">
        <f>H62*(1-(VLOOKUP(AA$75,tech_data!$B$2:$O$15,4,FALSE)/100))</f>
        <v>-5.035954210055661E-16</v>
      </c>
      <c r="AB86" s="30">
        <f>I62*(1-(VLOOKUP(AB$75,tech_data!$B$2:$O$15,4,FALSE)/100))</f>
        <v>0.13926585005903819</v>
      </c>
      <c r="AC86" s="30">
        <f>J62*(1-(VLOOKUP(AC$75,tech_data!$B$2:$O$15,4,FALSE)/100))</f>
        <v>1.2570242412061023</v>
      </c>
      <c r="AD86" s="30">
        <f>K62*(1-(VLOOKUP(AD$75,tech_data!$B$2:$O$15,4,FALSE)/100))</f>
        <v>2.2509687852772715</v>
      </c>
      <c r="AE86" s="30">
        <f>L62*(1-(VLOOKUP(AE$75,tech_data!$B$2:$O$15,4,FALSE)/100))</f>
        <v>1.3420621838906373</v>
      </c>
      <c r="AF86" s="30">
        <f>M62*(1-(VLOOKUP(AF$75,tech_data!$B$2:$O$15,4,FALSE)/100))</f>
        <v>0</v>
      </c>
      <c r="AG86" s="30">
        <f>N62*(1-(VLOOKUP(AG$75,tech_data!$B$2:$O$15,4,FALSE)/100))</f>
        <v>5.2922619196902395E-4</v>
      </c>
      <c r="AH86" s="30">
        <f>O62*(1-(VLOOKUP(AH$75,tech_data!$B$2:$O$15,4,FALSE)/100))</f>
        <v>0</v>
      </c>
      <c r="AI86" s="30">
        <f>(maluku_papua!AI62*3.6/(VLOOKUP(AI$51,tech_data!$B$2:$J$15,4,FALSE)/100))/1000</f>
        <v>0</v>
      </c>
      <c r="AJ86" s="30">
        <f t="shared" si="68"/>
        <v>54.280039781701092</v>
      </c>
      <c r="AK86" s="30"/>
      <c r="AL86" s="23"/>
    </row>
    <row r="87" spans="1:38" x14ac:dyDescent="0.25">
      <c r="A87" s="19"/>
      <c r="B87" s="20" t="str">
        <f t="shared" si="64"/>
        <v>MALUKU_PAPUA</v>
      </c>
      <c r="C87" s="20">
        <f t="shared" si="64"/>
        <v>2030</v>
      </c>
      <c r="D87" s="30">
        <f t="shared" si="69"/>
        <v>14.569984896824742</v>
      </c>
      <c r="E87" s="30">
        <f t="shared" si="69"/>
        <v>4.3047039074980517E-2</v>
      </c>
      <c r="F87" s="30">
        <f t="shared" si="69"/>
        <v>14.525635792292125</v>
      </c>
      <c r="G87" s="30">
        <f t="shared" si="69"/>
        <v>16.066216448196922</v>
      </c>
      <c r="H87" s="30">
        <f t="shared" si="69"/>
        <v>0</v>
      </c>
      <c r="I87" s="30">
        <f t="shared" si="69"/>
        <v>2.9576119775027636</v>
      </c>
      <c r="J87" s="30">
        <f t="shared" si="69"/>
        <v>5.6043478529397817</v>
      </c>
      <c r="K87" s="30">
        <f t="shared" si="69"/>
        <v>2.7335167389785218</v>
      </c>
      <c r="L87" s="30">
        <f t="shared" si="69"/>
        <v>3.4470753039608897</v>
      </c>
      <c r="M87" s="30">
        <f t="shared" si="69"/>
        <v>0</v>
      </c>
      <c r="N87" s="30">
        <f t="shared" si="69"/>
        <v>5.9912399090832876E-3</v>
      </c>
      <c r="O87" s="30">
        <f t="shared" si="69"/>
        <v>0</v>
      </c>
      <c r="P87" s="30">
        <f>(maluku_papua!P63*3.6/(VLOOKUP(P$51,tech_data!$B$2:$J$15,4,FALSE)/100))/1000</f>
        <v>0</v>
      </c>
      <c r="Q87" s="30">
        <f t="shared" si="66"/>
        <v>59.953427289679816</v>
      </c>
      <c r="R87" s="30"/>
      <c r="S87" s="23"/>
      <c r="T87" s="19"/>
      <c r="U87" s="20" t="str">
        <f t="shared" si="67"/>
        <v>MALUKU_PAPUA</v>
      </c>
      <c r="V87" s="20">
        <f t="shared" si="67"/>
        <v>2030</v>
      </c>
      <c r="W87" s="30">
        <f>D63*(1-(VLOOKUP(W$75,tech_data!$B$2:$O$15,4,FALSE)/100))</f>
        <v>23.111010525997866</v>
      </c>
      <c r="X87" s="30">
        <f>E63*(1-(VLOOKUP(X$75,tech_data!$B$2:$O$15,4,FALSE)/100))</f>
        <v>7.7645593845525607E-2</v>
      </c>
      <c r="Y87" s="30">
        <f>F63*(1-(VLOOKUP(Y$75,tech_data!$B$2:$O$15,4,FALSE)/100))</f>
        <v>10.375454137351515</v>
      </c>
      <c r="Z87" s="30">
        <f>G63*(1-(VLOOKUP(Z$75,tech_data!$B$2:$O$15,4,FALSE)/100))</f>
        <v>18.860341047883345</v>
      </c>
      <c r="AA87" s="30">
        <f>H63*(1-(VLOOKUP(AA$75,tech_data!$B$2:$O$15,4,FALSE)/100))</f>
        <v>0</v>
      </c>
      <c r="AB87" s="30">
        <f>I63*(1-(VLOOKUP(AB$75,tech_data!$B$2:$O$15,4,FALSE)/100))</f>
        <v>0.1556637882896193</v>
      </c>
      <c r="AC87" s="30">
        <f>J63*(1-(VLOOKUP(AC$75,tech_data!$B$2:$O$15,4,FALSE)/100))</f>
        <v>1.401086963234945</v>
      </c>
      <c r="AD87" s="30">
        <f>K63*(1-(VLOOKUP(AD$75,tech_data!$B$2:$O$15,4,FALSE)/100))</f>
        <v>2.2961540607419582</v>
      </c>
      <c r="AE87" s="30">
        <f>L63*(1-(VLOOKUP(AE$75,tech_data!$B$2:$O$15,4,FALSE)/100))</f>
        <v>1.4029596487120821</v>
      </c>
      <c r="AF87" s="30">
        <f>M63*(1-(VLOOKUP(AF$75,tech_data!$B$2:$O$15,4,FALSE)/100))</f>
        <v>0</v>
      </c>
      <c r="AG87" s="30">
        <f>N63*(1-(VLOOKUP(AG$75,tech_data!$B$2:$O$15,4,FALSE)/100))</f>
        <v>5.2922619196902395E-4</v>
      </c>
      <c r="AH87" s="30">
        <f>O63*(1-(VLOOKUP(AH$75,tech_data!$B$2:$O$15,4,FALSE)/100))</f>
        <v>0</v>
      </c>
      <c r="AI87" s="30">
        <f>(maluku_papua!AI63*3.6/(VLOOKUP(AI$51,tech_data!$B$2:$J$15,4,FALSE)/100))/1000</f>
        <v>0</v>
      </c>
      <c r="AJ87" s="30">
        <f t="shared" si="68"/>
        <v>57.680844992248829</v>
      </c>
      <c r="AK87" s="30"/>
      <c r="AL87" s="23"/>
    </row>
    <row r="88" spans="1:38" x14ac:dyDescent="0.25">
      <c r="A88" s="19"/>
      <c r="B88" s="20" t="str">
        <f t="shared" si="64"/>
        <v>MALUKU_PAPUA</v>
      </c>
      <c r="C88" s="20">
        <f t="shared" si="64"/>
        <v>2031</v>
      </c>
      <c r="D88" s="30">
        <f t="shared" si="69"/>
        <v>16.110252167908918</v>
      </c>
      <c r="E88" s="30">
        <f t="shared" si="69"/>
        <v>4.3047039074980517E-2</v>
      </c>
      <c r="F88" s="30">
        <f t="shared" si="69"/>
        <v>15.789412452085926</v>
      </c>
      <c r="G88" s="30">
        <f t="shared" si="69"/>
        <v>16.066216448196922</v>
      </c>
      <c r="H88" s="30">
        <f t="shared" si="69"/>
        <v>-3.5999999862186031E-9</v>
      </c>
      <c r="I88" s="30">
        <f t="shared" si="69"/>
        <v>3.3735910673544605</v>
      </c>
      <c r="J88" s="30">
        <f t="shared" si="69"/>
        <v>6.0596599794672308</v>
      </c>
      <c r="K88" s="30">
        <f t="shared" si="69"/>
        <v>2.7437559673375871</v>
      </c>
      <c r="L88" s="30">
        <f t="shared" si="69"/>
        <v>3.7517711540809446</v>
      </c>
      <c r="M88" s="30">
        <f t="shared" si="69"/>
        <v>0</v>
      </c>
      <c r="N88" s="30">
        <f t="shared" si="69"/>
        <v>5.9912399090832876E-3</v>
      </c>
      <c r="O88" s="30">
        <f t="shared" si="69"/>
        <v>0</v>
      </c>
      <c r="P88" s="30">
        <f>(maluku_papua!P64*3.6/(VLOOKUP(P$51,tech_data!$B$2:$J$15,4,FALSE)/100))/1000</f>
        <v>0</v>
      </c>
      <c r="Q88" s="30">
        <f t="shared" si="66"/>
        <v>63.943697511816055</v>
      </c>
      <c r="R88" s="30"/>
      <c r="S88" s="23"/>
      <c r="T88" s="19"/>
      <c r="U88" s="20" t="str">
        <f t="shared" si="67"/>
        <v>MALUKU_PAPUA</v>
      </c>
      <c r="V88" s="20">
        <f t="shared" si="67"/>
        <v>2031</v>
      </c>
      <c r="W88" s="30">
        <f>D64*(1-(VLOOKUP(W$75,tech_data!$B$2:$O$15,4,FALSE)/100))</f>
        <v>25.554193093924482</v>
      </c>
      <c r="X88" s="30">
        <f>E64*(1-(VLOOKUP(X$75,tech_data!$B$2:$O$15,4,FALSE)/100))</f>
        <v>7.7645593845525607E-2</v>
      </c>
      <c r="Y88" s="30">
        <f>F64*(1-(VLOOKUP(Y$75,tech_data!$B$2:$O$15,4,FALSE)/100))</f>
        <v>11.278151751489947</v>
      </c>
      <c r="Z88" s="30">
        <f>G64*(1-(VLOOKUP(Z$75,tech_data!$B$2:$O$15,4,FALSE)/100))</f>
        <v>18.860341047883345</v>
      </c>
      <c r="AA88" s="30">
        <f>H64*(1-(VLOOKUP(AA$75,tech_data!$B$2:$O$15,4,FALSE)/100))</f>
        <v>-2.3066666578363639E-8</v>
      </c>
      <c r="AB88" s="30">
        <f>I64*(1-(VLOOKUP(AB$75,tech_data!$B$2:$O$15,4,FALSE)/100))</f>
        <v>0.17755742459760332</v>
      </c>
      <c r="AC88" s="30">
        <f>J64*(1-(VLOOKUP(AC$75,tech_data!$B$2:$O$15,4,FALSE)/100))</f>
        <v>1.5149149948668073</v>
      </c>
      <c r="AD88" s="30">
        <f>K64*(1-(VLOOKUP(AD$75,tech_data!$B$2:$O$15,4,FALSE)/100))</f>
        <v>2.304755012563573</v>
      </c>
      <c r="AE88" s="30">
        <f>L64*(1-(VLOOKUP(AE$75,tech_data!$B$2:$O$15,4,FALSE)/100))</f>
        <v>1.5269708597109446</v>
      </c>
      <c r="AF88" s="30">
        <f>M64*(1-(VLOOKUP(AF$75,tech_data!$B$2:$O$15,4,FALSE)/100))</f>
        <v>0</v>
      </c>
      <c r="AG88" s="30">
        <f>N64*(1-(VLOOKUP(AG$75,tech_data!$B$2:$O$15,4,FALSE)/100))</f>
        <v>5.2922619196902395E-4</v>
      </c>
      <c r="AH88" s="30">
        <f>O64*(1-(VLOOKUP(AH$75,tech_data!$B$2:$O$15,4,FALSE)/100))</f>
        <v>0</v>
      </c>
      <c r="AI88" s="30">
        <f>(maluku_papua!AI64*3.6/(VLOOKUP(AI$51,tech_data!$B$2:$J$15,4,FALSE)/100))/1000</f>
        <v>0</v>
      </c>
      <c r="AJ88" s="30">
        <f t="shared" si="68"/>
        <v>61.295058982007532</v>
      </c>
      <c r="AK88" s="30"/>
      <c r="AL88" s="23"/>
    </row>
    <row r="89" spans="1:38" x14ac:dyDescent="0.25">
      <c r="A89" s="19"/>
      <c r="B89" s="20" t="str">
        <f t="shared" si="64"/>
        <v>MALUKU_PAPUA</v>
      </c>
      <c r="C89" s="20">
        <f t="shared" si="64"/>
        <v>2032</v>
      </c>
      <c r="D89" s="30">
        <f t="shared" si="69"/>
        <v>17.74134760148549</v>
      </c>
      <c r="E89" s="30">
        <f t="shared" si="69"/>
        <v>4.3047039074980517E-2</v>
      </c>
      <c r="F89" s="30">
        <f t="shared" si="69"/>
        <v>17.167828326640805</v>
      </c>
      <c r="G89" s="30">
        <f t="shared" si="69"/>
        <v>16.066216448196922</v>
      </c>
      <c r="H89" s="30">
        <f t="shared" si="69"/>
        <v>-3.5999999862186031E-9</v>
      </c>
      <c r="I89" s="30">
        <f t="shared" si="69"/>
        <v>3.7493248401149519</v>
      </c>
      <c r="J89" s="30">
        <f t="shared" si="69"/>
        <v>6.7275379945785083</v>
      </c>
      <c r="K89" s="30">
        <f t="shared" si="69"/>
        <v>2.8083014134435813</v>
      </c>
      <c r="L89" s="30">
        <f t="shared" si="69"/>
        <v>3.9321445618570898</v>
      </c>
      <c r="M89" s="30">
        <f t="shared" si="69"/>
        <v>0</v>
      </c>
      <c r="N89" s="30">
        <f t="shared" si="69"/>
        <v>7.2151557277953179E-3</v>
      </c>
      <c r="O89" s="30">
        <f t="shared" si="69"/>
        <v>0</v>
      </c>
      <c r="P89" s="30">
        <f>(maluku_papua!P65*3.6/(VLOOKUP(P$51,tech_data!$B$2:$J$15,4,FALSE)/100))/1000</f>
        <v>0</v>
      </c>
      <c r="Q89" s="30">
        <f t="shared" si="66"/>
        <v>68.242963377520127</v>
      </c>
      <c r="R89" s="30"/>
      <c r="S89" s="23"/>
      <c r="T89" s="19"/>
      <c r="U89" s="20" t="str">
        <f t="shared" si="67"/>
        <v>MALUKU_PAPUA</v>
      </c>
      <c r="V89" s="20">
        <f t="shared" si="67"/>
        <v>2032</v>
      </c>
      <c r="W89" s="30">
        <f>D65*(1-(VLOOKUP(W$75,tech_data!$B$2:$O$15,4,FALSE)/100))</f>
        <v>28.141447919597674</v>
      </c>
      <c r="X89" s="30">
        <f>E65*(1-(VLOOKUP(X$75,tech_data!$B$2:$O$15,4,FALSE)/100))</f>
        <v>7.7645593845525607E-2</v>
      </c>
      <c r="Y89" s="30">
        <f>F65*(1-(VLOOKUP(Y$75,tech_data!$B$2:$O$15,4,FALSE)/100))</f>
        <v>12.262734519029143</v>
      </c>
      <c r="Z89" s="30">
        <f>G65*(1-(VLOOKUP(Z$75,tech_data!$B$2:$O$15,4,FALSE)/100))</f>
        <v>18.860341047883345</v>
      </c>
      <c r="AA89" s="30">
        <f>H65*(1-(VLOOKUP(AA$75,tech_data!$B$2:$O$15,4,FALSE)/100))</f>
        <v>-2.3066666578363639E-8</v>
      </c>
      <c r="AB89" s="30">
        <f>I65*(1-(VLOOKUP(AB$75,tech_data!$B$2:$O$15,4,FALSE)/100))</f>
        <v>0.19733288632183976</v>
      </c>
      <c r="AC89" s="30">
        <f>J65*(1-(VLOOKUP(AC$75,tech_data!$B$2:$O$15,4,FALSE)/100))</f>
        <v>1.6818844986446266</v>
      </c>
      <c r="AD89" s="30">
        <f>K65*(1-(VLOOKUP(AD$75,tech_data!$B$2:$O$15,4,FALSE)/100))</f>
        <v>2.3589731872926083</v>
      </c>
      <c r="AE89" s="30">
        <f>L65*(1-(VLOOKUP(AE$75,tech_data!$B$2:$O$15,4,FALSE)/100))</f>
        <v>1.6003828366758357</v>
      </c>
      <c r="AF89" s="30">
        <f>M65*(1-(VLOOKUP(AF$75,tech_data!$B$2:$O$15,4,FALSE)/100))</f>
        <v>0</v>
      </c>
      <c r="AG89" s="30">
        <f>N65*(1-(VLOOKUP(AG$75,tech_data!$B$2:$O$15,4,FALSE)/100))</f>
        <v>6.3733875595525335E-4</v>
      </c>
      <c r="AH89" s="30">
        <f>O65*(1-(VLOOKUP(AH$75,tech_data!$B$2:$O$15,4,FALSE)/100))</f>
        <v>0</v>
      </c>
      <c r="AI89" s="30">
        <f>(maluku_papua!AI65*3.6/(VLOOKUP(AI$51,tech_data!$B$2:$J$15,4,FALSE)/100))/1000</f>
        <v>0</v>
      </c>
      <c r="AJ89" s="30">
        <f t="shared" si="68"/>
        <v>65.181379804979883</v>
      </c>
      <c r="AK89" s="30"/>
      <c r="AL89" s="23"/>
    </row>
    <row r="90" spans="1:38" x14ac:dyDescent="0.25">
      <c r="A90" s="19"/>
      <c r="B90" s="20" t="str">
        <f t="shared" si="64"/>
        <v>MALUKU_PAPUA</v>
      </c>
      <c r="C90" s="20">
        <f t="shared" si="64"/>
        <v>2033</v>
      </c>
      <c r="D90" s="30">
        <f t="shared" si="69"/>
        <v>19.468137377711834</v>
      </c>
      <c r="E90" s="30">
        <f t="shared" si="69"/>
        <v>4.3047028313199245E-2</v>
      </c>
      <c r="F90" s="30">
        <f t="shared" si="69"/>
        <v>18.671518084424275</v>
      </c>
      <c r="G90" s="30">
        <f t="shared" si="69"/>
        <v>16.066216448196922</v>
      </c>
      <c r="H90" s="30">
        <f t="shared" si="69"/>
        <v>0</v>
      </c>
      <c r="I90" s="30">
        <f t="shared" si="69"/>
        <v>3.7516049109245704</v>
      </c>
      <c r="J90" s="30">
        <f t="shared" si="69"/>
        <v>7.2156774742093956</v>
      </c>
      <c r="K90" s="30">
        <f t="shared" si="69"/>
        <v>3.3230947590331903</v>
      </c>
      <c r="L90" s="30">
        <f t="shared" si="69"/>
        <v>4.3295215490128269</v>
      </c>
      <c r="M90" s="30">
        <f t="shared" si="69"/>
        <v>0</v>
      </c>
      <c r="N90" s="30">
        <f t="shared" si="69"/>
        <v>7.2151557277953179E-3</v>
      </c>
      <c r="O90" s="30">
        <f t="shared" si="69"/>
        <v>0</v>
      </c>
      <c r="P90" s="30">
        <f>(maluku_papua!P66*3.6/(VLOOKUP(P$51,tech_data!$B$2:$J$15,4,FALSE)/100))/1000</f>
        <v>0</v>
      </c>
      <c r="Q90" s="30">
        <f t="shared" si="66"/>
        <v>72.87603278755401</v>
      </c>
      <c r="R90" s="30"/>
      <c r="S90" s="23"/>
      <c r="T90" s="19"/>
      <c r="U90" s="20" t="str">
        <f t="shared" si="67"/>
        <v>MALUKU_PAPUA</v>
      </c>
      <c r="V90" s="20">
        <f t="shared" si="67"/>
        <v>2033</v>
      </c>
      <c r="W90" s="30">
        <f>D66*(1-(VLOOKUP(W$75,tech_data!$B$2:$O$15,4,FALSE)/100))</f>
        <v>30.880493771542913</v>
      </c>
      <c r="X90" s="30">
        <f>E66*(1-(VLOOKUP(X$75,tech_data!$B$2:$O$15,4,FALSE)/100))</f>
        <v>7.7645574434088357E-2</v>
      </c>
      <c r="Y90" s="30">
        <f>F66*(1-(VLOOKUP(Y$75,tech_data!$B$2:$O$15,4,FALSE)/100))</f>
        <v>13.336798631731622</v>
      </c>
      <c r="Z90" s="30">
        <f>G66*(1-(VLOOKUP(Z$75,tech_data!$B$2:$O$15,4,FALSE)/100))</f>
        <v>18.860341047883345</v>
      </c>
      <c r="AA90" s="30">
        <f>H66*(1-(VLOOKUP(AA$75,tech_data!$B$2:$O$15,4,FALSE)/100))</f>
        <v>0</v>
      </c>
      <c r="AB90" s="30">
        <f>I66*(1-(VLOOKUP(AB$75,tech_data!$B$2:$O$15,4,FALSE)/100))</f>
        <v>0.19745289004866179</v>
      </c>
      <c r="AC90" s="30">
        <f>J66*(1-(VLOOKUP(AC$75,tech_data!$B$2:$O$15,4,FALSE)/100))</f>
        <v>1.8039193685523485</v>
      </c>
      <c r="AD90" s="30">
        <f>K66*(1-(VLOOKUP(AD$75,tech_data!$B$2:$O$15,4,FALSE)/100))</f>
        <v>2.7913995975878798</v>
      </c>
      <c r="AE90" s="30">
        <f>L66*(1-(VLOOKUP(AE$75,tech_data!$B$2:$O$15,4,FALSE)/100))</f>
        <v>1.7621152704482206</v>
      </c>
      <c r="AF90" s="30">
        <f>M66*(1-(VLOOKUP(AF$75,tech_data!$B$2:$O$15,4,FALSE)/100))</f>
        <v>0</v>
      </c>
      <c r="AG90" s="30">
        <f>N66*(1-(VLOOKUP(AG$75,tech_data!$B$2:$O$15,4,FALSE)/100))</f>
        <v>6.3733875595525335E-4</v>
      </c>
      <c r="AH90" s="30">
        <f>O66*(1-(VLOOKUP(AH$75,tech_data!$B$2:$O$15,4,FALSE)/100))</f>
        <v>0</v>
      </c>
      <c r="AI90" s="30">
        <f>(maluku_papua!AI66*3.6/(VLOOKUP(AI$51,tech_data!$B$2:$J$15,4,FALSE)/100))/1000</f>
        <v>0</v>
      </c>
      <c r="AJ90" s="30">
        <f t="shared" si="68"/>
        <v>69.710803490985029</v>
      </c>
      <c r="AK90" s="30"/>
      <c r="AL90" s="23"/>
    </row>
    <row r="91" spans="1:38" x14ac:dyDescent="0.25">
      <c r="A91" s="19"/>
      <c r="B91" s="20" t="str">
        <f t="shared" si="64"/>
        <v>MALUKU_PAPUA</v>
      </c>
      <c r="C91" s="20">
        <f t="shared" si="64"/>
        <v>2034</v>
      </c>
      <c r="D91" s="30">
        <f t="shared" si="69"/>
        <v>21.295697656032164</v>
      </c>
      <c r="E91" s="30">
        <f t="shared" si="69"/>
        <v>4.3047028313199245E-2</v>
      </c>
      <c r="F91" s="30">
        <f t="shared" si="69"/>
        <v>20.312110005513549</v>
      </c>
      <c r="G91" s="30">
        <f t="shared" si="69"/>
        <v>16.066216448196922</v>
      </c>
      <c r="H91" s="30">
        <f t="shared" si="69"/>
        <v>-7.8595821479662577E-17</v>
      </c>
      <c r="I91" s="30">
        <f t="shared" si="69"/>
        <v>4.1629566911149363</v>
      </c>
      <c r="J91" s="30">
        <f t="shared" si="69"/>
        <v>8.1028999739444565</v>
      </c>
      <c r="K91" s="30">
        <f t="shared" si="69"/>
        <v>3.383821170300656</v>
      </c>
      <c r="L91" s="30">
        <f t="shared" si="69"/>
        <v>4.4957512306944691</v>
      </c>
      <c r="M91" s="30">
        <f t="shared" si="69"/>
        <v>0</v>
      </c>
      <c r="N91" s="30">
        <f t="shared" si="69"/>
        <v>7.2665765349616005E-3</v>
      </c>
      <c r="O91" s="30">
        <f t="shared" si="69"/>
        <v>0</v>
      </c>
      <c r="P91" s="30">
        <f>(maluku_papua!P67*3.6/(VLOOKUP(P$51,tech_data!$B$2:$J$15,4,FALSE)/100))/1000</f>
        <v>0</v>
      </c>
      <c r="Q91" s="30">
        <f t="shared" si="66"/>
        <v>77.869766780645307</v>
      </c>
      <c r="R91" s="30"/>
      <c r="S91" s="23"/>
      <c r="T91" s="19"/>
      <c r="U91" s="20" t="str">
        <f t="shared" si="67"/>
        <v>MALUKU_PAPUA</v>
      </c>
      <c r="V91" s="20">
        <f t="shared" si="67"/>
        <v>2034</v>
      </c>
      <c r="W91" s="30">
        <f>D67*(1-(VLOOKUP(W$75,tech_data!$B$2:$O$15,4,FALSE)/100))</f>
        <v>33.779382488878596</v>
      </c>
      <c r="X91" s="30">
        <f>E67*(1-(VLOOKUP(X$75,tech_data!$B$2:$O$15,4,FALSE)/100))</f>
        <v>7.7645574434088357E-2</v>
      </c>
      <c r="Y91" s="30">
        <f>F67*(1-(VLOOKUP(Y$75,tech_data!$B$2:$O$15,4,FALSE)/100))</f>
        <v>14.508650003938246</v>
      </c>
      <c r="Z91" s="30">
        <f>G67*(1-(VLOOKUP(Z$75,tech_data!$B$2:$O$15,4,FALSE)/100))</f>
        <v>18.860341047883345</v>
      </c>
      <c r="AA91" s="30">
        <f>H67*(1-(VLOOKUP(AA$75,tech_data!$B$2:$O$15,4,FALSE)/100))</f>
        <v>-5.0359544874006022E-16</v>
      </c>
      <c r="AB91" s="30">
        <f>I67*(1-(VLOOKUP(AB$75,tech_data!$B$2:$O$15,4,FALSE)/100))</f>
        <v>0.21910298374289155</v>
      </c>
      <c r="AC91" s="30">
        <f>J67*(1-(VLOOKUP(AC$75,tech_data!$B$2:$O$15,4,FALSE)/100))</f>
        <v>2.0257249934861137</v>
      </c>
      <c r="AD91" s="30">
        <f>K67*(1-(VLOOKUP(AD$75,tech_data!$B$2:$O$15,4,FALSE)/100))</f>
        <v>2.8424097830525508</v>
      </c>
      <c r="AE91" s="30">
        <f>L67*(1-(VLOOKUP(AE$75,tech_data!$B$2:$O$15,4,FALSE)/100))</f>
        <v>1.8297707508926491</v>
      </c>
      <c r="AF91" s="30">
        <f>M67*(1-(VLOOKUP(AF$75,tech_data!$B$2:$O$15,4,FALSE)/100))</f>
        <v>0</v>
      </c>
      <c r="AG91" s="30">
        <f>N67*(1-(VLOOKUP(AG$75,tech_data!$B$2:$O$15,4,FALSE)/100))</f>
        <v>6.4188092725494172E-4</v>
      </c>
      <c r="AH91" s="30">
        <f>O67*(1-(VLOOKUP(AH$75,tech_data!$B$2:$O$15,4,FALSE)/100))</f>
        <v>0</v>
      </c>
      <c r="AI91" s="30">
        <f>(maluku_papua!AI67*3.6/(VLOOKUP(AI$51,tech_data!$B$2:$J$15,4,FALSE)/100))/1000</f>
        <v>0</v>
      </c>
      <c r="AJ91" s="30">
        <f t="shared" si="68"/>
        <v>74.143669507235728</v>
      </c>
      <c r="AK91" s="30"/>
      <c r="AL91" s="23"/>
    </row>
    <row r="92" spans="1:38" x14ac:dyDescent="0.25">
      <c r="A92" s="19"/>
      <c r="B92" s="20" t="str">
        <f t="shared" ref="B92:C95" si="70">B44</f>
        <v>MALUKU_PAPUA</v>
      </c>
      <c r="C92" s="20">
        <f t="shared" si="70"/>
        <v>2035</v>
      </c>
      <c r="D92" s="30">
        <f t="shared" si="69"/>
        <v>23.282309834466854</v>
      </c>
      <c r="E92" s="30">
        <f t="shared" si="69"/>
        <v>4.3047017551417974E-2</v>
      </c>
      <c r="F92" s="30">
        <f t="shared" si="69"/>
        <v>21.973943723789795</v>
      </c>
      <c r="G92" s="30">
        <f t="shared" si="69"/>
        <v>16.066216448196922</v>
      </c>
      <c r="H92" s="30">
        <f t="shared" si="69"/>
        <v>-3.5999999403225493E-9</v>
      </c>
      <c r="I92" s="30">
        <f t="shared" si="69"/>
        <v>5.2317283832662955</v>
      </c>
      <c r="J92" s="30">
        <f t="shared" si="69"/>
        <v>8.107161679158903</v>
      </c>
      <c r="K92" s="30">
        <f t="shared" si="69"/>
        <v>3.9407299994416216</v>
      </c>
      <c r="L92" s="30">
        <f t="shared" si="69"/>
        <v>4.4967482095194109</v>
      </c>
      <c r="M92" s="30">
        <f t="shared" si="69"/>
        <v>0</v>
      </c>
      <c r="N92" s="30">
        <f t="shared" si="69"/>
        <v>9.2216513687347294E-3</v>
      </c>
      <c r="O92" s="30">
        <f t="shared" si="69"/>
        <v>0</v>
      </c>
      <c r="P92" s="30">
        <f>(maluku_papua!P68*3.6/(VLOOKUP(P$51,tech_data!$B$2:$J$15,4,FALSE)/100))/1000</f>
        <v>0</v>
      </c>
      <c r="Q92" s="30">
        <f t="shared" si="66"/>
        <v>83.151106943159945</v>
      </c>
      <c r="R92" s="30"/>
      <c r="S92" s="23"/>
      <c r="T92" s="19"/>
      <c r="U92" s="20" t="str">
        <f t="shared" ref="U92:V95" si="71">U44</f>
        <v>MALUKU_PAPUA</v>
      </c>
      <c r="V92" s="20">
        <f t="shared" si="71"/>
        <v>2035</v>
      </c>
      <c r="W92" s="30">
        <f>D68*(1-(VLOOKUP(W$75,tech_data!$B$2:$O$15,4,FALSE)/100))</f>
        <v>36.930560427085354</v>
      </c>
      <c r="X92" s="30">
        <f>E68*(1-(VLOOKUP(X$75,tech_data!$B$2:$O$15,4,FALSE)/100))</f>
        <v>7.7645555022651122E-2</v>
      </c>
      <c r="Y92" s="30">
        <f>F68*(1-(VLOOKUP(Y$75,tech_data!$B$2:$O$15,4,FALSE)/100))</f>
        <v>15.69567408842128</v>
      </c>
      <c r="Z92" s="30">
        <f>G68*(1-(VLOOKUP(Z$75,tech_data!$B$2:$O$15,4,FALSE)/100))</f>
        <v>18.860341047883345</v>
      </c>
      <c r="AA92" s="30">
        <f>H68*(1-(VLOOKUP(AA$75,tech_data!$B$2:$O$15,4,FALSE)/100))</f>
        <v>-2.3066666284288924E-8</v>
      </c>
      <c r="AB92" s="30">
        <f>I68*(1-(VLOOKUP(AB$75,tech_data!$B$2:$O$15,4,FALSE)/100))</f>
        <v>0.27535412543506843</v>
      </c>
      <c r="AC92" s="30">
        <f>J68*(1-(VLOOKUP(AC$75,tech_data!$B$2:$O$15,4,FALSE)/100))</f>
        <v>2.0267904197897249</v>
      </c>
      <c r="AD92" s="30">
        <f>K68*(1-(VLOOKUP(AD$75,tech_data!$B$2:$O$15,4,FALSE)/100))</f>
        <v>3.310213199530962</v>
      </c>
      <c r="AE92" s="30">
        <f>L68*(1-(VLOOKUP(AE$75,tech_data!$B$2:$O$15,4,FALSE)/100))</f>
        <v>1.8301765212744003</v>
      </c>
      <c r="AF92" s="30">
        <f>M68*(1-(VLOOKUP(AF$75,tech_data!$B$2:$O$15,4,FALSE)/100))</f>
        <v>0</v>
      </c>
      <c r="AG92" s="30">
        <f>N68*(1-(VLOOKUP(AG$75,tech_data!$B$2:$O$15,4,FALSE)/100))</f>
        <v>8.1457920423823479E-4</v>
      </c>
      <c r="AH92" s="30">
        <f>O68*(1-(VLOOKUP(AH$75,tech_data!$B$2:$O$15,4,FALSE)/100))</f>
        <v>0</v>
      </c>
      <c r="AI92" s="30">
        <f>(maluku_papua!AI68*3.6/(VLOOKUP(AI$51,tech_data!$B$2:$J$15,4,FALSE)/100))/1000</f>
        <v>0</v>
      </c>
      <c r="AJ92" s="30">
        <f t="shared" si="68"/>
        <v>79.007569940580353</v>
      </c>
      <c r="AK92" s="30"/>
      <c r="AL92" s="23"/>
    </row>
    <row r="93" spans="1:38" x14ac:dyDescent="0.25">
      <c r="A93" s="19"/>
      <c r="B93" s="20" t="str">
        <f t="shared" si="70"/>
        <v>MALUKU_PAPUA</v>
      </c>
      <c r="C93" s="20">
        <f t="shared" si="70"/>
        <v>2036</v>
      </c>
      <c r="D93" s="30">
        <f t="shared" ref="D93:O95" si="72">D45*3.6/1000</f>
        <v>25.12649182094156</v>
      </c>
      <c r="E93" s="30">
        <f t="shared" si="72"/>
        <v>4.3047017551417974E-2</v>
      </c>
      <c r="F93" s="30">
        <f t="shared" si="72"/>
        <v>24.414610123384577</v>
      </c>
      <c r="G93" s="30">
        <f t="shared" si="72"/>
        <v>16.066216448196922</v>
      </c>
      <c r="H93" s="30">
        <f t="shared" si="72"/>
        <v>-7.859582518980957E-17</v>
      </c>
      <c r="I93" s="30">
        <f t="shared" si="72"/>
        <v>5.2322354405239357</v>
      </c>
      <c r="J93" s="30">
        <f t="shared" si="72"/>
        <v>10.545566655740624</v>
      </c>
      <c r="K93" s="30">
        <f t="shared" si="72"/>
        <v>4.170090843985153</v>
      </c>
      <c r="L93" s="30">
        <f t="shared" si="72"/>
        <v>4.7755841156528076</v>
      </c>
      <c r="M93" s="30">
        <f t="shared" si="72"/>
        <v>0</v>
      </c>
      <c r="N93" s="30">
        <f t="shared" si="72"/>
        <v>9.2216513687347294E-3</v>
      </c>
      <c r="O93" s="30">
        <f t="shared" si="72"/>
        <v>0</v>
      </c>
      <c r="P93" s="30">
        <f>(maluku_papua!P69*3.6/(VLOOKUP(P$51,tech_data!$B$2:$J$15,4,FALSE)/100))/1000</f>
        <v>0</v>
      </c>
      <c r="Q93" s="30">
        <f t="shared" si="66"/>
        <v>90.383064117345739</v>
      </c>
      <c r="R93" s="30"/>
      <c r="S93" s="23"/>
      <c r="T93" s="19"/>
      <c r="U93" s="20" t="str">
        <f t="shared" si="71"/>
        <v>MALUKU_PAPUA</v>
      </c>
      <c r="V93" s="20">
        <f t="shared" si="71"/>
        <v>2036</v>
      </c>
      <c r="W93" s="30">
        <f>D69*(1-(VLOOKUP(W$75,tech_data!$B$2:$O$15,4,FALSE)/100))</f>
        <v>39.855814612527986</v>
      </c>
      <c r="X93" s="30">
        <f>E69*(1-(VLOOKUP(X$75,tech_data!$B$2:$O$15,4,FALSE)/100))</f>
        <v>7.7645555022651122E-2</v>
      </c>
      <c r="Y93" s="30">
        <f>F69*(1-(VLOOKUP(Y$75,tech_data!$B$2:$O$15,4,FALSE)/100))</f>
        <v>17.439007230988981</v>
      </c>
      <c r="Z93" s="30">
        <f>G69*(1-(VLOOKUP(Z$75,tech_data!$B$2:$O$15,4,FALSE)/100))</f>
        <v>18.860341047883345</v>
      </c>
      <c r="AA93" s="30">
        <f>H69*(1-(VLOOKUP(AA$75,tech_data!$B$2:$O$15,4,FALSE)/100))</f>
        <v>-5.0359547251248339E-16</v>
      </c>
      <c r="AB93" s="30">
        <f>I69*(1-(VLOOKUP(AB$75,tech_data!$B$2:$O$15,4,FALSE)/100))</f>
        <v>0.27538081265915476</v>
      </c>
      <c r="AC93" s="30">
        <f>J69*(1-(VLOOKUP(AC$75,tech_data!$B$2:$O$15,4,FALSE)/100))</f>
        <v>2.636391663935155</v>
      </c>
      <c r="AD93" s="30">
        <f>K69*(1-(VLOOKUP(AD$75,tech_data!$B$2:$O$15,4,FALSE)/100))</f>
        <v>3.5028763089475285</v>
      </c>
      <c r="AE93" s="30">
        <f>L69*(1-(VLOOKUP(AE$75,tech_data!$B$2:$O$15,4,FALSE)/100))</f>
        <v>1.9436627350706928</v>
      </c>
      <c r="AF93" s="30">
        <f>M69*(1-(VLOOKUP(AF$75,tech_data!$B$2:$O$15,4,FALSE)/100))</f>
        <v>0</v>
      </c>
      <c r="AG93" s="30">
        <f>N69*(1-(VLOOKUP(AG$75,tech_data!$B$2:$O$15,4,FALSE)/100))</f>
        <v>8.1457920423823479E-4</v>
      </c>
      <c r="AH93" s="30">
        <f>O69*(1-(VLOOKUP(AH$75,tech_data!$B$2:$O$15,4,FALSE)/100))</f>
        <v>0</v>
      </c>
      <c r="AI93" s="30">
        <f>(maluku_papua!AI69*3.6/(VLOOKUP(AI$51,tech_data!$B$2:$J$15,4,FALSE)/100))/1000</f>
        <v>0</v>
      </c>
      <c r="AJ93" s="30">
        <f t="shared" si="68"/>
        <v>84.591934546239713</v>
      </c>
      <c r="AK93" s="30"/>
      <c r="AL93" s="23"/>
    </row>
    <row r="94" spans="1:38" x14ac:dyDescent="0.25">
      <c r="A94" s="19"/>
      <c r="B94" s="20" t="str">
        <f t="shared" si="70"/>
        <v>MALUKU_PAPUA</v>
      </c>
      <c r="C94" s="20">
        <f t="shared" si="70"/>
        <v>2037</v>
      </c>
      <c r="D94" s="30">
        <f t="shared" si="72"/>
        <v>27.107733646821135</v>
      </c>
      <c r="E94" s="30">
        <f t="shared" si="72"/>
        <v>4.3047006789636702E-2</v>
      </c>
      <c r="F94" s="30">
        <f t="shared" si="72"/>
        <v>26.986097917400144</v>
      </c>
      <c r="G94" s="30">
        <f t="shared" si="72"/>
        <v>16.066216448196922</v>
      </c>
      <c r="H94" s="30">
        <f t="shared" si="72"/>
        <v>0</v>
      </c>
      <c r="I94" s="30">
        <f t="shared" si="72"/>
        <v>5.6946725270913863</v>
      </c>
      <c r="J94" s="30">
        <f t="shared" si="72"/>
        <v>13.060351440274914</v>
      </c>
      <c r="K94" s="30">
        <f t="shared" si="72"/>
        <v>4.2495380023763278</v>
      </c>
      <c r="L94" s="30">
        <f t="shared" si="72"/>
        <v>4.9975774731480405</v>
      </c>
      <c r="M94" s="30">
        <f t="shared" si="72"/>
        <v>0</v>
      </c>
      <c r="N94" s="30">
        <f t="shared" si="72"/>
        <v>1.1191802144054894E-2</v>
      </c>
      <c r="O94" s="30">
        <f t="shared" si="72"/>
        <v>0</v>
      </c>
      <c r="P94" s="30">
        <f>(maluku_papua!P70*3.6/(VLOOKUP(P$51,tech_data!$B$2:$J$15,4,FALSE)/100))/1000</f>
        <v>0</v>
      </c>
      <c r="Q94" s="30">
        <f t="shared" si="66"/>
        <v>98.216426264242557</v>
      </c>
      <c r="R94" s="30"/>
      <c r="S94" s="23"/>
      <c r="T94" s="19"/>
      <c r="U94" s="20" t="str">
        <f t="shared" si="71"/>
        <v>MALUKU_PAPUA</v>
      </c>
      <c r="V94" s="20">
        <f t="shared" si="71"/>
        <v>2037</v>
      </c>
      <c r="W94" s="30">
        <f>D70*(1-(VLOOKUP(W$75,tech_data!$B$2:$O$15,4,FALSE)/100))</f>
        <v>42.998474060474898</v>
      </c>
      <c r="X94" s="30">
        <f>E70*(1-(VLOOKUP(X$75,tech_data!$B$2:$O$15,4,FALSE)/100))</f>
        <v>7.7645535611213873E-2</v>
      </c>
      <c r="Y94" s="30">
        <f>F70*(1-(VLOOKUP(Y$75,tech_data!$B$2:$O$15,4,FALSE)/100))</f>
        <v>19.275784226714382</v>
      </c>
      <c r="Z94" s="30">
        <f>G70*(1-(VLOOKUP(Z$75,tech_data!$B$2:$O$15,4,FALSE)/100))</f>
        <v>18.860341047883345</v>
      </c>
      <c r="AA94" s="30">
        <f>H70*(1-(VLOOKUP(AA$75,tech_data!$B$2:$O$15,4,FALSE)/100))</f>
        <v>0</v>
      </c>
      <c r="AB94" s="30">
        <f>I70*(1-(VLOOKUP(AB$75,tech_data!$B$2:$O$15,4,FALSE)/100))</f>
        <v>0.29971960668902065</v>
      </c>
      <c r="AC94" s="30">
        <f>J70*(1-(VLOOKUP(AC$75,tech_data!$B$2:$O$15,4,FALSE)/100))</f>
        <v>3.2650878600687276</v>
      </c>
      <c r="AD94" s="30">
        <f>K70*(1-(VLOOKUP(AD$75,tech_data!$B$2:$O$15,4,FALSE)/100))</f>
        <v>3.5696119219961151</v>
      </c>
      <c r="AE94" s="30">
        <f>L70*(1-(VLOOKUP(AE$75,tech_data!$B$2:$O$15,4,FALSE)/100))</f>
        <v>2.0340140315712527</v>
      </c>
      <c r="AF94" s="30">
        <f>M70*(1-(VLOOKUP(AF$75,tech_data!$B$2:$O$15,4,FALSE)/100))</f>
        <v>0</v>
      </c>
      <c r="AG94" s="30">
        <f>N70*(1-(VLOOKUP(AG$75,tech_data!$B$2:$O$15,4,FALSE)/100))</f>
        <v>9.8860918939151603E-4</v>
      </c>
      <c r="AH94" s="30">
        <f>O70*(1-(VLOOKUP(AH$75,tech_data!$B$2:$O$15,4,FALSE)/100))</f>
        <v>0</v>
      </c>
      <c r="AI94" s="30">
        <f>(maluku_papua!AI70*3.6/(VLOOKUP(AI$51,tech_data!$B$2:$J$15,4,FALSE)/100))/1000</f>
        <v>0</v>
      </c>
      <c r="AJ94" s="30">
        <f t="shared" si="68"/>
        <v>90.38166690019834</v>
      </c>
      <c r="AK94" s="30"/>
      <c r="AL94" s="23"/>
    </row>
    <row r="95" spans="1:38" x14ac:dyDescent="0.25">
      <c r="A95" s="19"/>
      <c r="B95" s="20" t="str">
        <f t="shared" si="70"/>
        <v>MALUKU_PAPUA</v>
      </c>
      <c r="C95" s="20">
        <f t="shared" si="70"/>
        <v>2038</v>
      </c>
      <c r="D95" s="30">
        <f t="shared" si="72"/>
        <v>27.772092313985752</v>
      </c>
      <c r="E95" s="30">
        <f t="shared" si="72"/>
        <v>4.3047006789636702E-2</v>
      </c>
      <c r="F95" s="30">
        <f t="shared" si="72"/>
        <v>28.316921650725185</v>
      </c>
      <c r="G95" s="30">
        <f t="shared" si="72"/>
        <v>17.212607744604774</v>
      </c>
      <c r="H95" s="30">
        <f t="shared" si="72"/>
        <v>0</v>
      </c>
      <c r="I95" s="30">
        <f t="shared" si="72"/>
        <v>5.6946725270913863</v>
      </c>
      <c r="J95" s="30">
        <f t="shared" si="72"/>
        <v>13.060351440274914</v>
      </c>
      <c r="K95" s="30">
        <f t="shared" si="72"/>
        <v>4.2495380023763278</v>
      </c>
      <c r="L95" s="30">
        <f t="shared" si="72"/>
        <v>4.9975774731480405</v>
      </c>
      <c r="M95" s="30">
        <f t="shared" si="72"/>
        <v>0</v>
      </c>
      <c r="N95" s="30">
        <f t="shared" si="72"/>
        <v>1.1191802144054894E-2</v>
      </c>
      <c r="O95" s="30">
        <f t="shared" si="72"/>
        <v>0</v>
      </c>
      <c r="P95" s="30">
        <f>(maluku_papua!P71*3.6/(VLOOKUP(P$51,tech_data!$B$2:$J$15,4,FALSE)/100))/1000</f>
        <v>0</v>
      </c>
      <c r="Q95" s="30">
        <f t="shared" si="66"/>
        <v>101.35799996114007</v>
      </c>
      <c r="R95" s="30"/>
      <c r="S95" s="23"/>
      <c r="T95" s="19"/>
      <c r="U95" s="20" t="str">
        <f t="shared" si="71"/>
        <v>MALUKU_PAPUA</v>
      </c>
      <c r="V95" s="20">
        <f t="shared" si="71"/>
        <v>2038</v>
      </c>
      <c r="W95" s="30">
        <f>D71*(1-(VLOOKUP(W$75,tech_data!$B$2:$O$15,4,FALSE)/100))</f>
        <v>44.052284360115323</v>
      </c>
      <c r="X95" s="30">
        <f>E71*(1-(VLOOKUP(X$75,tech_data!$B$2:$O$15,4,FALSE)/100))</f>
        <v>7.7645535611213873E-2</v>
      </c>
      <c r="Y95" s="30">
        <f>F71*(1-(VLOOKUP(Y$75,tech_data!$B$2:$O$15,4,FALSE)/100))</f>
        <v>20.226372607660842</v>
      </c>
      <c r="Z95" s="30">
        <f>G71*(1-(VLOOKUP(Z$75,tech_data!$B$2:$O$15,4,FALSE)/100))</f>
        <v>20.206104743666476</v>
      </c>
      <c r="AA95" s="30">
        <f>H71*(1-(VLOOKUP(AA$75,tech_data!$B$2:$O$15,4,FALSE)/100))</f>
        <v>0</v>
      </c>
      <c r="AB95" s="30">
        <f>I71*(1-(VLOOKUP(AB$75,tech_data!$B$2:$O$15,4,FALSE)/100))</f>
        <v>0.29971960668902065</v>
      </c>
      <c r="AC95" s="30">
        <f>J71*(1-(VLOOKUP(AC$75,tech_data!$B$2:$O$15,4,FALSE)/100))</f>
        <v>3.2650878600687276</v>
      </c>
      <c r="AD95" s="30">
        <f>K71*(1-(VLOOKUP(AD$75,tech_data!$B$2:$O$15,4,FALSE)/100))</f>
        <v>3.5696119219961151</v>
      </c>
      <c r="AE95" s="30">
        <f>L71*(1-(VLOOKUP(AE$75,tech_data!$B$2:$O$15,4,FALSE)/100))</f>
        <v>2.0340140315712527</v>
      </c>
      <c r="AF95" s="30">
        <f>M71*(1-(VLOOKUP(AF$75,tech_data!$B$2:$O$15,4,FALSE)/100))</f>
        <v>0</v>
      </c>
      <c r="AG95" s="30">
        <f>N71*(1-(VLOOKUP(AG$75,tech_data!$B$2:$O$15,4,FALSE)/100))</f>
        <v>9.8860918939151603E-4</v>
      </c>
      <c r="AH95" s="30">
        <f>O71*(1-(VLOOKUP(AH$75,tech_data!$B$2:$O$15,4,FALSE)/100))</f>
        <v>0</v>
      </c>
      <c r="AI95" s="30">
        <f>(maluku_papua!AI71*3.6/(VLOOKUP(AI$51,tech_data!$B$2:$J$15,4,FALSE)/100))/1000</f>
        <v>0</v>
      </c>
      <c r="AJ95" s="30">
        <f t="shared" si="68"/>
        <v>93.731829276568362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171450</xdr:colOff>
                    <xdr:row>0</xdr:row>
                    <xdr:rowOff>66675</xdr:rowOff>
                  </from>
                  <to>
                    <xdr:col>3</xdr:col>
                    <xdr:colOff>495300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585C-9B09-4D72-A1D5-2923A004977F}">
  <sheetPr codeName="Sheet14"/>
  <dimension ref="A1:P141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K31" sqref="K31"/>
    </sheetView>
  </sheetViews>
  <sheetFormatPr defaultRowHeight="15" x14ac:dyDescent="0.25"/>
  <cols>
    <col min="1" max="1" width="15.85546875" bestFit="1" customWidth="1"/>
  </cols>
  <sheetData>
    <row r="1" spans="1:16" x14ac:dyDescent="0.25">
      <c r="A1" t="str">
        <f>indonesia!B3</f>
        <v>region</v>
      </c>
      <c r="B1" t="str">
        <f>indonesia!C3</f>
        <v>year</v>
      </c>
      <c r="C1" t="str">
        <f>indonesia!D3</f>
        <v>coal</v>
      </c>
      <c r="D1" t="str">
        <f>indonesia!E3</f>
        <v>ocgt</v>
      </c>
      <c r="E1" t="str">
        <f>indonesia!F3</f>
        <v>ccgt</v>
      </c>
      <c r="F1" t="str">
        <f>indonesia!G3</f>
        <v>reciprocating</v>
      </c>
      <c r="G1" t="str">
        <f>indonesia!H3</f>
        <v>geothermal</v>
      </c>
      <c r="H1" t="str">
        <f>indonesia!I3</f>
        <v>lhydro</v>
      </c>
      <c r="I1" t="str">
        <f>indonesia!J3</f>
        <v>mhydro</v>
      </c>
      <c r="J1" t="str">
        <f>indonesia!K3</f>
        <v>solar</v>
      </c>
      <c r="K1" t="str">
        <f>indonesia!L3</f>
        <v>wind</v>
      </c>
      <c r="L1" t="str">
        <f>indonesia!M3</f>
        <v>biomass</v>
      </c>
      <c r="M1" t="str">
        <f>indonesia!N3</f>
        <v>ocean</v>
      </c>
      <c r="N1" t="str">
        <f>indonesia!O3</f>
        <v>waste</v>
      </c>
      <c r="O1" t="str">
        <f>indonesia!P3</f>
        <v>storage</v>
      </c>
      <c r="P1" t="str">
        <f>indonesia!Q3</f>
        <v>total</v>
      </c>
    </row>
    <row r="2" spans="1:16" x14ac:dyDescent="0.25">
      <c r="A2" t="str">
        <f>indonesia!B4</f>
        <v>INDONESIA</v>
      </c>
      <c r="B2">
        <f>indonesia!C4</f>
        <v>2019</v>
      </c>
      <c r="C2">
        <f>SUM(C22,C42,C62,C82,C102,C122)</f>
        <v>34457.47</v>
      </c>
      <c r="D2">
        <f t="shared" ref="D2:O2" si="0">SUM(D22,D42,D62,D82,D102,D122)</f>
        <v>5638.72</v>
      </c>
      <c r="E2">
        <f t="shared" si="0"/>
        <v>11525.460000000001</v>
      </c>
      <c r="F2">
        <f t="shared" si="0"/>
        <v>6623.4</v>
      </c>
      <c r="G2">
        <f t="shared" si="0"/>
        <v>1986.3999999999999</v>
      </c>
      <c r="H2">
        <f t="shared" si="0"/>
        <v>5689.6399999999994</v>
      </c>
      <c r="I2">
        <f t="shared" si="0"/>
        <v>169.62</v>
      </c>
      <c r="J2">
        <f t="shared" si="0"/>
        <v>17.52</v>
      </c>
      <c r="K2">
        <f t="shared" si="0"/>
        <v>0</v>
      </c>
      <c r="L2">
        <f t="shared" si="0"/>
        <v>142.85</v>
      </c>
      <c r="M2">
        <f t="shared" si="0"/>
        <v>0</v>
      </c>
      <c r="N2">
        <f t="shared" si="0"/>
        <v>0</v>
      </c>
      <c r="O2">
        <f t="shared" si="0"/>
        <v>0</v>
      </c>
      <c r="P2">
        <f>SUM(P22,P42,P62,P82,P102,P122)</f>
        <v>66251.08</v>
      </c>
    </row>
    <row r="3" spans="1:16" x14ac:dyDescent="0.25">
      <c r="A3" t="str">
        <f>indonesia!B5</f>
        <v>INDONESIA</v>
      </c>
      <c r="B3">
        <f>indonesia!C5</f>
        <v>2020</v>
      </c>
      <c r="C3">
        <f t="shared" ref="C3:P18" si="1">SUM(C23,C43,C63,C83,C103,C123)</f>
        <v>36550.553094307084</v>
      </c>
      <c r="D3">
        <f t="shared" si="1"/>
        <v>5638.7199979999996</v>
      </c>
      <c r="E3">
        <f t="shared" si="1"/>
        <v>15139.552665325054</v>
      </c>
      <c r="F3">
        <f t="shared" si="1"/>
        <v>6623.4</v>
      </c>
      <c r="G3">
        <f t="shared" si="1"/>
        <v>2118.2199059782529</v>
      </c>
      <c r="H3">
        <f t="shared" si="1"/>
        <v>7789.1473554596814</v>
      </c>
      <c r="I3">
        <f t="shared" si="1"/>
        <v>226.21278442386404</v>
      </c>
      <c r="J3">
        <f t="shared" si="1"/>
        <v>6794.1405284728889</v>
      </c>
      <c r="K3">
        <f t="shared" si="1"/>
        <v>55.690115570287517</v>
      </c>
      <c r="L3">
        <f t="shared" si="1"/>
        <v>142.84999959961735</v>
      </c>
      <c r="M3">
        <f t="shared" si="1"/>
        <v>5.5649790576857381</v>
      </c>
      <c r="N3">
        <f t="shared" si="1"/>
        <v>0</v>
      </c>
      <c r="O3">
        <f t="shared" si="1"/>
        <v>23.662566622012964</v>
      </c>
      <c r="P3">
        <f t="shared" si="1"/>
        <v>81084.051426194419</v>
      </c>
    </row>
    <row r="4" spans="1:16" x14ac:dyDescent="0.25">
      <c r="A4" t="str">
        <f>indonesia!B6</f>
        <v>INDONESIA</v>
      </c>
      <c r="B4">
        <f>indonesia!C6</f>
        <v>2021</v>
      </c>
      <c r="C4">
        <f t="shared" si="1"/>
        <v>36812.325377552203</v>
      </c>
      <c r="D4">
        <f t="shared" si="1"/>
        <v>6524.5611776898722</v>
      </c>
      <c r="E4">
        <f t="shared" si="1"/>
        <v>24517.08989096446</v>
      </c>
      <c r="F4">
        <f t="shared" si="1"/>
        <v>6631.7122619976999</v>
      </c>
      <c r="G4">
        <f t="shared" si="1"/>
        <v>2118.219904978253</v>
      </c>
      <c r="H4">
        <f t="shared" si="1"/>
        <v>8222.5054424739774</v>
      </c>
      <c r="I4">
        <f t="shared" si="1"/>
        <v>301.75518507157921</v>
      </c>
      <c r="J4">
        <f t="shared" si="1"/>
        <v>7432.5075999549545</v>
      </c>
      <c r="K4">
        <f t="shared" si="1"/>
        <v>92.882544007170992</v>
      </c>
      <c r="L4">
        <f t="shared" si="1"/>
        <v>142.85</v>
      </c>
      <c r="M4">
        <f t="shared" si="1"/>
        <v>5.8066078585013932</v>
      </c>
      <c r="N4">
        <f t="shared" si="1"/>
        <v>0</v>
      </c>
      <c r="O4">
        <f t="shared" si="1"/>
        <v>26.057089096106605</v>
      </c>
      <c r="P4">
        <f t="shared" si="1"/>
        <v>92802.215992548678</v>
      </c>
    </row>
    <row r="5" spans="1:16" x14ac:dyDescent="0.25">
      <c r="A5" t="str">
        <f>indonesia!B7</f>
        <v>INDONESIA</v>
      </c>
      <c r="B5">
        <f>indonesia!C7</f>
        <v>2022</v>
      </c>
      <c r="C5">
        <f t="shared" si="1"/>
        <v>37094.924367100029</v>
      </c>
      <c r="D5">
        <f t="shared" si="1"/>
        <v>6984.7649591353429</v>
      </c>
      <c r="E5">
        <f t="shared" si="1"/>
        <v>29685.056197882419</v>
      </c>
      <c r="F5">
        <f t="shared" si="1"/>
        <v>6722.4303285097449</v>
      </c>
      <c r="G5">
        <f t="shared" si="1"/>
        <v>2118.219904978253</v>
      </c>
      <c r="H5">
        <f t="shared" si="1"/>
        <v>8359.8514487925331</v>
      </c>
      <c r="I5">
        <f t="shared" si="1"/>
        <v>333.21967230312174</v>
      </c>
      <c r="J5">
        <f t="shared" si="1"/>
        <v>8174.0881514515304</v>
      </c>
      <c r="K5">
        <f t="shared" si="1"/>
        <v>950.15678392570476</v>
      </c>
      <c r="L5">
        <f t="shared" si="1"/>
        <v>142.85</v>
      </c>
      <c r="M5">
        <f t="shared" si="1"/>
        <v>5.8429659097491164</v>
      </c>
      <c r="N5">
        <f t="shared" si="1"/>
        <v>0</v>
      </c>
      <c r="O5">
        <f t="shared" si="1"/>
        <v>27.823593051667959</v>
      </c>
      <c r="P5">
        <f t="shared" si="1"/>
        <v>100571.40477998843</v>
      </c>
    </row>
    <row r="6" spans="1:16" x14ac:dyDescent="0.25">
      <c r="A6" t="str">
        <f>indonesia!B8</f>
        <v>INDONESIA</v>
      </c>
      <c r="B6">
        <f>indonesia!C8</f>
        <v>2023</v>
      </c>
      <c r="C6">
        <f t="shared" si="1"/>
        <v>37201.725192284794</v>
      </c>
      <c r="D6">
        <f t="shared" si="1"/>
        <v>8008.0528390130066</v>
      </c>
      <c r="E6">
        <f t="shared" si="1"/>
        <v>32815.370389513584</v>
      </c>
      <c r="F6">
        <f t="shared" si="1"/>
        <v>7358.3067371658253</v>
      </c>
      <c r="G6">
        <f t="shared" si="1"/>
        <v>2118.2766395890285</v>
      </c>
      <c r="H6">
        <f t="shared" si="1"/>
        <v>8593.6045682015992</v>
      </c>
      <c r="I6">
        <f t="shared" si="1"/>
        <v>333.22307902022902</v>
      </c>
      <c r="J6">
        <f t="shared" si="1"/>
        <v>8309.7143351033792</v>
      </c>
      <c r="K6">
        <f t="shared" si="1"/>
        <v>3284.4309643523748</v>
      </c>
      <c r="L6">
        <f t="shared" si="1"/>
        <v>199.20437339257487</v>
      </c>
      <c r="M6">
        <f t="shared" si="1"/>
        <v>5.8483727796219833</v>
      </c>
      <c r="N6">
        <f t="shared" si="1"/>
        <v>0</v>
      </c>
      <c r="O6">
        <f t="shared" si="1"/>
        <v>29.901438722267748</v>
      </c>
      <c r="P6">
        <f t="shared" si="1"/>
        <v>108227.75749041603</v>
      </c>
    </row>
    <row r="7" spans="1:16" x14ac:dyDescent="0.25">
      <c r="A7" t="str">
        <f>indonesia!B9</f>
        <v>INDONESIA</v>
      </c>
      <c r="B7">
        <f>indonesia!C9</f>
        <v>2024</v>
      </c>
      <c r="C7">
        <f t="shared" si="1"/>
        <v>37272.625107240645</v>
      </c>
      <c r="D7">
        <f t="shared" si="1"/>
        <v>8647.366280181921</v>
      </c>
      <c r="E7">
        <f t="shared" si="1"/>
        <v>36250.817392410696</v>
      </c>
      <c r="F7">
        <f t="shared" si="1"/>
        <v>7695.329261511486</v>
      </c>
      <c r="G7">
        <f t="shared" si="1"/>
        <v>2118.3670584340589</v>
      </c>
      <c r="H7">
        <f t="shared" si="1"/>
        <v>8617.392117641095</v>
      </c>
      <c r="I7">
        <f t="shared" si="1"/>
        <v>384.50473805989725</v>
      </c>
      <c r="J7">
        <f t="shared" si="1"/>
        <v>8447.5163109180121</v>
      </c>
      <c r="K7">
        <f t="shared" si="1"/>
        <v>7269.1974419294065</v>
      </c>
      <c r="L7">
        <f t="shared" si="1"/>
        <v>313.42912228057708</v>
      </c>
      <c r="M7">
        <f t="shared" si="1"/>
        <v>5.8483727796219833</v>
      </c>
      <c r="N7">
        <f t="shared" si="1"/>
        <v>0</v>
      </c>
      <c r="O7">
        <f t="shared" si="1"/>
        <v>32.445310203564468</v>
      </c>
      <c r="P7">
        <f t="shared" si="1"/>
        <v>117022.39320338742</v>
      </c>
    </row>
    <row r="8" spans="1:16" x14ac:dyDescent="0.25">
      <c r="A8" t="str">
        <f>indonesia!B10</f>
        <v>INDONESIA</v>
      </c>
      <c r="B8">
        <f>indonesia!C10</f>
        <v>2025</v>
      </c>
      <c r="C8">
        <f t="shared" si="1"/>
        <v>37459.422407069396</v>
      </c>
      <c r="D8">
        <f t="shared" si="1"/>
        <v>9169.4693929934201</v>
      </c>
      <c r="E8">
        <f t="shared" si="1"/>
        <v>39306.669666014692</v>
      </c>
      <c r="F8">
        <f t="shared" si="1"/>
        <v>8038.5745197427223</v>
      </c>
      <c r="G8">
        <f t="shared" si="1"/>
        <v>2118.3670584340589</v>
      </c>
      <c r="H8">
        <f t="shared" si="1"/>
        <v>8907.5452570135294</v>
      </c>
      <c r="I8">
        <f t="shared" si="1"/>
        <v>390.93038172635221</v>
      </c>
      <c r="J8">
        <f t="shared" si="1"/>
        <v>8638.4116622022302</v>
      </c>
      <c r="K8">
        <f t="shared" si="1"/>
        <v>11308.907156289239</v>
      </c>
      <c r="L8">
        <f t="shared" si="1"/>
        <v>425.73026303262668</v>
      </c>
      <c r="M8">
        <f t="shared" si="1"/>
        <v>5.8483877371647068</v>
      </c>
      <c r="N8">
        <f t="shared" si="1"/>
        <v>0</v>
      </c>
      <c r="O8">
        <f t="shared" si="1"/>
        <v>35.029734107145899</v>
      </c>
      <c r="P8">
        <f t="shared" si="1"/>
        <v>125769.87615225544</v>
      </c>
    </row>
    <row r="9" spans="1:16" x14ac:dyDescent="0.25">
      <c r="A9" t="str">
        <f>indonesia!B11</f>
        <v>INDONESIA</v>
      </c>
      <c r="B9">
        <f>indonesia!C11</f>
        <v>2026</v>
      </c>
      <c r="C9">
        <f t="shared" si="1"/>
        <v>38148.622047530953</v>
      </c>
      <c r="D9">
        <f t="shared" si="1"/>
        <v>9819.3664798911523</v>
      </c>
      <c r="E9">
        <f t="shared" si="1"/>
        <v>44591.982288194413</v>
      </c>
      <c r="F9">
        <f t="shared" si="1"/>
        <v>8105.3897881074809</v>
      </c>
      <c r="G9">
        <f t="shared" si="1"/>
        <v>2126.3847192486055</v>
      </c>
      <c r="H9">
        <f t="shared" si="1"/>
        <v>8922.369811393397</v>
      </c>
      <c r="I9">
        <f t="shared" si="1"/>
        <v>409.85166353449671</v>
      </c>
      <c r="J9">
        <f t="shared" si="1"/>
        <v>8924.322923404874</v>
      </c>
      <c r="K9">
        <f t="shared" si="1"/>
        <v>15063.128520232396</v>
      </c>
      <c r="L9">
        <f t="shared" si="1"/>
        <v>501.19210524699105</v>
      </c>
      <c r="M9">
        <f t="shared" si="1"/>
        <v>5.9018926675217269</v>
      </c>
      <c r="N9">
        <f t="shared" si="1"/>
        <v>0</v>
      </c>
      <c r="O9">
        <f t="shared" si="1"/>
        <v>37.970167804134185</v>
      </c>
      <c r="P9">
        <f t="shared" si="1"/>
        <v>136618.51223945228</v>
      </c>
    </row>
    <row r="10" spans="1:16" x14ac:dyDescent="0.25">
      <c r="A10" t="str">
        <f>indonesia!B12</f>
        <v>INDONESIA</v>
      </c>
      <c r="B10">
        <f>indonesia!C12</f>
        <v>2027</v>
      </c>
      <c r="C10">
        <f t="shared" si="1"/>
        <v>38942.002671518734</v>
      </c>
      <c r="D10">
        <f t="shared" si="1"/>
        <v>10463.464846705978</v>
      </c>
      <c r="E10">
        <f t="shared" si="1"/>
        <v>50062.229702437828</v>
      </c>
      <c r="F10">
        <f t="shared" si="1"/>
        <v>8203.4962543710462</v>
      </c>
      <c r="G10">
        <f t="shared" si="1"/>
        <v>2126.3847190945016</v>
      </c>
      <c r="H10">
        <f t="shared" si="1"/>
        <v>8937.0975474140596</v>
      </c>
      <c r="I10">
        <f t="shared" si="1"/>
        <v>723.77701355567967</v>
      </c>
      <c r="J10">
        <f t="shared" si="1"/>
        <v>9363.1843892066827</v>
      </c>
      <c r="K10">
        <f t="shared" si="1"/>
        <v>19020.814500543183</v>
      </c>
      <c r="L10">
        <f t="shared" si="1"/>
        <v>572.88257549172477</v>
      </c>
      <c r="M10">
        <f t="shared" si="1"/>
        <v>5.9507788927353351</v>
      </c>
      <c r="N10">
        <f t="shared" si="1"/>
        <v>0</v>
      </c>
      <c r="O10">
        <f t="shared" si="1"/>
        <v>41.220615680222778</v>
      </c>
      <c r="P10">
        <f t="shared" si="1"/>
        <v>148421.28499923216</v>
      </c>
    </row>
    <row r="11" spans="1:16" x14ac:dyDescent="0.25">
      <c r="A11" t="str">
        <f>indonesia!B13</f>
        <v>INDONESIA</v>
      </c>
      <c r="B11">
        <f>indonesia!C13</f>
        <v>2028</v>
      </c>
      <c r="C11">
        <f t="shared" si="1"/>
        <v>39520.681479404979</v>
      </c>
      <c r="D11">
        <f t="shared" si="1"/>
        <v>11177.745495659399</v>
      </c>
      <c r="E11">
        <f t="shared" si="1"/>
        <v>56452.244635881558</v>
      </c>
      <c r="F11">
        <f t="shared" si="1"/>
        <v>8311.8469461081913</v>
      </c>
      <c r="G11">
        <f t="shared" si="1"/>
        <v>2126.3847182486052</v>
      </c>
      <c r="H11">
        <f t="shared" si="1"/>
        <v>8937.0975474140596</v>
      </c>
      <c r="I11">
        <f t="shared" si="1"/>
        <v>723.77701255567968</v>
      </c>
      <c r="J11">
        <f t="shared" si="1"/>
        <v>9529.7842991841608</v>
      </c>
      <c r="K11">
        <f t="shared" si="1"/>
        <v>21324.528838315662</v>
      </c>
      <c r="L11">
        <f t="shared" si="1"/>
        <v>627.80363465738742</v>
      </c>
      <c r="M11">
        <f t="shared" si="1"/>
        <v>6.0095718320050437</v>
      </c>
      <c r="N11">
        <f t="shared" si="1"/>
        <v>0</v>
      </c>
      <c r="O11">
        <f t="shared" si="1"/>
        <v>43.757864424161433</v>
      </c>
      <c r="P11">
        <f t="shared" si="1"/>
        <v>158737.90417926171</v>
      </c>
    </row>
    <row r="12" spans="1:16" x14ac:dyDescent="0.25">
      <c r="A12" t="str">
        <f>indonesia!B14</f>
        <v>INDONESIA</v>
      </c>
      <c r="B12">
        <f>indonesia!C14</f>
        <v>2029</v>
      </c>
      <c r="C12">
        <f t="shared" si="1"/>
        <v>40137.007496929451</v>
      </c>
      <c r="D12">
        <f t="shared" si="1"/>
        <v>11817.199465148731</v>
      </c>
      <c r="E12">
        <f t="shared" si="1"/>
        <v>63336.833308552385</v>
      </c>
      <c r="F12">
        <f t="shared" si="1"/>
        <v>8427.5177152427677</v>
      </c>
      <c r="G12">
        <f t="shared" si="1"/>
        <v>2126.3847172486057</v>
      </c>
      <c r="H12">
        <f t="shared" si="1"/>
        <v>8950.7906442656003</v>
      </c>
      <c r="I12">
        <f t="shared" si="1"/>
        <v>754.61841771758304</v>
      </c>
      <c r="J12">
        <f t="shared" si="1"/>
        <v>9708.5898542344112</v>
      </c>
      <c r="K12">
        <f t="shared" si="1"/>
        <v>23694.283156158417</v>
      </c>
      <c r="L12">
        <f t="shared" si="1"/>
        <v>740.05632075402696</v>
      </c>
      <c r="M12">
        <f t="shared" si="1"/>
        <v>6.3452679255763131</v>
      </c>
      <c r="N12">
        <f t="shared" si="1"/>
        <v>0</v>
      </c>
      <c r="O12">
        <f t="shared" si="1"/>
        <v>46.444555243736843</v>
      </c>
      <c r="P12">
        <f t="shared" si="1"/>
        <v>169699.62636417756</v>
      </c>
    </row>
    <row r="13" spans="1:16" x14ac:dyDescent="0.25">
      <c r="A13" t="str">
        <f>indonesia!B15</f>
        <v>INDONESIA</v>
      </c>
      <c r="B13">
        <f>indonesia!C15</f>
        <v>2030</v>
      </c>
      <c r="C13">
        <f t="shared" si="1"/>
        <v>40771.059464345402</v>
      </c>
      <c r="D13">
        <f t="shared" si="1"/>
        <v>12690.565695828924</v>
      </c>
      <c r="E13">
        <f t="shared" si="1"/>
        <v>69453.017734215769</v>
      </c>
      <c r="F13">
        <f t="shared" si="1"/>
        <v>8541.5711730083422</v>
      </c>
      <c r="G13">
        <f t="shared" si="1"/>
        <v>2126.3847162486054</v>
      </c>
      <c r="H13">
        <f t="shared" si="1"/>
        <v>8970.2857688620188</v>
      </c>
      <c r="I13">
        <f t="shared" si="1"/>
        <v>781.66148987797192</v>
      </c>
      <c r="J13">
        <f t="shared" si="1"/>
        <v>11435.84577600291</v>
      </c>
      <c r="K13">
        <f t="shared" si="1"/>
        <v>26064.620346806281</v>
      </c>
      <c r="L13">
        <f t="shared" si="1"/>
        <v>740.05631975402707</v>
      </c>
      <c r="M13">
        <f t="shared" si="1"/>
        <v>6.3452679255763131</v>
      </c>
      <c r="N13">
        <f t="shared" si="1"/>
        <v>0</v>
      </c>
      <c r="O13">
        <f t="shared" si="1"/>
        <v>49.375350144715895</v>
      </c>
      <c r="P13">
        <f t="shared" si="1"/>
        <v>181581.41375287584</v>
      </c>
    </row>
    <row r="14" spans="1:16" x14ac:dyDescent="0.25">
      <c r="A14" t="str">
        <f>indonesia!B16</f>
        <v>INDONESIA</v>
      </c>
      <c r="B14">
        <f>indonesia!C16</f>
        <v>2031</v>
      </c>
      <c r="C14">
        <f t="shared" si="1"/>
        <v>41521.036526221935</v>
      </c>
      <c r="D14">
        <f t="shared" si="1"/>
        <v>13517.599532789161</v>
      </c>
      <c r="E14">
        <f t="shared" si="1"/>
        <v>77521.255205725698</v>
      </c>
      <c r="F14">
        <f t="shared" si="1"/>
        <v>8683.2091573104499</v>
      </c>
      <c r="G14">
        <f t="shared" si="1"/>
        <v>2126.3847160945015</v>
      </c>
      <c r="H14">
        <f t="shared" si="1"/>
        <v>8996.3145993590315</v>
      </c>
      <c r="I14">
        <f t="shared" si="1"/>
        <v>803.02898608224359</v>
      </c>
      <c r="J14">
        <f t="shared" si="1"/>
        <v>11520.824390798971</v>
      </c>
      <c r="K14">
        <f t="shared" si="1"/>
        <v>29277.824516283225</v>
      </c>
      <c r="L14">
        <f t="shared" si="1"/>
        <v>794.54803893368012</v>
      </c>
      <c r="M14">
        <f t="shared" si="1"/>
        <v>6.3452679255763131</v>
      </c>
      <c r="N14">
        <f t="shared" si="1"/>
        <v>0</v>
      </c>
      <c r="O14">
        <f t="shared" si="1"/>
        <v>52.674114840756573</v>
      </c>
      <c r="P14">
        <f t="shared" si="1"/>
        <v>194768.37093752448</v>
      </c>
    </row>
    <row r="15" spans="1:16" x14ac:dyDescent="0.25">
      <c r="A15" t="str">
        <f>indonesia!B17</f>
        <v>INDONESIA</v>
      </c>
      <c r="B15">
        <f>indonesia!C17</f>
        <v>2032</v>
      </c>
      <c r="C15">
        <f t="shared" si="1"/>
        <v>42409.646380567494</v>
      </c>
      <c r="D15">
        <f t="shared" si="1"/>
        <v>14428.257741412957</v>
      </c>
      <c r="E15">
        <f t="shared" si="1"/>
        <v>86058.985850406039</v>
      </c>
      <c r="F15">
        <f t="shared" si="1"/>
        <v>8750.9154880476417</v>
      </c>
      <c r="G15">
        <f t="shared" si="1"/>
        <v>2126.3847160945015</v>
      </c>
      <c r="H15">
        <f t="shared" si="1"/>
        <v>9064.7180174135137</v>
      </c>
      <c r="I15">
        <f t="shared" si="1"/>
        <v>1012.6208960037548</v>
      </c>
      <c r="J15">
        <f t="shared" si="1"/>
        <v>11631.58219226218</v>
      </c>
      <c r="K15">
        <f t="shared" si="1"/>
        <v>32393.69574355636</v>
      </c>
      <c r="L15">
        <f t="shared" si="1"/>
        <v>825.4267508260632</v>
      </c>
      <c r="M15">
        <f t="shared" si="1"/>
        <v>6.4580880302768868</v>
      </c>
      <c r="N15">
        <f t="shared" si="1"/>
        <v>0</v>
      </c>
      <c r="O15">
        <f t="shared" si="1"/>
        <v>56.155512592211736</v>
      </c>
      <c r="P15">
        <f t="shared" si="1"/>
        <v>208708.69186462075</v>
      </c>
    </row>
    <row r="16" spans="1:16" x14ac:dyDescent="0.25">
      <c r="A16" t="str">
        <f>indonesia!B18</f>
        <v>INDONESIA</v>
      </c>
      <c r="B16">
        <f>indonesia!C18</f>
        <v>2033</v>
      </c>
      <c r="C16">
        <f t="shared" si="1"/>
        <v>44149.544986657289</v>
      </c>
      <c r="D16">
        <f t="shared" si="1"/>
        <v>15002.697671072774</v>
      </c>
      <c r="E16">
        <f t="shared" si="1"/>
        <v>93517.995093473612</v>
      </c>
      <c r="F16">
        <f t="shared" si="1"/>
        <v>8806.1293969904473</v>
      </c>
      <c r="G16">
        <f t="shared" si="1"/>
        <v>2155.1492326977027</v>
      </c>
      <c r="H16">
        <f t="shared" si="1"/>
        <v>9335.6553049250597</v>
      </c>
      <c r="I16">
        <f t="shared" si="1"/>
        <v>1396.7609875099638</v>
      </c>
      <c r="J16">
        <f t="shared" si="1"/>
        <v>12396.040887679233</v>
      </c>
      <c r="K16">
        <f t="shared" si="1"/>
        <v>34029.178813544539</v>
      </c>
      <c r="L16">
        <f t="shared" si="1"/>
        <v>840.86610677225485</v>
      </c>
      <c r="M16">
        <f t="shared" si="1"/>
        <v>6.4580880302768868</v>
      </c>
      <c r="N16">
        <f t="shared" si="1"/>
        <v>0</v>
      </c>
      <c r="O16">
        <f t="shared" si="1"/>
        <v>59.366631792054356</v>
      </c>
      <c r="P16">
        <f t="shared" si="1"/>
        <v>221636.4765693532</v>
      </c>
    </row>
    <row r="17" spans="1:16" x14ac:dyDescent="0.25">
      <c r="A17" t="str">
        <f>indonesia!B19</f>
        <v>INDONESIA</v>
      </c>
      <c r="B17">
        <f>indonesia!C19</f>
        <v>2034</v>
      </c>
      <c r="C17">
        <f t="shared" si="1"/>
        <v>47250.886874600299</v>
      </c>
      <c r="D17">
        <f t="shared" si="1"/>
        <v>16019.357426272129</v>
      </c>
      <c r="E17">
        <f t="shared" si="1"/>
        <v>98133.873816237043</v>
      </c>
      <c r="F17">
        <f t="shared" si="1"/>
        <v>8885.1761843610784</v>
      </c>
      <c r="G17">
        <f t="shared" si="1"/>
        <v>2155.1492316977028</v>
      </c>
      <c r="H17">
        <f t="shared" si="1"/>
        <v>9426.8333258157872</v>
      </c>
      <c r="I17">
        <f t="shared" si="1"/>
        <v>3367.3177857893115</v>
      </c>
      <c r="J17">
        <f t="shared" si="1"/>
        <v>13313.97252086102</v>
      </c>
      <c r="K17">
        <f t="shared" si="1"/>
        <v>35096.910515170486</v>
      </c>
      <c r="L17">
        <f t="shared" si="1"/>
        <v>848.58578474535057</v>
      </c>
      <c r="M17">
        <f t="shared" si="1"/>
        <v>6.4628279811457245</v>
      </c>
      <c r="N17">
        <f t="shared" si="1"/>
        <v>0</v>
      </c>
      <c r="O17">
        <f t="shared" si="1"/>
        <v>62.98673334266114</v>
      </c>
      <c r="P17">
        <f t="shared" si="1"/>
        <v>234504.52629353135</v>
      </c>
    </row>
    <row r="18" spans="1:16" x14ac:dyDescent="0.25">
      <c r="A18" t="str">
        <f>indonesia!B20</f>
        <v>INDONESIA</v>
      </c>
      <c r="B18">
        <f>indonesia!C20</f>
        <v>2035</v>
      </c>
      <c r="C18">
        <f t="shared" si="1"/>
        <v>49177.38337717703</v>
      </c>
      <c r="D18">
        <f t="shared" si="1"/>
        <v>16404.936279077629</v>
      </c>
      <c r="E18">
        <f t="shared" si="1"/>
        <v>104092.00306723996</v>
      </c>
      <c r="F18">
        <f t="shared" si="1"/>
        <v>10587.861546515453</v>
      </c>
      <c r="G18">
        <f t="shared" si="1"/>
        <v>2225.2995290152703</v>
      </c>
      <c r="H18">
        <f t="shared" si="1"/>
        <v>10057.441399000441</v>
      </c>
      <c r="I18">
        <f t="shared" si="1"/>
        <v>4088.8492911095977</v>
      </c>
      <c r="J18">
        <f t="shared" si="1"/>
        <v>14392.529465257012</v>
      </c>
      <c r="K18">
        <f t="shared" si="1"/>
        <v>36158.258193871174</v>
      </c>
      <c r="L18">
        <f t="shared" si="1"/>
        <v>852.44562373189842</v>
      </c>
      <c r="M18">
        <f t="shared" si="1"/>
        <v>6.6430457199142943</v>
      </c>
      <c r="N18">
        <f t="shared" si="1"/>
        <v>0</v>
      </c>
      <c r="O18">
        <f t="shared" si="1"/>
        <v>66.620123321220404</v>
      </c>
      <c r="P18">
        <f t="shared" si="1"/>
        <v>248043.65081771539</v>
      </c>
    </row>
    <row r="19" spans="1:16" x14ac:dyDescent="0.25">
      <c r="A19" t="str">
        <f>indonesia!B21</f>
        <v>INDONESIA</v>
      </c>
      <c r="B19">
        <f>indonesia!C21</f>
        <v>2036</v>
      </c>
      <c r="C19">
        <f t="shared" ref="C19:P21" si="2">SUM(C39,C59,C79,C99,C119,C139)</f>
        <v>51944.037170886397</v>
      </c>
      <c r="D19">
        <f t="shared" si="2"/>
        <v>16838.715729871561</v>
      </c>
      <c r="E19">
        <f t="shared" si="2"/>
        <v>110376.6366059836</v>
      </c>
      <c r="F19">
        <f t="shared" si="2"/>
        <v>11580.837959847388</v>
      </c>
      <c r="G19">
        <f t="shared" si="2"/>
        <v>2704.985140064362</v>
      </c>
      <c r="H19">
        <f t="shared" si="2"/>
        <v>10772.680479408731</v>
      </c>
      <c r="I19">
        <f t="shared" si="2"/>
        <v>5201.5754141733378</v>
      </c>
      <c r="J19">
        <f t="shared" si="2"/>
        <v>15576.916234644463</v>
      </c>
      <c r="K19">
        <f t="shared" si="2"/>
        <v>36911.800201843384</v>
      </c>
      <c r="L19">
        <f t="shared" si="2"/>
        <v>854.37554322517235</v>
      </c>
      <c r="M19">
        <f t="shared" si="2"/>
        <v>6.6430460517609546</v>
      </c>
      <c r="N19">
        <f t="shared" si="2"/>
        <v>0</v>
      </c>
      <c r="O19">
        <f t="shared" si="2"/>
        <v>70.637955561776806</v>
      </c>
      <c r="P19">
        <f t="shared" si="2"/>
        <v>262769.20352600014</v>
      </c>
    </row>
    <row r="20" spans="1:16" x14ac:dyDescent="0.25">
      <c r="A20" t="str">
        <f>indonesia!B22</f>
        <v>INDONESIA</v>
      </c>
      <c r="B20">
        <f>indonesia!C22</f>
        <v>2037</v>
      </c>
      <c r="C20">
        <f t="shared" si="2"/>
        <v>54779.107545261417</v>
      </c>
      <c r="D20">
        <f t="shared" si="2"/>
        <v>17490.002393193939</v>
      </c>
      <c r="E20">
        <f t="shared" si="2"/>
        <v>117832.14040777205</v>
      </c>
      <c r="F20">
        <f t="shared" si="2"/>
        <v>11935.180445950933</v>
      </c>
      <c r="G20">
        <f t="shared" si="2"/>
        <v>3666.3436094604485</v>
      </c>
      <c r="H20">
        <f t="shared" si="2"/>
        <v>11159.199261278556</v>
      </c>
      <c r="I20">
        <f t="shared" si="2"/>
        <v>6134.8662754315901</v>
      </c>
      <c r="J20">
        <f t="shared" si="2"/>
        <v>17262.600356692321</v>
      </c>
      <c r="K20">
        <f t="shared" si="2"/>
        <v>37462.956549528331</v>
      </c>
      <c r="L20">
        <f t="shared" si="2"/>
        <v>855.3405029718092</v>
      </c>
      <c r="M20">
        <f t="shared" si="2"/>
        <v>6.8246538170576256</v>
      </c>
      <c r="N20">
        <f t="shared" si="2"/>
        <v>1.2406235350967193E-15</v>
      </c>
      <c r="O20">
        <f t="shared" si="2"/>
        <v>74.80631997060577</v>
      </c>
      <c r="P20">
        <f t="shared" si="2"/>
        <v>278584.56200135854</v>
      </c>
    </row>
    <row r="21" spans="1:16" x14ac:dyDescent="0.25">
      <c r="A21" t="str">
        <f>indonesia!B23</f>
        <v>INDONESIA</v>
      </c>
      <c r="B21">
        <f>indonesia!C23</f>
        <v>2038</v>
      </c>
      <c r="C21">
        <f t="shared" si="2"/>
        <v>57964.48604849798</v>
      </c>
      <c r="D21">
        <f t="shared" si="2"/>
        <v>18590.234111045294</v>
      </c>
      <c r="E21">
        <f t="shared" si="2"/>
        <v>125829.67275827192</v>
      </c>
      <c r="F21">
        <f t="shared" si="2"/>
        <v>12406.63991567202</v>
      </c>
      <c r="G21">
        <f t="shared" si="2"/>
        <v>5042.9025007347482</v>
      </c>
      <c r="H21">
        <f t="shared" si="2"/>
        <v>11338.011457210971</v>
      </c>
      <c r="I21">
        <f t="shared" si="2"/>
        <v>6371.5640667426387</v>
      </c>
      <c r="J21">
        <f t="shared" si="2"/>
        <v>21444.918034727783</v>
      </c>
      <c r="K21">
        <f t="shared" si="2"/>
        <v>37902.459407639952</v>
      </c>
      <c r="L21">
        <f t="shared" si="2"/>
        <v>855.82298284512785</v>
      </c>
      <c r="M21">
        <f t="shared" si="2"/>
        <v>6.8246538170576372</v>
      </c>
      <c r="N21">
        <f t="shared" si="2"/>
        <v>9.4447224570348874E-7</v>
      </c>
      <c r="O21">
        <f t="shared" si="2"/>
        <v>79.698357604855133</v>
      </c>
      <c r="P21">
        <f t="shared" si="2"/>
        <v>297753.53593815002</v>
      </c>
    </row>
    <row r="22" spans="1:16" x14ac:dyDescent="0.25">
      <c r="A22" t="str">
        <f>sumatera!B4</f>
        <v>SUMATERA</v>
      </c>
      <c r="B22">
        <f>sumatera!C4</f>
        <v>2019</v>
      </c>
      <c r="C22">
        <f>sumatera!D4</f>
        <v>5328.13</v>
      </c>
      <c r="D22">
        <f>sumatera!E4</f>
        <v>1253.6999999999998</v>
      </c>
      <c r="E22">
        <f>sumatera!F4</f>
        <v>1289.43</v>
      </c>
      <c r="F22">
        <f>sumatera!G4</f>
        <v>2494.56</v>
      </c>
      <c r="G22">
        <f>sumatera!H4</f>
        <v>677</v>
      </c>
      <c r="H22">
        <f>sumatera!I4</f>
        <v>1959.96</v>
      </c>
      <c r="I22">
        <f>sumatera!J4</f>
        <v>70.260000000000005</v>
      </c>
      <c r="J22">
        <f>sumatera!K4</f>
        <v>1.1300000000000001</v>
      </c>
      <c r="K22">
        <f>sumatera!L4</f>
        <v>0</v>
      </c>
      <c r="L22">
        <f>sumatera!M4</f>
        <v>36.599999999999994</v>
      </c>
      <c r="M22">
        <f>sumatera!N4</f>
        <v>0</v>
      </c>
      <c r="N22">
        <f>sumatera!O4</f>
        <v>0</v>
      </c>
      <c r="O22">
        <f>sumatera!P4</f>
        <v>0</v>
      </c>
      <c r="P22">
        <f>sumatera!Q4</f>
        <v>13110.769999999999</v>
      </c>
    </row>
    <row r="23" spans="1:16" x14ac:dyDescent="0.25">
      <c r="A23" t="str">
        <f>sumatera!B5</f>
        <v>SUMATERA</v>
      </c>
      <c r="B23">
        <f>sumatera!C5</f>
        <v>2020</v>
      </c>
      <c r="C23">
        <f>sumatera!D5</f>
        <v>5522.498681506424</v>
      </c>
      <c r="D23">
        <f>sumatera!E5</f>
        <v>1253.6999999999998</v>
      </c>
      <c r="E23">
        <f>sumatera!F5</f>
        <v>2685.2918280052363</v>
      </c>
      <c r="F23">
        <f>sumatera!G5</f>
        <v>2494.56</v>
      </c>
      <c r="G23">
        <f>sumatera!H5</f>
        <v>677</v>
      </c>
      <c r="H23">
        <f>sumatera!I5</f>
        <v>1959.96</v>
      </c>
      <c r="I23">
        <f>sumatera!J5</f>
        <v>70.260000000000005</v>
      </c>
      <c r="J23">
        <f>sumatera!K5</f>
        <v>395.69664586905907</v>
      </c>
      <c r="K23">
        <f>sumatera!L5</f>
        <v>0</v>
      </c>
      <c r="L23">
        <f>sumatera!M5</f>
        <v>36.599999999999994</v>
      </c>
      <c r="M23">
        <f>sumatera!N5</f>
        <v>0</v>
      </c>
      <c r="N23">
        <f>sumatera!O5</f>
        <v>0</v>
      </c>
      <c r="O23">
        <f>sumatera!P5</f>
        <v>4.5201281038378429</v>
      </c>
      <c r="P23">
        <f>sumatera!Q5</f>
        <v>15095.567155380719</v>
      </c>
    </row>
    <row r="24" spans="1:16" x14ac:dyDescent="0.25">
      <c r="A24" t="str">
        <f>sumatera!B6</f>
        <v>SUMATERA</v>
      </c>
      <c r="B24">
        <f>sumatera!C6</f>
        <v>2021</v>
      </c>
      <c r="C24">
        <f>sumatera!D6</f>
        <v>5522.498681506424</v>
      </c>
      <c r="D24">
        <f>sumatera!E6</f>
        <v>2042.5730615552216</v>
      </c>
      <c r="E24">
        <f>sumatera!F6</f>
        <v>2685.2918280052363</v>
      </c>
      <c r="F24">
        <f>sumatera!G6</f>
        <v>2494.56</v>
      </c>
      <c r="G24">
        <f>sumatera!H6</f>
        <v>677</v>
      </c>
      <c r="H24">
        <f>sumatera!I6</f>
        <v>1959.96</v>
      </c>
      <c r="I24">
        <f>sumatera!J6</f>
        <v>70.260000000000005</v>
      </c>
      <c r="J24">
        <f>sumatera!K6</f>
        <v>416.59601332620946</v>
      </c>
      <c r="K24">
        <f>sumatera!L6</f>
        <v>0</v>
      </c>
      <c r="L24">
        <f>sumatera!M6</f>
        <v>36.599999999999994</v>
      </c>
      <c r="M24">
        <f>sumatera!N6</f>
        <v>0</v>
      </c>
      <c r="N24">
        <f>sumatera!O6</f>
        <v>0</v>
      </c>
      <c r="O24">
        <f>sumatera!P6</f>
        <v>4.6880726780575355</v>
      </c>
      <c r="P24">
        <f>sumatera!Q6</f>
        <v>15905.339584393092</v>
      </c>
    </row>
    <row r="25" spans="1:16" x14ac:dyDescent="0.25">
      <c r="A25" t="str">
        <f>sumatera!B7</f>
        <v>SUMATERA</v>
      </c>
      <c r="B25">
        <f>sumatera!C7</f>
        <v>2022</v>
      </c>
      <c r="C25">
        <f>sumatera!D7</f>
        <v>5522.498681506424</v>
      </c>
      <c r="D25">
        <f>sumatera!E7</f>
        <v>2042.5730615552216</v>
      </c>
      <c r="E25">
        <f>sumatera!F7</f>
        <v>2871.674680636238</v>
      </c>
      <c r="F25">
        <f>sumatera!G7</f>
        <v>2584.0240967339696</v>
      </c>
      <c r="G25">
        <f>sumatera!H7</f>
        <v>677</v>
      </c>
      <c r="H25">
        <f>sumatera!I7</f>
        <v>1959.96</v>
      </c>
      <c r="I25">
        <f>sumatera!J7</f>
        <v>70.260000000000005</v>
      </c>
      <c r="J25">
        <f>sumatera!K7</f>
        <v>438.66188640436371</v>
      </c>
      <c r="K25">
        <f>sumatera!L7</f>
        <v>0</v>
      </c>
      <c r="L25">
        <f>sumatera!M7</f>
        <v>36.599999999999994</v>
      </c>
      <c r="M25">
        <f>sumatera!N7</f>
        <v>0</v>
      </c>
      <c r="N25">
        <f>sumatera!O7</f>
        <v>0</v>
      </c>
      <c r="O25">
        <f>sumatera!P7</f>
        <v>4.7597612721280731</v>
      </c>
      <c r="P25">
        <f>sumatera!Q7</f>
        <v>16203.252406836218</v>
      </c>
    </row>
    <row r="26" spans="1:16" x14ac:dyDescent="0.25">
      <c r="A26" t="str">
        <f>sumatera!B8</f>
        <v>SUMATERA</v>
      </c>
      <c r="B26">
        <f>sumatera!C8</f>
        <v>2023</v>
      </c>
      <c r="C26">
        <f>sumatera!D8</f>
        <v>5522.498681506424</v>
      </c>
      <c r="D26">
        <f>sumatera!E8</f>
        <v>2042.5730615552216</v>
      </c>
      <c r="E26">
        <f>sumatera!F8</f>
        <v>4515.5910280031967</v>
      </c>
      <c r="F26">
        <f>sumatera!G8</f>
        <v>2884.7129330235844</v>
      </c>
      <c r="G26">
        <f>sumatera!H8</f>
        <v>677</v>
      </c>
      <c r="H26">
        <f>sumatera!I8</f>
        <v>1959.96</v>
      </c>
      <c r="I26">
        <f>sumatera!J8</f>
        <v>70.260000000000005</v>
      </c>
      <c r="J26">
        <f>sumatera!K8</f>
        <v>461.96543041010273</v>
      </c>
      <c r="K26">
        <f>sumatera!L8</f>
        <v>4.0781829605225485E-8</v>
      </c>
      <c r="L26">
        <f>sumatera!M8</f>
        <v>36.599999999999994</v>
      </c>
      <c r="M26">
        <f>sumatera!N8</f>
        <v>0</v>
      </c>
      <c r="N26">
        <f>sumatera!O8</f>
        <v>0</v>
      </c>
      <c r="O26">
        <f>sumatera!P8</f>
        <v>5.1837856947211529</v>
      </c>
      <c r="P26">
        <f>sumatera!Q8</f>
        <v>18171.161134539307</v>
      </c>
    </row>
    <row r="27" spans="1:16" x14ac:dyDescent="0.25">
      <c r="A27" t="str">
        <f>sumatera!B9</f>
        <v>SUMATERA</v>
      </c>
      <c r="B27">
        <f>sumatera!C9</f>
        <v>2024</v>
      </c>
      <c r="C27">
        <f>sumatera!D9</f>
        <v>5522.498681506424</v>
      </c>
      <c r="D27">
        <f>sumatera!E9</f>
        <v>2042.5730615552216</v>
      </c>
      <c r="E27">
        <f>sumatera!F9</f>
        <v>5969.8051566795966</v>
      </c>
      <c r="F27">
        <f>sumatera!G9</f>
        <v>3142.4306303839408</v>
      </c>
      <c r="G27">
        <f>sumatera!H9</f>
        <v>677</v>
      </c>
      <c r="H27">
        <f>sumatera!I9</f>
        <v>1959.96</v>
      </c>
      <c r="I27">
        <f>sumatera!J9</f>
        <v>70.260000000000005</v>
      </c>
      <c r="J27">
        <f>sumatera!K9</f>
        <v>584.80783346940825</v>
      </c>
      <c r="K27">
        <f>sumatera!L9</f>
        <v>892.72061974749079</v>
      </c>
      <c r="L27">
        <f>sumatera!M9</f>
        <v>36.599999999999994</v>
      </c>
      <c r="M27">
        <f>sumatera!N9</f>
        <v>0</v>
      </c>
      <c r="N27">
        <f>sumatera!O9</f>
        <v>0</v>
      </c>
      <c r="O27">
        <f>sumatera!P9</f>
        <v>5.9231980270154505</v>
      </c>
      <c r="P27">
        <f>sumatera!Q9</f>
        <v>20898.65598334208</v>
      </c>
    </row>
    <row r="28" spans="1:16" x14ac:dyDescent="0.25">
      <c r="A28" t="str">
        <f>sumatera!B10</f>
        <v>SUMATERA</v>
      </c>
      <c r="B28">
        <f>sumatera!C10</f>
        <v>2025</v>
      </c>
      <c r="C28">
        <f>sumatera!D10</f>
        <v>5628.2479894584203</v>
      </c>
      <c r="D28">
        <f>sumatera!E10</f>
        <v>2042.5730615552216</v>
      </c>
      <c r="E28">
        <f>sumatera!F10</f>
        <v>7114.1761295175647</v>
      </c>
      <c r="F28">
        <f>sumatera!G10</f>
        <v>3394.5439319332795</v>
      </c>
      <c r="G28">
        <f>sumatera!H10</f>
        <v>677</v>
      </c>
      <c r="H28">
        <f>sumatera!I10</f>
        <v>1959.96</v>
      </c>
      <c r="I28">
        <f>sumatera!J10</f>
        <v>70.260000000000005</v>
      </c>
      <c r="J28">
        <f>sumatera!K10</f>
        <v>737.44872189677585</v>
      </c>
      <c r="K28">
        <f>sumatera!L10</f>
        <v>1939.8458893686602</v>
      </c>
      <c r="L28">
        <f>sumatera!M10</f>
        <v>36.599999999999994</v>
      </c>
      <c r="M28">
        <f>sumatera!N10</f>
        <v>0</v>
      </c>
      <c r="N28">
        <f>sumatera!O10</f>
        <v>0</v>
      </c>
      <c r="O28">
        <f>sumatera!P10</f>
        <v>6.7031257029092588</v>
      </c>
      <c r="P28">
        <f>sumatera!Q10</f>
        <v>23600.65572372992</v>
      </c>
    </row>
    <row r="29" spans="1:16" x14ac:dyDescent="0.25">
      <c r="A29" t="str">
        <f>sumatera!B11</f>
        <v>SUMATERA</v>
      </c>
      <c r="B29">
        <f>sumatera!C11</f>
        <v>2026</v>
      </c>
      <c r="C29">
        <f>sumatera!D11</f>
        <v>6214.7928309317349</v>
      </c>
      <c r="D29">
        <f>sumatera!E11</f>
        <v>2042.5730615552216</v>
      </c>
      <c r="E29">
        <f>sumatera!F11</f>
        <v>7581.4748096584635</v>
      </c>
      <c r="F29">
        <f>sumatera!G11</f>
        <v>3394.5439319332795</v>
      </c>
      <c r="G29">
        <f>sumatera!H11</f>
        <v>677</v>
      </c>
      <c r="H29">
        <f>sumatera!I11</f>
        <v>1959.96</v>
      </c>
      <c r="I29">
        <f>sumatera!J11</f>
        <v>70.260000000000005</v>
      </c>
      <c r="J29">
        <f>sumatera!K11</f>
        <v>997.00763642870334</v>
      </c>
      <c r="K29">
        <f>sumatera!L11</f>
        <v>3741.1489063010781</v>
      </c>
      <c r="L29">
        <f>sumatera!M11</f>
        <v>36.599999999999994</v>
      </c>
      <c r="M29">
        <f>sumatera!N11</f>
        <v>0</v>
      </c>
      <c r="N29">
        <f>sumatera!O11</f>
        <v>0</v>
      </c>
      <c r="O29">
        <f>sumatera!P11</f>
        <v>7.7424881953509184</v>
      </c>
      <c r="P29">
        <f>sumatera!Q11</f>
        <v>26715.361176808477</v>
      </c>
    </row>
    <row r="30" spans="1:16" x14ac:dyDescent="0.25">
      <c r="A30" t="str">
        <f>sumatera!B12</f>
        <v>SUMATERA</v>
      </c>
      <c r="B30">
        <f>sumatera!C12</f>
        <v>2027</v>
      </c>
      <c r="C30">
        <f>sumatera!D12</f>
        <v>6904.667207289729</v>
      </c>
      <c r="D30">
        <f>sumatera!E12</f>
        <v>2042.5730615552216</v>
      </c>
      <c r="E30">
        <f>sumatera!F12</f>
        <v>7808.2877258160088</v>
      </c>
      <c r="F30">
        <f>sumatera!G12</f>
        <v>3394.5439319332795</v>
      </c>
      <c r="G30">
        <f>sumatera!H12</f>
        <v>677</v>
      </c>
      <c r="H30">
        <f>sumatera!I12</f>
        <v>1959.96</v>
      </c>
      <c r="I30">
        <f>sumatera!J12</f>
        <v>361.8058096568418</v>
      </c>
      <c r="J30">
        <f>sumatera!K12</f>
        <v>1358.1771222566597</v>
      </c>
      <c r="K30">
        <f>sumatera!L12</f>
        <v>5569.0744531505388</v>
      </c>
      <c r="L30">
        <f>sumatera!M12</f>
        <v>36.599999999999994</v>
      </c>
      <c r="M30">
        <f>sumatera!N12</f>
        <v>0</v>
      </c>
      <c r="N30">
        <f>sumatera!O12</f>
        <v>0</v>
      </c>
      <c r="O30">
        <f>sumatera!P12</f>
        <v>8.9234904323716275</v>
      </c>
      <c r="P30">
        <f>sumatera!Q12</f>
        <v>30112.68931165828</v>
      </c>
    </row>
    <row r="31" spans="1:16" x14ac:dyDescent="0.25">
      <c r="A31" t="str">
        <f>sumatera!B13</f>
        <v>SUMATERA</v>
      </c>
      <c r="B31">
        <f>sumatera!C13</f>
        <v>2028</v>
      </c>
      <c r="C31">
        <f>sumatera!D13</f>
        <v>7296.544959902988</v>
      </c>
      <c r="D31">
        <f>sumatera!E13</f>
        <v>2042.5730615552216</v>
      </c>
      <c r="E31">
        <f>sumatera!F13</f>
        <v>9511.4155405753354</v>
      </c>
      <c r="F31">
        <f>sumatera!G13</f>
        <v>3394.5439319332795</v>
      </c>
      <c r="G31">
        <f>sumatera!H13</f>
        <v>677</v>
      </c>
      <c r="H31">
        <f>sumatera!I13</f>
        <v>1959.96</v>
      </c>
      <c r="I31">
        <f>sumatera!J13</f>
        <v>361.8058096568418</v>
      </c>
      <c r="J31">
        <f>sumatera!K13</f>
        <v>1451.3555805757726</v>
      </c>
      <c r="K31">
        <f>sumatera!L13</f>
        <v>5714.7206436660736</v>
      </c>
      <c r="L31">
        <f>sumatera!M13</f>
        <v>36.599999999999994</v>
      </c>
      <c r="M31">
        <f>sumatera!N13</f>
        <v>0</v>
      </c>
      <c r="N31">
        <f>sumatera!O13</f>
        <v>0</v>
      </c>
      <c r="O31">
        <f>sumatera!P13</f>
        <v>9.4585114378864077</v>
      </c>
      <c r="P31">
        <f>sumatera!Q13</f>
        <v>32446.519527865512</v>
      </c>
    </row>
    <row r="32" spans="1:16" x14ac:dyDescent="0.25">
      <c r="A32" t="str">
        <f>sumatera!B14</f>
        <v>SUMATERA</v>
      </c>
      <c r="B32">
        <f>sumatera!C14</f>
        <v>2029</v>
      </c>
      <c r="C32">
        <f>sumatera!D14</f>
        <v>7708.1091048394974</v>
      </c>
      <c r="D32">
        <f>sumatera!E14</f>
        <v>2042.5730615552216</v>
      </c>
      <c r="E32">
        <f>sumatera!F14</f>
        <v>11356.535027438842</v>
      </c>
      <c r="F32">
        <f>sumatera!G14</f>
        <v>3394.5439319332795</v>
      </c>
      <c r="G32">
        <f>sumatera!H14</f>
        <v>677</v>
      </c>
      <c r="H32">
        <f>sumatera!I14</f>
        <v>1959.96</v>
      </c>
      <c r="I32">
        <f>sumatera!J14</f>
        <v>361.8058480501399</v>
      </c>
      <c r="J32">
        <f>sumatera!K14</f>
        <v>1553.7553747835748</v>
      </c>
      <c r="K32">
        <f>sumatera!L14</f>
        <v>5834.3244699300139</v>
      </c>
      <c r="L32">
        <f>sumatera!M14</f>
        <v>36.599999999999994</v>
      </c>
      <c r="M32">
        <f>sumatera!N14</f>
        <v>0.22801793895929037</v>
      </c>
      <c r="N32">
        <f>sumatera!O14</f>
        <v>0</v>
      </c>
      <c r="O32">
        <f>sumatera!P14</f>
        <v>10.01950377023697</v>
      </c>
      <c r="P32">
        <f>sumatera!Q14</f>
        <v>34925.434836469518</v>
      </c>
    </row>
    <row r="33" spans="1:16" x14ac:dyDescent="0.25">
      <c r="A33" t="str">
        <f>sumatera!B15</f>
        <v>SUMATERA</v>
      </c>
      <c r="B33">
        <f>sumatera!C15</f>
        <v>2030</v>
      </c>
      <c r="C33">
        <f>sumatera!D15</f>
        <v>8125.7348965540659</v>
      </c>
      <c r="D33">
        <f>sumatera!E15</f>
        <v>2042.5730615552216</v>
      </c>
      <c r="E33">
        <f>sumatera!F15</f>
        <v>12368.488060213189</v>
      </c>
      <c r="F33">
        <f>sumatera!G15</f>
        <v>3394.5468057118965</v>
      </c>
      <c r="G33">
        <f>sumatera!H15</f>
        <v>677</v>
      </c>
      <c r="H33">
        <f>sumatera!I15</f>
        <v>1959.9600005932571</v>
      </c>
      <c r="I33">
        <f>sumatera!J15</f>
        <v>361.80584811310467</v>
      </c>
      <c r="J33">
        <f>sumatera!K15</f>
        <v>3206.4471310983554</v>
      </c>
      <c r="K33">
        <f>sumatera!L15</f>
        <v>5834.3243838527915</v>
      </c>
      <c r="L33">
        <f>sumatera!M15</f>
        <v>36.599999999999994</v>
      </c>
      <c r="M33">
        <f>sumatera!N15</f>
        <v>0.22801793895929037</v>
      </c>
      <c r="N33">
        <f>sumatera!O15</f>
        <v>0</v>
      </c>
      <c r="O33">
        <f>sumatera!P15</f>
        <v>10.733846201841695</v>
      </c>
      <c r="P33">
        <f>sumatera!Q15</f>
        <v>38007.708205630835</v>
      </c>
    </row>
    <row r="34" spans="1:16" x14ac:dyDescent="0.25">
      <c r="A34" t="str">
        <f>sumatera!B16</f>
        <v>SUMATERA</v>
      </c>
      <c r="B34">
        <f>sumatera!C16</f>
        <v>2031</v>
      </c>
      <c r="C34">
        <f>sumatera!D16</f>
        <v>8612.9531318378777</v>
      </c>
      <c r="D34">
        <f>sumatera!E16</f>
        <v>2042.5730615552216</v>
      </c>
      <c r="E34">
        <f>sumatera!F16</f>
        <v>14319.719705982294</v>
      </c>
      <c r="F34">
        <f>sumatera!G16</f>
        <v>3394.5468057118965</v>
      </c>
      <c r="G34">
        <f>sumatera!H16</f>
        <v>677</v>
      </c>
      <c r="H34">
        <f>sumatera!I16</f>
        <v>1959.9600005932571</v>
      </c>
      <c r="I34">
        <f>sumatera!J16</f>
        <v>361.80584811310467</v>
      </c>
      <c r="J34">
        <f>sumatera!K16</f>
        <v>3206.4471310983554</v>
      </c>
      <c r="K34">
        <f>sumatera!L16</f>
        <v>6284.4596954164444</v>
      </c>
      <c r="L34">
        <f>sumatera!M16</f>
        <v>36.599999999999994</v>
      </c>
      <c r="M34">
        <f>sumatera!N16</f>
        <v>0.22801793895929037</v>
      </c>
      <c r="N34">
        <f>sumatera!O16</f>
        <v>0</v>
      </c>
      <c r="O34">
        <f>sumatera!P16</f>
        <v>11.444101326382317</v>
      </c>
      <c r="P34">
        <f>sumatera!Q16</f>
        <v>40896.293398247406</v>
      </c>
    </row>
    <row r="35" spans="1:16" x14ac:dyDescent="0.25">
      <c r="A35" t="str">
        <f>sumatera!B17</f>
        <v>SUMATERA</v>
      </c>
      <c r="B35">
        <f>sumatera!C17</f>
        <v>2032</v>
      </c>
      <c r="C35">
        <f>sumatera!D17</f>
        <v>9130.552543689224</v>
      </c>
      <c r="D35">
        <f>sumatera!E17</f>
        <v>2042.5730615552216</v>
      </c>
      <c r="E35">
        <f>sumatera!F17</f>
        <v>16411.287352550782</v>
      </c>
      <c r="F35">
        <f>sumatera!G17</f>
        <v>3394.5468057118965</v>
      </c>
      <c r="G35">
        <f>sumatera!H17</f>
        <v>677</v>
      </c>
      <c r="H35">
        <f>sumatera!I17</f>
        <v>1959.9600005932571</v>
      </c>
      <c r="I35">
        <f>sumatera!J17</f>
        <v>361.80584811310467</v>
      </c>
      <c r="J35">
        <f>sumatera!K17</f>
        <v>3206.4471310983554</v>
      </c>
      <c r="K35">
        <f>sumatera!L17</f>
        <v>6769.4651011463766</v>
      </c>
      <c r="L35">
        <f>sumatera!M17</f>
        <v>36.599999999999994</v>
      </c>
      <c r="M35">
        <f>sumatera!N17</f>
        <v>0.22801793895929037</v>
      </c>
      <c r="N35">
        <f>sumatera!O17</f>
        <v>0</v>
      </c>
      <c r="O35">
        <f>sumatera!P17</f>
        <v>12.204836585368602</v>
      </c>
      <c r="P35">
        <f>sumatera!Q17</f>
        <v>43990.46586239717</v>
      </c>
    </row>
    <row r="36" spans="1:16" x14ac:dyDescent="0.25">
      <c r="A36" t="str">
        <f>sumatera!B18</f>
        <v>SUMATERA</v>
      </c>
      <c r="B36">
        <f>sumatera!C18</f>
        <v>2033</v>
      </c>
      <c r="C36">
        <f>sumatera!D18</f>
        <v>9623.613217803857</v>
      </c>
      <c r="D36">
        <f>sumatera!E18</f>
        <v>2042.5730615552216</v>
      </c>
      <c r="E36">
        <f>sumatera!F18</f>
        <v>18894.354313047334</v>
      </c>
      <c r="F36">
        <f>sumatera!G18</f>
        <v>3394.5468057118965</v>
      </c>
      <c r="G36">
        <f>sumatera!H18</f>
        <v>677</v>
      </c>
      <c r="H36">
        <f>sumatera!I18</f>
        <v>1959.9600005932571</v>
      </c>
      <c r="I36">
        <f>sumatera!J18</f>
        <v>361.80584811310467</v>
      </c>
      <c r="J36">
        <f>sumatera!K18</f>
        <v>3206.4471310983554</v>
      </c>
      <c r="K36">
        <f>sumatera!L18</f>
        <v>6849.5261609593481</v>
      </c>
      <c r="L36">
        <f>sumatera!M18</f>
        <v>36.599999999999994</v>
      </c>
      <c r="M36">
        <f>sumatera!N18</f>
        <v>0.22801793895929037</v>
      </c>
      <c r="N36">
        <f>sumatera!O18</f>
        <v>0</v>
      </c>
      <c r="O36">
        <f>sumatera!P18</f>
        <v>12.876411892705393</v>
      </c>
      <c r="P36">
        <f>sumatera!Q18</f>
        <v>47046.654556821333</v>
      </c>
    </row>
    <row r="37" spans="1:16" x14ac:dyDescent="0.25">
      <c r="A37" t="str">
        <f>sumatera!B19</f>
        <v>SUMATERA</v>
      </c>
      <c r="B37">
        <f>sumatera!C19</f>
        <v>2034</v>
      </c>
      <c r="C37">
        <f>sumatera!D19</f>
        <v>10773.87714872011</v>
      </c>
      <c r="D37">
        <f>sumatera!E19</f>
        <v>2042.5732746439073</v>
      </c>
      <c r="E37">
        <f>sumatera!F19</f>
        <v>18894.354920995782</v>
      </c>
      <c r="F37">
        <f>sumatera!G19</f>
        <v>3394.5478313464737</v>
      </c>
      <c r="G37">
        <f>sumatera!H19</f>
        <v>677</v>
      </c>
      <c r="H37">
        <f>sumatera!I19</f>
        <v>1959.9600005932571</v>
      </c>
      <c r="I37">
        <f>sumatera!J19</f>
        <v>1298.983104322014</v>
      </c>
      <c r="J37">
        <f>sumatera!K19</f>
        <v>3206.4471310983554</v>
      </c>
      <c r="K37">
        <f>sumatera!L19</f>
        <v>6849.5263374279048</v>
      </c>
      <c r="L37">
        <f>sumatera!M19</f>
        <v>36.599999999999994</v>
      </c>
      <c r="M37">
        <f>sumatera!N19</f>
        <v>0.22801793895929037</v>
      </c>
      <c r="N37">
        <f>sumatera!O19</f>
        <v>0</v>
      </c>
      <c r="O37">
        <f>sumatera!P19</f>
        <v>13.645990222808528</v>
      </c>
      <c r="P37">
        <f>sumatera!Q19</f>
        <v>49134.097767086758</v>
      </c>
    </row>
    <row r="38" spans="1:16" x14ac:dyDescent="0.25">
      <c r="A38" t="str">
        <f>sumatera!B20</f>
        <v>SUMATERA</v>
      </c>
      <c r="B38">
        <f>sumatera!C20</f>
        <v>2035</v>
      </c>
      <c r="C38">
        <f>sumatera!D20</f>
        <v>10773.87714872011</v>
      </c>
      <c r="D38">
        <f>sumatera!E20</f>
        <v>2042.5732746439073</v>
      </c>
      <c r="E38">
        <f>sumatera!F20</f>
        <v>19581.077606024952</v>
      </c>
      <c r="F38">
        <f>sumatera!G20</f>
        <v>5026.3504919343613</v>
      </c>
      <c r="G38">
        <f>sumatera!H20</f>
        <v>677</v>
      </c>
      <c r="H38">
        <f>sumatera!I20</f>
        <v>1959.9600005932571</v>
      </c>
      <c r="I38">
        <f>sumatera!J20</f>
        <v>1330.9264081905624</v>
      </c>
      <c r="J38">
        <f>sumatera!K20</f>
        <v>3206.4471310983554</v>
      </c>
      <c r="K38">
        <f>sumatera!L20</f>
        <v>7123.2631687139519</v>
      </c>
      <c r="L38">
        <f>sumatera!M20</f>
        <v>36.599999999999994</v>
      </c>
      <c r="M38">
        <f>sumatera!N20</f>
        <v>0.22801793895929037</v>
      </c>
      <c r="N38">
        <f>sumatera!O20</f>
        <v>0</v>
      </c>
      <c r="O38">
        <f>sumatera!P20</f>
        <v>14.460000915956551</v>
      </c>
      <c r="P38">
        <f>sumatera!Q20</f>
        <v>51758.303247858421</v>
      </c>
    </row>
    <row r="39" spans="1:16" x14ac:dyDescent="0.25">
      <c r="A39" t="str">
        <f>sumatera!B21</f>
        <v>SUMATERA</v>
      </c>
      <c r="B39">
        <f>sumatera!C21</f>
        <v>2036</v>
      </c>
      <c r="C39">
        <f>sumatera!D21</f>
        <v>11409.293180916242</v>
      </c>
      <c r="D39">
        <f>sumatera!E21</f>
        <v>2042.5732746439073</v>
      </c>
      <c r="E39">
        <f>sumatera!F21</f>
        <v>19928.614671624211</v>
      </c>
      <c r="F39">
        <f>sumatera!G21</f>
        <v>5933.3678070458855</v>
      </c>
      <c r="G39">
        <f>sumatera!H21</f>
        <v>677</v>
      </c>
      <c r="H39">
        <f>sumatera!I21</f>
        <v>1959.9600005932571</v>
      </c>
      <c r="I39">
        <f>sumatera!J21</f>
        <v>1919.9445056837408</v>
      </c>
      <c r="J39">
        <f>sumatera!K21</f>
        <v>3206.4471310983554</v>
      </c>
      <c r="K39">
        <f>sumatera!L21</f>
        <v>7260.1315843569755</v>
      </c>
      <c r="L39">
        <f>sumatera!M21</f>
        <v>36.599999999999994</v>
      </c>
      <c r="M39">
        <f>sumatera!N21</f>
        <v>0.22801793895929037</v>
      </c>
      <c r="N39">
        <f>sumatera!O21</f>
        <v>0</v>
      </c>
      <c r="O39">
        <f>sumatera!P21</f>
        <v>15.347084594536417</v>
      </c>
      <c r="P39">
        <f>sumatera!Q21</f>
        <v>54374.160173901539</v>
      </c>
    </row>
    <row r="40" spans="1:16" x14ac:dyDescent="0.25">
      <c r="A40" t="str">
        <f>sumatera!B22</f>
        <v>SUMATERA</v>
      </c>
      <c r="B40">
        <f>sumatera!C22</f>
        <v>2037</v>
      </c>
      <c r="C40">
        <f>sumatera!D22</f>
        <v>12058.826013609541</v>
      </c>
      <c r="D40">
        <f>sumatera!E22</f>
        <v>2042.5732746439073</v>
      </c>
      <c r="E40">
        <f>sumatera!F22</f>
        <v>21470.606984298374</v>
      </c>
      <c r="F40">
        <f>sumatera!G22</f>
        <v>6203.5219225193187</v>
      </c>
      <c r="G40">
        <f>sumatera!H22</f>
        <v>677</v>
      </c>
      <c r="H40">
        <f>sumatera!I22</f>
        <v>1959.9600005932571</v>
      </c>
      <c r="I40">
        <f>sumatera!J22</f>
        <v>2452.7867580373454</v>
      </c>
      <c r="J40">
        <f>sumatera!K22</f>
        <v>3599.1684564278694</v>
      </c>
      <c r="K40">
        <f>sumatera!L22</f>
        <v>7328.5657921784878</v>
      </c>
      <c r="L40">
        <f>sumatera!M22</f>
        <v>36.599999999999994</v>
      </c>
      <c r="M40">
        <f>sumatera!N22</f>
        <v>0.22801793895929037</v>
      </c>
      <c r="N40">
        <f>sumatera!O22</f>
        <v>0</v>
      </c>
      <c r="O40">
        <f>sumatera!P22</f>
        <v>16.288494941263586</v>
      </c>
      <c r="P40">
        <f>sumatera!Q22</f>
        <v>57829.837220247056</v>
      </c>
    </row>
    <row r="41" spans="1:16" x14ac:dyDescent="0.25">
      <c r="A41" t="str">
        <f>sumatera!B23</f>
        <v>SUMATERA</v>
      </c>
      <c r="B41">
        <f>sumatera!C23</f>
        <v>2038</v>
      </c>
      <c r="C41">
        <f>sumatera!D23</f>
        <v>12812.517101106094</v>
      </c>
      <c r="D41">
        <f>sumatera!E23</f>
        <v>2042.5732746439073</v>
      </c>
      <c r="E41">
        <f>sumatera!F23</f>
        <v>23203.371969356849</v>
      </c>
      <c r="F41">
        <f>sumatera!G23</f>
        <v>6506.5735603659641</v>
      </c>
      <c r="G41">
        <f>sumatera!H23</f>
        <v>677.00000000023249</v>
      </c>
      <c r="H41">
        <f>sumatera!I23</f>
        <v>1959.9600005938621</v>
      </c>
      <c r="I41">
        <f>sumatera!J23</f>
        <v>2452.7867580381608</v>
      </c>
      <c r="J41">
        <f>sumatera!K23</f>
        <v>6273.8898911028336</v>
      </c>
      <c r="K41">
        <f>sumatera!L23</f>
        <v>7328.5657921784878</v>
      </c>
      <c r="L41">
        <f>sumatera!M23</f>
        <v>36.599999999999994</v>
      </c>
      <c r="M41">
        <f>sumatera!N23</f>
        <v>0.22801793895929037</v>
      </c>
      <c r="N41">
        <f>sumatera!O23</f>
        <v>9.444722444628652E-7</v>
      </c>
      <c r="O41">
        <f>sumatera!P23</f>
        <v>17.593637333535174</v>
      </c>
      <c r="P41">
        <f>sumatera!Q23</f>
        <v>63294.066366269813</v>
      </c>
    </row>
    <row r="42" spans="1:16" x14ac:dyDescent="0.25">
      <c r="A42" t="str">
        <f>Jawa!B4</f>
        <v>JAWA</v>
      </c>
      <c r="B42">
        <f>Jawa!C4</f>
        <v>2019</v>
      </c>
      <c r="C42">
        <f>Jawa!D4</f>
        <v>23045</v>
      </c>
      <c r="D42">
        <f>Jawa!E4</f>
        <v>2896.7400000000002</v>
      </c>
      <c r="E42">
        <f>Jawa!F4</f>
        <v>9861.0300000000007</v>
      </c>
      <c r="F42">
        <f>Jawa!G4</f>
        <v>33.130000000000003</v>
      </c>
      <c r="G42">
        <f>Jawa!H4</f>
        <v>1204.8</v>
      </c>
      <c r="H42">
        <f>Jawa!I4</f>
        <v>2599.35</v>
      </c>
      <c r="I42">
        <f>Jawa!J4</f>
        <v>17.350000000000001</v>
      </c>
      <c r="J42">
        <f>Jawa!K4</f>
        <v>1</v>
      </c>
      <c r="K42">
        <f>Jawa!L4</f>
        <v>0</v>
      </c>
      <c r="L42">
        <f>Jawa!M4</f>
        <v>8</v>
      </c>
      <c r="M42">
        <f>Jawa!N4</f>
        <v>0</v>
      </c>
      <c r="N42">
        <f>Jawa!O4</f>
        <v>0</v>
      </c>
      <c r="O42">
        <f>Jawa!P4</f>
        <v>0</v>
      </c>
      <c r="P42">
        <f>Jawa!Q4</f>
        <v>39666.400000000001</v>
      </c>
    </row>
    <row r="43" spans="1:16" x14ac:dyDescent="0.25">
      <c r="A43" t="str">
        <f>Jawa!B5</f>
        <v>JAWA</v>
      </c>
      <c r="B43">
        <f>Jawa!C5</f>
        <v>2020</v>
      </c>
      <c r="C43">
        <f>Jawa!D5</f>
        <v>24590.342157804171</v>
      </c>
      <c r="D43">
        <f>Jawa!E5</f>
        <v>2896.7400000000002</v>
      </c>
      <c r="E43">
        <f>Jawa!F5</f>
        <v>10866.790298850403</v>
      </c>
      <c r="F43">
        <f>Jawa!G5</f>
        <v>33.130000000000003</v>
      </c>
      <c r="G43">
        <f>Jawa!H5</f>
        <v>1204.8</v>
      </c>
      <c r="H43">
        <f>Jawa!I5</f>
        <v>4698.8502810393838</v>
      </c>
      <c r="I43">
        <f>Jawa!J5</f>
        <v>17.350000000000001</v>
      </c>
      <c r="J43">
        <f>Jawa!K5</f>
        <v>5211.8707525711061</v>
      </c>
      <c r="K43">
        <f>Jawa!L5</f>
        <v>22.503287433946543</v>
      </c>
      <c r="L43">
        <f>Jawa!M5</f>
        <v>8</v>
      </c>
      <c r="M43">
        <f>Jawa!N5</f>
        <v>5.5649797213790588</v>
      </c>
      <c r="N43">
        <f>Jawa!O5</f>
        <v>0</v>
      </c>
      <c r="O43">
        <f>Jawa!P5</f>
        <v>14.142510384854065</v>
      </c>
      <c r="P43">
        <f>Jawa!Q5</f>
        <v>49555.941757420384</v>
      </c>
    </row>
    <row r="44" spans="1:16" x14ac:dyDescent="0.25">
      <c r="A44" t="str">
        <f>Jawa!B6</f>
        <v>JAWA</v>
      </c>
      <c r="B44">
        <f>Jawa!C6</f>
        <v>2021</v>
      </c>
      <c r="C44">
        <f>Jawa!D6</f>
        <v>24590.342157804171</v>
      </c>
      <c r="D44">
        <f>Jawa!E6</f>
        <v>2993.7081201346509</v>
      </c>
      <c r="E44">
        <f>Jawa!F6</f>
        <v>18461.251539778194</v>
      </c>
      <c r="F44">
        <f>Jawa!G6</f>
        <v>41.442262997699544</v>
      </c>
      <c r="G44">
        <f>Jawa!H6</f>
        <v>1204.8</v>
      </c>
      <c r="H44">
        <f>Jawa!I6</f>
        <v>4698.8502810393838</v>
      </c>
      <c r="I44">
        <f>Jawa!J6</f>
        <v>17.350000000000001</v>
      </c>
      <c r="J44">
        <f>Jawa!K6</f>
        <v>5211.8707525711061</v>
      </c>
      <c r="K44">
        <f>Jawa!L6</f>
        <v>22.503287433946543</v>
      </c>
      <c r="L44">
        <f>Jawa!M6</f>
        <v>8</v>
      </c>
      <c r="M44">
        <f>Jawa!N6</f>
        <v>5.5649797213790588</v>
      </c>
      <c r="N44">
        <f>Jawa!O6</f>
        <v>0</v>
      </c>
      <c r="O44">
        <f>Jawa!P6</f>
        <v>15.619335828265186</v>
      </c>
      <c r="P44">
        <f>Jawa!Q6</f>
        <v>57255.683381480529</v>
      </c>
    </row>
    <row r="45" spans="1:16" x14ac:dyDescent="0.25">
      <c r="A45" t="str">
        <f>Jawa!B7</f>
        <v>JAWA</v>
      </c>
      <c r="B45">
        <f>Jawa!C7</f>
        <v>2022</v>
      </c>
      <c r="C45">
        <f>Jawa!D7</f>
        <v>24590.342157804171</v>
      </c>
      <c r="D45">
        <f>Jawa!E7</f>
        <v>3453.9119035801214</v>
      </c>
      <c r="E45">
        <f>Jawa!F7</f>
        <v>21554.24941109561</v>
      </c>
      <c r="F45">
        <f>Jawa!G7</f>
        <v>42.696232775775911</v>
      </c>
      <c r="G45">
        <f>Jawa!H7</f>
        <v>1204.8</v>
      </c>
      <c r="H45">
        <f>Jawa!I7</f>
        <v>4698.8502810393838</v>
      </c>
      <c r="I45">
        <f>Jawa!J7</f>
        <v>17.350000000000001</v>
      </c>
      <c r="J45">
        <f>Jawa!K7</f>
        <v>5211.8707525711061</v>
      </c>
      <c r="K45">
        <f>Jawa!L7</f>
        <v>424.43908444492558</v>
      </c>
      <c r="L45">
        <f>Jawa!M7</f>
        <v>8</v>
      </c>
      <c r="M45">
        <f>Jawa!N7</f>
        <v>5.5649797213790588</v>
      </c>
      <c r="N45">
        <f>Jawa!O7</f>
        <v>0</v>
      </c>
      <c r="O45">
        <f>Jawa!P7</f>
        <v>16.461785826196913</v>
      </c>
      <c r="P45">
        <f>Jawa!Q7</f>
        <v>61212.074803032476</v>
      </c>
    </row>
    <row r="46" spans="1:16" x14ac:dyDescent="0.25">
      <c r="A46" t="str">
        <f>Jawa!B8</f>
        <v>JAWA</v>
      </c>
      <c r="B46">
        <f>Jawa!C8</f>
        <v>2023</v>
      </c>
      <c r="C46">
        <f>Jawa!D8</f>
        <v>24590.342157804171</v>
      </c>
      <c r="D46">
        <f>Jawa!E8</f>
        <v>3914.3855169239901</v>
      </c>
      <c r="E46">
        <f>Jawa!F8</f>
        <v>22711.461144948891</v>
      </c>
      <c r="F46">
        <f>Jawa!G8</f>
        <v>43.85771134409633</v>
      </c>
      <c r="G46">
        <f>Jawa!H8</f>
        <v>1204.8</v>
      </c>
      <c r="H46">
        <f>Jawa!I8</f>
        <v>4698.8502810393838</v>
      </c>
      <c r="I46">
        <f>Jawa!J8</f>
        <v>17.350000000000001</v>
      </c>
      <c r="J46">
        <f>Jawa!K8</f>
        <v>5211.8707525711061</v>
      </c>
      <c r="K46">
        <f>Jawa!L8</f>
        <v>2522.2937803251725</v>
      </c>
      <c r="L46">
        <f>Jawa!M8</f>
        <v>8</v>
      </c>
      <c r="M46">
        <f>Jawa!N8</f>
        <v>5.5649797213790588</v>
      </c>
      <c r="N46">
        <f>Jawa!O8</f>
        <v>0</v>
      </c>
      <c r="O46">
        <f>Jawa!P8</f>
        <v>17.586490692528702</v>
      </c>
      <c r="P46">
        <f>Jawa!Q8</f>
        <v>64928.776324678191</v>
      </c>
    </row>
    <row r="47" spans="1:16" x14ac:dyDescent="0.25">
      <c r="A47" t="str">
        <f>Jawa!B9</f>
        <v>JAWA</v>
      </c>
      <c r="B47">
        <f>Jawa!C9</f>
        <v>2024</v>
      </c>
      <c r="C47">
        <f>Jawa!D9</f>
        <v>24590.342157804171</v>
      </c>
      <c r="D47">
        <f>Jawa!E9</f>
        <v>4394.3319433762917</v>
      </c>
      <c r="E47">
        <f>Jawa!F9</f>
        <v>24077.726952458739</v>
      </c>
      <c r="F47">
        <f>Jawa!G9</f>
        <v>45.194926630379932</v>
      </c>
      <c r="G47">
        <f>Jawa!H9</f>
        <v>1204.8</v>
      </c>
      <c r="H47">
        <f>Jawa!I9</f>
        <v>4698.8502810393838</v>
      </c>
      <c r="I47">
        <f>Jawa!J9</f>
        <v>17.350000000000001</v>
      </c>
      <c r="J47">
        <f>Jawa!K9</f>
        <v>5211.8707525711061</v>
      </c>
      <c r="K47">
        <f>Jawa!L9</f>
        <v>4847.5724991381849</v>
      </c>
      <c r="L47">
        <f>Jawa!M9</f>
        <v>8</v>
      </c>
      <c r="M47">
        <f>Jawa!N9</f>
        <v>5.5649797213790588</v>
      </c>
      <c r="N47">
        <f>Jawa!O9</f>
        <v>0</v>
      </c>
      <c r="O47">
        <f>Jawa!P9</f>
        <v>18.842848822453934</v>
      </c>
      <c r="P47">
        <f>Jawa!Q9</f>
        <v>69101.604492739643</v>
      </c>
    </row>
    <row r="48" spans="1:16" x14ac:dyDescent="0.25">
      <c r="A48" t="str">
        <f>Jawa!B10</f>
        <v>JAWA</v>
      </c>
      <c r="B48">
        <f>Jawa!C10</f>
        <v>2025</v>
      </c>
      <c r="C48">
        <f>Jawa!D10</f>
        <v>24590.342157804171</v>
      </c>
      <c r="D48">
        <f>Jawa!E10</f>
        <v>4899.7872767125855</v>
      </c>
      <c r="E48">
        <f>Jawa!F10</f>
        <v>25070.451868141241</v>
      </c>
      <c r="F48">
        <f>Jawa!G10</f>
        <v>46.349342082361943</v>
      </c>
      <c r="G48">
        <f>Jawa!H10</f>
        <v>1204.8</v>
      </c>
      <c r="H48">
        <f>Jawa!I10</f>
        <v>4698.8502810393838</v>
      </c>
      <c r="I48">
        <f>Jawa!J10</f>
        <v>17.350000000000001</v>
      </c>
      <c r="J48">
        <f>Jawa!K10</f>
        <v>5211.8707525711061</v>
      </c>
      <c r="K48">
        <f>Jawa!L10</f>
        <v>7277.2688278318037</v>
      </c>
      <c r="L48">
        <f>Jawa!M10</f>
        <v>8</v>
      </c>
      <c r="M48">
        <f>Jawa!N10</f>
        <v>5.5649797213790588</v>
      </c>
      <c r="N48">
        <f>Jawa!O10</f>
        <v>0</v>
      </c>
      <c r="O48">
        <f>Jawa!P10</f>
        <v>20.073101546053774</v>
      </c>
      <c r="P48">
        <f>Jawa!Q10</f>
        <v>73030.635485904044</v>
      </c>
    </row>
    <row r="49" spans="1:16" x14ac:dyDescent="0.25">
      <c r="A49" t="str">
        <f>Jawa!B11</f>
        <v>JAWA</v>
      </c>
      <c r="B49">
        <f>Jawa!C11</f>
        <v>2026</v>
      </c>
      <c r="C49">
        <f>Jawa!D11</f>
        <v>24590.342157804171</v>
      </c>
      <c r="D49">
        <f>Jawa!E11</f>
        <v>5442.6717420154873</v>
      </c>
      <c r="E49">
        <f>Jawa!F11</f>
        <v>29054.507735576499</v>
      </c>
      <c r="F49">
        <f>Jawa!G11</f>
        <v>48.449269108615226</v>
      </c>
      <c r="G49">
        <f>Jawa!H11</f>
        <v>1204.8</v>
      </c>
      <c r="H49">
        <f>Jawa!I11</f>
        <v>4698.8502810393838</v>
      </c>
      <c r="I49">
        <f>Jawa!J11</f>
        <v>17.350000000000001</v>
      </c>
      <c r="J49">
        <f>Jawa!K11</f>
        <v>5211.8707525711061</v>
      </c>
      <c r="K49">
        <f>Jawa!L11</f>
        <v>8887.665797880989</v>
      </c>
      <c r="L49">
        <f>Jawa!M11</f>
        <v>8</v>
      </c>
      <c r="M49">
        <f>Jawa!N11</f>
        <v>5.5649797213790588</v>
      </c>
      <c r="N49">
        <f>Jawa!O11</f>
        <v>0</v>
      </c>
      <c r="O49">
        <f>Jawa!P11</f>
        <v>21.568709216900483</v>
      </c>
      <c r="P49">
        <f>Jawa!Q11</f>
        <v>79170.07271571763</v>
      </c>
    </row>
    <row r="50" spans="1:16" x14ac:dyDescent="0.25">
      <c r="A50" t="str">
        <f>Jawa!B12</f>
        <v>JAWA</v>
      </c>
      <c r="B50">
        <f>Jawa!C12</f>
        <v>2027</v>
      </c>
      <c r="C50">
        <f>Jawa!D12</f>
        <v>24590.342157804171</v>
      </c>
      <c r="D50">
        <f>Jawa!E12</f>
        <v>5994.3633437725175</v>
      </c>
      <c r="E50">
        <f>Jawa!F12</f>
        <v>33273.212554108832</v>
      </c>
      <c r="F50">
        <f>Jawa!G12</f>
        <v>50.620630529879293</v>
      </c>
      <c r="G50">
        <f>Jawa!H12</f>
        <v>1204.8</v>
      </c>
      <c r="H50">
        <f>Jawa!I12</f>
        <v>4698.8502810393838</v>
      </c>
      <c r="I50">
        <f>Jawa!J12</f>
        <v>17.350000000000001</v>
      </c>
      <c r="J50">
        <f>Jawa!K12</f>
        <v>5211.8707525711061</v>
      </c>
      <c r="K50">
        <f>Jawa!L12</f>
        <v>10614.08567735304</v>
      </c>
      <c r="L50">
        <f>Jawa!M12</f>
        <v>8</v>
      </c>
      <c r="M50">
        <f>Jawa!N12</f>
        <v>5.5649797213790588</v>
      </c>
      <c r="N50">
        <f>Jawa!O12</f>
        <v>0</v>
      </c>
      <c r="O50">
        <f>Jawa!P12</f>
        <v>23.155746038606143</v>
      </c>
      <c r="P50">
        <f>Jawa!Q12</f>
        <v>85669.060376900321</v>
      </c>
    </row>
    <row r="51" spans="1:16" x14ac:dyDescent="0.25">
      <c r="A51" t="str">
        <f>Jawa!B13</f>
        <v>JAWA</v>
      </c>
      <c r="B51">
        <f>Jawa!C13</f>
        <v>2028</v>
      </c>
      <c r="C51">
        <f>Jawa!D13</f>
        <v>24590.342157804171</v>
      </c>
      <c r="D51">
        <f>Jawa!E13</f>
        <v>6579.2557154699416</v>
      </c>
      <c r="E51">
        <f>Jawa!F13</f>
        <v>37433.113053694913</v>
      </c>
      <c r="F51">
        <f>Jawa!G13</f>
        <v>52.697805650967744</v>
      </c>
      <c r="G51">
        <f>Jawa!H13</f>
        <v>1204.8</v>
      </c>
      <c r="H51">
        <f>Jawa!I13</f>
        <v>4698.8502810393838</v>
      </c>
      <c r="I51">
        <f>Jawa!J13</f>
        <v>17.350000000000001</v>
      </c>
      <c r="J51">
        <f>Jawa!K13</f>
        <v>5211.8707525711061</v>
      </c>
      <c r="K51">
        <f>Jawa!L13</f>
        <v>12385.012377959545</v>
      </c>
      <c r="L51">
        <f>Jawa!M13</f>
        <v>8</v>
      </c>
      <c r="M51">
        <f>Jawa!N13</f>
        <v>5.5649797213790588</v>
      </c>
      <c r="N51">
        <f>Jawa!O13</f>
        <v>0</v>
      </c>
      <c r="O51">
        <f>Jawa!P13</f>
        <v>24.755490656154155</v>
      </c>
      <c r="P51">
        <f>Jawa!Q13</f>
        <v>92186.857123911424</v>
      </c>
    </row>
    <row r="52" spans="1:16" x14ac:dyDescent="0.25">
      <c r="A52" t="str">
        <f>Jawa!B14</f>
        <v>JAWA</v>
      </c>
      <c r="B52">
        <f>Jawa!C14</f>
        <v>2029</v>
      </c>
      <c r="C52">
        <f>Jawa!D14</f>
        <v>24590.342157804171</v>
      </c>
      <c r="D52">
        <f>Jawa!E14</f>
        <v>7218.709685959273</v>
      </c>
      <c r="E52">
        <f>Jawa!F14</f>
        <v>41832.095466831954</v>
      </c>
      <c r="F52">
        <f>Jawa!G14</f>
        <v>54.873506890166837</v>
      </c>
      <c r="G52">
        <f>Jawa!H14</f>
        <v>1204.8</v>
      </c>
      <c r="H52">
        <f>Jawa!I14</f>
        <v>4698.8502810393838</v>
      </c>
      <c r="I52">
        <f>Jawa!J14</f>
        <v>17.350000000000001</v>
      </c>
      <c r="J52">
        <f>Jawa!K14</f>
        <v>5211.8707525711061</v>
      </c>
      <c r="K52">
        <f>Jawa!L14</f>
        <v>14293.387650038185</v>
      </c>
      <c r="L52">
        <f>Jawa!M14</f>
        <v>8</v>
      </c>
      <c r="M52">
        <f>Jawa!N14</f>
        <v>5.5649797213790588</v>
      </c>
      <c r="N52">
        <f>Jawa!O14</f>
        <v>0</v>
      </c>
      <c r="O52">
        <f>Jawa!P14</f>
        <v>26.465231633204574</v>
      </c>
      <c r="P52">
        <f>Jawa!Q14</f>
        <v>99135.844480855652</v>
      </c>
    </row>
    <row r="53" spans="1:16" x14ac:dyDescent="0.25">
      <c r="A53" t="str">
        <f>Jawa!B15</f>
        <v>JAWA</v>
      </c>
      <c r="B53">
        <f>Jawa!C15</f>
        <v>2030</v>
      </c>
      <c r="C53">
        <f>Jawa!D15</f>
        <v>24590.342157804171</v>
      </c>
      <c r="D53">
        <f>Jawa!E15</f>
        <v>7894.5312531758873</v>
      </c>
      <c r="E53">
        <f>Jawa!F15</f>
        <v>46355.695494130909</v>
      </c>
      <c r="F53">
        <f>Jawa!G15</f>
        <v>57.063354960262437</v>
      </c>
      <c r="G53">
        <f>Jawa!H15</f>
        <v>1204.8</v>
      </c>
      <c r="H53">
        <f>Jawa!I15</f>
        <v>4698.8502810393838</v>
      </c>
      <c r="I53">
        <f>Jawa!J15</f>
        <v>17.350000000000001</v>
      </c>
      <c r="J53">
        <f>Jawa!K15</f>
        <v>5211.8707525711061</v>
      </c>
      <c r="K53">
        <f>Jawa!L15</f>
        <v>16305.008779013149</v>
      </c>
      <c r="L53">
        <f>Jawa!M15</f>
        <v>8</v>
      </c>
      <c r="M53">
        <f>Jawa!N15</f>
        <v>5.5649797213790588</v>
      </c>
      <c r="N53">
        <f>Jawa!O15</f>
        <v>0</v>
      </c>
      <c r="O53">
        <f>Jawa!P15</f>
        <v>28.246098246113444</v>
      </c>
      <c r="P53">
        <f>Jawa!Q15</f>
        <v>106349.07705241627</v>
      </c>
    </row>
    <row r="54" spans="1:16" x14ac:dyDescent="0.25">
      <c r="A54" t="str">
        <f>Jawa!B16</f>
        <v>JAWA</v>
      </c>
      <c r="B54">
        <f>Jawa!C16</f>
        <v>2031</v>
      </c>
      <c r="C54">
        <f>Jawa!D16</f>
        <v>24590.342157804171</v>
      </c>
      <c r="D54">
        <f>Jawa!E16</f>
        <v>8608.1483551938909</v>
      </c>
      <c r="E54">
        <f>Jawa!F16</f>
        <v>51717.015849513795</v>
      </c>
      <c r="F54">
        <f>Jawa!G16</f>
        <v>59.67467829987217</v>
      </c>
      <c r="G54">
        <f>Jawa!H16</f>
        <v>1204.8</v>
      </c>
      <c r="H54">
        <f>Jawa!I16</f>
        <v>4698.8502810393838</v>
      </c>
      <c r="I54">
        <f>Jawa!J16</f>
        <v>17.350000000000001</v>
      </c>
      <c r="J54">
        <f>Jawa!K16</f>
        <v>5211.8707525711061</v>
      </c>
      <c r="K54">
        <f>Jawa!L16</f>
        <v>18636.724506429029</v>
      </c>
      <c r="L54">
        <f>Jawa!M16</f>
        <v>8</v>
      </c>
      <c r="M54">
        <f>Jawa!N16</f>
        <v>5.5649797213790588</v>
      </c>
      <c r="N54">
        <f>Jawa!O16</f>
        <v>0</v>
      </c>
      <c r="O54">
        <f>Jawa!P16</f>
        <v>30.318517604560792</v>
      </c>
      <c r="P54">
        <f>Jawa!Q16</f>
        <v>114758.34156057265</v>
      </c>
    </row>
    <row r="55" spans="1:16" x14ac:dyDescent="0.25">
      <c r="A55" t="str">
        <f>Jawa!B17</f>
        <v>JAWA</v>
      </c>
      <c r="B55">
        <f>Jawa!C17</f>
        <v>2032</v>
      </c>
      <c r="C55">
        <f>Jawa!D17</f>
        <v>24590.342157804171</v>
      </c>
      <c r="D55">
        <f>Jawa!E17</f>
        <v>9362.2419834100237</v>
      </c>
      <c r="E55">
        <f>Jawa!F17</f>
        <v>57435.028267677801</v>
      </c>
      <c r="F55">
        <f>Jawa!G17</f>
        <v>62.415955243506374</v>
      </c>
      <c r="G55">
        <f>Jawa!H17</f>
        <v>1204.8</v>
      </c>
      <c r="H55">
        <f>Jawa!I17</f>
        <v>4698.8502810393838</v>
      </c>
      <c r="I55">
        <f>Jawa!J17</f>
        <v>195.59883750732558</v>
      </c>
      <c r="J55">
        <f>Jawa!K17</f>
        <v>5211.8707525711061</v>
      </c>
      <c r="K55">
        <f>Jawa!L17</f>
        <v>20814.362253214516</v>
      </c>
      <c r="L55">
        <f>Jawa!M17</f>
        <v>8</v>
      </c>
      <c r="M55">
        <f>Jawa!N17</f>
        <v>5.5649797213790588</v>
      </c>
      <c r="N55">
        <f>Jawa!O17</f>
        <v>0</v>
      </c>
      <c r="O55">
        <f>Jawa!P17</f>
        <v>32.481312367201433</v>
      </c>
      <c r="P55">
        <f>Jawa!Q17</f>
        <v>123589.0754681892</v>
      </c>
    </row>
    <row r="56" spans="1:16" x14ac:dyDescent="0.25">
      <c r="A56" t="str">
        <f>Jawa!B18</f>
        <v>JAWA</v>
      </c>
      <c r="B56">
        <f>Jawa!C18</f>
        <v>2033</v>
      </c>
      <c r="C56">
        <f>Jawa!D18</f>
        <v>25480.867138526035</v>
      </c>
      <c r="D56">
        <f>Jawa!E18</f>
        <v>9936.681914069839</v>
      </c>
      <c r="E56">
        <f>Jawa!F18</f>
        <v>61528.099464939187</v>
      </c>
      <c r="F56">
        <f>Jawa!G18</f>
        <v>64.913190676845687</v>
      </c>
      <c r="G56">
        <f>Jawa!H18</f>
        <v>1233.5645174490976</v>
      </c>
      <c r="H56">
        <f>Jawa!I18</f>
        <v>4921.9242136882904</v>
      </c>
      <c r="I56">
        <f>Jawa!J18</f>
        <v>556.83086689421975</v>
      </c>
      <c r="J56">
        <f>Jawa!K18</f>
        <v>5790.597286502124</v>
      </c>
      <c r="K56">
        <f>Jawa!L18</f>
        <v>21903.181126607258</v>
      </c>
      <c r="L56">
        <f>Jawa!M18</f>
        <v>8</v>
      </c>
      <c r="M56">
        <f>Jawa!N18</f>
        <v>5.5649797213790588</v>
      </c>
      <c r="N56">
        <f>Jawa!O18</f>
        <v>0</v>
      </c>
      <c r="O56">
        <f>Jawa!P18</f>
        <v>34.464969603175213</v>
      </c>
      <c r="P56">
        <f>Jawa!Q18</f>
        <v>131430.22469907429</v>
      </c>
    </row>
    <row r="57" spans="1:16" x14ac:dyDescent="0.25">
      <c r="A57" t="str">
        <f>Jawa!B19</f>
        <v>JAWA</v>
      </c>
      <c r="B57">
        <f>Jawa!C19</f>
        <v>2034</v>
      </c>
      <c r="C57">
        <f>Jawa!D19</f>
        <v>27006.548669363052</v>
      </c>
      <c r="D57">
        <f>Jawa!E19</f>
        <v>10778.923033825142</v>
      </c>
      <c r="E57">
        <f>Jawa!F19</f>
        <v>65289.380979797206</v>
      </c>
      <c r="F57">
        <f>Jawa!G19</f>
        <v>67.902100757876539</v>
      </c>
      <c r="G57">
        <f>Jawa!H19</f>
        <v>1233.5645174490976</v>
      </c>
      <c r="H57">
        <f>Jawa!I19</f>
        <v>4921.9242136882904</v>
      </c>
      <c r="I57">
        <f>Jawa!J19</f>
        <v>1548.573645322936</v>
      </c>
      <c r="J57">
        <f>Jawa!K19</f>
        <v>6571.134319734575</v>
      </c>
      <c r="K57">
        <f>Jawa!L19</f>
        <v>22447.590563303631</v>
      </c>
      <c r="L57">
        <f>Jawa!M19</f>
        <v>8</v>
      </c>
      <c r="M57">
        <f>Jawa!N19</f>
        <v>5.5649797213790588</v>
      </c>
      <c r="N57">
        <f>Jawa!O19</f>
        <v>0</v>
      </c>
      <c r="O57">
        <f>Jawa!P19</f>
        <v>36.667366974864542</v>
      </c>
      <c r="P57">
        <f>Jawa!Q19</f>
        <v>139879.10702296317</v>
      </c>
    </row>
    <row r="58" spans="1:16" x14ac:dyDescent="0.25">
      <c r="A58" t="str">
        <f>Jawa!B20</f>
        <v>JAWA</v>
      </c>
      <c r="B58">
        <f>Jawa!C20</f>
        <v>2035</v>
      </c>
      <c r="C58">
        <f>Jawa!D20</f>
        <v>28504.687197252861</v>
      </c>
      <c r="D58">
        <f>Jawa!E20</f>
        <v>11164.501888630642</v>
      </c>
      <c r="E58">
        <f>Jawa!F20</f>
        <v>69509.125649298468</v>
      </c>
      <c r="F58">
        <f>Jawa!G20</f>
        <v>70.737136006280878</v>
      </c>
      <c r="G58">
        <f>Jawa!H20</f>
        <v>1298.7109254510754</v>
      </c>
      <c r="H58">
        <f>Jawa!I20</f>
        <v>5426.7959595986822</v>
      </c>
      <c r="I58">
        <f>Jawa!J20</f>
        <v>2237.961847774674</v>
      </c>
      <c r="J58">
        <f>Jawa!K20</f>
        <v>7425.1370206715001</v>
      </c>
      <c r="K58">
        <f>Jawa!L20</f>
        <v>22719.76886380928</v>
      </c>
      <c r="L58">
        <f>Jawa!M20</f>
        <v>8</v>
      </c>
      <c r="M58">
        <f>Jawa!N20</f>
        <v>5.5649797213790588</v>
      </c>
      <c r="N58">
        <f>Jawa!O20</f>
        <v>0</v>
      </c>
      <c r="O58">
        <f>Jawa!P20</f>
        <v>38.826414829219409</v>
      </c>
      <c r="P58">
        <f>Jawa!Q20</f>
        <v>148370.99146821484</v>
      </c>
    </row>
    <row r="59" spans="1:16" x14ac:dyDescent="0.25">
      <c r="A59" t="str">
        <f>Jawa!B21</f>
        <v>JAWA</v>
      </c>
      <c r="B59">
        <f>Jawa!C21</f>
        <v>2036</v>
      </c>
      <c r="C59">
        <f>Jawa!D21</f>
        <v>30174.962490866477</v>
      </c>
      <c r="D59">
        <f>Jawa!E21</f>
        <v>11419.338503317374</v>
      </c>
      <c r="E59">
        <f>Jawa!F21</f>
        <v>74409.181901482356</v>
      </c>
      <c r="F59">
        <f>Jawa!G21</f>
        <v>73.912376864035025</v>
      </c>
      <c r="G59">
        <f>Jawa!H21</f>
        <v>1749.5232951205328</v>
      </c>
      <c r="H59">
        <f>Jawa!I21</f>
        <v>6112.5729797993408</v>
      </c>
      <c r="I59">
        <f>Jawa!J21</f>
        <v>2582.6559238873369</v>
      </c>
      <c r="J59">
        <f>Jawa!K21</f>
        <v>8414.1385765142895</v>
      </c>
      <c r="K59">
        <f>Jawa!L21</f>
        <v>22855.88443190464</v>
      </c>
      <c r="L59">
        <f>Jawa!M21</f>
        <v>8</v>
      </c>
      <c r="M59">
        <f>Jawa!N21</f>
        <v>5.5649797213790588</v>
      </c>
      <c r="N59">
        <f>Jawa!O21</f>
        <v>0</v>
      </c>
      <c r="O59">
        <f>Jawa!P21</f>
        <v>41.212772225272936</v>
      </c>
      <c r="P59">
        <f>Jawa!Q21</f>
        <v>157805.73545947779</v>
      </c>
    </row>
    <row r="60" spans="1:16" x14ac:dyDescent="0.25">
      <c r="A60" t="str">
        <f>Jawa!B22</f>
        <v>JAWA</v>
      </c>
      <c r="B60">
        <f>Jawa!C22</f>
        <v>2037</v>
      </c>
      <c r="C60">
        <f>Jawa!D22</f>
        <v>31878.497995647602</v>
      </c>
      <c r="D60">
        <f>Jawa!E22</f>
        <v>12070.625167639753</v>
      </c>
      <c r="E60">
        <f>Jawa!F22</f>
        <v>79026.873257823056</v>
      </c>
      <c r="F60">
        <f>Jawa!G22</f>
        <v>77.077919386961071</v>
      </c>
      <c r="G60">
        <f>Jawa!H22</f>
        <v>2668.7500512220977</v>
      </c>
      <c r="H60">
        <f>Jawa!I22</f>
        <v>6455.4407743329339</v>
      </c>
      <c r="I60">
        <f>Jawa!J22</f>
        <v>2755.0029619436687</v>
      </c>
      <c r="J60">
        <f>Jawa!K22</f>
        <v>9514.6861013247453</v>
      </c>
      <c r="K60">
        <f>Jawa!L22</f>
        <v>22923.94221595232</v>
      </c>
      <c r="L60">
        <f>Jawa!M22</f>
        <v>8</v>
      </c>
      <c r="M60">
        <f>Jawa!N22</f>
        <v>5.5649797213790588</v>
      </c>
      <c r="N60">
        <f>Jawa!O22</f>
        <v>1.2406235350967193E-15</v>
      </c>
      <c r="O60">
        <f>Jawa!P22</f>
        <v>43.672087859027108</v>
      </c>
      <c r="P60">
        <f>Jawa!Q22</f>
        <v>167384.46142499454</v>
      </c>
    </row>
    <row r="61" spans="1:16" x14ac:dyDescent="0.25">
      <c r="A61" t="str">
        <f>Jawa!B23</f>
        <v>JAWA</v>
      </c>
      <c r="B61">
        <f>Jawa!C23</f>
        <v>2038</v>
      </c>
      <c r="C61">
        <f>Jawa!D23</f>
        <v>33839.880606293918</v>
      </c>
      <c r="D61">
        <f>Jawa!E23</f>
        <v>12949.076989286004</v>
      </c>
      <c r="E61">
        <f>Jawa!F23</f>
        <v>84199.128893242538</v>
      </c>
      <c r="F61">
        <f>Jawa!G23</f>
        <v>80.769158949480186</v>
      </c>
      <c r="G61">
        <f>Jawa!H23</f>
        <v>3989.7060805134352</v>
      </c>
      <c r="H61">
        <f>Jawa!I23</f>
        <v>6626.8953871664671</v>
      </c>
      <c r="I61">
        <f>Jawa!J23</f>
        <v>2841.1764809718343</v>
      </c>
      <c r="J61">
        <f>Jawa!K23</f>
        <v>10809.871879086793</v>
      </c>
      <c r="K61">
        <f>Jawa!L23</f>
        <v>22957.971107976162</v>
      </c>
      <c r="L61">
        <f>Jawa!M23</f>
        <v>8</v>
      </c>
      <c r="M61">
        <f>Jawa!N23</f>
        <v>5.5649797213790588</v>
      </c>
      <c r="N61">
        <f>Jawa!O23</f>
        <v>1.2406235350967193E-15</v>
      </c>
      <c r="O61">
        <f>Jawa!P23</f>
        <v>46.495344543576678</v>
      </c>
      <c r="P61">
        <f>Jawa!Q23</f>
        <v>178308.04156320801</v>
      </c>
    </row>
    <row r="62" spans="1:16" x14ac:dyDescent="0.25">
      <c r="A62" t="str">
        <f>bali_nt!B4</f>
        <v>BALI_NT</v>
      </c>
      <c r="B62">
        <f>bali_nt!C4</f>
        <v>2019</v>
      </c>
      <c r="C62">
        <f>bali_nt!D4</f>
        <v>519.33999999999992</v>
      </c>
      <c r="D62">
        <f>bali_nt!E4</f>
        <v>660.53</v>
      </c>
      <c r="E62">
        <f>bali_nt!F4</f>
        <v>0</v>
      </c>
      <c r="F62">
        <f>bali_nt!G4</f>
        <v>582.04999999999995</v>
      </c>
      <c r="G62">
        <f>bali_nt!H4</f>
        <v>24.6</v>
      </c>
      <c r="H62">
        <f>bali_nt!I4</f>
        <v>7.3000000000000007</v>
      </c>
      <c r="I62">
        <f>bali_nt!J4</f>
        <v>16</v>
      </c>
      <c r="J62">
        <f>bali_nt!K4</f>
        <v>4.13</v>
      </c>
      <c r="K62">
        <f>bali_nt!L4</f>
        <v>0</v>
      </c>
      <c r="L62">
        <f>bali_nt!M4</f>
        <v>0</v>
      </c>
      <c r="M62">
        <f>bali_nt!N4</f>
        <v>0</v>
      </c>
      <c r="N62">
        <f>bali_nt!O4</f>
        <v>0</v>
      </c>
      <c r="O62">
        <f>bali_nt!P4</f>
        <v>0</v>
      </c>
      <c r="P62">
        <f>bali_nt!Q4</f>
        <v>1813.9499999999998</v>
      </c>
    </row>
    <row r="63" spans="1:16" x14ac:dyDescent="0.25">
      <c r="A63" t="str">
        <f>bali_nt!B5</f>
        <v>BALI_NT</v>
      </c>
      <c r="B63">
        <f>bali_nt!C5</f>
        <v>2020</v>
      </c>
      <c r="C63">
        <f>bali_nt!D5</f>
        <v>598.00789764981778</v>
      </c>
      <c r="D63">
        <f>bali_nt!E5</f>
        <v>660.53</v>
      </c>
      <c r="E63">
        <f>bali_nt!F5</f>
        <v>0</v>
      </c>
      <c r="F63">
        <f>bali_nt!G5</f>
        <v>582.04999999999995</v>
      </c>
      <c r="G63">
        <f>bali_nt!H5</f>
        <v>156.41990597825298</v>
      </c>
      <c r="H63">
        <f>bali_nt!I5</f>
        <v>7.3000000000000007</v>
      </c>
      <c r="I63">
        <f>bali_nt!J5</f>
        <v>16</v>
      </c>
      <c r="J63">
        <f>bali_nt!K5</f>
        <v>33.227875978394074</v>
      </c>
      <c r="K63">
        <f>bali_nt!L5</f>
        <v>0</v>
      </c>
      <c r="L63">
        <f>bali_nt!M5</f>
        <v>-4.0038264259578682E-7</v>
      </c>
      <c r="M63">
        <f>bali_nt!N5</f>
        <v>-3.3184666029320575E-7</v>
      </c>
      <c r="N63">
        <f>bali_nt!O5</f>
        <v>0</v>
      </c>
      <c r="O63">
        <f>bali_nt!P5</f>
        <v>0.62505484098472719</v>
      </c>
      <c r="P63">
        <f>bali_nt!Q5</f>
        <v>2053.5356788742351</v>
      </c>
    </row>
    <row r="64" spans="1:16" x14ac:dyDescent="0.25">
      <c r="A64" t="str">
        <f>bali_nt!B6</f>
        <v>BALI_NT</v>
      </c>
      <c r="B64">
        <f>bali_nt!C6</f>
        <v>2021</v>
      </c>
      <c r="C64">
        <f>bali_nt!D6</f>
        <v>673.80380656909597</v>
      </c>
      <c r="D64">
        <f>bali_nt!E6</f>
        <v>660.53</v>
      </c>
      <c r="E64">
        <f>bali_nt!F6</f>
        <v>34.617891598102879</v>
      </c>
      <c r="F64">
        <f>bali_nt!G6</f>
        <v>582.04999899999996</v>
      </c>
      <c r="G64">
        <f>bali_nt!H6</f>
        <v>156.41990497825299</v>
      </c>
      <c r="H64">
        <f>bali_nt!I6</f>
        <v>181.49054873618044</v>
      </c>
      <c r="I64">
        <f>bali_nt!J6</f>
        <v>16</v>
      </c>
      <c r="J64">
        <f>bali_nt!K6</f>
        <v>58.667961747596863</v>
      </c>
      <c r="K64">
        <f>bali_nt!L6</f>
        <v>0</v>
      </c>
      <c r="L64">
        <f>bali_nt!M6</f>
        <v>0</v>
      </c>
      <c r="M64">
        <f>bali_nt!N6</f>
        <v>1.1703509342293799E-14</v>
      </c>
      <c r="N64">
        <f>bali_nt!O6</f>
        <v>0</v>
      </c>
      <c r="O64">
        <f>bali_nt!P6</f>
        <v>0.71645697215852067</v>
      </c>
      <c r="P64">
        <f>bali_nt!Q6</f>
        <v>2363.580112629229</v>
      </c>
    </row>
    <row r="65" spans="1:16" x14ac:dyDescent="0.25">
      <c r="A65" t="str">
        <f>bali_nt!B7</f>
        <v>BALI_NT</v>
      </c>
      <c r="B65">
        <f>bali_nt!C7</f>
        <v>2022</v>
      </c>
      <c r="C65">
        <f>bali_nt!D7</f>
        <v>739.04326812202021</v>
      </c>
      <c r="D65">
        <f>bali_nt!E7</f>
        <v>660.52999899999998</v>
      </c>
      <c r="E65">
        <f>bali_nt!F7</f>
        <v>137.92065287783515</v>
      </c>
      <c r="F65">
        <f>bali_nt!G7</f>
        <v>582.04999899999996</v>
      </c>
      <c r="G65">
        <f>bali_nt!H7</f>
        <v>156.41990497825299</v>
      </c>
      <c r="H65">
        <f>bali_nt!I7</f>
        <v>298.31775236583223</v>
      </c>
      <c r="I65">
        <f>bali_nt!J7</f>
        <v>16</v>
      </c>
      <c r="J65">
        <f>bali_nt!K7</f>
        <v>78.502028453607167</v>
      </c>
      <c r="K65">
        <f>bali_nt!L7</f>
        <v>0</v>
      </c>
      <c r="L65">
        <f>bali_nt!M7</f>
        <v>0</v>
      </c>
      <c r="M65">
        <f>bali_nt!N7</f>
        <v>0</v>
      </c>
      <c r="N65">
        <f>bali_nt!O7</f>
        <v>0</v>
      </c>
      <c r="O65">
        <f>bali_nt!P7</f>
        <v>0.79856071672308826</v>
      </c>
      <c r="P65">
        <f>bali_nt!Q7</f>
        <v>2668.7836047975479</v>
      </c>
    </row>
    <row r="66" spans="1:16" x14ac:dyDescent="0.25">
      <c r="A66" t="str">
        <f>bali_nt!B8</f>
        <v>BALI_NT</v>
      </c>
      <c r="B66">
        <f>bali_nt!C8</f>
        <v>2023</v>
      </c>
      <c r="C66">
        <f>bali_nt!D8</f>
        <v>793.60852633289858</v>
      </c>
      <c r="D66">
        <f>bali_nt!E8</f>
        <v>660.52999899999998</v>
      </c>
      <c r="E66">
        <f>bali_nt!F8</f>
        <v>312.00778628017622</v>
      </c>
      <c r="F66">
        <f>bali_nt!G8</f>
        <v>582.04999899999996</v>
      </c>
      <c r="G66">
        <f>bali_nt!H8</f>
        <v>156.41990397825299</v>
      </c>
      <c r="H66">
        <f>bali_nt!I8</f>
        <v>355.52642006775699</v>
      </c>
      <c r="I66">
        <f>bali_nt!J8</f>
        <v>16</v>
      </c>
      <c r="J66">
        <f>bali_nt!K8</f>
        <v>91.298305025412702</v>
      </c>
      <c r="K66">
        <f>bali_nt!L8</f>
        <v>0</v>
      </c>
      <c r="L66">
        <f>bali_nt!M8</f>
        <v>0</v>
      </c>
      <c r="M66">
        <f>bali_nt!N8</f>
        <v>0</v>
      </c>
      <c r="N66">
        <f>bali_nt!O8</f>
        <v>0</v>
      </c>
      <c r="O66">
        <f>bali_nt!P8</f>
        <v>0.87070630302875796</v>
      </c>
      <c r="P66">
        <f>bali_nt!Q8</f>
        <v>2967.4409396844976</v>
      </c>
    </row>
    <row r="67" spans="1:16" x14ac:dyDescent="0.25">
      <c r="A67" t="str">
        <f>bali_nt!B9</f>
        <v>BALI_NT</v>
      </c>
      <c r="B67">
        <f>bali_nt!C9</f>
        <v>2024</v>
      </c>
      <c r="C67">
        <f>bali_nt!D9</f>
        <v>809.77603043550687</v>
      </c>
      <c r="D67">
        <f>bali_nt!E9</f>
        <v>660.52999799999998</v>
      </c>
      <c r="E67">
        <f>bali_nt!F9</f>
        <v>333.08619804347637</v>
      </c>
      <c r="F67">
        <f>bali_nt!G9</f>
        <v>582.04999899999996</v>
      </c>
      <c r="G67">
        <f>bali_nt!H9</f>
        <v>156.41990397825299</v>
      </c>
      <c r="H67">
        <f>bali_nt!I9</f>
        <v>355.52642006775699</v>
      </c>
      <c r="I67">
        <f>bali_nt!J9</f>
        <v>16</v>
      </c>
      <c r="J67">
        <f>bali_nt!K9</f>
        <v>106.14335058477116</v>
      </c>
      <c r="K67">
        <f>bali_nt!L9</f>
        <v>0</v>
      </c>
      <c r="L67">
        <f>bali_nt!M9</f>
        <v>111.6900361428942</v>
      </c>
      <c r="M67">
        <f>bali_nt!N9</f>
        <v>0</v>
      </c>
      <c r="N67">
        <f>bali_nt!O9</f>
        <v>0</v>
      </c>
      <c r="O67">
        <f>bali_nt!P9</f>
        <v>0.90287989934674495</v>
      </c>
      <c r="P67">
        <f>bali_nt!Q9</f>
        <v>3131.2219362526589</v>
      </c>
    </row>
    <row r="68" spans="1:16" x14ac:dyDescent="0.25">
      <c r="A68" t="str">
        <f>bali_nt!B10</f>
        <v>BALI_NT</v>
      </c>
      <c r="B68">
        <f>bali_nt!C10</f>
        <v>2025</v>
      </c>
      <c r="C68">
        <f>bali_nt!D10</f>
        <v>833.58996496983241</v>
      </c>
      <c r="D68">
        <f>bali_nt!E10</f>
        <v>660.52999699999998</v>
      </c>
      <c r="E68">
        <f>bali_nt!F10</f>
        <v>407.08484390268524</v>
      </c>
      <c r="F68">
        <f>bali_nt!G10</f>
        <v>582.04999899999996</v>
      </c>
      <c r="G68">
        <f>bali_nt!H10</f>
        <v>156.41990397825299</v>
      </c>
      <c r="H68">
        <f>bali_nt!I10</f>
        <v>355.52641906775699</v>
      </c>
      <c r="I68">
        <f>bali_nt!J10</f>
        <v>16</v>
      </c>
      <c r="J68">
        <f>bali_nt!K10</f>
        <v>120.60454971647296</v>
      </c>
      <c r="K68">
        <f>bali_nt!L10</f>
        <v>0</v>
      </c>
      <c r="L68">
        <f>bali_nt!M10</f>
        <v>205.03112188900764</v>
      </c>
      <c r="M68">
        <f>bali_nt!N10</f>
        <v>0</v>
      </c>
      <c r="N68">
        <f>bali_nt!O10</f>
        <v>0</v>
      </c>
      <c r="O68">
        <f>bali_nt!P10</f>
        <v>0.94449100255268292</v>
      </c>
      <c r="P68">
        <f>bali_nt!Q10</f>
        <v>3336.8367995240078</v>
      </c>
    </row>
    <row r="69" spans="1:16" x14ac:dyDescent="0.25">
      <c r="A69" t="str">
        <f>bali_nt!B11</f>
        <v>BALI_NT</v>
      </c>
      <c r="B69">
        <f>bali_nt!C11</f>
        <v>2026</v>
      </c>
      <c r="C69">
        <f>bali_nt!D11</f>
        <v>870.25167301466172</v>
      </c>
      <c r="D69">
        <f>bali_nt!E11</f>
        <v>660.52999699999998</v>
      </c>
      <c r="E69">
        <f>bali_nt!F11</f>
        <v>514.29444920744379</v>
      </c>
      <c r="F69">
        <f>bali_nt!G11</f>
        <v>582.04999899999996</v>
      </c>
      <c r="G69">
        <f>bali_nt!H11</f>
        <v>156.41990297825299</v>
      </c>
      <c r="H69">
        <f>bali_nt!I11</f>
        <v>355.52641906775699</v>
      </c>
      <c r="I69">
        <f>bali_nt!J11</f>
        <v>16</v>
      </c>
      <c r="J69">
        <f>bali_nt!K11</f>
        <v>134.4993959568553</v>
      </c>
      <c r="K69">
        <f>bali_nt!L11</f>
        <v>0</v>
      </c>
      <c r="L69">
        <f>bali_nt!M11</f>
        <v>279.88664252854488</v>
      </c>
      <c r="M69">
        <f>bali_nt!N11</f>
        <v>0</v>
      </c>
      <c r="N69">
        <f>bali_nt!O11</f>
        <v>0</v>
      </c>
      <c r="O69">
        <f>bali_nt!P11</f>
        <v>0.99344555193255335</v>
      </c>
      <c r="P69">
        <f>bali_nt!Q11</f>
        <v>3569.4584787535159</v>
      </c>
    </row>
    <row r="70" spans="1:16" x14ac:dyDescent="0.25">
      <c r="A70" t="str">
        <f>bali_nt!B12</f>
        <v>BALI_NT</v>
      </c>
      <c r="B70">
        <f>bali_nt!C12</f>
        <v>2027</v>
      </c>
      <c r="C70">
        <f>bali_nt!D12</f>
        <v>903.78293346993348</v>
      </c>
      <c r="D70">
        <f>bali_nt!E12</f>
        <v>752.93676305779638</v>
      </c>
      <c r="E70">
        <f>bali_nt!F12</f>
        <v>514.29444820744379</v>
      </c>
      <c r="F70">
        <f>bali_nt!G12</f>
        <v>582.04999899999996</v>
      </c>
      <c r="G70">
        <f>bali_nt!H12</f>
        <v>156.41990297825299</v>
      </c>
      <c r="H70">
        <f>bali_nt!I12</f>
        <v>355.52641806775699</v>
      </c>
      <c r="I70">
        <f>bali_nt!J12</f>
        <v>16</v>
      </c>
      <c r="J70">
        <f>bali_nt!K12</f>
        <v>149.23511795705778</v>
      </c>
      <c r="K70">
        <f>bali_nt!L12</f>
        <v>0</v>
      </c>
      <c r="L70">
        <f>bali_nt!M12</f>
        <v>351.5771127732786</v>
      </c>
      <c r="M70">
        <f>bali_nt!N12</f>
        <v>0</v>
      </c>
      <c r="N70">
        <f>bali_nt!O12</f>
        <v>0</v>
      </c>
      <c r="O70">
        <f>bali_nt!P12</f>
        <v>1.0395813320746885</v>
      </c>
      <c r="P70">
        <f>bali_nt!Q12</f>
        <v>3781.8226955115197</v>
      </c>
    </row>
    <row r="71" spans="1:16" x14ac:dyDescent="0.25">
      <c r="A71" t="str">
        <f>bali_nt!B13</f>
        <v>BALI_NT</v>
      </c>
      <c r="B71">
        <f>bali_nt!C13</f>
        <v>2028</v>
      </c>
      <c r="C71">
        <f>bali_nt!D13</f>
        <v>942.3600307786935</v>
      </c>
      <c r="D71">
        <f>bali_nt!E13</f>
        <v>882.32504131379346</v>
      </c>
      <c r="E71">
        <f>bali_nt!F13</f>
        <v>514.2944472074438</v>
      </c>
      <c r="F71">
        <f>bali_nt!G13</f>
        <v>582.04999899999996</v>
      </c>
      <c r="G71">
        <f>bali_nt!H13</f>
        <v>156.41990197825299</v>
      </c>
      <c r="H71">
        <f>bali_nt!I13</f>
        <v>355.52641806775699</v>
      </c>
      <c r="I71">
        <f>bali_nt!J13</f>
        <v>16</v>
      </c>
      <c r="J71">
        <f>bali_nt!K13</f>
        <v>163.35306091554972</v>
      </c>
      <c r="K71">
        <f>bali_nt!L13</f>
        <v>0</v>
      </c>
      <c r="L71">
        <f>bali_nt!M13</f>
        <v>406.49817193894125</v>
      </c>
      <c r="M71">
        <f>bali_nt!N13</f>
        <v>0</v>
      </c>
      <c r="N71">
        <f>bali_nt!O13</f>
        <v>0</v>
      </c>
      <c r="O71">
        <f>bali_nt!P13</f>
        <v>1.0920176303696145</v>
      </c>
      <c r="P71">
        <f>bali_nt!Q13</f>
        <v>4018.8270712004314</v>
      </c>
    </row>
    <row r="72" spans="1:16" x14ac:dyDescent="0.25">
      <c r="A72" t="str">
        <f>bali_nt!B14</f>
        <v>BALI_NT</v>
      </c>
      <c r="B72">
        <f>bali_nt!C14</f>
        <v>2029</v>
      </c>
      <c r="C72">
        <f>bali_nt!D14</f>
        <v>981.35286963797387</v>
      </c>
      <c r="D72">
        <f>bali_nt!E14</f>
        <v>882.32504131379346</v>
      </c>
      <c r="E72">
        <f>bali_nt!F14</f>
        <v>602.55467490584203</v>
      </c>
      <c r="F72">
        <f>bali_nt!G14</f>
        <v>582.04999899999996</v>
      </c>
      <c r="G72">
        <f>bali_nt!H14</f>
        <v>156.419900978253</v>
      </c>
      <c r="H72">
        <f>bali_nt!I14</f>
        <v>355.526417067757</v>
      </c>
      <c r="I72">
        <f>bali_nt!J14</f>
        <v>16</v>
      </c>
      <c r="J72">
        <f>bali_nt!K14</f>
        <v>185.25756881410683</v>
      </c>
      <c r="K72">
        <f>bali_nt!L14</f>
        <v>0</v>
      </c>
      <c r="L72">
        <f>bali_nt!M14</f>
        <v>518.75085803558079</v>
      </c>
      <c r="M72">
        <f>bali_nt!N14</f>
        <v>0</v>
      </c>
      <c r="N72">
        <f>bali_nt!O14</f>
        <v>0</v>
      </c>
      <c r="O72">
        <f>bali_nt!P14</f>
        <v>1.1464318376451301</v>
      </c>
      <c r="P72">
        <f>bali_nt!Q14</f>
        <v>4280.2373297533068</v>
      </c>
    </row>
    <row r="73" spans="1:16" x14ac:dyDescent="0.25">
      <c r="A73" t="str">
        <f>bali_nt!B15</f>
        <v>BALI_NT</v>
      </c>
      <c r="B73">
        <f>bali_nt!C15</f>
        <v>2030</v>
      </c>
      <c r="C73">
        <f>bali_nt!D15</f>
        <v>1023.1923964936215</v>
      </c>
      <c r="D73">
        <f>bali_nt!E15</f>
        <v>1079.869704777373</v>
      </c>
      <c r="E73">
        <f>bali_nt!F15</f>
        <v>602.55467490584203</v>
      </c>
      <c r="F73">
        <f>bali_nt!G15</f>
        <v>582.04999899999996</v>
      </c>
      <c r="G73">
        <f>bali_nt!H15</f>
        <v>156.419899978253</v>
      </c>
      <c r="H73">
        <f>bali_nt!I15</f>
        <v>355.526417067757</v>
      </c>
      <c r="I73">
        <f>bali_nt!J15</f>
        <v>16</v>
      </c>
      <c r="J73">
        <f>bali_nt!K15</f>
        <v>195.35608323032514</v>
      </c>
      <c r="K73">
        <f>bali_nt!L15</f>
        <v>0</v>
      </c>
      <c r="L73">
        <f>bali_nt!M15</f>
        <v>518.75085703558079</v>
      </c>
      <c r="M73">
        <f>bali_nt!N15</f>
        <v>0</v>
      </c>
      <c r="N73">
        <f>bali_nt!O15</f>
        <v>0</v>
      </c>
      <c r="O73">
        <f>bali_nt!P15</f>
        <v>1.2036423414884667</v>
      </c>
      <c r="P73">
        <f>bali_nt!Q15</f>
        <v>4529.7200324887526</v>
      </c>
    </row>
    <row r="74" spans="1:16" x14ac:dyDescent="0.25">
      <c r="A74" t="str">
        <f>bali_nt!B16</f>
        <v>BALI_NT</v>
      </c>
      <c r="B74">
        <f>bali_nt!C16</f>
        <v>2031</v>
      </c>
      <c r="C74">
        <f>bali_nt!D16</f>
        <v>1075.2902228844641</v>
      </c>
      <c r="D74">
        <f>bali_nt!E16</f>
        <v>1193.2864397196058</v>
      </c>
      <c r="E74">
        <f>bali_nt!F16</f>
        <v>687.68461453011378</v>
      </c>
      <c r="F74">
        <f>bali_nt!G16</f>
        <v>582.04999899999996</v>
      </c>
      <c r="G74">
        <f>bali_nt!H16</f>
        <v>156.419899978253</v>
      </c>
      <c r="H74">
        <f>bali_nt!I16</f>
        <v>355.526417067757</v>
      </c>
      <c r="I74">
        <f>bali_nt!J16</f>
        <v>16</v>
      </c>
      <c r="J74">
        <f>bali_nt!K16</f>
        <v>213.09299249399848</v>
      </c>
      <c r="K74">
        <f>bali_nt!L16</f>
        <v>0</v>
      </c>
      <c r="L74">
        <f>bali_nt!M16</f>
        <v>573.24257621523395</v>
      </c>
      <c r="M74">
        <f>bali_nt!N16</f>
        <v>0</v>
      </c>
      <c r="N74">
        <f>bali_nt!O16</f>
        <v>0</v>
      </c>
      <c r="O74">
        <f>bali_nt!P16</f>
        <v>1.2743677947614627</v>
      </c>
      <c r="P74">
        <f>bali_nt!Q16</f>
        <v>4852.5931618894265</v>
      </c>
    </row>
    <row r="75" spans="1:16" x14ac:dyDescent="0.25">
      <c r="A75" t="str">
        <f>bali_nt!B17</f>
        <v>BALI_NT</v>
      </c>
      <c r="B75">
        <f>bali_nt!C17</f>
        <v>2032</v>
      </c>
      <c r="C75">
        <f>bali_nt!D17</f>
        <v>1130.4001253706699</v>
      </c>
      <c r="D75">
        <f>bali_nt!E17</f>
        <v>1349.8510201272695</v>
      </c>
      <c r="E75">
        <f>bali_nt!F17</f>
        <v>687.68461453011378</v>
      </c>
      <c r="F75">
        <f>bali_nt!G17</f>
        <v>582.04999899999996</v>
      </c>
      <c r="G75">
        <f>bali_nt!H17</f>
        <v>156.419899978253</v>
      </c>
      <c r="H75">
        <f>bali_nt!I17</f>
        <v>400.41925268726283</v>
      </c>
      <c r="I75">
        <f>bali_nt!J17</f>
        <v>16</v>
      </c>
      <c r="J75">
        <f>bali_nt!K17</f>
        <v>239.90137344515784</v>
      </c>
      <c r="K75">
        <f>bali_nt!L17</f>
        <v>0</v>
      </c>
      <c r="L75">
        <f>bali_nt!M17</f>
        <v>604.12128810761703</v>
      </c>
      <c r="M75">
        <f>bali_nt!N17</f>
        <v>0</v>
      </c>
      <c r="N75">
        <f>bali_nt!O17</f>
        <v>0</v>
      </c>
      <c r="O75">
        <f>bali_nt!P17</f>
        <v>1.3505239107563358</v>
      </c>
      <c r="P75">
        <f>bali_nt!Q17</f>
        <v>5166.8475732463439</v>
      </c>
    </row>
    <row r="76" spans="1:16" x14ac:dyDescent="0.25">
      <c r="A76" t="str">
        <f>bali_nt!B18</f>
        <v>BALI_NT</v>
      </c>
      <c r="B76">
        <f>bali_nt!C18</f>
        <v>2033</v>
      </c>
      <c r="C76">
        <f>bali_nt!D18</f>
        <v>1177.4896476630938</v>
      </c>
      <c r="D76">
        <f>bali_nt!E18</f>
        <v>1349.8510201272695</v>
      </c>
      <c r="E76">
        <f>bali_nt!F18</f>
        <v>835.58649326727641</v>
      </c>
      <c r="F76">
        <f>bali_nt!G18</f>
        <v>582.04999799999996</v>
      </c>
      <c r="G76">
        <f>bali_nt!H18</f>
        <v>156.419898978253</v>
      </c>
      <c r="H76">
        <f>bali_nt!I18</f>
        <v>448.13993793483792</v>
      </c>
      <c r="I76">
        <f>bali_nt!J18</f>
        <v>16</v>
      </c>
      <c r="J76">
        <f>bali_nt!K18</f>
        <v>267.58768739709365</v>
      </c>
      <c r="K76">
        <f>bali_nt!L18</f>
        <v>0</v>
      </c>
      <c r="L76">
        <f>bali_nt!M18</f>
        <v>619.56064405380857</v>
      </c>
      <c r="M76">
        <f>bali_nt!N18</f>
        <v>0</v>
      </c>
      <c r="N76">
        <f>bali_nt!O18</f>
        <v>0</v>
      </c>
      <c r="O76">
        <f>bali_nt!P18</f>
        <v>1.4183310378270124</v>
      </c>
      <c r="P76">
        <f>bali_nt!Q18</f>
        <v>5452.6853274216328</v>
      </c>
    </row>
    <row r="77" spans="1:16" x14ac:dyDescent="0.25">
      <c r="A77" t="str">
        <f>bali_nt!B19</f>
        <v>BALI_NT</v>
      </c>
      <c r="B77">
        <f>bali_nt!C19</f>
        <v>2034</v>
      </c>
      <c r="C77">
        <f>bali_nt!D19</f>
        <v>1238.2850860132191</v>
      </c>
      <c r="D77">
        <f>bali_nt!E19</f>
        <v>1524.2694424826354</v>
      </c>
      <c r="E77">
        <f>bali_nt!F19</f>
        <v>835.58649326727641</v>
      </c>
      <c r="F77">
        <f>bali_nt!G19</f>
        <v>582.04999799999996</v>
      </c>
      <c r="G77">
        <f>bali_nt!H19</f>
        <v>156.419897978253</v>
      </c>
      <c r="H77">
        <f>bali_nt!I19</f>
        <v>513.57867042759131</v>
      </c>
      <c r="I77">
        <f>bali_nt!J19</f>
        <v>16</v>
      </c>
      <c r="J77">
        <f>bali_nt!K19</f>
        <v>301.29479162533596</v>
      </c>
      <c r="K77">
        <f>bali_nt!L19</f>
        <v>0</v>
      </c>
      <c r="L77">
        <f>bali_nt!M19</f>
        <v>627.28032202690429</v>
      </c>
      <c r="M77">
        <f>bali_nt!N19</f>
        <v>0</v>
      </c>
      <c r="N77">
        <f>bali_nt!O19</f>
        <v>0</v>
      </c>
      <c r="O77">
        <f>bali_nt!P19</f>
        <v>1.5039829249330738</v>
      </c>
      <c r="P77">
        <f>bali_nt!Q19</f>
        <v>5794.7647018212165</v>
      </c>
    </row>
    <row r="78" spans="1:16" x14ac:dyDescent="0.25">
      <c r="A78" t="str">
        <f>bali_nt!B20</f>
        <v>BALI_NT</v>
      </c>
      <c r="B78">
        <f>bali_nt!C20</f>
        <v>2035</v>
      </c>
      <c r="C78">
        <f>bali_nt!D20</f>
        <v>1296.0795844449428</v>
      </c>
      <c r="D78">
        <f>bali_nt!E20</f>
        <v>1524.2694414826356</v>
      </c>
      <c r="E78">
        <f>bali_nt!F20</f>
        <v>1017.1673170346018</v>
      </c>
      <c r="F78">
        <f>bali_nt!G20</f>
        <v>582.04999799999996</v>
      </c>
      <c r="G78">
        <f>bali_nt!H20</f>
        <v>161.42378744794678</v>
      </c>
      <c r="H78">
        <f>bali_nt!I20</f>
        <v>572.43933521379563</v>
      </c>
      <c r="I78">
        <f>bali_nt!J20</f>
        <v>16</v>
      </c>
      <c r="J78">
        <f>bali_nt!K20</f>
        <v>337.61368932595559</v>
      </c>
      <c r="K78">
        <f>bali_nt!L20</f>
        <v>0</v>
      </c>
      <c r="L78">
        <f>bali_nt!M20</f>
        <v>631.14016101345214</v>
      </c>
      <c r="M78">
        <f>bali_nt!N20</f>
        <v>-3.3184666028973631E-7</v>
      </c>
      <c r="N78">
        <f>bali_nt!O20</f>
        <v>0</v>
      </c>
      <c r="O78">
        <f>bali_nt!P20</f>
        <v>1.5874826583235335</v>
      </c>
      <c r="P78">
        <f>bali_nt!Q20</f>
        <v>6138.1833136314845</v>
      </c>
    </row>
    <row r="79" spans="1:16" x14ac:dyDescent="0.25">
      <c r="A79" t="str">
        <f>bali_nt!B21</f>
        <v>BALI_NT</v>
      </c>
      <c r="B79">
        <f>bali_nt!C21</f>
        <v>2036</v>
      </c>
      <c r="C79">
        <f>bali_nt!D21</f>
        <v>1357.3373734861589</v>
      </c>
      <c r="D79">
        <f>bali_nt!E21</f>
        <v>1703.2122775898345</v>
      </c>
      <c r="E79">
        <f>bali_nt!F21</f>
        <v>1017.1673170346018</v>
      </c>
      <c r="F79">
        <f>bali_nt!G21</f>
        <v>582.04999799999996</v>
      </c>
      <c r="G79">
        <f>bali_nt!H21</f>
        <v>190.29702867347694</v>
      </c>
      <c r="H79">
        <f>bali_nt!I21</f>
        <v>601.86966760689779</v>
      </c>
      <c r="I79">
        <f>bali_nt!J21</f>
        <v>16</v>
      </c>
      <c r="J79">
        <f>bali_nt!K21</f>
        <v>378.48698250681201</v>
      </c>
      <c r="K79">
        <f>bali_nt!L21</f>
        <v>0</v>
      </c>
      <c r="L79">
        <f>bali_nt!M21</f>
        <v>633.07008050672607</v>
      </c>
      <c r="M79">
        <f>bali_nt!N21</f>
        <v>0</v>
      </c>
      <c r="N79">
        <f>bali_nt!O21</f>
        <v>0</v>
      </c>
      <c r="O79">
        <f>bali_nt!P21</f>
        <v>1.6767779501938889</v>
      </c>
      <c r="P79">
        <f>bali_nt!Q21</f>
        <v>6479.4907254045074</v>
      </c>
    </row>
    <row r="80" spans="1:16" x14ac:dyDescent="0.25">
      <c r="A80" t="str">
        <f>bali_nt!B22</f>
        <v>BALI_NT</v>
      </c>
      <c r="B80">
        <f>bali_nt!C22</f>
        <v>2037</v>
      </c>
      <c r="C80">
        <f>bali_nt!D22</f>
        <v>1421.7355081031437</v>
      </c>
      <c r="D80">
        <f>bali_nt!E22</f>
        <v>1703.2122775898345</v>
      </c>
      <c r="E80">
        <f>bali_nt!F22</f>
        <v>1221.4088479559823</v>
      </c>
      <c r="F80">
        <f>bali_nt!G22</f>
        <v>582.04999699999996</v>
      </c>
      <c r="G80">
        <f>bali_nt!H22</f>
        <v>232.4287419679988</v>
      </c>
      <c r="H80">
        <f>bali_nt!I22</f>
        <v>616.58483380344887</v>
      </c>
      <c r="I80">
        <f>bali_nt!J22</f>
        <v>16</v>
      </c>
      <c r="J80">
        <f>bali_nt!K22</f>
        <v>424.34193757569187</v>
      </c>
      <c r="K80">
        <f>bali_nt!L22</f>
        <v>0</v>
      </c>
      <c r="L80">
        <f>bali_nt!M22</f>
        <v>634.03504025336304</v>
      </c>
      <c r="M80">
        <f>bali_nt!N22</f>
        <v>0</v>
      </c>
      <c r="N80">
        <f>bali_nt!O22</f>
        <v>0</v>
      </c>
      <c r="O80">
        <f>bali_nt!P22</f>
        <v>1.7716361057885122</v>
      </c>
      <c r="P80">
        <f>bali_nt!Q22</f>
        <v>6851.7971842494626</v>
      </c>
    </row>
    <row r="81" spans="1:16" x14ac:dyDescent="0.25">
      <c r="A81" t="str">
        <f>bali_nt!B23</f>
        <v>BALI_NT</v>
      </c>
      <c r="B81">
        <f>bali_nt!C23</f>
        <v>2038</v>
      </c>
      <c r="C81">
        <f>bali_nt!D23</f>
        <v>1497.6028772072616</v>
      </c>
      <c r="D81">
        <f>bali_nt!E23</f>
        <v>1924.9921737949403</v>
      </c>
      <c r="E81">
        <f>bali_nt!F23</f>
        <v>1221.4088479559823</v>
      </c>
      <c r="F81">
        <f>bali_nt!G23</f>
        <v>582.04999599999996</v>
      </c>
      <c r="G81">
        <f>bali_nt!H23</f>
        <v>288.03160395072808</v>
      </c>
      <c r="H81">
        <f>bali_nt!I23</f>
        <v>623.94241690172441</v>
      </c>
      <c r="I81">
        <f>bali_nt!J23</f>
        <v>16</v>
      </c>
      <c r="J81">
        <f>bali_nt!K23</f>
        <v>478.39747980221154</v>
      </c>
      <c r="K81">
        <f>bali_nt!L23</f>
        <v>0</v>
      </c>
      <c r="L81">
        <f>bali_nt!M23</f>
        <v>634.51752012668157</v>
      </c>
      <c r="M81">
        <f>bali_nt!N23</f>
        <v>1.1703509342293799E-14</v>
      </c>
      <c r="N81">
        <f>bali_nt!O23</f>
        <v>0</v>
      </c>
      <c r="O81">
        <f>bali_nt!P23</f>
        <v>1.8826957786578016</v>
      </c>
      <c r="P81">
        <f>bali_nt!Q23</f>
        <v>7266.9429157395298</v>
      </c>
    </row>
    <row r="82" spans="1:16" x14ac:dyDescent="0.25">
      <c r="A82" t="str">
        <f>kalimantan!B4</f>
        <v>KALIMANTAN</v>
      </c>
      <c r="B82">
        <f>kalimantan!C4</f>
        <v>2019</v>
      </c>
      <c r="C82">
        <f>kalimantan!D4</f>
        <v>2450.5</v>
      </c>
      <c r="D82">
        <f>kalimantan!E4</f>
        <v>535.03</v>
      </c>
      <c r="E82">
        <f>kalimantan!F4</f>
        <v>60</v>
      </c>
      <c r="F82">
        <f>kalimantan!G4</f>
        <v>1724.67</v>
      </c>
      <c r="G82">
        <f>kalimantan!H4</f>
        <v>0</v>
      </c>
      <c r="H82">
        <f>kalimantan!I4</f>
        <v>264.27</v>
      </c>
      <c r="I82">
        <f>kalimantan!J4</f>
        <v>3.46</v>
      </c>
      <c r="J82">
        <f>kalimantan!K4</f>
        <v>0.61</v>
      </c>
      <c r="K82">
        <f>kalimantan!L4</f>
        <v>0</v>
      </c>
      <c r="L82">
        <f>kalimantan!M4</f>
        <v>97.75</v>
      </c>
      <c r="M82">
        <f>kalimantan!N4</f>
        <v>0</v>
      </c>
      <c r="N82">
        <f>kalimantan!O4</f>
        <v>0</v>
      </c>
      <c r="O82">
        <f>kalimantan!P4</f>
        <v>0</v>
      </c>
      <c r="P82">
        <f>kalimantan!Q4</f>
        <v>5136.2899999999991</v>
      </c>
    </row>
    <row r="83" spans="1:16" x14ac:dyDescent="0.25">
      <c r="A83" t="str">
        <f>kalimantan!B5</f>
        <v>KALIMANTAN</v>
      </c>
      <c r="B83">
        <f>kalimantan!C5</f>
        <v>2020</v>
      </c>
      <c r="C83">
        <f>kalimantan!D5</f>
        <v>2662.380850205278</v>
      </c>
      <c r="D83">
        <f>kalimantan!E5</f>
        <v>535.03</v>
      </c>
      <c r="E83">
        <f>kalimantan!F5</f>
        <v>265.29595935798</v>
      </c>
      <c r="F83">
        <f>kalimantan!G5</f>
        <v>1724.67</v>
      </c>
      <c r="G83">
        <f>kalimantan!H5</f>
        <v>0</v>
      </c>
      <c r="H83">
        <f>kalimantan!I5</f>
        <v>264.27707442029674</v>
      </c>
      <c r="I83">
        <f>kalimantan!J5</f>
        <v>60.052784423864018</v>
      </c>
      <c r="J83">
        <f>kalimantan!K5</f>
        <v>1013.962781628471</v>
      </c>
      <c r="K83">
        <f>kalimantan!L5</f>
        <v>33.186828136340971</v>
      </c>
      <c r="L83">
        <f>kalimantan!M5</f>
        <v>97.75</v>
      </c>
      <c r="M83">
        <f>kalimantan!N5</f>
        <v>0</v>
      </c>
      <c r="N83">
        <f>kalimantan!O5</f>
        <v>0</v>
      </c>
      <c r="O83">
        <f>kalimantan!P5</f>
        <v>2.0195659998244366</v>
      </c>
      <c r="P83">
        <f>kalimantan!Q5</f>
        <v>6656.6062781722312</v>
      </c>
    </row>
    <row r="84" spans="1:16" x14ac:dyDescent="0.25">
      <c r="A84" t="str">
        <f>kalimantan!B6</f>
        <v>KALIMANTAN</v>
      </c>
      <c r="B84">
        <f>kalimantan!C6</f>
        <v>2021</v>
      </c>
      <c r="C84">
        <f>kalimantan!D6</f>
        <v>2783.5639341082151</v>
      </c>
      <c r="D84">
        <f>kalimantan!E6</f>
        <v>535.03</v>
      </c>
      <c r="E84">
        <f>kalimantan!F6</f>
        <v>929.59306424916895</v>
      </c>
      <c r="F84">
        <f>kalimantan!G6</f>
        <v>1724.67</v>
      </c>
      <c r="G84">
        <f>kalimantan!H6</f>
        <v>0</v>
      </c>
      <c r="H84">
        <f>kalimantan!I6</f>
        <v>503.03723353100412</v>
      </c>
      <c r="I84">
        <f>kalimantan!J6</f>
        <v>60.052783423864021</v>
      </c>
      <c r="J84">
        <f>kalimantan!K6</f>
        <v>1013.9622084939142</v>
      </c>
      <c r="K84">
        <f>kalimantan!L6</f>
        <v>33.186826319234925</v>
      </c>
      <c r="L84">
        <f>kalimantan!M6</f>
        <v>97.75</v>
      </c>
      <c r="M84">
        <f>kalimantan!N6</f>
        <v>0</v>
      </c>
      <c r="N84">
        <f>kalimantan!O6</f>
        <v>0</v>
      </c>
      <c r="O84">
        <f>kalimantan!P6</f>
        <v>2.2607111806669185</v>
      </c>
      <c r="P84">
        <f>kalimantan!Q6</f>
        <v>7680.8460501254003</v>
      </c>
    </row>
    <row r="85" spans="1:16" x14ac:dyDescent="0.25">
      <c r="A85" t="str">
        <f>kalimantan!B7</f>
        <v>KALIMANTAN</v>
      </c>
      <c r="B85">
        <f>kalimantan!C7</f>
        <v>2022</v>
      </c>
      <c r="C85">
        <f>kalimantan!D7</f>
        <v>2896.9227067417082</v>
      </c>
      <c r="D85">
        <f>kalimantan!E7</f>
        <v>535.03</v>
      </c>
      <c r="E85">
        <f>kalimantan!F7</f>
        <v>1706.0743696264446</v>
      </c>
      <c r="F85">
        <f>kalimantan!G7</f>
        <v>1724.67</v>
      </c>
      <c r="G85">
        <f>kalimantan!H7</f>
        <v>0</v>
      </c>
      <c r="H85">
        <f>kalimantan!I7</f>
        <v>503.99169675463702</v>
      </c>
      <c r="I85">
        <f>kalimantan!J7</f>
        <v>60.052658646989535</v>
      </c>
      <c r="J85">
        <f>kalimantan!K7</f>
        <v>1705.5316688773453</v>
      </c>
      <c r="K85">
        <f>kalimantan!L7</f>
        <v>33.186671424144258</v>
      </c>
      <c r="L85">
        <f>kalimantan!M7</f>
        <v>97.75</v>
      </c>
      <c r="M85">
        <f>kalimantan!N7</f>
        <v>0</v>
      </c>
      <c r="N85">
        <f>kalimantan!O7</f>
        <v>0</v>
      </c>
      <c r="O85">
        <f>kalimantan!P7</f>
        <v>2.6069101883636745</v>
      </c>
      <c r="P85">
        <f>kalimantan!Q7</f>
        <v>9263.2097720712682</v>
      </c>
    </row>
    <row r="86" spans="1:16" x14ac:dyDescent="0.25">
      <c r="A86" t="str">
        <f>kalimantan!B8</f>
        <v>KALIMANTAN</v>
      </c>
      <c r="B86">
        <f>kalimantan!C8</f>
        <v>2023</v>
      </c>
      <c r="C86">
        <f>kalimantan!D8</f>
        <v>2896.9227067417082</v>
      </c>
      <c r="D86">
        <f>kalimantan!E8</f>
        <v>1097.8442665337939</v>
      </c>
      <c r="E86">
        <f>kalimantan!F8</f>
        <v>1706.0744830565379</v>
      </c>
      <c r="F86">
        <f>kalimantan!G8</f>
        <v>1724.6700000000012</v>
      </c>
      <c r="G86">
        <f>kalimantan!H8</f>
        <v>5.6735610775401062E-2</v>
      </c>
      <c r="H86">
        <f>kalimantan!I8</f>
        <v>679.99773202370159</v>
      </c>
      <c r="I86">
        <f>kalimantan!J8</f>
        <v>60.052597251908423</v>
      </c>
      <c r="J86">
        <f>kalimantan!K8</f>
        <v>1798.6641119821161</v>
      </c>
      <c r="K86">
        <f>kalimantan!L8</f>
        <v>74.448273496804532</v>
      </c>
      <c r="L86">
        <f>kalimantan!M8</f>
        <v>154.10437339257487</v>
      </c>
      <c r="M86">
        <f>kalimantan!N8</f>
        <v>0</v>
      </c>
      <c r="N86">
        <f>kalimantan!O8</f>
        <v>0</v>
      </c>
      <c r="O86">
        <f>kalimantan!P8</f>
        <v>2.8244337261710748</v>
      </c>
      <c r="P86">
        <f>kalimantan!Q8</f>
        <v>10192.835280089921</v>
      </c>
    </row>
    <row r="87" spans="1:16" x14ac:dyDescent="0.25">
      <c r="A87" t="str">
        <f>kalimantan!B9</f>
        <v>KALIMANTAN</v>
      </c>
      <c r="B87">
        <f>kalimantan!C9</f>
        <v>2024</v>
      </c>
      <c r="C87">
        <f>kalimantan!D9</f>
        <v>2896.9227067417082</v>
      </c>
      <c r="D87">
        <f>kalimantan!E9</f>
        <v>1257.2112832504056</v>
      </c>
      <c r="E87">
        <f>kalimantan!F9</f>
        <v>1718.1211099161424</v>
      </c>
      <c r="F87">
        <f>kalimantan!G9</f>
        <v>1724.6700000000012</v>
      </c>
      <c r="G87">
        <f>kalimantan!H9</f>
        <v>0.14715460990955909</v>
      </c>
      <c r="H87">
        <f>kalimantan!I9</f>
        <v>690.50569044947792</v>
      </c>
      <c r="I87">
        <f>kalimantan!J9</f>
        <v>60.915744347810843</v>
      </c>
      <c r="J87">
        <f>kalimantan!K9</f>
        <v>1798.778639178086</v>
      </c>
      <c r="K87">
        <f>kalimantan!L9</f>
        <v>395.39970377705521</v>
      </c>
      <c r="L87">
        <f>kalimantan!M9</f>
        <v>156.63908613768291</v>
      </c>
      <c r="M87">
        <f>kalimantan!N9</f>
        <v>0</v>
      </c>
      <c r="N87">
        <f>kalimantan!O9</f>
        <v>0</v>
      </c>
      <c r="O87">
        <f>kalimantan!P9</f>
        <v>2.9873270838273664</v>
      </c>
      <c r="P87">
        <f>kalimantan!Q9</f>
        <v>10699.311118408279</v>
      </c>
    </row>
    <row r="88" spans="1:16" x14ac:dyDescent="0.25">
      <c r="A88" t="str">
        <f>kalimantan!B10</f>
        <v>KALIMANTAN</v>
      </c>
      <c r="B88">
        <f>kalimantan!C10</f>
        <v>2025</v>
      </c>
      <c r="C88">
        <f>kalimantan!D10</f>
        <v>2896.9227067417082</v>
      </c>
      <c r="D88">
        <f>kalimantan!E10</f>
        <v>1273.8590647256131</v>
      </c>
      <c r="E88">
        <f>kalimantan!F10</f>
        <v>1900.0730128363193</v>
      </c>
      <c r="F88">
        <f>kalimantan!G10</f>
        <v>1724.6700000000012</v>
      </c>
      <c r="G88">
        <f>kalimantan!H10</f>
        <v>0.14715460990955909</v>
      </c>
      <c r="H88">
        <f>kalimantan!I10</f>
        <v>921.50717100583165</v>
      </c>
      <c r="I88">
        <f>kalimantan!J10</f>
        <v>60.915744347810843</v>
      </c>
      <c r="J88">
        <f>kalimantan!K10</f>
        <v>1798.778639178086</v>
      </c>
      <c r="K88">
        <f>kalimantan!L10</f>
        <v>415.7332032227169</v>
      </c>
      <c r="L88">
        <f>kalimantan!M10</f>
        <v>175.59914114361905</v>
      </c>
      <c r="M88">
        <f>kalimantan!N10</f>
        <v>0</v>
      </c>
      <c r="N88">
        <f>kalimantan!O10</f>
        <v>0</v>
      </c>
      <c r="O88">
        <f>kalimantan!P10</f>
        <v>3.1076442413370069</v>
      </c>
      <c r="P88">
        <f>kalimantan!Q10</f>
        <v>11168.205837811614</v>
      </c>
    </row>
    <row r="89" spans="1:16" x14ac:dyDescent="0.25">
      <c r="A89" t="str">
        <f>kalimantan!B11</f>
        <v>KALIMANTAN</v>
      </c>
      <c r="B89">
        <f>kalimantan!C11</f>
        <v>2026</v>
      </c>
      <c r="C89">
        <f>kalimantan!D11</f>
        <v>2896.9227067417082</v>
      </c>
      <c r="D89">
        <f>kalimantan!E11</f>
        <v>1380.8716863204429</v>
      </c>
      <c r="E89">
        <f>kalimantan!F11</f>
        <v>1901.0900254339379</v>
      </c>
      <c r="F89">
        <f>kalimantan!G11</f>
        <v>1724.6700000000012</v>
      </c>
      <c r="G89">
        <f>kalimantan!H11</f>
        <v>8.1648162703524427</v>
      </c>
      <c r="H89">
        <f>kalimantan!I11</f>
        <v>921.50717100583165</v>
      </c>
      <c r="I89">
        <f>kalimantan!J11</f>
        <v>60.915715506781623</v>
      </c>
      <c r="J89">
        <f>kalimantan!K11</f>
        <v>1798.7786394490729</v>
      </c>
      <c r="K89">
        <f>kalimantan!L11</f>
        <v>486.15438303909372</v>
      </c>
      <c r="L89">
        <f>kalimantan!M11</f>
        <v>176.2054627184462</v>
      </c>
      <c r="M89">
        <f>kalimantan!N11</f>
        <v>0</v>
      </c>
      <c r="N89">
        <f>kalimantan!O11</f>
        <v>0</v>
      </c>
      <c r="O89">
        <f>kalimantan!P11</f>
        <v>3.1607798010060733</v>
      </c>
      <c r="P89">
        <f>kalimantan!Q11</f>
        <v>11355.280606485667</v>
      </c>
    </row>
    <row r="90" spans="1:16" x14ac:dyDescent="0.25">
      <c r="A90" t="str">
        <f>kalimantan!B12</f>
        <v>KALIMANTAN</v>
      </c>
      <c r="B90">
        <f>kalimantan!C12</f>
        <v>2027</v>
      </c>
      <c r="C90">
        <f>kalimantan!D12</f>
        <v>2896.9227067417082</v>
      </c>
      <c r="D90">
        <f>kalimantan!E12</f>
        <v>1380.8716863204429</v>
      </c>
      <c r="E90">
        <f>kalimantan!F12</f>
        <v>2029.7837447426009</v>
      </c>
      <c r="F90">
        <f>kalimantan!G12</f>
        <v>1735.8666533044527</v>
      </c>
      <c r="G90">
        <f>kalimantan!H12</f>
        <v>8.1648162703524427</v>
      </c>
      <c r="H90">
        <f>kalimantan!I12</f>
        <v>921.50717100583165</v>
      </c>
      <c r="I90">
        <f>kalimantan!J12</f>
        <v>60.915715506781623</v>
      </c>
      <c r="J90">
        <f>kalimantan!K12</f>
        <v>1798.7786394490729</v>
      </c>
      <c r="K90">
        <f>kalimantan!L12</f>
        <v>584.59840183126505</v>
      </c>
      <c r="L90">
        <f>kalimantan!M12</f>
        <v>176.2054627184462</v>
      </c>
      <c r="M90">
        <f>kalimantan!N12</f>
        <v>0</v>
      </c>
      <c r="N90">
        <f>kalimantan!O12</f>
        <v>0</v>
      </c>
      <c r="O90">
        <f>kalimantan!P12</f>
        <v>3.2271824844533068</v>
      </c>
      <c r="P90">
        <f>kalimantan!Q12</f>
        <v>11593.614997890954</v>
      </c>
    </row>
    <row r="91" spans="1:16" x14ac:dyDescent="0.25">
      <c r="A91" t="str">
        <f>kalimantan!B13</f>
        <v>KALIMANTAN</v>
      </c>
      <c r="B91">
        <f>kalimantan!C13</f>
        <v>2028</v>
      </c>
      <c r="C91">
        <f>kalimantan!D13</f>
        <v>2896.9227067417082</v>
      </c>
      <c r="D91">
        <f>kalimantan!E13</f>
        <v>1380.8716863204429</v>
      </c>
      <c r="E91">
        <f>kalimantan!F13</f>
        <v>2222.8700413090064</v>
      </c>
      <c r="F91">
        <f>kalimantan!G13</f>
        <v>1822.193328837639</v>
      </c>
      <c r="G91">
        <f>kalimantan!H13</f>
        <v>8.1648162703524427</v>
      </c>
      <c r="H91">
        <f>kalimantan!I13</f>
        <v>921.50717100583165</v>
      </c>
      <c r="I91">
        <f>kalimantan!J13</f>
        <v>60.915715506781623</v>
      </c>
      <c r="J91">
        <f>kalimantan!K13</f>
        <v>1798.7786394490729</v>
      </c>
      <c r="K91">
        <f>kalimantan!L13</f>
        <v>741.72098392839007</v>
      </c>
      <c r="L91">
        <f>kalimantan!M13</f>
        <v>176.2054627184462</v>
      </c>
      <c r="M91">
        <f>kalimantan!N13</f>
        <v>0</v>
      </c>
      <c r="N91">
        <f>kalimantan!O13</f>
        <v>0</v>
      </c>
      <c r="O91">
        <f>kalimantan!P13</f>
        <v>3.3544716139587196</v>
      </c>
      <c r="P91">
        <f>kalimantan!Q13</f>
        <v>12030.150552087671</v>
      </c>
    </row>
    <row r="92" spans="1:16" x14ac:dyDescent="0.25">
      <c r="A92" t="str">
        <f>kalimantan!B14</f>
        <v>KALIMANTAN</v>
      </c>
      <c r="B92">
        <f>kalimantan!C14</f>
        <v>2029</v>
      </c>
      <c r="C92">
        <f>kalimantan!D14</f>
        <v>2896.9227067417082</v>
      </c>
      <c r="D92">
        <f>kalimantan!E14</f>
        <v>1380.8716863204429</v>
      </c>
      <c r="E92">
        <f>kalimantan!F14</f>
        <v>2428.5261274588497</v>
      </c>
      <c r="F92">
        <f>kalimantan!G14</f>
        <v>1913.3401234233077</v>
      </c>
      <c r="G92">
        <f>kalimantan!H14</f>
        <v>8.1648162703524427</v>
      </c>
      <c r="H92">
        <f>kalimantan!I14</f>
        <v>921.50717100583165</v>
      </c>
      <c r="I92">
        <f>kalimantan!J14</f>
        <v>60.915715506781623</v>
      </c>
      <c r="J92">
        <f>kalimantan!K14</f>
        <v>1798.7786394490729</v>
      </c>
      <c r="K92">
        <f>kalimantan!L14</f>
        <v>908.96380094349706</v>
      </c>
      <c r="L92">
        <f>kalimantan!M14</f>
        <v>176.2054627184462</v>
      </c>
      <c r="M92">
        <f>kalimantan!N14</f>
        <v>0</v>
      </c>
      <c r="N92">
        <f>kalimantan!O14</f>
        <v>0</v>
      </c>
      <c r="O92">
        <f>kalimantan!P14</f>
        <v>3.4897290346749088</v>
      </c>
      <c r="P92">
        <f>kalimantan!Q14</f>
        <v>12494.196249838291</v>
      </c>
    </row>
    <row r="93" spans="1:16" x14ac:dyDescent="0.25">
      <c r="A93" t="str">
        <f>kalimantan!B15</f>
        <v>KALIMANTAN</v>
      </c>
      <c r="B93">
        <f>kalimantan!C15</f>
        <v>2030</v>
      </c>
      <c r="C93">
        <f>kalimantan!D15</f>
        <v>2896.9227067417082</v>
      </c>
      <c r="D93">
        <f>kalimantan!E15</f>
        <v>1380.8716863204429</v>
      </c>
      <c r="E93">
        <f>kalimantan!F15</f>
        <v>2640.9666239945764</v>
      </c>
      <c r="F93">
        <f>kalimantan!G15</f>
        <v>2001.625468733115</v>
      </c>
      <c r="G93">
        <f>kalimantan!H15</f>
        <v>8.1648162703524427</v>
      </c>
      <c r="H93">
        <f>kalimantan!I15</f>
        <v>921.50717100583165</v>
      </c>
      <c r="I93">
        <f>kalimantan!J15</f>
        <v>60.915715506781623</v>
      </c>
      <c r="J93">
        <f>kalimantan!K15</f>
        <v>1798.7786394490729</v>
      </c>
      <c r="K93">
        <f>kalimantan!L15</f>
        <v>1080.9288647404974</v>
      </c>
      <c r="L93">
        <f>kalimantan!M15</f>
        <v>176.2054627184462</v>
      </c>
      <c r="M93">
        <f>kalimantan!N15</f>
        <v>0</v>
      </c>
      <c r="N93">
        <f>kalimantan!O15</f>
        <v>0</v>
      </c>
      <c r="O93">
        <f>kalimantan!P15</f>
        <v>3.6271138805339693</v>
      </c>
      <c r="P93">
        <f>kalimantan!Q15</f>
        <v>12966.887155480825</v>
      </c>
    </row>
    <row r="94" spans="1:16" x14ac:dyDescent="0.25">
      <c r="A94" t="str">
        <f>kalimantan!B16</f>
        <v>KALIMANTAN</v>
      </c>
      <c r="B94">
        <f>kalimantan!C16</f>
        <v>2031</v>
      </c>
      <c r="C94">
        <f>kalimantan!D16</f>
        <v>2906.7574308888011</v>
      </c>
      <c r="D94">
        <f>kalimantan!E16</f>
        <v>1380.8716863204429</v>
      </c>
      <c r="E94">
        <f>kalimantan!F16</f>
        <v>2887.1265634409237</v>
      </c>
      <c r="F94">
        <f>kalimantan!G16</f>
        <v>2107.6257875810379</v>
      </c>
      <c r="G94">
        <f>kalimantan!H16</f>
        <v>8.1648162703524427</v>
      </c>
      <c r="H94">
        <f>kalimantan!I16</f>
        <v>921.50717100583165</v>
      </c>
      <c r="I94">
        <f>kalimantan!J16</f>
        <v>60.915715506781623</v>
      </c>
      <c r="J94">
        <f>kalimantan!K16</f>
        <v>1798.7786394490729</v>
      </c>
      <c r="K94">
        <f>kalimantan!L16</f>
        <v>1281.9831979503906</v>
      </c>
      <c r="L94">
        <f>kalimantan!M16</f>
        <v>176.2054627184462</v>
      </c>
      <c r="M94">
        <f>kalimantan!N16</f>
        <v>0</v>
      </c>
      <c r="N94">
        <f>kalimantan!O16</f>
        <v>0</v>
      </c>
      <c r="O94">
        <f>kalimantan!P16</f>
        <v>3.7915743937232054</v>
      </c>
      <c r="P94">
        <f>kalimantan!Q16</f>
        <v>13529.936471132081</v>
      </c>
    </row>
    <row r="95" spans="1:16" x14ac:dyDescent="0.25">
      <c r="A95" t="str">
        <f>kalimantan!B17</f>
        <v>KALIMANTAN</v>
      </c>
      <c r="B95">
        <f>kalimantan!C17</f>
        <v>2032</v>
      </c>
      <c r="C95">
        <f>kalimantan!D17</f>
        <v>3005.5921365880449</v>
      </c>
      <c r="D95">
        <f>kalimantan!E17</f>
        <v>1380.8716863204429</v>
      </c>
      <c r="E95">
        <f>kalimantan!F17</f>
        <v>3152.3754903172107</v>
      </c>
      <c r="F95">
        <f>kalimantan!G17</f>
        <v>2135.3822170998019</v>
      </c>
      <c r="G95">
        <f>kalimantan!H17</f>
        <v>8.1648162703524427</v>
      </c>
      <c r="H95">
        <f>kalimantan!I17</f>
        <v>921.50717100583165</v>
      </c>
      <c r="I95">
        <f>kalimantan!J17</f>
        <v>60.915715506781623</v>
      </c>
      <c r="J95">
        <f>kalimantan!K17</f>
        <v>1798.7786394490729</v>
      </c>
      <c r="K95">
        <f>kalimantan!L17</f>
        <v>1498.5147247016926</v>
      </c>
      <c r="L95">
        <f>kalimantan!M17</f>
        <v>176.2054627184462</v>
      </c>
      <c r="M95">
        <f>kalimantan!N17</f>
        <v>0</v>
      </c>
      <c r="N95">
        <f>kalimantan!O17</f>
        <v>0</v>
      </c>
      <c r="O95">
        <f>kalimantan!P17</f>
        <v>3.9684535528892142</v>
      </c>
      <c r="P95">
        <f>kalimantan!Q17</f>
        <v>14138.308059977677</v>
      </c>
    </row>
    <row r="96" spans="1:16" x14ac:dyDescent="0.25">
      <c r="A96" t="str">
        <f>kalimantan!B18</f>
        <v>KALIMANTAN</v>
      </c>
      <c r="B96">
        <f>kalimantan!C18</f>
        <v>2033</v>
      </c>
      <c r="C96">
        <f>kalimantan!D18</f>
        <v>3096.3198469938006</v>
      </c>
      <c r="D96">
        <f>kalimantan!E18</f>
        <v>1380.8716863204429</v>
      </c>
      <c r="E96">
        <f>kalimantan!F18</f>
        <v>3414.1258403865349</v>
      </c>
      <c r="F96">
        <f>kalimantan!G18</f>
        <v>2153.972611926416</v>
      </c>
      <c r="G96">
        <f>kalimantan!H18</f>
        <v>8.1648162703524427</v>
      </c>
      <c r="H96">
        <f>kalimantan!I18</f>
        <v>921.50717100583165</v>
      </c>
      <c r="I96">
        <f>kalimantan!J18</f>
        <v>60.915715506781623</v>
      </c>
      <c r="J96">
        <f>kalimantan!K18</f>
        <v>1798.7786394490729</v>
      </c>
      <c r="K96">
        <f>kalimantan!L18</f>
        <v>1710.1038522558958</v>
      </c>
      <c r="L96">
        <f>kalimantan!M18</f>
        <v>176.2054627184462</v>
      </c>
      <c r="M96">
        <f>kalimantan!N18</f>
        <v>0</v>
      </c>
      <c r="N96">
        <f>kalimantan!O18</f>
        <v>0</v>
      </c>
      <c r="O96">
        <f>kalimantan!P18</f>
        <v>4.1368724230232354</v>
      </c>
      <c r="P96">
        <f>kalimantan!Q18</f>
        <v>14720.965642833575</v>
      </c>
    </row>
    <row r="97" spans="1:16" x14ac:dyDescent="0.25">
      <c r="A97" t="str">
        <f>kalimantan!B19</f>
        <v>KALIMANTAN</v>
      </c>
      <c r="B97">
        <f>kalimantan!C19</f>
        <v>2034</v>
      </c>
      <c r="C97">
        <f>kalimantan!D19</f>
        <v>3209.1426008757248</v>
      </c>
      <c r="D97">
        <f>kalimantan!E19</f>
        <v>1380.8716863204429</v>
      </c>
      <c r="E97">
        <f>kalimantan!F19</f>
        <v>3720.661719772882</v>
      </c>
      <c r="F97">
        <f>kalimantan!G19</f>
        <v>2184.2438445219182</v>
      </c>
      <c r="G97">
        <f>kalimantan!H19</f>
        <v>8.1648162703524427</v>
      </c>
      <c r="H97">
        <f>kalimantan!I19</f>
        <v>921.50717100583165</v>
      </c>
      <c r="I97">
        <f>kalimantan!J19</f>
        <v>60.915715506781623</v>
      </c>
      <c r="J97">
        <f>kalimantan!K19</f>
        <v>1798.7786394490729</v>
      </c>
      <c r="K97">
        <f>kalimantan!L19</f>
        <v>1959.91117880095</v>
      </c>
      <c r="L97">
        <f>kalimantan!M19</f>
        <v>176.2054627184462</v>
      </c>
      <c r="M97">
        <f>kalimantan!N19</f>
        <v>0</v>
      </c>
      <c r="N97">
        <f>kalimantan!O19</f>
        <v>0</v>
      </c>
      <c r="O97">
        <f>kalimantan!P19</f>
        <v>4.3400262445072961</v>
      </c>
      <c r="P97">
        <f>kalimantan!Q19</f>
        <v>15420.402835242403</v>
      </c>
    </row>
    <row r="98" spans="1:16" x14ac:dyDescent="0.25">
      <c r="A98" t="str">
        <f>kalimantan!B20</f>
        <v>KALIMANTAN</v>
      </c>
      <c r="B98">
        <f>kalimantan!C20</f>
        <v>2035</v>
      </c>
      <c r="C98">
        <f>kalimantan!D20</f>
        <v>3316.8221525815411</v>
      </c>
      <c r="D98">
        <f>kalimantan!E20</f>
        <v>1380.8716863204429</v>
      </c>
      <c r="E98">
        <f>kalimantan!F20</f>
        <v>4029.5108585452044</v>
      </c>
      <c r="F98">
        <f>kalimantan!G20</f>
        <v>2206.9896354498824</v>
      </c>
      <c r="G98">
        <f>kalimantan!H20</f>
        <v>8.1648162703524427</v>
      </c>
      <c r="H98">
        <f>kalimantan!I20</f>
        <v>921.50717100583165</v>
      </c>
      <c r="I98">
        <f>kalimantan!J20</f>
        <v>60.915715506781623</v>
      </c>
      <c r="J98">
        <f>kalimantan!K20</f>
        <v>1798.7786394490729</v>
      </c>
      <c r="K98">
        <f>kalimantan!L20</f>
        <v>2209.7653736765551</v>
      </c>
      <c r="L98">
        <f>kalimantan!M20</f>
        <v>176.2054627184462</v>
      </c>
      <c r="M98">
        <f>kalimantan!N20</f>
        <v>0</v>
      </c>
      <c r="N98">
        <f>kalimantan!O20</f>
        <v>0</v>
      </c>
      <c r="O98">
        <f>kalimantan!P20</f>
        <v>4.5393142727326623</v>
      </c>
      <c r="P98">
        <f>kalimantan!Q20</f>
        <v>16109.53151152411</v>
      </c>
    </row>
    <row r="99" spans="1:16" x14ac:dyDescent="0.25">
      <c r="A99" t="str">
        <f>kalimantan!B21</f>
        <v>KALIMANTAN</v>
      </c>
      <c r="B99">
        <f>kalimantan!C21</f>
        <v>2036</v>
      </c>
      <c r="C99">
        <f>kalimantan!D21</f>
        <v>3441.1557369109123</v>
      </c>
      <c r="D99">
        <f>kalimantan!E21</f>
        <v>1380.8716863204429</v>
      </c>
      <c r="E99">
        <f>kalimantan!F21</f>
        <v>4377.4520350831608</v>
      </c>
      <c r="F99">
        <f>kalimantan!G21</f>
        <v>2236.5269163021226</v>
      </c>
      <c r="G99">
        <f>kalimantan!H21</f>
        <v>8.1648162703524427</v>
      </c>
      <c r="H99">
        <f>kalimantan!I21</f>
        <v>921.50717100583165</v>
      </c>
      <c r="I99">
        <f>kalimantan!J21</f>
        <v>125.49693619252926</v>
      </c>
      <c r="J99">
        <f>kalimantan!K21</f>
        <v>1798.7786394490729</v>
      </c>
      <c r="K99">
        <f>kalimantan!L21</f>
        <v>2367.8826868382776</v>
      </c>
      <c r="L99">
        <f>kalimantan!M21</f>
        <v>176.2054627184462</v>
      </c>
      <c r="M99">
        <f>kalimantan!N21</f>
        <v>0</v>
      </c>
      <c r="N99">
        <f>kalimantan!O21</f>
        <v>0</v>
      </c>
      <c r="O99">
        <f>kalimantan!P21</f>
        <v>4.7451504647632552</v>
      </c>
      <c r="P99">
        <f>kalimantan!Q21</f>
        <v>16834.042087091148</v>
      </c>
    </row>
    <row r="100" spans="1:16" x14ac:dyDescent="0.25">
      <c r="A100" t="str">
        <f>kalimantan!B22</f>
        <v>KALIMANTAN</v>
      </c>
      <c r="B100">
        <f>kalimantan!C22</f>
        <v>2037</v>
      </c>
      <c r="C100">
        <f>kalimantan!D22</f>
        <v>3565.4084450353712</v>
      </c>
      <c r="D100">
        <f>kalimantan!E22</f>
        <v>1380.871686320444</v>
      </c>
      <c r="E100">
        <f>kalimantan!F22</f>
        <v>4737.5566209294066</v>
      </c>
      <c r="F100">
        <f>kalimantan!G22</f>
        <v>2261.3702285451677</v>
      </c>
      <c r="G100">
        <f>kalimantan!H22</f>
        <v>8.1648162703524427</v>
      </c>
      <c r="H100">
        <f>kalimantan!I22</f>
        <v>921.50717100583165</v>
      </c>
      <c r="I100">
        <f>kalimantan!J22</f>
        <v>235.58132452493604</v>
      </c>
      <c r="J100">
        <f>kalimantan!K22</f>
        <v>1798.7786394490729</v>
      </c>
      <c r="K100">
        <f>kalimantan!L22</f>
        <v>2446.9413434191388</v>
      </c>
      <c r="L100">
        <f>kalimantan!M22</f>
        <v>176.2054627184462</v>
      </c>
      <c r="M100">
        <f>kalimantan!N22</f>
        <v>0</v>
      </c>
      <c r="N100">
        <f>kalimantan!O22</f>
        <v>0</v>
      </c>
      <c r="O100">
        <f>kalimantan!P22</f>
        <v>4.939864321240985</v>
      </c>
      <c r="P100">
        <f>kalimantan!Q22</f>
        <v>17532.385738218167</v>
      </c>
    </row>
    <row r="101" spans="1:16" x14ac:dyDescent="0.25">
      <c r="A101" t="str">
        <f>kalimantan!B23</f>
        <v>KALIMANTAN</v>
      </c>
      <c r="B101">
        <f>kalimantan!C23</f>
        <v>2038</v>
      </c>
      <c r="C101">
        <f>kalimantan!D23</f>
        <v>3708.5216468340568</v>
      </c>
      <c r="D101">
        <f>kalimantan!E23</f>
        <v>1380.871686320444</v>
      </c>
      <c r="E101">
        <f>kalimantan!F23</f>
        <v>5143.974116613771</v>
      </c>
      <c r="F101">
        <f>kalimantan!G23</f>
        <v>2293.134016885077</v>
      </c>
      <c r="G101">
        <f>kalimantan!H23</f>
        <v>8.1648162703524427</v>
      </c>
      <c r="H101">
        <f>kalimantan!I23</f>
        <v>921.50717100583165</v>
      </c>
      <c r="I101">
        <f>kalimantan!J23</f>
        <v>386.10559680700453</v>
      </c>
      <c r="J101">
        <f>kalimantan!K23</f>
        <v>1798.7786394490729</v>
      </c>
      <c r="K101">
        <f>kalimantan!L23</f>
        <v>2486.4706717095692</v>
      </c>
      <c r="L101">
        <f>kalimantan!M23</f>
        <v>176.2054627184462</v>
      </c>
      <c r="M101">
        <f>kalimantan!N23</f>
        <v>0</v>
      </c>
      <c r="N101">
        <f>kalimantan!O23</f>
        <v>0</v>
      </c>
      <c r="O101">
        <f>kalimantan!P23</f>
        <v>5.1535053044895971</v>
      </c>
      <c r="P101">
        <f>kalimantan!Q23</f>
        <v>18303.733824613628</v>
      </c>
    </row>
    <row r="102" spans="1:16" x14ac:dyDescent="0.25">
      <c r="A102" t="str">
        <f>sulawesi!B4</f>
        <v>SULAWESI</v>
      </c>
      <c r="B102">
        <f>sulawesi!C4</f>
        <v>2019</v>
      </c>
      <c r="C102">
        <f>sulawesi!D4</f>
        <v>2835.5</v>
      </c>
      <c r="D102">
        <f>sulawesi!E4</f>
        <v>288.72000000000003</v>
      </c>
      <c r="E102">
        <f>sulawesi!F4</f>
        <v>315</v>
      </c>
      <c r="F102">
        <f>sulawesi!G4</f>
        <v>895.93</v>
      </c>
      <c r="G102">
        <f>sulawesi!H4</f>
        <v>80</v>
      </c>
      <c r="H102">
        <f>sulawesi!I4</f>
        <v>828.97</v>
      </c>
      <c r="I102">
        <f>sulawesi!J4</f>
        <v>62.55</v>
      </c>
      <c r="J102">
        <f>sulawesi!K4</f>
        <v>4.24</v>
      </c>
      <c r="K102">
        <f>sulawesi!L4</f>
        <v>0</v>
      </c>
      <c r="L102">
        <f>sulawesi!M4</f>
        <v>0.5</v>
      </c>
      <c r="M102">
        <f>sulawesi!N4</f>
        <v>0</v>
      </c>
      <c r="N102">
        <f>sulawesi!O4</f>
        <v>0</v>
      </c>
      <c r="O102">
        <f>sulawesi!P4</f>
        <v>0</v>
      </c>
      <c r="P102">
        <f>sulawesi!Q4</f>
        <v>5311.4100000000008</v>
      </c>
    </row>
    <row r="103" spans="1:16" x14ac:dyDescent="0.25">
      <c r="A103" t="str">
        <f>sulawesi!B5</f>
        <v>SULAWESI</v>
      </c>
      <c r="B103">
        <f>sulawesi!C5</f>
        <v>2020</v>
      </c>
      <c r="C103">
        <f>sulawesi!D5</f>
        <v>2898.3235071413951</v>
      </c>
      <c r="D103">
        <f>sulawesi!E5</f>
        <v>288.71999900000003</v>
      </c>
      <c r="E103">
        <f>sulawesi!F5</f>
        <v>1076.5054675222689</v>
      </c>
      <c r="F103">
        <f>sulawesi!G5</f>
        <v>895.93</v>
      </c>
      <c r="G103">
        <f>sulawesi!H5</f>
        <v>80</v>
      </c>
      <c r="H103">
        <f>sulawesi!I5</f>
        <v>828.97</v>
      </c>
      <c r="I103">
        <f>sulawesi!J5</f>
        <v>62.55</v>
      </c>
      <c r="J103">
        <f>sulawesi!K5</f>
        <v>132.97247342585777</v>
      </c>
      <c r="K103">
        <f>sulawesi!L5</f>
        <v>0</v>
      </c>
      <c r="L103">
        <f>sulawesi!M5</f>
        <v>0.5</v>
      </c>
      <c r="M103">
        <f>sulawesi!N5</f>
        <v>0</v>
      </c>
      <c r="N103">
        <f>sulawesi!O5</f>
        <v>0</v>
      </c>
      <c r="O103">
        <f>sulawesi!P5</f>
        <v>1.8945174638231916</v>
      </c>
      <c r="P103">
        <f>sulawesi!Q5</f>
        <v>6264.4714470895224</v>
      </c>
    </row>
    <row r="104" spans="1:16" x14ac:dyDescent="0.25">
      <c r="A104" t="str">
        <f>sulawesi!B6</f>
        <v>SULAWESI</v>
      </c>
      <c r="B104">
        <f>sulawesi!C6</f>
        <v>2021</v>
      </c>
      <c r="C104">
        <f>sulawesi!D6</f>
        <v>2963.1167975642975</v>
      </c>
      <c r="D104">
        <f>sulawesi!E6</f>
        <v>288.71999800000003</v>
      </c>
      <c r="E104">
        <f>sulawesi!F6</f>
        <v>1898.53751390457</v>
      </c>
      <c r="F104">
        <f>sulawesi!G6</f>
        <v>895.93</v>
      </c>
      <c r="G104">
        <f>sulawesi!H6</f>
        <v>80</v>
      </c>
      <c r="H104">
        <f>sulawesi!I6</f>
        <v>849.37687373396977</v>
      </c>
      <c r="I104">
        <f>sulawesi!J6</f>
        <v>62.58159746961617</v>
      </c>
      <c r="J104">
        <f>sulawesi!K6</f>
        <v>390.85334967003337</v>
      </c>
      <c r="K104">
        <f>sulawesi!L6</f>
        <v>3.6444104760217082E-2</v>
      </c>
      <c r="L104">
        <f>sulawesi!M6</f>
        <v>0.5</v>
      </c>
      <c r="M104">
        <f>sulawesi!N6</f>
        <v>0</v>
      </c>
      <c r="N104">
        <f>sulawesi!O6</f>
        <v>0</v>
      </c>
      <c r="O104">
        <f>sulawesi!P6</f>
        <v>2.1392925750711922</v>
      </c>
      <c r="P104">
        <f>sulawesi!Q6</f>
        <v>7429.6525744472474</v>
      </c>
    </row>
    <row r="105" spans="1:16" x14ac:dyDescent="0.25">
      <c r="A105" t="str">
        <f>sulawesi!B7</f>
        <v>SULAWESI</v>
      </c>
      <c r="B105">
        <f>sulawesi!C7</f>
        <v>2022</v>
      </c>
      <c r="C105">
        <f>sulawesi!D7</f>
        <v>3047.7534932767289</v>
      </c>
      <c r="D105">
        <f>sulawesi!E7</f>
        <v>288.71999800000003</v>
      </c>
      <c r="E105">
        <f>sulawesi!F7</f>
        <v>2709.8427546050029</v>
      </c>
      <c r="F105">
        <f>sulawesi!G7</f>
        <v>895.93</v>
      </c>
      <c r="G105">
        <f>sulawesi!H7</f>
        <v>80</v>
      </c>
      <c r="H105">
        <f>sulawesi!I7</f>
        <v>849.37687373396977</v>
      </c>
      <c r="I105">
        <f>sulawesi!J7</f>
        <v>62.58159746961617</v>
      </c>
      <c r="J105">
        <f>sulawesi!K7</f>
        <v>390.85334967003337</v>
      </c>
      <c r="K105">
        <f>sulawesi!L7</f>
        <v>441.81873306776635</v>
      </c>
      <c r="L105">
        <f>sulawesi!M7</f>
        <v>0.5</v>
      </c>
      <c r="M105">
        <f>sulawesi!N7</f>
        <v>0</v>
      </c>
      <c r="N105">
        <f>sulawesi!O7</f>
        <v>0</v>
      </c>
      <c r="O105">
        <f>sulawesi!P7</f>
        <v>2.4930596485080994</v>
      </c>
      <c r="P105">
        <f>sulawesi!Q7</f>
        <v>8767.3767998231178</v>
      </c>
    </row>
    <row r="106" spans="1:16" x14ac:dyDescent="0.25">
      <c r="A106" t="str">
        <f>sulawesi!B8</f>
        <v>SULAWESI</v>
      </c>
      <c r="B106">
        <f>sulawesi!C8</f>
        <v>2023</v>
      </c>
      <c r="C106">
        <f>sulawesi!D8</f>
        <v>3047.7534932767289</v>
      </c>
      <c r="D106">
        <f>sulawesi!E8</f>
        <v>288.71999800000003</v>
      </c>
      <c r="E106">
        <f>sulawesi!F8</f>
        <v>2788.2368479335078</v>
      </c>
      <c r="F106">
        <f>sulawesi!G8</f>
        <v>1229.9560937981437</v>
      </c>
      <c r="G106">
        <f>sulawesi!H8</f>
        <v>80</v>
      </c>
      <c r="H106">
        <f>sulawesi!I8</f>
        <v>849.37687373396977</v>
      </c>
      <c r="I106">
        <f>sulawesi!J8</f>
        <v>62.58159746961617</v>
      </c>
      <c r="J106">
        <f>sulawesi!K8</f>
        <v>390.85334967003337</v>
      </c>
      <c r="K106">
        <f>sulawesi!L8</f>
        <v>533.12071703043739</v>
      </c>
      <c r="L106">
        <f>sulawesi!M8</f>
        <v>0.5</v>
      </c>
      <c r="M106">
        <f>sulawesi!N8</f>
        <v>0</v>
      </c>
      <c r="N106">
        <f>sulawesi!O8</f>
        <v>0</v>
      </c>
      <c r="O106">
        <f>sulawesi!P8</f>
        <v>2.6586814355160948</v>
      </c>
      <c r="P106">
        <f>sulawesi!Q8</f>
        <v>9271.0989709124369</v>
      </c>
    </row>
    <row r="107" spans="1:16" x14ac:dyDescent="0.25">
      <c r="A107" t="str">
        <f>sulawesi!B9</f>
        <v>SULAWESI</v>
      </c>
      <c r="B107">
        <f>sulawesi!C9</f>
        <v>2024</v>
      </c>
      <c r="C107">
        <f>sulawesi!D9</f>
        <v>3047.7534932767289</v>
      </c>
      <c r="D107">
        <f>sulawesi!E9</f>
        <v>288.71999800000003</v>
      </c>
      <c r="E107">
        <f>sulawesi!F9</f>
        <v>3283.9776744640812</v>
      </c>
      <c r="F107">
        <f>sulawesi!G9</f>
        <v>1307.9237054971634</v>
      </c>
      <c r="G107">
        <f>sulawesi!H9</f>
        <v>80</v>
      </c>
      <c r="H107">
        <f>sulawesi!I9</f>
        <v>849.37687373396977</v>
      </c>
      <c r="I107">
        <f>sulawesi!J9</f>
        <v>62.58159746961617</v>
      </c>
      <c r="J107">
        <f>sulawesi!K9</f>
        <v>390.85334967003337</v>
      </c>
      <c r="K107">
        <f>sulawesi!L9</f>
        <v>970.90036849197645</v>
      </c>
      <c r="L107">
        <f>sulawesi!M9</f>
        <v>0.5</v>
      </c>
      <c r="M107">
        <f>sulawesi!N9</f>
        <v>0</v>
      </c>
      <c r="N107">
        <f>sulawesi!O9</f>
        <v>0</v>
      </c>
      <c r="O107">
        <f>sulawesi!P9</f>
        <v>2.9490570837188166</v>
      </c>
      <c r="P107">
        <f>sulawesi!Q9</f>
        <v>10282.58706060357</v>
      </c>
    </row>
    <row r="108" spans="1:16" x14ac:dyDescent="0.25">
      <c r="A108" t="str">
        <f>sulawesi!B10</f>
        <v>SULAWESI</v>
      </c>
      <c r="B108">
        <f>sulawesi!C10</f>
        <v>2025</v>
      </c>
      <c r="C108">
        <f>sulawesi!D10</f>
        <v>3047.7534932767289</v>
      </c>
      <c r="D108">
        <f>sulawesi!E10</f>
        <v>288.71999800000003</v>
      </c>
      <c r="E108">
        <f>sulawesi!F10</f>
        <v>3849.9666032520981</v>
      </c>
      <c r="F108">
        <f>sulawesi!G10</f>
        <v>1397.9012467270807</v>
      </c>
      <c r="G108">
        <f>sulawesi!H10</f>
        <v>80</v>
      </c>
      <c r="H108">
        <f>sulawesi!I10</f>
        <v>849.37687373396977</v>
      </c>
      <c r="I108">
        <f>sulawesi!J10</f>
        <v>62.58159746961617</v>
      </c>
      <c r="J108">
        <f>sulawesi!K10</f>
        <v>390.85334967003337</v>
      </c>
      <c r="K108">
        <f>sulawesi!L10</f>
        <v>1482.9987252801393</v>
      </c>
      <c r="L108">
        <f>sulawesi!M10</f>
        <v>0.5</v>
      </c>
      <c r="M108">
        <f>sulawesi!N10</f>
        <v>0</v>
      </c>
      <c r="N108">
        <f>sulawesi!O10</f>
        <v>0</v>
      </c>
      <c r="O108">
        <f>sulawesi!P10</f>
        <v>3.285640873661877</v>
      </c>
      <c r="P108">
        <f>sulawesi!Q10</f>
        <v>11450.651887409666</v>
      </c>
    </row>
    <row r="109" spans="1:16" x14ac:dyDescent="0.25">
      <c r="A109" t="str">
        <f>sulawesi!B11</f>
        <v>SULAWESI</v>
      </c>
      <c r="B109">
        <f>sulawesi!C11</f>
        <v>2026</v>
      </c>
      <c r="C109">
        <f>sulawesi!D11</f>
        <v>3047.7534932767289</v>
      </c>
      <c r="D109">
        <f>sulawesi!E11</f>
        <v>288.71999800000003</v>
      </c>
      <c r="E109">
        <f>sulawesi!F11</f>
        <v>4493.2969943766857</v>
      </c>
      <c r="F109">
        <f>sulawesi!G11</f>
        <v>1462.6165880655842</v>
      </c>
      <c r="G109">
        <f>sulawesi!H11</f>
        <v>80</v>
      </c>
      <c r="H109">
        <f>sulawesi!I11</f>
        <v>849.37687373396977</v>
      </c>
      <c r="I109">
        <f>sulawesi!J11</f>
        <v>62.58159746961617</v>
      </c>
      <c r="J109">
        <f>sulawesi!K11</f>
        <v>398.25160520210625</v>
      </c>
      <c r="K109">
        <f>sulawesi!L11</f>
        <v>1745.2538938420403</v>
      </c>
      <c r="L109">
        <f>sulawesi!M11</f>
        <v>0.5</v>
      </c>
      <c r="M109">
        <f>sulawesi!N11</f>
        <v>0</v>
      </c>
      <c r="N109">
        <f>sulawesi!O11</f>
        <v>0</v>
      </c>
      <c r="O109">
        <f>sulawesi!P11</f>
        <v>3.5338277710447179</v>
      </c>
      <c r="P109">
        <f>sulawesi!Q11</f>
        <v>12428.351043966732</v>
      </c>
    </row>
    <row r="110" spans="1:16" x14ac:dyDescent="0.25">
      <c r="A110" t="str">
        <f>sulawesi!B12</f>
        <v>SULAWESI</v>
      </c>
      <c r="B110">
        <f>sulawesi!C12</f>
        <v>2027</v>
      </c>
      <c r="C110">
        <f>sulawesi!D12</f>
        <v>3047.7534932767289</v>
      </c>
      <c r="D110">
        <f>sulawesi!E12</f>
        <v>288.71999800000003</v>
      </c>
      <c r="E110">
        <f>sulawesi!F12</f>
        <v>5299.5448577729712</v>
      </c>
      <c r="F110">
        <f>sulawesi!G12</f>
        <v>1547.3550396034357</v>
      </c>
      <c r="G110">
        <f>sulawesi!H12</f>
        <v>80</v>
      </c>
      <c r="H110">
        <f>sulawesi!I12</f>
        <v>849.37687373396977</v>
      </c>
      <c r="I110">
        <f>sulawesi!J12</f>
        <v>62.58159746961617</v>
      </c>
      <c r="J110">
        <f>sulawesi!K12</f>
        <v>457.61404093981815</v>
      </c>
      <c r="K110">
        <f>sulawesi!L12</f>
        <v>2039.8525583430924</v>
      </c>
      <c r="L110">
        <f>sulawesi!M12</f>
        <v>0.5</v>
      </c>
      <c r="M110">
        <f>sulawesi!N12</f>
        <v>0</v>
      </c>
      <c r="N110">
        <f>sulawesi!O12</f>
        <v>0</v>
      </c>
      <c r="O110">
        <f>sulawesi!P12</f>
        <v>3.8445402899649239</v>
      </c>
      <c r="P110">
        <f>sulawesi!Q12</f>
        <v>13673.298459139633</v>
      </c>
    </row>
    <row r="111" spans="1:16" x14ac:dyDescent="0.25">
      <c r="A111" t="str">
        <f>sulawesi!B13</f>
        <v>SULAWESI</v>
      </c>
      <c r="B111">
        <f>sulawesi!C13</f>
        <v>2028</v>
      </c>
      <c r="C111">
        <f>sulawesi!D13</f>
        <v>3121.7987527531118</v>
      </c>
      <c r="D111">
        <f>sulawesi!E13</f>
        <v>288.71999800000003</v>
      </c>
      <c r="E111">
        <f>sulawesi!F13</f>
        <v>5535.5842280553716</v>
      </c>
      <c r="F111">
        <f>sulawesi!G13</f>
        <v>1567.3018806863056</v>
      </c>
      <c r="G111">
        <f>sulawesi!H13</f>
        <v>80</v>
      </c>
      <c r="H111">
        <f>sulawesi!I13</f>
        <v>849.37687373396977</v>
      </c>
      <c r="I111">
        <f>sulawesi!J13</f>
        <v>62.58159746961617</v>
      </c>
      <c r="J111">
        <f>sulawesi!K13</f>
        <v>503.34343788457528</v>
      </c>
      <c r="K111">
        <f>sulawesi!L13</f>
        <v>2194.589825775266</v>
      </c>
      <c r="L111">
        <f>sulawesi!M13</f>
        <v>0.5</v>
      </c>
      <c r="M111">
        <f>sulawesi!N13</f>
        <v>0</v>
      </c>
      <c r="N111">
        <f>sulawesi!O13</f>
        <v>0</v>
      </c>
      <c r="O111">
        <f>sulawesi!P13</f>
        <v>3.9915544233120448</v>
      </c>
      <c r="P111">
        <f>sulawesi!Q13</f>
        <v>14203.796594358217</v>
      </c>
    </row>
    <row r="112" spans="1:16" x14ac:dyDescent="0.25">
      <c r="A112" t="str">
        <f>sulawesi!B14</f>
        <v>SULAWESI</v>
      </c>
      <c r="B112">
        <f>sulawesi!C14</f>
        <v>2029</v>
      </c>
      <c r="C112">
        <f>sulawesi!D14</f>
        <v>3208.9522164378959</v>
      </c>
      <c r="D112">
        <f>sulawesi!E14</f>
        <v>288.71999800000003</v>
      </c>
      <c r="E112">
        <f>sulawesi!F14</f>
        <v>5775.4741763231077</v>
      </c>
      <c r="F112">
        <f>sulawesi!G14</f>
        <v>1589.650153996015</v>
      </c>
      <c r="G112">
        <f>sulawesi!H14</f>
        <v>80</v>
      </c>
      <c r="H112">
        <f>sulawesi!I14</f>
        <v>849.37687373396977</v>
      </c>
      <c r="I112">
        <f>sulawesi!J14</f>
        <v>62.58159746961617</v>
      </c>
      <c r="J112">
        <f>sulawesi!K14</f>
        <v>554.2917366262468</v>
      </c>
      <c r="K112">
        <f>sulawesi!L14</f>
        <v>2359.789670103838</v>
      </c>
      <c r="L112">
        <f>sulawesi!M14</f>
        <v>0.5</v>
      </c>
      <c r="M112">
        <f>sulawesi!N14</f>
        <v>0</v>
      </c>
      <c r="N112">
        <f>sulawesi!O14</f>
        <v>0</v>
      </c>
      <c r="O112">
        <f>sulawesi!P14</f>
        <v>4.1497619566558051</v>
      </c>
      <c r="P112">
        <f>sulawesi!Q14</f>
        <v>14769.336422690689</v>
      </c>
    </row>
    <row r="113" spans="1:16" x14ac:dyDescent="0.25">
      <c r="A113" t="str">
        <f>sulawesi!B15</f>
        <v>SULAWESI</v>
      </c>
      <c r="B113">
        <f>sulawesi!C15</f>
        <v>2030</v>
      </c>
      <c r="C113">
        <f>sulawesi!D15</f>
        <v>3300.2425149886531</v>
      </c>
      <c r="D113">
        <f>sulawesi!E15</f>
        <v>288.71999800000003</v>
      </c>
      <c r="E113">
        <f>sulawesi!F15</f>
        <v>6027.3475626679601</v>
      </c>
      <c r="F113">
        <f>sulawesi!G15</f>
        <v>1613.2255446030683</v>
      </c>
      <c r="G113">
        <f>sulawesi!H15</f>
        <v>80</v>
      </c>
      <c r="H113">
        <f>sulawesi!I15</f>
        <v>849.37687373396977</v>
      </c>
      <c r="I113">
        <f>sulawesi!J15</f>
        <v>62.58159746961617</v>
      </c>
      <c r="J113">
        <f>sulawesi!K15</f>
        <v>610.63484976287475</v>
      </c>
      <c r="K113">
        <f>sulawesi!L15</f>
        <v>2533.0269728669414</v>
      </c>
      <c r="L113">
        <f>sulawesi!M15</f>
        <v>0.5</v>
      </c>
      <c r="M113">
        <f>sulawesi!N15</f>
        <v>0</v>
      </c>
      <c r="N113">
        <f>sulawesi!O15</f>
        <v>0</v>
      </c>
      <c r="O113">
        <f>sulawesi!P15</f>
        <v>4.316411528305709</v>
      </c>
      <c r="P113">
        <f>sulawesi!Q15</f>
        <v>15365.655914093084</v>
      </c>
    </row>
    <row r="114" spans="1:16" x14ac:dyDescent="0.25">
      <c r="A114" t="str">
        <f>sulawesi!B16</f>
        <v>SULAWESI</v>
      </c>
      <c r="B114">
        <f>sulawesi!C16</f>
        <v>2031</v>
      </c>
      <c r="C114">
        <f>sulawesi!D16</f>
        <v>3412.8363556983463</v>
      </c>
      <c r="D114">
        <f>sulawesi!E16</f>
        <v>288.71999800000003</v>
      </c>
      <c r="E114">
        <f>sulawesi!F16</f>
        <v>6324.8955194415248</v>
      </c>
      <c r="F114">
        <f>sulawesi!G16</f>
        <v>1646.2518867176443</v>
      </c>
      <c r="G114">
        <f>sulawesi!H16</f>
        <v>80</v>
      </c>
      <c r="H114">
        <f>sulawesi!I16</f>
        <v>849.37687373396977</v>
      </c>
      <c r="I114">
        <f>sulawesi!J16</f>
        <v>62.58159746961617</v>
      </c>
      <c r="J114">
        <f>sulawesi!K16</f>
        <v>676.33044195554351</v>
      </c>
      <c r="K114">
        <f>sulawesi!L16</f>
        <v>2735.8063918771918</v>
      </c>
      <c r="L114">
        <f>sulawesi!M16</f>
        <v>0.5</v>
      </c>
      <c r="M114">
        <f>sulawesi!N16</f>
        <v>0</v>
      </c>
      <c r="N114">
        <f>sulawesi!O16</f>
        <v>0</v>
      </c>
      <c r="O114">
        <f>sulawesi!P16</f>
        <v>4.5157435100566952</v>
      </c>
      <c r="P114">
        <f>sulawesi!Q16</f>
        <v>16077.299064893838</v>
      </c>
    </row>
    <row r="115" spans="1:16" x14ac:dyDescent="0.25">
      <c r="A115" t="str">
        <f>sulawesi!B17</f>
        <v>SULAWESI</v>
      </c>
      <c r="B115">
        <f>sulawesi!C17</f>
        <v>2032</v>
      </c>
      <c r="C115">
        <f>sulawesi!D17</f>
        <v>3536.4667680602151</v>
      </c>
      <c r="D115">
        <f>sulawesi!E17</f>
        <v>288.71999800000003</v>
      </c>
      <c r="E115">
        <f>sulawesi!F17</f>
        <v>6649.4429849210974</v>
      </c>
      <c r="F115">
        <f>sulawesi!G17</f>
        <v>1683.4605109924366</v>
      </c>
      <c r="G115">
        <f>sulawesi!H17</f>
        <v>80</v>
      </c>
      <c r="H115">
        <f>sulawesi!I17</f>
        <v>849.37687373396977</v>
      </c>
      <c r="I115">
        <f>sulawesi!J17</f>
        <v>62.58159746961617</v>
      </c>
      <c r="J115">
        <f>sulawesi!K17</f>
        <v>750.53356404130852</v>
      </c>
      <c r="K115">
        <f>sulawesi!L17</f>
        <v>2956.2120582132579</v>
      </c>
      <c r="L115">
        <f>sulawesi!M17</f>
        <v>0.5</v>
      </c>
      <c r="M115">
        <f>sulawesi!N17</f>
        <v>0</v>
      </c>
      <c r="N115">
        <f>sulawesi!O17</f>
        <v>0</v>
      </c>
      <c r="O115">
        <f>sulawesi!P17</f>
        <v>4.7341360238182819</v>
      </c>
      <c r="P115">
        <f>sulawesi!Q17</f>
        <v>16857.294355431903</v>
      </c>
    </row>
    <row r="116" spans="1:16" x14ac:dyDescent="0.25">
      <c r="A116" t="str">
        <f>sulawesi!B18</f>
        <v>SULAWESI</v>
      </c>
      <c r="B116">
        <f>sulawesi!C18</f>
        <v>2033</v>
      </c>
      <c r="C116">
        <f>sulawesi!D18</f>
        <v>3656.0453245449789</v>
      </c>
      <c r="D116">
        <f>sulawesi!E18</f>
        <v>288.71999800000003</v>
      </c>
      <c r="E116">
        <f>sulawesi!F18</f>
        <v>6971.7336791265752</v>
      </c>
      <c r="F116">
        <f>sulawesi!G18</f>
        <v>1717.586790675289</v>
      </c>
      <c r="G116">
        <f>sulawesi!H18</f>
        <v>80</v>
      </c>
      <c r="H116">
        <f>sulawesi!I18</f>
        <v>849.37687373396977</v>
      </c>
      <c r="I116">
        <f>sulawesi!J18</f>
        <v>62.58159746961617</v>
      </c>
      <c r="J116">
        <f>sulawesi!K18</f>
        <v>830.84612632172912</v>
      </c>
      <c r="K116">
        <f>sulawesi!L18</f>
        <v>3175.335957274574</v>
      </c>
      <c r="L116">
        <f>sulawesi!M18</f>
        <v>0.5</v>
      </c>
      <c r="M116">
        <f>sulawesi!N18</f>
        <v>0</v>
      </c>
      <c r="N116">
        <f>sulawesi!O18</f>
        <v>0</v>
      </c>
      <c r="O116">
        <f>sulawesi!P18</f>
        <v>4.9505850691874063</v>
      </c>
      <c r="P116">
        <f>sulawesi!Q18</f>
        <v>17632.72634714673</v>
      </c>
    </row>
    <row r="117" spans="1:16" x14ac:dyDescent="0.25">
      <c r="A117" t="str">
        <f>sulawesi!B19</f>
        <v>SULAWESI</v>
      </c>
      <c r="B117">
        <f>sulawesi!C19</f>
        <v>2034</v>
      </c>
      <c r="C117">
        <f>sulawesi!D19</f>
        <v>3803.1338743657907</v>
      </c>
      <c r="D117">
        <f>sulawesi!E19</f>
        <v>288.71999800000003</v>
      </c>
      <c r="E117">
        <f>sulawesi!F19</f>
        <v>7355.1251104047951</v>
      </c>
      <c r="F117">
        <f>sulawesi!G19</f>
        <v>1763.3724097348102</v>
      </c>
      <c r="G117">
        <f>sulawesi!H19</f>
        <v>80</v>
      </c>
      <c r="H117">
        <f>sulawesi!I19</f>
        <v>849.37687373396977</v>
      </c>
      <c r="I117">
        <f>sulawesi!J19</f>
        <v>62.58159746961617</v>
      </c>
      <c r="J117">
        <f>sulawesi!K19</f>
        <v>925.36399409419141</v>
      </c>
      <c r="K117">
        <f>sulawesi!L19</f>
        <v>3433.8372640046364</v>
      </c>
      <c r="L117">
        <f>sulawesi!M19</f>
        <v>0.5</v>
      </c>
      <c r="M117">
        <f>sulawesi!N19</f>
        <v>0</v>
      </c>
      <c r="N117">
        <f>sulawesi!O19</f>
        <v>0</v>
      </c>
      <c r="O117">
        <f>sulawesi!P19</f>
        <v>5.2104183576632428</v>
      </c>
      <c r="P117">
        <f>sulawesi!Q19</f>
        <v>18562.011121807809</v>
      </c>
    </row>
    <row r="118" spans="1:16" x14ac:dyDescent="0.25">
      <c r="A118" t="str">
        <f>sulawesi!B20</f>
        <v>SULAWESI</v>
      </c>
      <c r="B118">
        <f>sulawesi!C20</f>
        <v>2035</v>
      </c>
      <c r="C118">
        <f>sulawesi!D20</f>
        <v>3952.217010000038</v>
      </c>
      <c r="D118">
        <f>sulawesi!E20</f>
        <v>288.71999800000003</v>
      </c>
      <c r="E118">
        <f>sulawesi!F20</f>
        <v>7749.555676006511</v>
      </c>
      <c r="F118">
        <f>sulawesi!G20</f>
        <v>1808.674285124928</v>
      </c>
      <c r="G118">
        <f>sulawesi!H20</f>
        <v>80</v>
      </c>
      <c r="H118">
        <f>sulawesi!I20</f>
        <v>849.37687373396977</v>
      </c>
      <c r="I118">
        <f>sulawesi!J20</f>
        <v>62.58159746961617</v>
      </c>
      <c r="J118">
        <f>sulawesi!K20</f>
        <v>1029.5066583003452</v>
      </c>
      <c r="K118">
        <f>sulawesi!L20</f>
        <v>3699.3255713675544</v>
      </c>
      <c r="L118">
        <f>sulawesi!M20</f>
        <v>0.5</v>
      </c>
      <c r="M118">
        <f>sulawesi!N20</f>
        <v>0</v>
      </c>
      <c r="N118">
        <f>sulawesi!O20</f>
        <v>0</v>
      </c>
      <c r="O118">
        <f>sulawesi!P20</f>
        <v>5.47777244955335</v>
      </c>
      <c r="P118">
        <f>sulawesi!Q20</f>
        <v>19520.457670002961</v>
      </c>
    </row>
    <row r="119" spans="1:16" x14ac:dyDescent="0.25">
      <c r="A119" t="str">
        <f>sulawesi!B21</f>
        <v>SULAWESI</v>
      </c>
      <c r="B119">
        <f>sulawesi!C21</f>
        <v>2036</v>
      </c>
      <c r="C119">
        <f>sulawesi!D21</f>
        <v>4121.9462649983825</v>
      </c>
      <c r="D119">
        <f>sulawesi!E21</f>
        <v>288.71999800000003</v>
      </c>
      <c r="E119">
        <f>sulawesi!F21</f>
        <v>8193.6804545834657</v>
      </c>
      <c r="F119">
        <f>sulawesi!G21</f>
        <v>1861.9208616353462</v>
      </c>
      <c r="G119">
        <f>sulawesi!H21</f>
        <v>80</v>
      </c>
      <c r="H119">
        <f>sulawesi!I21</f>
        <v>849.37687373396977</v>
      </c>
      <c r="I119">
        <f>sulawesi!J21</f>
        <v>62.58159746961617</v>
      </c>
      <c r="J119">
        <f>sulawesi!K21</f>
        <v>1149.3853183322635</v>
      </c>
      <c r="K119">
        <f>sulawesi!L21</f>
        <v>3996.5825105729018</v>
      </c>
      <c r="L119">
        <f>sulawesi!M21</f>
        <v>0.5</v>
      </c>
      <c r="M119">
        <f>sulawesi!N21</f>
        <v>0</v>
      </c>
      <c r="N119">
        <f>sulawesi!O21</f>
        <v>0</v>
      </c>
      <c r="O119">
        <f>sulawesi!P21</f>
        <v>5.7801640954884732</v>
      </c>
      <c r="P119">
        <f>sulawesi!Q21</f>
        <v>20604.693879325947</v>
      </c>
    </row>
    <row r="120" spans="1:16" x14ac:dyDescent="0.25">
      <c r="A120" t="str">
        <f>sulawesi!B22</f>
        <v>SULAWESI</v>
      </c>
      <c r="B120">
        <f>sulawesi!C22</f>
        <v>2037</v>
      </c>
      <c r="C120">
        <f>sulawesi!D22</f>
        <v>4301.8043046987732</v>
      </c>
      <c r="D120">
        <f>sulawesi!E22</f>
        <v>288.71999800000003</v>
      </c>
      <c r="E120">
        <f>sulawesi!F22</f>
        <v>8667.0494159311911</v>
      </c>
      <c r="F120">
        <f>sulawesi!G22</f>
        <v>1918.1003784994857</v>
      </c>
      <c r="G120">
        <f>sulawesi!H22</f>
        <v>80</v>
      </c>
      <c r="H120">
        <f>sulawesi!I22</f>
        <v>849.37687373396977</v>
      </c>
      <c r="I120">
        <f>sulawesi!J22</f>
        <v>62.58159746961617</v>
      </c>
      <c r="J120">
        <f>sulawesi!K22</f>
        <v>1283.9491929508654</v>
      </c>
      <c r="K120">
        <f>sulawesi!L22</f>
        <v>4312.1383168488292</v>
      </c>
      <c r="L120">
        <f>sulawesi!M22</f>
        <v>0.5</v>
      </c>
      <c r="M120">
        <f>sulawesi!N22</f>
        <v>0</v>
      </c>
      <c r="N120">
        <f>sulawesi!O22</f>
        <v>0</v>
      </c>
      <c r="O120">
        <f>sulawesi!P22</f>
        <v>6.1029908972082936</v>
      </c>
      <c r="P120">
        <f>sulawesi!Q22</f>
        <v>21764.22007813273</v>
      </c>
    </row>
    <row r="121" spans="1:16" x14ac:dyDescent="0.25">
      <c r="A121" t="str">
        <f>sulawesi!B23</f>
        <v>SULAWESI</v>
      </c>
      <c r="B121">
        <f>sulawesi!C23</f>
        <v>2038</v>
      </c>
      <c r="C121">
        <f>sulawesi!D23</f>
        <v>4515.0715183666525</v>
      </c>
      <c r="D121">
        <f>sulawesi!E23</f>
        <v>288.71999800000003</v>
      </c>
      <c r="E121">
        <f>sulawesi!F23</f>
        <v>9219.566375187107</v>
      </c>
      <c r="F121">
        <f>sulawesi!G23</f>
        <v>1987.3296419350661</v>
      </c>
      <c r="G121">
        <f>sulawesi!H23</f>
        <v>80</v>
      </c>
      <c r="H121">
        <f>sulawesi!I23</f>
        <v>849.37687373396977</v>
      </c>
      <c r="I121">
        <f>sulawesi!J23</f>
        <v>62.58159746961617</v>
      </c>
      <c r="J121">
        <f>sulawesi!K23</f>
        <v>1442.3041163227986</v>
      </c>
      <c r="K121">
        <f>sulawesi!L23</f>
        <v>4678.0829546461737</v>
      </c>
      <c r="L121">
        <f>sulawesi!M23</f>
        <v>0.5</v>
      </c>
      <c r="M121">
        <f>sulawesi!N23</f>
        <v>0</v>
      </c>
      <c r="N121">
        <f>sulawesi!O23</f>
        <v>0</v>
      </c>
      <c r="O121">
        <f>sulawesi!P23</f>
        <v>6.4815621876537088</v>
      </c>
      <c r="P121">
        <f>sulawesi!Q23</f>
        <v>23123.533075661384</v>
      </c>
    </row>
    <row r="122" spans="1:16" x14ac:dyDescent="0.25">
      <c r="A122" t="str">
        <f>maluku_papua!B4</f>
        <v>MALUKU_PAPUA</v>
      </c>
      <c r="B122">
        <f>maluku_papua!C4</f>
        <v>2019</v>
      </c>
      <c r="C122">
        <f>maluku_papua!D4</f>
        <v>279</v>
      </c>
      <c r="D122">
        <f>maluku_papua!E4</f>
        <v>4</v>
      </c>
      <c r="E122">
        <f>maluku_papua!F4</f>
        <v>0</v>
      </c>
      <c r="F122">
        <f>maluku_papua!G4</f>
        <v>893.06</v>
      </c>
      <c r="G122">
        <f>maluku_papua!H4</f>
        <v>0</v>
      </c>
      <c r="H122">
        <f>maluku_papua!I4</f>
        <v>29.79</v>
      </c>
      <c r="I122">
        <f>maluku_papua!J4</f>
        <v>0</v>
      </c>
      <c r="J122">
        <f>maluku_papua!K4</f>
        <v>6.41</v>
      </c>
      <c r="K122">
        <f>maluku_papua!L4</f>
        <v>0</v>
      </c>
      <c r="L122">
        <f>maluku_papua!M4</f>
        <v>0</v>
      </c>
      <c r="M122">
        <f>maluku_papua!N4</f>
        <v>0</v>
      </c>
      <c r="N122">
        <f>maluku_papua!O4</f>
        <v>0</v>
      </c>
      <c r="O122">
        <f>maluku_papua!P4</f>
        <v>0</v>
      </c>
      <c r="P122">
        <f>maluku_papua!Q4</f>
        <v>1212.26</v>
      </c>
    </row>
    <row r="123" spans="1:16" x14ac:dyDescent="0.25">
      <c r="A123" t="str">
        <f>maluku_papua!B5</f>
        <v>MALUKU_PAPUA</v>
      </c>
      <c r="B123">
        <f>maluku_papua!C5</f>
        <v>2020</v>
      </c>
      <c r="C123">
        <f>maluku_papua!D5</f>
        <v>279</v>
      </c>
      <c r="D123">
        <f>maluku_papua!E5</f>
        <v>3.9999990000000025</v>
      </c>
      <c r="E123">
        <f>maluku_papua!F5</f>
        <v>245.6691115891654</v>
      </c>
      <c r="F123">
        <f>maluku_papua!G5</f>
        <v>893.06</v>
      </c>
      <c r="G123">
        <f>maluku_papua!H5</f>
        <v>0</v>
      </c>
      <c r="H123">
        <f>maluku_papua!I5</f>
        <v>29.79</v>
      </c>
      <c r="I123">
        <f>maluku_papua!J5</f>
        <v>0</v>
      </c>
      <c r="J123">
        <f>maluku_papua!K5</f>
        <v>6.409999</v>
      </c>
      <c r="K123">
        <f>maluku_papua!L5</f>
        <v>0</v>
      </c>
      <c r="L123">
        <f>maluku_papua!M5</f>
        <v>0</v>
      </c>
      <c r="M123">
        <f>maluku_papua!N5</f>
        <v>-3.3184666029494048E-7</v>
      </c>
      <c r="N123">
        <f>maluku_papua!O5</f>
        <v>0</v>
      </c>
      <c r="O123">
        <f>maluku_papua!P5</f>
        <v>0.46078982868869955</v>
      </c>
      <c r="P123">
        <f>maluku_papua!Q5</f>
        <v>1457.9291092573187</v>
      </c>
    </row>
    <row r="124" spans="1:16" x14ac:dyDescent="0.25">
      <c r="A124" t="str">
        <f>maluku_papua!B6</f>
        <v>MALUKU_PAPUA</v>
      </c>
      <c r="B124">
        <f>maluku_papua!C6</f>
        <v>2021</v>
      </c>
      <c r="C124">
        <f>maluku_papua!D6</f>
        <v>279</v>
      </c>
      <c r="D124">
        <f>maluku_papua!E6</f>
        <v>3.9999980000000033</v>
      </c>
      <c r="E124">
        <f>maluku_papua!F6</f>
        <v>507.79805342918644</v>
      </c>
      <c r="F124">
        <f>maluku_papua!G6</f>
        <v>893.06</v>
      </c>
      <c r="G124">
        <f>maluku_papua!H6</f>
        <v>-3.3644169840764491E-15</v>
      </c>
      <c r="H124">
        <f>maluku_papua!I6</f>
        <v>29.790505433438195</v>
      </c>
      <c r="I124">
        <f>maluku_papua!J6</f>
        <v>75.510804178099022</v>
      </c>
      <c r="J124">
        <f>maluku_papua!K6</f>
        <v>340.55731414609454</v>
      </c>
      <c r="K124">
        <f>maluku_papua!L6</f>
        <v>37.155986149229314</v>
      </c>
      <c r="L124">
        <f>maluku_papua!M6</f>
        <v>0</v>
      </c>
      <c r="M124">
        <f>maluku_papua!N6</f>
        <v>0.24162813712232287</v>
      </c>
      <c r="N124">
        <f>maluku_papua!O6</f>
        <v>0</v>
      </c>
      <c r="O124">
        <f>maluku_papua!P6</f>
        <v>0.63321986188724666</v>
      </c>
      <c r="P124">
        <f>maluku_papua!Q6</f>
        <v>2167.1142894731697</v>
      </c>
    </row>
    <row r="125" spans="1:16" x14ac:dyDescent="0.25">
      <c r="A125" t="str">
        <f>maluku_papua!B7</f>
        <v>MALUKU_PAPUA</v>
      </c>
      <c r="B125">
        <f>maluku_papua!C7</f>
        <v>2022</v>
      </c>
      <c r="C125">
        <f>maluku_papua!D7</f>
        <v>298.36405964897546</v>
      </c>
      <c r="D125">
        <f>maluku_papua!E7</f>
        <v>3.9999970000000058</v>
      </c>
      <c r="E125">
        <f>maluku_papua!F7</f>
        <v>705.29432904128828</v>
      </c>
      <c r="F125">
        <f>maluku_papua!G7</f>
        <v>893.06</v>
      </c>
      <c r="G125">
        <f>maluku_papua!H7</f>
        <v>0</v>
      </c>
      <c r="H125">
        <f>maluku_papua!I7</f>
        <v>49.354844898709693</v>
      </c>
      <c r="I125">
        <f>maluku_papua!J7</f>
        <v>106.97541618651606</v>
      </c>
      <c r="J125">
        <f>maluku_papua!K7</f>
        <v>348.66846547507458</v>
      </c>
      <c r="K125">
        <f>maluku_papua!L7</f>
        <v>50.712294988868564</v>
      </c>
      <c r="L125">
        <f>maluku_papua!M7</f>
        <v>0</v>
      </c>
      <c r="M125">
        <f>maluku_papua!N7</f>
        <v>0.27798618837005767</v>
      </c>
      <c r="N125">
        <f>maluku_papua!O7</f>
        <v>0</v>
      </c>
      <c r="O125">
        <f>maluku_papua!P7</f>
        <v>0.70351539974811073</v>
      </c>
      <c r="P125">
        <f>maluku_papua!Q7</f>
        <v>2456.7073934278028</v>
      </c>
    </row>
    <row r="126" spans="1:16" x14ac:dyDescent="0.25">
      <c r="A126" t="str">
        <f>maluku_papua!B8</f>
        <v>MALUKU_PAPUA</v>
      </c>
      <c r="B126">
        <f>maluku_papua!C8</f>
        <v>2023</v>
      </c>
      <c r="C126">
        <f>maluku_papua!D8</f>
        <v>350.59962662286966</v>
      </c>
      <c r="D126">
        <f>maluku_papua!E8</f>
        <v>3.9999970000000058</v>
      </c>
      <c r="E126">
        <f>maluku_papua!F8</f>
        <v>781.99909929127398</v>
      </c>
      <c r="F126">
        <f>maluku_papua!G8</f>
        <v>893.06</v>
      </c>
      <c r="G126">
        <f>maluku_papua!H8</f>
        <v>-3.3644176193511595E-15</v>
      </c>
      <c r="H126">
        <f>maluku_papua!I8</f>
        <v>49.893261336787482</v>
      </c>
      <c r="I126">
        <f>maluku_papua!J8</f>
        <v>106.97888429870441</v>
      </c>
      <c r="J126">
        <f>maluku_papua!K8</f>
        <v>355.06238544460746</v>
      </c>
      <c r="K126">
        <f>maluku_papua!L8</f>
        <v>154.56819345917864</v>
      </c>
      <c r="L126">
        <f>maluku_papua!M8</f>
        <v>0</v>
      </c>
      <c r="M126">
        <f>maluku_papua!N8</f>
        <v>0.28339305824292482</v>
      </c>
      <c r="N126">
        <f>maluku_papua!O8</f>
        <v>0</v>
      </c>
      <c r="O126">
        <f>maluku_papua!P8</f>
        <v>0.77734087030196652</v>
      </c>
      <c r="P126">
        <f>maluku_papua!Q8</f>
        <v>2696.4448405116646</v>
      </c>
    </row>
    <row r="127" spans="1:16" x14ac:dyDescent="0.25">
      <c r="A127" t="str">
        <f>maluku_papua!B9</f>
        <v>MALUKU_PAPUA</v>
      </c>
      <c r="B127">
        <f>maluku_papua!C9</f>
        <v>2024</v>
      </c>
      <c r="C127">
        <f>maluku_papua!D9</f>
        <v>405.33203747611225</v>
      </c>
      <c r="D127">
        <f>maluku_papua!E9</f>
        <v>3.9999960000000065</v>
      </c>
      <c r="E127">
        <f>maluku_papua!F9</f>
        <v>868.10030084865502</v>
      </c>
      <c r="F127">
        <f>maluku_papua!G9</f>
        <v>893.06</v>
      </c>
      <c r="G127">
        <f>maluku_papua!H9</f>
        <v>-1.5410366119894324E-7</v>
      </c>
      <c r="H127">
        <f>maluku_papua!I9</f>
        <v>63.172852350506801</v>
      </c>
      <c r="I127">
        <f>maluku_papua!J9</f>
        <v>157.39739624247019</v>
      </c>
      <c r="J127">
        <f>maluku_papua!K9</f>
        <v>355.06238544460746</v>
      </c>
      <c r="K127">
        <f>maluku_papua!L9</f>
        <v>162.60425077469961</v>
      </c>
      <c r="L127">
        <f>maluku_papua!M9</f>
        <v>0</v>
      </c>
      <c r="M127">
        <f>maluku_papua!N9</f>
        <v>0.28339305824292482</v>
      </c>
      <c r="N127">
        <f>maluku_papua!O9</f>
        <v>0</v>
      </c>
      <c r="O127">
        <f>maluku_papua!P9</f>
        <v>0.83999928720215589</v>
      </c>
      <c r="P127">
        <f>maluku_papua!Q9</f>
        <v>2909.0126120411906</v>
      </c>
    </row>
    <row r="128" spans="1:16" x14ac:dyDescent="0.25">
      <c r="A128" t="str">
        <f>maluku_papua!B10</f>
        <v>MALUKU_PAPUA</v>
      </c>
      <c r="B128">
        <f>maluku_papua!C10</f>
        <v>2025</v>
      </c>
      <c r="C128">
        <f>maluku_papua!D10</f>
        <v>462.56609481853565</v>
      </c>
      <c r="D128">
        <f>maluku_papua!E10</f>
        <v>3.9999950000000073</v>
      </c>
      <c r="E128">
        <f>maluku_papua!F10</f>
        <v>964.9172083647851</v>
      </c>
      <c r="F128">
        <f>maluku_papua!G10</f>
        <v>893.06</v>
      </c>
      <c r="G128">
        <f>maluku_papua!H10</f>
        <v>-1.5410366119894324E-7</v>
      </c>
      <c r="H128">
        <f>maluku_papua!I10</f>
        <v>122.32451216658625</v>
      </c>
      <c r="I128">
        <f>maluku_papua!J10</f>
        <v>163.82303990892518</v>
      </c>
      <c r="J128">
        <f>maluku_papua!K10</f>
        <v>378.85564916975579</v>
      </c>
      <c r="K128">
        <f>maluku_papua!L10</f>
        <v>193.06051058591694</v>
      </c>
      <c r="L128">
        <f>maluku_papua!M10</f>
        <v>0</v>
      </c>
      <c r="M128">
        <f>maluku_papua!N10</f>
        <v>0.28340801578564845</v>
      </c>
      <c r="N128">
        <f>maluku_papua!O10</f>
        <v>0</v>
      </c>
      <c r="O128">
        <f>maluku_papua!P10</f>
        <v>0.9157307406313</v>
      </c>
      <c r="P128">
        <f>maluku_papua!Q10</f>
        <v>3182.8904178761868</v>
      </c>
    </row>
    <row r="129" spans="1:16" x14ac:dyDescent="0.25">
      <c r="A129" t="str">
        <f>maluku_papua!B11</f>
        <v>MALUKU_PAPUA</v>
      </c>
      <c r="B129">
        <f>maluku_papua!C11</f>
        <v>2026</v>
      </c>
      <c r="C129">
        <f>maluku_papua!D11</f>
        <v>528.55918576194347</v>
      </c>
      <c r="D129">
        <f>maluku_papua!E11</f>
        <v>3.9999950000000073</v>
      </c>
      <c r="E129">
        <f>maluku_papua!F11</f>
        <v>1047.3182739413792</v>
      </c>
      <c r="F129">
        <f>maluku_papua!G11</f>
        <v>893.06</v>
      </c>
      <c r="G129">
        <f>maluku_papua!H11</f>
        <v>0</v>
      </c>
      <c r="H129">
        <f>maluku_papua!I11</f>
        <v>137.1490665464537</v>
      </c>
      <c r="I129">
        <f>maluku_papua!J11</f>
        <v>182.74435055809892</v>
      </c>
      <c r="J129">
        <f>maluku_papua!K11</f>
        <v>383.91489379703012</v>
      </c>
      <c r="K129">
        <f>maluku_papua!L11</f>
        <v>202.90553916919714</v>
      </c>
      <c r="L129">
        <f>maluku_papua!M11</f>
        <v>0</v>
      </c>
      <c r="M129">
        <f>maluku_papua!N11</f>
        <v>0.33691294614266781</v>
      </c>
      <c r="N129">
        <f>maluku_papua!O11</f>
        <v>0</v>
      </c>
      <c r="O129">
        <f>maluku_papua!P11</f>
        <v>0.97091726789943822</v>
      </c>
      <c r="P129">
        <f>maluku_papua!Q11</f>
        <v>3379.9882177202453</v>
      </c>
    </row>
    <row r="130" spans="1:16" x14ac:dyDescent="0.25">
      <c r="A130" t="str">
        <f>maluku_papua!B12</f>
        <v>MALUKU_PAPUA</v>
      </c>
      <c r="B130">
        <f>maluku_papua!C12</f>
        <v>2027</v>
      </c>
      <c r="C130">
        <f>maluku_papua!D12</f>
        <v>598.53417293645794</v>
      </c>
      <c r="D130">
        <f>maluku_papua!E12</f>
        <v>3.9999940000000072</v>
      </c>
      <c r="E130">
        <f>maluku_papua!F12</f>
        <v>1137.1063717899724</v>
      </c>
      <c r="F130">
        <f>maluku_papua!G12</f>
        <v>893.06</v>
      </c>
      <c r="G130">
        <f>maluku_papua!H12</f>
        <v>-1.541036613872393E-7</v>
      </c>
      <c r="H130">
        <f>maluku_papua!I12</f>
        <v>151.87680356711664</v>
      </c>
      <c r="I130">
        <f>maluku_papua!J12</f>
        <v>205.12389092244004</v>
      </c>
      <c r="J130">
        <f>maluku_papua!K12</f>
        <v>387.5087160329694</v>
      </c>
      <c r="K130">
        <f>maluku_papua!L12</f>
        <v>213.20340986524769</v>
      </c>
      <c r="L130">
        <f>maluku_papua!M12</f>
        <v>0</v>
      </c>
      <c r="M130">
        <f>maluku_papua!N12</f>
        <v>0.38579917135627628</v>
      </c>
      <c r="N130">
        <f>maluku_papua!O12</f>
        <v>0</v>
      </c>
      <c r="O130">
        <f>maluku_papua!P12</f>
        <v>1.0300751027520847</v>
      </c>
      <c r="P130">
        <f>maluku_papua!Q12</f>
        <v>3590.7991581314559</v>
      </c>
    </row>
    <row r="131" spans="1:16" x14ac:dyDescent="0.25">
      <c r="A131" t="str">
        <f>maluku_papua!B13</f>
        <v>MALUKU_PAPUA</v>
      </c>
      <c r="B131">
        <f>maluku_papua!C13</f>
        <v>2028</v>
      </c>
      <c r="C131">
        <f>maluku_papua!D13</f>
        <v>672.71287142430094</v>
      </c>
      <c r="D131">
        <f>maluku_papua!E13</f>
        <v>3.9999930000000079</v>
      </c>
      <c r="E131">
        <f>maluku_papua!F13</f>
        <v>1234.9673250394924</v>
      </c>
      <c r="F131">
        <f>maluku_papua!G13</f>
        <v>893.06</v>
      </c>
      <c r="G131">
        <f>maluku_papua!H13</f>
        <v>-3.3644175664116003E-15</v>
      </c>
      <c r="H131">
        <f>maluku_papua!I13</f>
        <v>151.87680356711664</v>
      </c>
      <c r="I131">
        <f>maluku_papua!J13</f>
        <v>205.12388992244004</v>
      </c>
      <c r="J131">
        <f>maluku_papua!K13</f>
        <v>401.08282778808433</v>
      </c>
      <c r="K131">
        <f>maluku_papua!L13</f>
        <v>288.4850069863852</v>
      </c>
      <c r="L131">
        <f>maluku_papua!M13</f>
        <v>0</v>
      </c>
      <c r="M131">
        <f>maluku_papua!N13</f>
        <v>0.44459211062598525</v>
      </c>
      <c r="N131">
        <f>maluku_papua!O13</f>
        <v>0</v>
      </c>
      <c r="O131">
        <f>maluku_papua!P13</f>
        <v>1.1058186624804858</v>
      </c>
      <c r="P131">
        <f>maluku_papua!Q13</f>
        <v>3851.7533098384447</v>
      </c>
    </row>
    <row r="132" spans="1:16" x14ac:dyDescent="0.25">
      <c r="A132" t="str">
        <f>maluku_papua!B14</f>
        <v>MALUKU_PAPUA</v>
      </c>
      <c r="B132">
        <f>maluku_papua!C14</f>
        <v>2029</v>
      </c>
      <c r="C132">
        <f>maluku_papua!D14</f>
        <v>751.3284414682048</v>
      </c>
      <c r="D132">
        <f>maluku_papua!E14</f>
        <v>3.9999920000000087</v>
      </c>
      <c r="E132">
        <f>maluku_papua!F14</f>
        <v>1341.647835593795</v>
      </c>
      <c r="F132">
        <f>maluku_papua!G14</f>
        <v>893.06</v>
      </c>
      <c r="G132">
        <f>maluku_papua!H14</f>
        <v>-3.3644175664116003E-15</v>
      </c>
      <c r="H132">
        <f>maluku_papua!I14</f>
        <v>165.56990141865796</v>
      </c>
      <c r="I132">
        <f>maluku_papua!J14</f>
        <v>235.96525669104523</v>
      </c>
      <c r="J132">
        <f>maluku_papua!K14</f>
        <v>404.63578199030354</v>
      </c>
      <c r="K132">
        <f>maluku_papua!L14</f>
        <v>297.81756514288372</v>
      </c>
      <c r="L132">
        <f>maluku_papua!M14</f>
        <v>0</v>
      </c>
      <c r="M132">
        <f>maluku_papua!N14</f>
        <v>0.55227026523796441</v>
      </c>
      <c r="N132">
        <f>maluku_papua!O14</f>
        <v>0</v>
      </c>
      <c r="O132">
        <f>maluku_papua!P14</f>
        <v>1.1738970113194545</v>
      </c>
      <c r="P132">
        <f>maluku_papua!Q14</f>
        <v>4094.5770445701287</v>
      </c>
    </row>
    <row r="133" spans="1:16" x14ac:dyDescent="0.25">
      <c r="A133" t="str">
        <f>maluku_papua!B15</f>
        <v>MALUKU_PAPUA</v>
      </c>
      <c r="B133">
        <f>maluku_papua!C15</f>
        <v>2030</v>
      </c>
      <c r="C133">
        <f>maluku_papua!D15</f>
        <v>834.62479176317515</v>
      </c>
      <c r="D133">
        <f>maluku_papua!E15</f>
        <v>3.9999920000000087</v>
      </c>
      <c r="E133">
        <f>maluku_papua!F15</f>
        <v>1457.9653183032908</v>
      </c>
      <c r="F133">
        <f>maluku_papua!G15</f>
        <v>893.06</v>
      </c>
      <c r="G133">
        <f>maluku_papua!H15</f>
        <v>0</v>
      </c>
      <c r="H133">
        <f>maluku_papua!I15</f>
        <v>185.0650254218188</v>
      </c>
      <c r="I133">
        <f>maluku_papua!J15</f>
        <v>263.00832878846944</v>
      </c>
      <c r="J133">
        <f>maluku_papua!K15</f>
        <v>412.7583198911783</v>
      </c>
      <c r="K133">
        <f>maluku_papua!L15</f>
        <v>311.33134633290274</v>
      </c>
      <c r="L133">
        <f>maluku_papua!M15</f>
        <v>0</v>
      </c>
      <c r="M133">
        <f>maluku_papua!N15</f>
        <v>0.55227026523796441</v>
      </c>
      <c r="N133">
        <f>maluku_papua!O15</f>
        <v>0</v>
      </c>
      <c r="O133">
        <f>maluku_papua!P15</f>
        <v>1.2482379464326077</v>
      </c>
      <c r="P133">
        <f>maluku_papua!Q15</f>
        <v>4362.3653927660735</v>
      </c>
    </row>
    <row r="134" spans="1:16" x14ac:dyDescent="0.25">
      <c r="A134" t="str">
        <f>maluku_papua!B16</f>
        <v>MALUKU_PAPUA</v>
      </c>
      <c r="B134">
        <f>maluku_papua!C16</f>
        <v>2031</v>
      </c>
      <c r="C134">
        <f>maluku_papua!D16</f>
        <v>922.85722710828145</v>
      </c>
      <c r="D134">
        <f>maluku_papua!E16</f>
        <v>3.9999920000000087</v>
      </c>
      <c r="E134">
        <f>maluku_papua!F16</f>
        <v>1584.8129528170418</v>
      </c>
      <c r="F134">
        <f>maluku_papua!G16</f>
        <v>893.06</v>
      </c>
      <c r="G134">
        <f>maluku_papua!H16</f>
        <v>-1.541036613872393E-7</v>
      </c>
      <c r="H134">
        <f>maluku_papua!I16</f>
        <v>211.09385591882995</v>
      </c>
      <c r="I134">
        <f>maluku_papua!J16</f>
        <v>284.37582499274106</v>
      </c>
      <c r="J134">
        <f>maluku_papua!K16</f>
        <v>414.30443323089372</v>
      </c>
      <c r="K134">
        <f>maluku_papua!L16</f>
        <v>338.85072461016978</v>
      </c>
      <c r="L134">
        <f>maluku_papua!M16</f>
        <v>0</v>
      </c>
      <c r="M134">
        <f>maluku_papua!N16</f>
        <v>0.55227026523796441</v>
      </c>
      <c r="N134">
        <f>maluku_papua!O16</f>
        <v>0</v>
      </c>
      <c r="O134">
        <f>maluku_papua!P16</f>
        <v>1.3298102112721095</v>
      </c>
      <c r="P134">
        <f>maluku_papua!Q16</f>
        <v>4653.9072807890916</v>
      </c>
    </row>
    <row r="135" spans="1:16" x14ac:dyDescent="0.25">
      <c r="A135" t="str">
        <f>maluku_papua!B17</f>
        <v>MALUKU_PAPUA</v>
      </c>
      <c r="B135">
        <f>maluku_papua!C17</f>
        <v>2032</v>
      </c>
      <c r="C135">
        <f>maluku_papua!D17</f>
        <v>1016.2926490551766</v>
      </c>
      <c r="D135">
        <f>maluku_papua!E17</f>
        <v>3.9999920000000087</v>
      </c>
      <c r="E135">
        <f>maluku_papua!F17</f>
        <v>1723.1671404090325</v>
      </c>
      <c r="F135">
        <f>maluku_papua!G17</f>
        <v>893.06</v>
      </c>
      <c r="G135">
        <f>maluku_papua!H17</f>
        <v>-1.541036613872393E-7</v>
      </c>
      <c r="H135">
        <f>maluku_papua!I17</f>
        <v>234.60443835380769</v>
      </c>
      <c r="I135">
        <f>maluku_papua!J17</f>
        <v>315.71889740692671</v>
      </c>
      <c r="J135">
        <f>maluku_papua!K17</f>
        <v>424.05073165718107</v>
      </c>
      <c r="K135">
        <f>maluku_papua!L17</f>
        <v>355.14160628051638</v>
      </c>
      <c r="L135">
        <f>maluku_papua!M17</f>
        <v>0</v>
      </c>
      <c r="M135">
        <f>maluku_papua!N17</f>
        <v>0.66509036993853821</v>
      </c>
      <c r="N135">
        <f>maluku_papua!O17</f>
        <v>0</v>
      </c>
      <c r="O135">
        <f>maluku_papua!P17</f>
        <v>1.4162501521778701</v>
      </c>
      <c r="P135">
        <f>maluku_papua!Q17</f>
        <v>4966.7005453784759</v>
      </c>
    </row>
    <row r="136" spans="1:16" x14ac:dyDescent="0.25">
      <c r="A136" t="str">
        <f>maluku_papua!B18</f>
        <v>MALUKU_PAPUA</v>
      </c>
      <c r="B136">
        <f>maluku_papua!C18</f>
        <v>2033</v>
      </c>
      <c r="C136">
        <f>maluku_papua!D18</f>
        <v>1115.2098111255218</v>
      </c>
      <c r="D136">
        <f>maluku_papua!E18</f>
        <v>3.9999910000000094</v>
      </c>
      <c r="E136">
        <f>maluku_papua!F18</f>
        <v>1874.0953027067205</v>
      </c>
      <c r="F136">
        <f>maluku_papua!G18</f>
        <v>893.06</v>
      </c>
      <c r="G136">
        <f>maluku_papua!H18</f>
        <v>0</v>
      </c>
      <c r="H136">
        <f>maluku_papua!I18</f>
        <v>234.74710796887388</v>
      </c>
      <c r="I136">
        <f>maluku_papua!J18</f>
        <v>338.62695952624148</v>
      </c>
      <c r="J136">
        <f>maluku_papua!K18</f>
        <v>501.78401691086077</v>
      </c>
      <c r="K136">
        <f>maluku_papua!L18</f>
        <v>391.03171644746038</v>
      </c>
      <c r="L136">
        <f>maluku_papua!M18</f>
        <v>0</v>
      </c>
      <c r="M136">
        <f>maluku_papua!N18</f>
        <v>0.66509036993853821</v>
      </c>
      <c r="N136">
        <f>maluku_papua!O18</f>
        <v>0</v>
      </c>
      <c r="O136">
        <f>maluku_papua!P18</f>
        <v>1.5194617661361036</v>
      </c>
      <c r="P136">
        <f>maluku_papua!Q18</f>
        <v>5353.2199960556154</v>
      </c>
    </row>
    <row r="137" spans="1:16" x14ac:dyDescent="0.25">
      <c r="A137" t="str">
        <f>maluku_papua!B19</f>
        <v>MALUKU_PAPUA</v>
      </c>
      <c r="B137">
        <f>maluku_papua!C19</f>
        <v>2034</v>
      </c>
      <c r="C137">
        <f>maluku_papua!D19</f>
        <v>1219.8994952624062</v>
      </c>
      <c r="D137">
        <f>maluku_papua!E19</f>
        <v>3.9999910000000094</v>
      </c>
      <c r="E137">
        <f>maluku_papua!F19</f>
        <v>2038.7645919991025</v>
      </c>
      <c r="F137">
        <f>maluku_papua!G19</f>
        <v>893.06</v>
      </c>
      <c r="G137">
        <f>maluku_papua!H19</f>
        <v>-3.3644177517000575E-15</v>
      </c>
      <c r="H137">
        <f>maluku_papua!I19</f>
        <v>260.48639636684607</v>
      </c>
      <c r="I137">
        <f>maluku_papua!J19</f>
        <v>380.26372316796363</v>
      </c>
      <c r="J137">
        <f>maluku_papua!K19</f>
        <v>510.95364485948875</v>
      </c>
      <c r="K137">
        <f>maluku_papua!L19</f>
        <v>406.04517163335919</v>
      </c>
      <c r="L137">
        <f>maluku_papua!M19</f>
        <v>0</v>
      </c>
      <c r="M137">
        <f>maluku_papua!N19</f>
        <v>0.66983032080737559</v>
      </c>
      <c r="N137">
        <f>maluku_papua!O19</f>
        <v>0</v>
      </c>
      <c r="O137">
        <f>maluku_papua!P19</f>
        <v>1.6189486178844579</v>
      </c>
      <c r="P137">
        <f>maluku_papua!Q19</f>
        <v>5714.1428446099735</v>
      </c>
    </row>
    <row r="138" spans="1:16" x14ac:dyDescent="0.25">
      <c r="A138" t="str">
        <f>maluku_papua!B20</f>
        <v>MALUKU_PAPUA</v>
      </c>
      <c r="B138">
        <f>maluku_papua!C20</f>
        <v>2035</v>
      </c>
      <c r="C138">
        <f>maluku_papua!D20</f>
        <v>1333.7002841775402</v>
      </c>
      <c r="D138">
        <f>maluku_papua!E20</f>
        <v>3.9999900000000119</v>
      </c>
      <c r="E138">
        <f>maluku_papua!F20</f>
        <v>2205.5659603302192</v>
      </c>
      <c r="F138">
        <f>maluku_papua!G20</f>
        <v>893.06</v>
      </c>
      <c r="G138">
        <f>maluku_papua!H20</f>
        <v>-1.5410365942258653E-7</v>
      </c>
      <c r="H138">
        <f>maluku_papua!I20</f>
        <v>327.36205885490375</v>
      </c>
      <c r="I138">
        <f>maluku_papua!J20</f>
        <v>380.46372216796362</v>
      </c>
      <c r="J138">
        <f>maluku_papua!K20</f>
        <v>595.04632641178364</v>
      </c>
      <c r="K138">
        <f>maluku_papua!L20</f>
        <v>406.13521630383042</v>
      </c>
      <c r="L138">
        <f>maluku_papua!M20</f>
        <v>0</v>
      </c>
      <c r="M138">
        <f>maluku_papua!N20</f>
        <v>0.85004839142260535</v>
      </c>
      <c r="N138">
        <f>maluku_papua!O20</f>
        <v>0</v>
      </c>
      <c r="O138">
        <f>maluku_papua!P20</f>
        <v>1.7291381954349059</v>
      </c>
      <c r="P138">
        <f>maluku_papua!Q20</f>
        <v>6146.1836064835588</v>
      </c>
    </row>
    <row r="139" spans="1:16" x14ac:dyDescent="0.25">
      <c r="A139" t="str">
        <f>maluku_papua!B21</f>
        <v>MALUKU_PAPUA</v>
      </c>
      <c r="B139">
        <f>maluku_papua!C21</f>
        <v>2036</v>
      </c>
      <c r="C139">
        <f>maluku_papua!D21</f>
        <v>1439.3421237082241</v>
      </c>
      <c r="D139">
        <f>maluku_papua!E21</f>
        <v>3.9999900000000119</v>
      </c>
      <c r="E139">
        <f>maluku_papua!F21</f>
        <v>2450.5402261758204</v>
      </c>
      <c r="F139">
        <f>maluku_papua!G21</f>
        <v>893.06</v>
      </c>
      <c r="G139">
        <f>maluku_papua!H21</f>
        <v>-3.3644179105187351E-15</v>
      </c>
      <c r="H139">
        <f>maluku_papua!I21</f>
        <v>327.39378666943429</v>
      </c>
      <c r="I139">
        <f>maluku_papua!J21</f>
        <v>494.89645094011473</v>
      </c>
      <c r="J139">
        <f>maluku_papua!K21</f>
        <v>629.67958674366901</v>
      </c>
      <c r="K139">
        <f>maluku_papua!L21</f>
        <v>431.3189881705822</v>
      </c>
      <c r="L139">
        <f>maluku_papua!M21</f>
        <v>0</v>
      </c>
      <c r="M139">
        <f>maluku_papua!N21</f>
        <v>0.85004839142260535</v>
      </c>
      <c r="N139">
        <f>maluku_papua!O21</f>
        <v>0</v>
      </c>
      <c r="O139">
        <f>maluku_papua!P21</f>
        <v>1.8760062315218486</v>
      </c>
      <c r="P139">
        <f>maluku_papua!Q21</f>
        <v>6671.0812007992672</v>
      </c>
    </row>
    <row r="140" spans="1:16" x14ac:dyDescent="0.25">
      <c r="A140" t="str">
        <f>maluku_papua!B22</f>
        <v>MALUKU_PAPUA</v>
      </c>
      <c r="B140">
        <f>maluku_papua!C22</f>
        <v>2037</v>
      </c>
      <c r="C140">
        <f>maluku_papua!D22</f>
        <v>1552.8352781669912</v>
      </c>
      <c r="D140">
        <f>maluku_papua!E22</f>
        <v>3.9999890000000144</v>
      </c>
      <c r="E140">
        <f>maluku_papua!F22</f>
        <v>2708.6452808340387</v>
      </c>
      <c r="F140">
        <f>maluku_papua!G22</f>
        <v>893.06</v>
      </c>
      <c r="G140">
        <f>maluku_papua!H22</f>
        <v>0</v>
      </c>
      <c r="H140">
        <f>maluku_papua!I22</f>
        <v>356.32960780911492</v>
      </c>
      <c r="I140">
        <f>maluku_papua!J22</f>
        <v>612.91363345602338</v>
      </c>
      <c r="J140">
        <f>maluku_papua!K22</f>
        <v>641.67602896407561</v>
      </c>
      <c r="K140">
        <f>maluku_papua!L22</f>
        <v>451.36888112956018</v>
      </c>
      <c r="L140">
        <f>maluku_papua!M22</f>
        <v>0</v>
      </c>
      <c r="M140">
        <f>maluku_papua!N22</f>
        <v>1.0316561567192768</v>
      </c>
      <c r="N140">
        <f>maluku_papua!O22</f>
        <v>0</v>
      </c>
      <c r="O140">
        <f>maluku_papua!P22</f>
        <v>2.0312458460772875</v>
      </c>
      <c r="P140">
        <f>maluku_papua!Q22</f>
        <v>7221.8603555165255</v>
      </c>
    </row>
    <row r="141" spans="1:16" x14ac:dyDescent="0.25">
      <c r="A141" t="str">
        <f>maluku_papua!B23</f>
        <v>MALUKU_PAPUA</v>
      </c>
      <c r="B141">
        <f>maluku_papua!C23</f>
        <v>2038</v>
      </c>
      <c r="C141">
        <f>maluku_papua!D23</f>
        <v>1590.8922986899956</v>
      </c>
      <c r="D141">
        <f>maluku_papua!E23</f>
        <v>3.9999890000000144</v>
      </c>
      <c r="E141">
        <f>maluku_papua!F23</f>
        <v>2842.2225559156855</v>
      </c>
      <c r="F141">
        <f>maluku_papua!G23</f>
        <v>956.78354153643295</v>
      </c>
      <c r="G141">
        <f>maluku_papua!H23</f>
        <v>0</v>
      </c>
      <c r="H141">
        <f>maluku_papua!I23</f>
        <v>356.32960780911492</v>
      </c>
      <c r="I141">
        <f>maluku_papua!J23</f>
        <v>612.91363345602338</v>
      </c>
      <c r="J141">
        <f>maluku_papua!K23</f>
        <v>641.67602896407561</v>
      </c>
      <c r="K141">
        <f>maluku_papua!L23</f>
        <v>451.36888112956018</v>
      </c>
      <c r="L141">
        <f>maluku_papua!M23</f>
        <v>0</v>
      </c>
      <c r="M141">
        <f>maluku_papua!N23</f>
        <v>1.0316561567192768</v>
      </c>
      <c r="N141">
        <f>maluku_papua!O23</f>
        <v>0</v>
      </c>
      <c r="O141">
        <f>maluku_papua!P23</f>
        <v>2.091612456942169</v>
      </c>
      <c r="P141">
        <f>maluku_papua!Q23</f>
        <v>7457.2181926576095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02F27-0CF2-4528-8F3A-9E12505FF137}">
  <sheetPr codeName="Sheet15"/>
  <dimension ref="A1:P141"/>
  <sheetViews>
    <sheetView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Q17" sqref="Q17"/>
    </sheetView>
  </sheetViews>
  <sheetFormatPr defaultRowHeight="15" x14ac:dyDescent="0.25"/>
  <cols>
    <col min="1" max="1" width="15.85546875" bestFit="1" customWidth="1"/>
    <col min="3" max="8" width="9.28515625" bestFit="1" customWidth="1"/>
    <col min="9" max="9" width="12.7109375" bestFit="1" customWidth="1"/>
    <col min="10" max="13" width="9.28515625" bestFit="1" customWidth="1"/>
    <col min="14" max="14" width="12.7109375" bestFit="1" customWidth="1"/>
    <col min="15" max="15" width="9.28515625" bestFit="1" customWidth="1"/>
    <col min="16" max="16" width="12" bestFit="1" customWidth="1"/>
  </cols>
  <sheetData>
    <row r="1" spans="1:16" x14ac:dyDescent="0.25">
      <c r="A1" t="str">
        <f>indonesia!B3</f>
        <v>region</v>
      </c>
      <c r="B1" t="str">
        <f>indonesia!C3</f>
        <v>year</v>
      </c>
      <c r="C1" t="str">
        <f>indonesia!D3</f>
        <v>coal</v>
      </c>
      <c r="D1" t="str">
        <f>indonesia!E3</f>
        <v>ocgt</v>
      </c>
      <c r="E1" t="str">
        <f>indonesia!F3</f>
        <v>ccgt</v>
      </c>
      <c r="F1" t="str">
        <f>indonesia!G3</f>
        <v>reciprocating</v>
      </c>
      <c r="G1" t="str">
        <f>indonesia!H3</f>
        <v>geothermal</v>
      </c>
      <c r="H1" t="str">
        <f>indonesia!I3</f>
        <v>lhydro</v>
      </c>
      <c r="I1" t="str">
        <f>indonesia!J3</f>
        <v>mhydro</v>
      </c>
      <c r="J1" t="str">
        <f>indonesia!K3</f>
        <v>solar</v>
      </c>
      <c r="K1" t="str">
        <f>indonesia!L3</f>
        <v>wind</v>
      </c>
      <c r="L1" t="str">
        <f>indonesia!M3</f>
        <v>biomass</v>
      </c>
      <c r="M1" t="str">
        <f>indonesia!N3</f>
        <v>ocean</v>
      </c>
      <c r="N1" t="str">
        <f>indonesia!O3</f>
        <v>waste</v>
      </c>
      <c r="O1" t="str">
        <f>indonesia!P3</f>
        <v>storage</v>
      </c>
      <c r="P1" t="str">
        <f>indonesia!Q3</f>
        <v>total</v>
      </c>
    </row>
    <row r="2" spans="1:16" x14ac:dyDescent="0.25">
      <c r="A2" t="str">
        <f>indonesia!B4</f>
        <v>INDONESIA</v>
      </c>
      <c r="B2">
        <f>indonesia!C4</f>
        <v>2019</v>
      </c>
      <c r="C2">
        <f>SUM(C22,C42,C62,C82,C102,C122)</f>
        <v>0</v>
      </c>
      <c r="D2">
        <f t="shared" ref="D2:O2" si="0">SUM(D22,D42,D62,D82,D102,D122)</f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>SUM(P22,P42,P62,P82,P102,P122)</f>
        <v>13110.769999999999</v>
      </c>
    </row>
    <row r="3" spans="1:16" x14ac:dyDescent="0.25">
      <c r="A3" t="str">
        <f>indonesia!B5</f>
        <v>INDONESIA</v>
      </c>
      <c r="B3">
        <f>indonesia!C5</f>
        <v>2020</v>
      </c>
      <c r="C3">
        <f t="shared" ref="C3:P18" si="1">SUM(C23,C43,C63,C83,C103,C123)</f>
        <v>2093.083094307085</v>
      </c>
      <c r="D3">
        <f t="shared" si="1"/>
        <v>-1.9999999949504854E-6</v>
      </c>
      <c r="E3">
        <f t="shared" si="1"/>
        <v>3614.0926653250535</v>
      </c>
      <c r="F3">
        <f t="shared" si="1"/>
        <v>0</v>
      </c>
      <c r="G3">
        <f t="shared" si="1"/>
        <v>131.81990597825299</v>
      </c>
      <c r="H3">
        <f t="shared" si="1"/>
        <v>2099.5073554596811</v>
      </c>
      <c r="I3">
        <f t="shared" si="1"/>
        <v>56.592784423864018</v>
      </c>
      <c r="J3">
        <f t="shared" si="1"/>
        <v>6776.6205284728885</v>
      </c>
      <c r="K3">
        <f t="shared" si="1"/>
        <v>55.690115570287517</v>
      </c>
      <c r="L3">
        <f t="shared" si="1"/>
        <v>-4.0038264259578682E-7</v>
      </c>
      <c r="M3">
        <f t="shared" si="1"/>
        <v>5.5649790576857381</v>
      </c>
      <c r="N3">
        <f t="shared" si="1"/>
        <v>0</v>
      </c>
      <c r="O3">
        <f t="shared" si="1"/>
        <v>23.662566622012964</v>
      </c>
      <c r="P3">
        <f t="shared" si="1"/>
        <v>27962.883864712589</v>
      </c>
    </row>
    <row r="4" spans="1:16" x14ac:dyDescent="0.25">
      <c r="A4" t="str">
        <f>indonesia!B6</f>
        <v>INDONESIA</v>
      </c>
      <c r="B4">
        <f>indonesia!C6</f>
        <v>2021</v>
      </c>
      <c r="C4">
        <f t="shared" si="1"/>
        <v>261.77228324511736</v>
      </c>
      <c r="D4">
        <f t="shared" si="1"/>
        <v>885.84117968987255</v>
      </c>
      <c r="E4">
        <f t="shared" si="1"/>
        <v>9377.5372256394057</v>
      </c>
      <c r="F4">
        <f t="shared" si="1"/>
        <v>8.3122619976995455</v>
      </c>
      <c r="G4">
        <f t="shared" si="1"/>
        <v>-1.0000000008396597E-6</v>
      </c>
      <c r="H4">
        <f t="shared" si="1"/>
        <v>433.35808701429573</v>
      </c>
      <c r="I4">
        <f t="shared" si="1"/>
        <v>75.542400647715198</v>
      </c>
      <c r="J4">
        <f t="shared" si="1"/>
        <v>638.36707148206642</v>
      </c>
      <c r="K4">
        <f t="shared" si="1"/>
        <v>37.192428436883482</v>
      </c>
      <c r="L4">
        <f t="shared" si="1"/>
        <v>4.0038264259578671E-7</v>
      </c>
      <c r="M4">
        <f t="shared" si="1"/>
        <v>0.24162880081565516</v>
      </c>
      <c r="N4">
        <f t="shared" si="1"/>
        <v>0</v>
      </c>
      <c r="O4">
        <f t="shared" si="1"/>
        <v>2.3945224740936366</v>
      </c>
      <c r="P4">
        <f t="shared" si="1"/>
        <v>26815.958299634847</v>
      </c>
    </row>
    <row r="5" spans="1:16" x14ac:dyDescent="0.25">
      <c r="A5" t="str">
        <f>indonesia!B7</f>
        <v>INDONESIA</v>
      </c>
      <c r="B5">
        <f>indonesia!C7</f>
        <v>2022</v>
      </c>
      <c r="C5">
        <f t="shared" si="1"/>
        <v>282.59898954782415</v>
      </c>
      <c r="D5">
        <f t="shared" si="1"/>
        <v>460.20378144547033</v>
      </c>
      <c r="E5">
        <f t="shared" si="1"/>
        <v>5167.9663069179605</v>
      </c>
      <c r="F5">
        <f t="shared" si="1"/>
        <v>90.718066512045993</v>
      </c>
      <c r="G5">
        <f t="shared" si="1"/>
        <v>3.3644169840764475E-15</v>
      </c>
      <c r="H5">
        <f t="shared" si="1"/>
        <v>137.34600631855619</v>
      </c>
      <c r="I5">
        <f t="shared" si="1"/>
        <v>31.464487231542545</v>
      </c>
      <c r="J5">
        <f t="shared" si="1"/>
        <v>741.58055149657559</v>
      </c>
      <c r="K5">
        <f t="shared" si="1"/>
        <v>857.27423991853368</v>
      </c>
      <c r="L5">
        <f t="shared" si="1"/>
        <v>0</v>
      </c>
      <c r="M5">
        <f t="shared" si="1"/>
        <v>3.6358051247723094E-2</v>
      </c>
      <c r="N5">
        <f t="shared" si="1"/>
        <v>0</v>
      </c>
      <c r="O5">
        <f t="shared" si="1"/>
        <v>1.7665039555613593</v>
      </c>
      <c r="P5">
        <f t="shared" si="1"/>
        <v>23676.223187194337</v>
      </c>
    </row>
    <row r="6" spans="1:16" x14ac:dyDescent="0.25">
      <c r="A6" t="str">
        <f>indonesia!B8</f>
        <v>INDONESIA</v>
      </c>
      <c r="B6">
        <f>indonesia!C8</f>
        <v>2023</v>
      </c>
      <c r="C6">
        <f t="shared" si="1"/>
        <v>106.80082518477251</v>
      </c>
      <c r="D6">
        <f t="shared" si="1"/>
        <v>1023.2878798776624</v>
      </c>
      <c r="E6">
        <f t="shared" si="1"/>
        <v>3130.3141916311638</v>
      </c>
      <c r="F6">
        <f t="shared" si="1"/>
        <v>635.87640865608</v>
      </c>
      <c r="G6">
        <f t="shared" si="1"/>
        <v>5.6734610775397779E-2</v>
      </c>
      <c r="H6">
        <f t="shared" si="1"/>
        <v>233.75311940906704</v>
      </c>
      <c r="I6">
        <f t="shared" si="1"/>
        <v>3.4067171072461326E-3</v>
      </c>
      <c r="J6">
        <f t="shared" si="1"/>
        <v>135.62618365184815</v>
      </c>
      <c r="K6">
        <f t="shared" si="1"/>
        <v>2334.2741804266698</v>
      </c>
      <c r="L6">
        <f t="shared" si="1"/>
        <v>56.354373392574871</v>
      </c>
      <c r="M6">
        <f t="shared" si="1"/>
        <v>5.4068698728671691E-3</v>
      </c>
      <c r="N6">
        <f t="shared" si="1"/>
        <v>0</v>
      </c>
      <c r="O6">
        <f t="shared" si="1"/>
        <v>2.0778456705997908</v>
      </c>
      <c r="P6">
        <f t="shared" si="1"/>
        <v>23861.258938511815</v>
      </c>
    </row>
    <row r="7" spans="1:16" x14ac:dyDescent="0.25">
      <c r="A7" t="str">
        <f>indonesia!B9</f>
        <v>INDONESIA</v>
      </c>
      <c r="B7">
        <f>indonesia!C9</f>
        <v>2024</v>
      </c>
      <c r="C7">
        <f t="shared" si="1"/>
        <v>70.899914955850846</v>
      </c>
      <c r="D7">
        <f t="shared" si="1"/>
        <v>639.31344116891364</v>
      </c>
      <c r="E7">
        <f t="shared" si="1"/>
        <v>3435.4470028971073</v>
      </c>
      <c r="F7">
        <f t="shared" si="1"/>
        <v>337.02252434565975</v>
      </c>
      <c r="G7">
        <f t="shared" si="1"/>
        <v>9.0418845030500183E-2</v>
      </c>
      <c r="H7">
        <f t="shared" si="1"/>
        <v>23.787549439495606</v>
      </c>
      <c r="I7">
        <f t="shared" si="1"/>
        <v>51.281659039668206</v>
      </c>
      <c r="J7">
        <f t="shared" si="1"/>
        <v>137.80197581463395</v>
      </c>
      <c r="K7">
        <f t="shared" si="1"/>
        <v>3984.7664775770313</v>
      </c>
      <c r="L7">
        <f t="shared" si="1"/>
        <v>114.22474888800225</v>
      </c>
      <c r="M7">
        <f t="shared" si="1"/>
        <v>0</v>
      </c>
      <c r="N7">
        <f t="shared" si="1"/>
        <v>0</v>
      </c>
      <c r="O7">
        <f t="shared" si="1"/>
        <v>2.5438714812967196</v>
      </c>
      <c r="P7">
        <f t="shared" si="1"/>
        <v>26967.601306659704</v>
      </c>
    </row>
    <row r="8" spans="1:16" x14ac:dyDescent="0.25">
      <c r="A8" t="str">
        <f>indonesia!B10</f>
        <v>INDONESIA</v>
      </c>
      <c r="B8">
        <f>indonesia!C10</f>
        <v>2025</v>
      </c>
      <c r="C8">
        <f t="shared" si="1"/>
        <v>186.79729982874534</v>
      </c>
      <c r="D8">
        <f t="shared" si="1"/>
        <v>522.10311281150086</v>
      </c>
      <c r="E8">
        <f t="shared" si="1"/>
        <v>3055.8522736040036</v>
      </c>
      <c r="F8">
        <f t="shared" si="1"/>
        <v>343.24525823123821</v>
      </c>
      <c r="G8">
        <f t="shared" si="1"/>
        <v>0</v>
      </c>
      <c r="H8">
        <f t="shared" si="1"/>
        <v>290.1531393724332</v>
      </c>
      <c r="I8">
        <f t="shared" si="1"/>
        <v>6.425643666454997</v>
      </c>
      <c r="J8">
        <f t="shared" si="1"/>
        <v>190.89535128421781</v>
      </c>
      <c r="K8">
        <f t="shared" si="1"/>
        <v>4039.7097143598303</v>
      </c>
      <c r="L8">
        <f t="shared" si="1"/>
        <v>112.30114075204956</v>
      </c>
      <c r="M8">
        <f t="shared" si="1"/>
        <v>1.4957542723621736E-5</v>
      </c>
      <c r="N8">
        <f t="shared" si="1"/>
        <v>0</v>
      </c>
      <c r="O8">
        <f t="shared" si="1"/>
        <v>2.5844239035814311</v>
      </c>
      <c r="P8">
        <f t="shared" si="1"/>
        <v>29647.943428437782</v>
      </c>
    </row>
    <row r="9" spans="1:16" x14ac:dyDescent="0.25">
      <c r="A9" t="str">
        <f>indonesia!B11</f>
        <v>INDONESIA</v>
      </c>
      <c r="B9">
        <f>indonesia!C11</f>
        <v>2026</v>
      </c>
      <c r="C9">
        <f t="shared" si="1"/>
        <v>689.19964046155167</v>
      </c>
      <c r="D9">
        <f t="shared" si="1"/>
        <v>649.89708689773215</v>
      </c>
      <c r="E9">
        <f t="shared" si="1"/>
        <v>5285.3126221797147</v>
      </c>
      <c r="F9">
        <f t="shared" si="1"/>
        <v>66.815268364756932</v>
      </c>
      <c r="G9">
        <f t="shared" si="1"/>
        <v>8.0176608145465451</v>
      </c>
      <c r="H9">
        <f t="shared" si="1"/>
        <v>14.824554379867484</v>
      </c>
      <c r="I9">
        <f t="shared" si="1"/>
        <v>18.921281808144503</v>
      </c>
      <c r="J9">
        <f t="shared" si="1"/>
        <v>285.91126120264403</v>
      </c>
      <c r="K9">
        <f t="shared" si="1"/>
        <v>3754.2213639431616</v>
      </c>
      <c r="L9">
        <f t="shared" si="1"/>
        <v>75.461842214364395</v>
      </c>
      <c r="M9">
        <f t="shared" si="1"/>
        <v>5.3504930357019372E-2</v>
      </c>
      <c r="N9">
        <f t="shared" si="1"/>
        <v>0</v>
      </c>
      <c r="O9">
        <f t="shared" si="1"/>
        <v>2.9404336969882854</v>
      </c>
      <c r="P9">
        <f t="shared" si="1"/>
        <v>34451.192882131305</v>
      </c>
    </row>
    <row r="10" spans="1:16" x14ac:dyDescent="0.25">
      <c r="A10" t="str">
        <f>indonesia!B12</f>
        <v>INDONESIA</v>
      </c>
      <c r="B10">
        <f>indonesia!C12</f>
        <v>2027</v>
      </c>
      <c r="C10">
        <f t="shared" si="1"/>
        <v>793.38062398778015</v>
      </c>
      <c r="D10">
        <f t="shared" si="1"/>
        <v>644.09836681482682</v>
      </c>
      <c r="E10">
        <f t="shared" si="1"/>
        <v>5470.2474142434194</v>
      </c>
      <c r="F10">
        <f t="shared" si="1"/>
        <v>98.106466263566972</v>
      </c>
      <c r="G10">
        <f t="shared" si="1"/>
        <v>-1.541036613872393E-7</v>
      </c>
      <c r="H10">
        <f t="shared" si="1"/>
        <v>14.72773602066294</v>
      </c>
      <c r="I10">
        <f t="shared" si="1"/>
        <v>313.92535002118291</v>
      </c>
      <c r="J10">
        <f t="shared" si="1"/>
        <v>438.86146580181003</v>
      </c>
      <c r="K10">
        <f t="shared" si="1"/>
        <v>3957.685980310785</v>
      </c>
      <c r="L10">
        <f t="shared" si="1"/>
        <v>71.690470244733731</v>
      </c>
      <c r="M10">
        <f t="shared" si="1"/>
        <v>4.8886225213608463E-2</v>
      </c>
      <c r="N10">
        <f t="shared" si="1"/>
        <v>0</v>
      </c>
      <c r="O10">
        <f t="shared" si="1"/>
        <v>3.25044787608859</v>
      </c>
      <c r="P10">
        <f t="shared" si="1"/>
        <v>38520.203382227424</v>
      </c>
    </row>
    <row r="11" spans="1:16" x14ac:dyDescent="0.25">
      <c r="A11" t="str">
        <f>indonesia!B13</f>
        <v>INDONESIA</v>
      </c>
      <c r="B11">
        <f>indonesia!C13</f>
        <v>2028</v>
      </c>
      <c r="C11">
        <f t="shared" si="1"/>
        <v>578.67880788624461</v>
      </c>
      <c r="D11">
        <f t="shared" si="1"/>
        <v>714.28064895342129</v>
      </c>
      <c r="E11">
        <f t="shared" si="1"/>
        <v>6390.0149334437347</v>
      </c>
      <c r="F11">
        <f t="shared" si="1"/>
        <v>108.35069173714463</v>
      </c>
      <c r="G11">
        <f t="shared" si="1"/>
        <v>-8.4589634197717552E-7</v>
      </c>
      <c r="H11">
        <f t="shared" si="1"/>
        <v>0</v>
      </c>
      <c r="I11">
        <f t="shared" si="1"/>
        <v>-1.0000000028043132E-6</v>
      </c>
      <c r="J11">
        <f t="shared" si="1"/>
        <v>166.5999099774769</v>
      </c>
      <c r="K11">
        <f t="shared" si="1"/>
        <v>2303.7143377724778</v>
      </c>
      <c r="L11">
        <f t="shared" si="1"/>
        <v>54.921059165662626</v>
      </c>
      <c r="M11">
        <f t="shared" si="1"/>
        <v>5.8792939269708945E-2</v>
      </c>
      <c r="N11">
        <f t="shared" si="1"/>
        <v>0</v>
      </c>
      <c r="O11">
        <f t="shared" si="1"/>
        <v>2.5372487439386529</v>
      </c>
      <c r="P11">
        <f t="shared" si="1"/>
        <v>40431.310719426241</v>
      </c>
    </row>
    <row r="12" spans="1:16" x14ac:dyDescent="0.25">
      <c r="A12" t="str">
        <f>indonesia!B14</f>
        <v>INDONESIA</v>
      </c>
      <c r="B12">
        <f>indonesia!C14</f>
        <v>2029</v>
      </c>
      <c r="C12">
        <f t="shared" si="1"/>
        <v>616.32601752447783</v>
      </c>
      <c r="D12">
        <f t="shared" si="1"/>
        <v>639.45396948933171</v>
      </c>
      <c r="E12">
        <f t="shared" si="1"/>
        <v>6884.5886726708304</v>
      </c>
      <c r="F12">
        <f t="shared" si="1"/>
        <v>115.67076913457726</v>
      </c>
      <c r="G12">
        <f t="shared" si="1"/>
        <v>-9.999999999999972E-7</v>
      </c>
      <c r="H12">
        <f t="shared" si="1"/>
        <v>13.693096851541338</v>
      </c>
      <c r="I12">
        <f t="shared" si="1"/>
        <v>30.8414051619033</v>
      </c>
      <c r="J12">
        <f t="shared" si="1"/>
        <v>178.80555505024995</v>
      </c>
      <c r="K12">
        <f t="shared" si="1"/>
        <v>2369.7543178427577</v>
      </c>
      <c r="L12">
        <f t="shared" si="1"/>
        <v>112.25268609663954</v>
      </c>
      <c r="M12">
        <f t="shared" si="1"/>
        <v>0.33569609357126956</v>
      </c>
      <c r="N12">
        <f t="shared" si="1"/>
        <v>0</v>
      </c>
      <c r="O12">
        <f t="shared" si="1"/>
        <v>2.6866908195754147</v>
      </c>
      <c r="P12">
        <f t="shared" si="1"/>
        <v>43410.367411268613</v>
      </c>
    </row>
    <row r="13" spans="1:16" x14ac:dyDescent="0.25">
      <c r="A13" t="str">
        <f>indonesia!B15</f>
        <v>INDONESIA</v>
      </c>
      <c r="B13">
        <f>indonesia!C15</f>
        <v>2030</v>
      </c>
      <c r="C13">
        <f t="shared" si="1"/>
        <v>634.05196741594341</v>
      </c>
      <c r="D13">
        <f t="shared" si="1"/>
        <v>873.36623068019412</v>
      </c>
      <c r="E13">
        <f t="shared" si="1"/>
        <v>6116.1844256633731</v>
      </c>
      <c r="F13">
        <f t="shared" si="1"/>
        <v>114.0534577655734</v>
      </c>
      <c r="G13">
        <f t="shared" si="1"/>
        <v>-9.9999999663557958E-7</v>
      </c>
      <c r="H13">
        <f t="shared" si="1"/>
        <v>19.495124596417963</v>
      </c>
      <c r="I13">
        <f t="shared" si="1"/>
        <v>27.043072160388988</v>
      </c>
      <c r="J13">
        <f t="shared" si="1"/>
        <v>1727.2559217685014</v>
      </c>
      <c r="K13">
        <f t="shared" si="1"/>
        <v>2370.3371906478637</v>
      </c>
      <c r="L13">
        <f t="shared" si="1"/>
        <v>-9.9999999925159955E-7</v>
      </c>
      <c r="M13">
        <f t="shared" si="1"/>
        <v>0</v>
      </c>
      <c r="N13">
        <f t="shared" si="1"/>
        <v>0</v>
      </c>
      <c r="O13">
        <f t="shared" si="1"/>
        <v>2.9307949009790493</v>
      </c>
      <c r="P13">
        <f t="shared" si="1"/>
        <v>46809.438677637161</v>
      </c>
    </row>
    <row r="14" spans="1:16" x14ac:dyDescent="0.25">
      <c r="A14" t="str">
        <f>indonesia!B16</f>
        <v>INDONESIA</v>
      </c>
      <c r="B14">
        <f>indonesia!C16</f>
        <v>2031</v>
      </c>
      <c r="C14">
        <f t="shared" si="1"/>
        <v>749.97706187654694</v>
      </c>
      <c r="D14">
        <f t="shared" si="1"/>
        <v>827.03383696023559</v>
      </c>
      <c r="E14">
        <f t="shared" si="1"/>
        <v>8068.237471509924</v>
      </c>
      <c r="F14">
        <f t="shared" si="1"/>
        <v>141.63798430210858</v>
      </c>
      <c r="G14">
        <f t="shared" si="1"/>
        <v>-1.5410364717638458E-7</v>
      </c>
      <c r="H14">
        <f t="shared" si="1"/>
        <v>26.02883049701115</v>
      </c>
      <c r="I14">
        <f t="shared" si="1"/>
        <v>21.367496204271607</v>
      </c>
      <c r="J14">
        <f t="shared" si="1"/>
        <v>84.978614796057485</v>
      </c>
      <c r="K14">
        <f t="shared" si="1"/>
        <v>3213.2041694769441</v>
      </c>
      <c r="L14">
        <f t="shared" si="1"/>
        <v>54.491719179653181</v>
      </c>
      <c r="M14">
        <f t="shared" si="1"/>
        <v>0</v>
      </c>
      <c r="N14">
        <f t="shared" si="1"/>
        <v>0</v>
      </c>
      <c r="O14">
        <f t="shared" si="1"/>
        <v>3.2987646960406898</v>
      </c>
      <c r="P14">
        <f t="shared" si="1"/>
        <v>51197.253899850992</v>
      </c>
    </row>
    <row r="15" spans="1:16" x14ac:dyDescent="0.25">
      <c r="A15" t="str">
        <f>indonesia!B17</f>
        <v>INDONESIA</v>
      </c>
      <c r="B15">
        <f>indonesia!C17</f>
        <v>2032</v>
      </c>
      <c r="C15">
        <f t="shared" si="1"/>
        <v>888.60985434555971</v>
      </c>
      <c r="D15">
        <f t="shared" si="1"/>
        <v>910.65820862379633</v>
      </c>
      <c r="E15">
        <f t="shared" si="1"/>
        <v>8537.730644680345</v>
      </c>
      <c r="F15">
        <f t="shared" si="1"/>
        <v>67.70633073719064</v>
      </c>
      <c r="G15">
        <f t="shared" si="1"/>
        <v>0</v>
      </c>
      <c r="H15">
        <f t="shared" si="1"/>
        <v>68.403418054483566</v>
      </c>
      <c r="I15">
        <f t="shared" si="1"/>
        <v>209.59190992151125</v>
      </c>
      <c r="J15">
        <f t="shared" si="1"/>
        <v>110.75780146321172</v>
      </c>
      <c r="K15">
        <f t="shared" si="1"/>
        <v>3115.8712272731318</v>
      </c>
      <c r="L15">
        <f t="shared" si="1"/>
        <v>30.878711892383027</v>
      </c>
      <c r="M15">
        <f t="shared" si="1"/>
        <v>0.11282010470057383</v>
      </c>
      <c r="N15">
        <f t="shared" si="1"/>
        <v>0</v>
      </c>
      <c r="O15">
        <f t="shared" si="1"/>
        <v>3.4813977514551553</v>
      </c>
      <c r="P15">
        <f t="shared" si="1"/>
        <v>54839.334987836191</v>
      </c>
    </row>
    <row r="16" spans="1:16" x14ac:dyDescent="0.25">
      <c r="A16" t="str">
        <f>indonesia!B18</f>
        <v>INDONESIA</v>
      </c>
      <c r="B16">
        <f>indonesia!C18</f>
        <v>2033</v>
      </c>
      <c r="C16">
        <f t="shared" si="1"/>
        <v>1739.8986060897837</v>
      </c>
      <c r="D16">
        <f t="shared" si="1"/>
        <v>574.43992965981465</v>
      </c>
      <c r="E16">
        <f t="shared" si="1"/>
        <v>7459.0092430675886</v>
      </c>
      <c r="F16">
        <f t="shared" si="1"/>
        <v>55.213908942805737</v>
      </c>
      <c r="G16">
        <f t="shared" si="1"/>
        <v>28.764516603201336</v>
      </c>
      <c r="H16">
        <f t="shared" si="1"/>
        <v>270.93728751154794</v>
      </c>
      <c r="I16">
        <f t="shared" si="1"/>
        <v>384.14009150620893</v>
      </c>
      <c r="J16">
        <f t="shared" si="1"/>
        <v>764.4586954170544</v>
      </c>
      <c r="K16">
        <f t="shared" si="1"/>
        <v>1635.4830699881777</v>
      </c>
      <c r="L16">
        <f t="shared" si="1"/>
        <v>15.439355946191514</v>
      </c>
      <c r="M16">
        <f t="shared" si="1"/>
        <v>0</v>
      </c>
      <c r="N16">
        <f t="shared" si="1"/>
        <v>0</v>
      </c>
      <c r="O16">
        <f t="shared" si="1"/>
        <v>3.2111191998426274</v>
      </c>
      <c r="P16">
        <f t="shared" si="1"/>
        <v>56920.790111022055</v>
      </c>
    </row>
    <row r="17" spans="1:16" x14ac:dyDescent="0.25">
      <c r="A17" t="str">
        <f>indonesia!B19</f>
        <v>INDONESIA</v>
      </c>
      <c r="B17">
        <f>indonesia!C19</f>
        <v>2034</v>
      </c>
      <c r="C17">
        <f t="shared" si="1"/>
        <v>3101.3418879430178</v>
      </c>
      <c r="D17">
        <f t="shared" si="1"/>
        <v>1016.6597551993551</v>
      </c>
      <c r="E17">
        <f t="shared" si="1"/>
        <v>4615.8787227634166</v>
      </c>
      <c r="F17">
        <f t="shared" si="1"/>
        <v>79.046787370631506</v>
      </c>
      <c r="G17">
        <f t="shared" si="1"/>
        <v>-1.0000000026160174E-6</v>
      </c>
      <c r="H17">
        <f t="shared" si="1"/>
        <v>91.178020890725534</v>
      </c>
      <c r="I17">
        <f t="shared" si="1"/>
        <v>1970.5567982793477</v>
      </c>
      <c r="J17">
        <f t="shared" si="1"/>
        <v>917.93163318178381</v>
      </c>
      <c r="K17">
        <f t="shared" si="1"/>
        <v>1067.7317016259435</v>
      </c>
      <c r="L17">
        <f t="shared" si="1"/>
        <v>7.7196779730957568</v>
      </c>
      <c r="M17">
        <f t="shared" si="1"/>
        <v>4.739950868837434E-3</v>
      </c>
      <c r="N17">
        <f t="shared" si="1"/>
        <v>0</v>
      </c>
      <c r="O17">
        <f t="shared" si="1"/>
        <v>3.6201015506067775</v>
      </c>
      <c r="P17">
        <f t="shared" si="1"/>
        <v>59917.554804220017</v>
      </c>
    </row>
    <row r="18" spans="1:16" x14ac:dyDescent="0.25">
      <c r="A18" t="str">
        <f>indonesia!B20</f>
        <v>INDONESIA</v>
      </c>
      <c r="B18">
        <f>indonesia!C20</f>
        <v>2035</v>
      </c>
      <c r="C18">
        <f t="shared" si="1"/>
        <v>1926.4965025767317</v>
      </c>
      <c r="D18">
        <f t="shared" si="1"/>
        <v>385.5788528055005</v>
      </c>
      <c r="E18">
        <f t="shared" si="1"/>
        <v>5958.1292510029125</v>
      </c>
      <c r="F18">
        <f t="shared" si="1"/>
        <v>1702.6853621543744</v>
      </c>
      <c r="G18">
        <f t="shared" si="1"/>
        <v>70.150297317567862</v>
      </c>
      <c r="H18">
        <f t="shared" si="1"/>
        <v>630.60807318465368</v>
      </c>
      <c r="I18">
        <f t="shared" si="1"/>
        <v>721.53150532028633</v>
      </c>
      <c r="J18">
        <f t="shared" si="1"/>
        <v>1078.556944395993</v>
      </c>
      <c r="K18">
        <f t="shared" si="1"/>
        <v>1061.3476787006923</v>
      </c>
      <c r="L18">
        <f t="shared" si="1"/>
        <v>3.8598389865478784</v>
      </c>
      <c r="M18">
        <f t="shared" si="1"/>
        <v>0.18021773876856953</v>
      </c>
      <c r="N18">
        <f t="shared" si="1"/>
        <v>0</v>
      </c>
      <c r="O18">
        <f t="shared" si="1"/>
        <v>3.6333899785592703</v>
      </c>
      <c r="P18">
        <f t="shared" si="1"/>
        <v>62676.041670556202</v>
      </c>
    </row>
    <row r="19" spans="1:16" x14ac:dyDescent="0.25">
      <c r="A19" t="str">
        <f>indonesia!B21</f>
        <v>INDONESIA</v>
      </c>
      <c r="B19">
        <f>indonesia!C21</f>
        <v>2036</v>
      </c>
      <c r="C19">
        <f t="shared" ref="C19:P21" si="2">SUM(C39,C59,C79,C99,C119,C139)</f>
        <v>2766.6537937093626</v>
      </c>
      <c r="D19">
        <f t="shared" si="2"/>
        <v>433.77945079393021</v>
      </c>
      <c r="E19">
        <f t="shared" si="2"/>
        <v>6284.6335387436638</v>
      </c>
      <c r="F19">
        <f t="shared" si="2"/>
        <v>992.97641333193633</v>
      </c>
      <c r="G19">
        <f t="shared" si="2"/>
        <v>479.68561104909134</v>
      </c>
      <c r="H19">
        <f t="shared" si="2"/>
        <v>715.23908040829133</v>
      </c>
      <c r="I19">
        <f t="shared" si="2"/>
        <v>1112.7261230637403</v>
      </c>
      <c r="J19">
        <f t="shared" si="2"/>
        <v>1184.3867693874495</v>
      </c>
      <c r="K19">
        <f t="shared" si="2"/>
        <v>753.54200797220619</v>
      </c>
      <c r="L19">
        <f t="shared" si="2"/>
        <v>1.9299194932739392</v>
      </c>
      <c r="M19">
        <f t="shared" si="2"/>
        <v>3.3184666028973599E-7</v>
      </c>
      <c r="N19">
        <f t="shared" si="2"/>
        <v>0</v>
      </c>
      <c r="O19">
        <f t="shared" si="2"/>
        <v>4.0178322405564071</v>
      </c>
      <c r="P19">
        <f t="shared" si="2"/>
        <v>66486.986704705196</v>
      </c>
    </row>
    <row r="20" spans="1:16" x14ac:dyDescent="0.25">
      <c r="A20" t="str">
        <f>indonesia!B22</f>
        <v>INDONESIA</v>
      </c>
      <c r="B20">
        <f>indonesia!C22</f>
        <v>2037</v>
      </c>
      <c r="C20">
        <f t="shared" si="2"/>
        <v>2835.0703743750264</v>
      </c>
      <c r="D20">
        <f t="shared" si="2"/>
        <v>651.2866633223806</v>
      </c>
      <c r="E20">
        <f t="shared" si="2"/>
        <v>7455.5038017884299</v>
      </c>
      <c r="F20">
        <f t="shared" si="2"/>
        <v>354.34248610354382</v>
      </c>
      <c r="G20">
        <f t="shared" si="2"/>
        <v>961.35846939608678</v>
      </c>
      <c r="H20">
        <f t="shared" si="2"/>
        <v>386.51878186982469</v>
      </c>
      <c r="I20">
        <f t="shared" si="2"/>
        <v>933.29086125825165</v>
      </c>
      <c r="J20">
        <f t="shared" si="2"/>
        <v>1685.684122047858</v>
      </c>
      <c r="K20">
        <f t="shared" si="2"/>
        <v>551.15634768495863</v>
      </c>
      <c r="L20">
        <f t="shared" si="2"/>
        <v>0.9649597466369696</v>
      </c>
      <c r="M20">
        <f t="shared" si="2"/>
        <v>0.18160776529667144</v>
      </c>
      <c r="N20">
        <f t="shared" si="2"/>
        <v>1.2406235350967193E-15</v>
      </c>
      <c r="O20">
        <f t="shared" si="2"/>
        <v>4.1683644088289551</v>
      </c>
      <c r="P20">
        <f t="shared" si="2"/>
        <v>70192.74560332192</v>
      </c>
    </row>
    <row r="21" spans="1:16" x14ac:dyDescent="0.25">
      <c r="A21" t="str">
        <f>indonesia!B23</f>
        <v>INDONESIA</v>
      </c>
      <c r="B21">
        <f>indonesia!C23</f>
        <v>2038</v>
      </c>
      <c r="C21">
        <f t="shared" si="2"/>
        <v>3185.3785032365545</v>
      </c>
      <c r="D21">
        <f t="shared" si="2"/>
        <v>1100.2317178513574</v>
      </c>
      <c r="E21">
        <f t="shared" si="2"/>
        <v>7997.5323504998769</v>
      </c>
      <c r="F21">
        <f t="shared" si="2"/>
        <v>471.45946972108732</v>
      </c>
      <c r="G21">
        <f t="shared" si="2"/>
        <v>1376.5588912742992</v>
      </c>
      <c r="H21">
        <f t="shared" si="2"/>
        <v>178.81219593241346</v>
      </c>
      <c r="I21">
        <f t="shared" si="2"/>
        <v>236.69779131104963</v>
      </c>
      <c r="J21">
        <f t="shared" si="2"/>
        <v>4182.3176780354652</v>
      </c>
      <c r="K21">
        <f t="shared" si="2"/>
        <v>439.50285811161501</v>
      </c>
      <c r="L21">
        <f t="shared" si="2"/>
        <v>0.4824798733184848</v>
      </c>
      <c r="M21">
        <f t="shared" si="2"/>
        <v>1.1703509342293799E-14</v>
      </c>
      <c r="N21">
        <f t="shared" si="2"/>
        <v>9.444722444628652E-7</v>
      </c>
      <c r="O21">
        <f t="shared" si="2"/>
        <v>4.8920376342493554</v>
      </c>
      <c r="P21">
        <f t="shared" si="2"/>
        <v>77002.398052280521</v>
      </c>
    </row>
    <row r="22" spans="1:16" x14ac:dyDescent="0.25">
      <c r="A22" t="str">
        <f>sumatera!B4</f>
        <v>SUMATERA</v>
      </c>
      <c r="B22">
        <f>sumatera!C4</f>
        <v>2019</v>
      </c>
      <c r="C22" s="47">
        <f>sumatera!W4</f>
        <v>0</v>
      </c>
      <c r="D22" s="47">
        <f>sumatera!X4</f>
        <v>0</v>
      </c>
      <c r="E22" s="47">
        <f>sumatera!Y4</f>
        <v>0</v>
      </c>
      <c r="F22" s="47">
        <f>sumatera!Z4</f>
        <v>0</v>
      </c>
      <c r="G22" s="47">
        <f>sumatera!AA4</f>
        <v>0</v>
      </c>
      <c r="H22" s="47">
        <f>sumatera!AB4</f>
        <v>0</v>
      </c>
      <c r="I22" s="47">
        <f>sumatera!AC4</f>
        <v>0</v>
      </c>
      <c r="J22" s="47">
        <f>sumatera!AD4</f>
        <v>0</v>
      </c>
      <c r="K22" s="47">
        <f>sumatera!AE4</f>
        <v>0</v>
      </c>
      <c r="L22" s="47">
        <f>sumatera!AF4</f>
        <v>0</v>
      </c>
      <c r="M22" s="47">
        <f>sumatera!AG4</f>
        <v>0</v>
      </c>
      <c r="N22" s="47">
        <f>sumatera!AH4</f>
        <v>0</v>
      </c>
      <c r="O22" s="47">
        <f>sumatera!AI4</f>
        <v>0</v>
      </c>
      <c r="P22">
        <f>sumatera!Q4</f>
        <v>13110.769999999999</v>
      </c>
    </row>
    <row r="23" spans="1:16" x14ac:dyDescent="0.25">
      <c r="A23" t="str">
        <f>sumatera!B5</f>
        <v>SUMATERA</v>
      </c>
      <c r="B23">
        <f>sumatera!C5</f>
        <v>2020</v>
      </c>
      <c r="C23" s="47">
        <f>sumatera!W5</f>
        <v>194.36868150642371</v>
      </c>
      <c r="D23" s="47">
        <f>sumatera!X5</f>
        <v>0</v>
      </c>
      <c r="E23" s="47">
        <f>sumatera!Y5</f>
        <v>1395.8618280052365</v>
      </c>
      <c r="F23" s="47">
        <f>sumatera!Z5</f>
        <v>0</v>
      </c>
      <c r="G23" s="47">
        <f>sumatera!AA5</f>
        <v>0</v>
      </c>
      <c r="H23" s="47">
        <f>sumatera!AB5</f>
        <v>0</v>
      </c>
      <c r="I23" s="47">
        <f>sumatera!AC5</f>
        <v>0</v>
      </c>
      <c r="J23" s="47">
        <f>sumatera!AD5</f>
        <v>394.56664586905907</v>
      </c>
      <c r="K23" s="47">
        <f>sumatera!AE5</f>
        <v>0</v>
      </c>
      <c r="L23" s="47">
        <f>sumatera!AF5</f>
        <v>0</v>
      </c>
      <c r="M23" s="47">
        <f>sumatera!AG5</f>
        <v>0</v>
      </c>
      <c r="N23" s="47">
        <f>sumatera!AH5</f>
        <v>0</v>
      </c>
      <c r="O23" s="47">
        <f>sumatera!AI5</f>
        <v>4.5201281038378429</v>
      </c>
      <c r="P23">
        <f>sumatera!Q5</f>
        <v>15095.567155380719</v>
      </c>
    </row>
    <row r="24" spans="1:16" x14ac:dyDescent="0.25">
      <c r="A24" t="str">
        <f>sumatera!B6</f>
        <v>SUMATERA</v>
      </c>
      <c r="B24">
        <f>sumatera!C6</f>
        <v>2021</v>
      </c>
      <c r="C24" s="47">
        <f>sumatera!W6</f>
        <v>0</v>
      </c>
      <c r="D24" s="47">
        <f>sumatera!X6</f>
        <v>788.87306155522174</v>
      </c>
      <c r="E24" s="47">
        <f>sumatera!Y6</f>
        <v>0</v>
      </c>
      <c r="F24" s="47">
        <f>sumatera!Z6</f>
        <v>0</v>
      </c>
      <c r="G24" s="47">
        <f>sumatera!AA6</f>
        <v>0</v>
      </c>
      <c r="H24" s="47">
        <f>sumatera!AB6</f>
        <v>0</v>
      </c>
      <c r="I24" s="47">
        <f>sumatera!AC6</f>
        <v>0</v>
      </c>
      <c r="J24" s="47">
        <f>sumatera!AD6</f>
        <v>20.899367457150412</v>
      </c>
      <c r="K24" s="47">
        <f>sumatera!AE6</f>
        <v>0</v>
      </c>
      <c r="L24" s="47">
        <f>sumatera!AF6</f>
        <v>0</v>
      </c>
      <c r="M24" s="47">
        <f>sumatera!AG6</f>
        <v>0</v>
      </c>
      <c r="N24" s="47">
        <f>sumatera!AH6</f>
        <v>0</v>
      </c>
      <c r="O24" s="47">
        <f>sumatera!AI6</f>
        <v>0.16794457421969256</v>
      </c>
      <c r="P24">
        <f>sumatera!Q6</f>
        <v>15905.339584393092</v>
      </c>
    </row>
    <row r="25" spans="1:16" x14ac:dyDescent="0.25">
      <c r="A25" t="str">
        <f>sumatera!B7</f>
        <v>SUMATERA</v>
      </c>
      <c r="B25">
        <f>sumatera!C7</f>
        <v>2022</v>
      </c>
      <c r="C25" s="47">
        <f>sumatera!W7</f>
        <v>0</v>
      </c>
      <c r="D25" s="47">
        <f>sumatera!X7</f>
        <v>0</v>
      </c>
      <c r="E25" s="47">
        <f>sumatera!Y7</f>
        <v>186.38285263100192</v>
      </c>
      <c r="F25" s="47">
        <f>sumatera!Z7</f>
        <v>89.464096733969626</v>
      </c>
      <c r="G25" s="47">
        <f>sumatera!AA7</f>
        <v>0</v>
      </c>
      <c r="H25" s="47">
        <f>sumatera!AB7</f>
        <v>0</v>
      </c>
      <c r="I25" s="47">
        <f>sumatera!AC7</f>
        <v>0</v>
      </c>
      <c r="J25" s="47">
        <f>sumatera!AD7</f>
        <v>22.065873078154237</v>
      </c>
      <c r="K25" s="47">
        <f>sumatera!AE7</f>
        <v>0</v>
      </c>
      <c r="L25" s="47">
        <f>sumatera!AF7</f>
        <v>0</v>
      </c>
      <c r="M25" s="47">
        <f>sumatera!AG7</f>
        <v>0</v>
      </c>
      <c r="N25" s="47">
        <f>sumatera!AH7</f>
        <v>0</v>
      </c>
      <c r="O25" s="47">
        <f>sumatera!AI7</f>
        <v>7.1688594070537626E-2</v>
      </c>
      <c r="P25">
        <f>sumatera!Q7</f>
        <v>16203.252406836218</v>
      </c>
    </row>
    <row r="26" spans="1:16" x14ac:dyDescent="0.25">
      <c r="A26" t="str">
        <f>sumatera!B8</f>
        <v>SUMATERA</v>
      </c>
      <c r="B26">
        <f>sumatera!C8</f>
        <v>2023</v>
      </c>
      <c r="C26" s="47">
        <f>sumatera!W8</f>
        <v>0</v>
      </c>
      <c r="D26" s="47">
        <f>sumatera!X8</f>
        <v>0</v>
      </c>
      <c r="E26" s="47">
        <f>sumatera!Y8</f>
        <v>1643.9163473669582</v>
      </c>
      <c r="F26" s="47">
        <f>sumatera!Z8</f>
        <v>300.68883628961464</v>
      </c>
      <c r="G26" s="47">
        <f>sumatera!AA8</f>
        <v>0</v>
      </c>
      <c r="H26" s="47">
        <f>sumatera!AB8</f>
        <v>0</v>
      </c>
      <c r="I26" s="47">
        <f>sumatera!AC8</f>
        <v>0</v>
      </c>
      <c r="J26" s="47">
        <f>sumatera!AD8</f>
        <v>23.303544005739028</v>
      </c>
      <c r="K26" s="47">
        <f>sumatera!AE8</f>
        <v>4.0781829605225485E-8</v>
      </c>
      <c r="L26" s="47">
        <f>sumatera!AF8</f>
        <v>0</v>
      </c>
      <c r="M26" s="47">
        <f>sumatera!AG8</f>
        <v>0</v>
      </c>
      <c r="N26" s="47">
        <f>sumatera!AH8</f>
        <v>0</v>
      </c>
      <c r="O26" s="47">
        <f>sumatera!AI8</f>
        <v>0.42402442259307982</v>
      </c>
      <c r="P26">
        <f>sumatera!Q8</f>
        <v>18171.161134539307</v>
      </c>
    </row>
    <row r="27" spans="1:16" x14ac:dyDescent="0.25">
      <c r="A27" t="str">
        <f>sumatera!B9</f>
        <v>SUMATERA</v>
      </c>
      <c r="B27">
        <f>sumatera!C9</f>
        <v>2024</v>
      </c>
      <c r="C27" s="47">
        <f>sumatera!W9</f>
        <v>0</v>
      </c>
      <c r="D27" s="47">
        <f>sumatera!X9</f>
        <v>0</v>
      </c>
      <c r="E27" s="47">
        <f>sumatera!Y9</f>
        <v>1454.2141286764002</v>
      </c>
      <c r="F27" s="47">
        <f>sumatera!Z9</f>
        <v>257.71769736035634</v>
      </c>
      <c r="G27" s="47">
        <f>sumatera!AA9</f>
        <v>0</v>
      </c>
      <c r="H27" s="47">
        <f>sumatera!AB9</f>
        <v>0</v>
      </c>
      <c r="I27" s="47">
        <f>sumatera!AC9</f>
        <v>0</v>
      </c>
      <c r="J27" s="47">
        <f>sumatera!AD9</f>
        <v>122.84240305930554</v>
      </c>
      <c r="K27" s="47">
        <f>sumatera!AE9</f>
        <v>892.72061970670893</v>
      </c>
      <c r="L27" s="47">
        <f>sumatera!AF9</f>
        <v>0</v>
      </c>
      <c r="M27" s="47">
        <f>sumatera!AG9</f>
        <v>0</v>
      </c>
      <c r="N27" s="47">
        <f>sumatera!AH9</f>
        <v>0</v>
      </c>
      <c r="O27" s="47">
        <f>sumatera!AI9</f>
        <v>0.73941233229429759</v>
      </c>
      <c r="P27">
        <f>sumatera!Q9</f>
        <v>20898.65598334208</v>
      </c>
    </row>
    <row r="28" spans="1:16" x14ac:dyDescent="0.25">
      <c r="A28" t="str">
        <f>sumatera!B10</f>
        <v>SUMATERA</v>
      </c>
      <c r="B28">
        <f>sumatera!C10</f>
        <v>2025</v>
      </c>
      <c r="C28" s="47">
        <f>sumatera!W10</f>
        <v>105.74930795199641</v>
      </c>
      <c r="D28" s="47">
        <f>sumatera!X10</f>
        <v>0</v>
      </c>
      <c r="E28" s="47">
        <f>sumatera!Y10</f>
        <v>1144.3709728379681</v>
      </c>
      <c r="F28" s="47">
        <f>sumatera!Z10</f>
        <v>252.11330154933887</v>
      </c>
      <c r="G28" s="47">
        <f>sumatera!AA10</f>
        <v>0</v>
      </c>
      <c r="H28" s="47">
        <f>sumatera!AB10</f>
        <v>0</v>
      </c>
      <c r="I28" s="47">
        <f>sumatera!AC10</f>
        <v>0</v>
      </c>
      <c r="J28" s="47">
        <f>sumatera!AD10</f>
        <v>152.64088842736766</v>
      </c>
      <c r="K28" s="47">
        <f>sumatera!AE10</f>
        <v>1047.1252696211693</v>
      </c>
      <c r="L28" s="47">
        <f>sumatera!AF10</f>
        <v>0</v>
      </c>
      <c r="M28" s="47">
        <f>sumatera!AG10</f>
        <v>0</v>
      </c>
      <c r="N28" s="47">
        <f>sumatera!AH10</f>
        <v>0</v>
      </c>
      <c r="O28" s="47">
        <f>sumatera!AI10</f>
        <v>0.77992767589380829</v>
      </c>
      <c r="P28">
        <f>sumatera!Q10</f>
        <v>23600.65572372992</v>
      </c>
    </row>
    <row r="29" spans="1:16" x14ac:dyDescent="0.25">
      <c r="A29" t="str">
        <f>sumatera!B11</f>
        <v>SUMATERA</v>
      </c>
      <c r="B29">
        <f>sumatera!C11</f>
        <v>2026</v>
      </c>
      <c r="C29" s="47">
        <f>sumatera!W11</f>
        <v>586.54484147331448</v>
      </c>
      <c r="D29" s="47">
        <f>sumatera!X11</f>
        <v>0</v>
      </c>
      <c r="E29" s="47">
        <f>sumatera!Y11</f>
        <v>467.29868014089868</v>
      </c>
      <c r="F29" s="47">
        <f>sumatera!Z11</f>
        <v>0</v>
      </c>
      <c r="G29" s="47">
        <f>sumatera!AA11</f>
        <v>0</v>
      </c>
      <c r="H29" s="47">
        <f>sumatera!AB11</f>
        <v>0</v>
      </c>
      <c r="I29" s="47">
        <f>sumatera!AC11</f>
        <v>0</v>
      </c>
      <c r="J29" s="47">
        <f>sumatera!AD11</f>
        <v>259.55891453192748</v>
      </c>
      <c r="K29" s="47">
        <f>sumatera!AE11</f>
        <v>1801.3030169324179</v>
      </c>
      <c r="L29" s="47">
        <f>sumatera!AF11</f>
        <v>0</v>
      </c>
      <c r="M29" s="47">
        <f>sumatera!AG11</f>
        <v>0</v>
      </c>
      <c r="N29" s="47">
        <f>sumatera!AH11</f>
        <v>0</v>
      </c>
      <c r="O29" s="47">
        <f>sumatera!AI11</f>
        <v>1.0393624924416596</v>
      </c>
      <c r="P29">
        <f>sumatera!Q11</f>
        <v>26715.361176808477</v>
      </c>
    </row>
    <row r="30" spans="1:16" x14ac:dyDescent="0.25">
      <c r="A30" t="str">
        <f>sumatera!B12</f>
        <v>SUMATERA</v>
      </c>
      <c r="B30">
        <f>sumatera!C12</f>
        <v>2027</v>
      </c>
      <c r="C30" s="47">
        <f>sumatera!W12</f>
        <v>689.87437635799392</v>
      </c>
      <c r="D30" s="47">
        <f>sumatera!X12</f>
        <v>0</v>
      </c>
      <c r="E30" s="47">
        <f>sumatera!Y12</f>
        <v>226.8129161575452</v>
      </c>
      <c r="F30" s="47">
        <f>sumatera!Z12</f>
        <v>0</v>
      </c>
      <c r="G30" s="47">
        <f>sumatera!AA12</f>
        <v>0</v>
      </c>
      <c r="H30" s="47">
        <f>sumatera!AB12</f>
        <v>0</v>
      </c>
      <c r="I30" s="47">
        <f>sumatera!AC12</f>
        <v>291.54580965684181</v>
      </c>
      <c r="J30" s="47">
        <f>sumatera!AD12</f>
        <v>361.16948582795635</v>
      </c>
      <c r="K30" s="47">
        <f>sumatera!AE12</f>
        <v>1827.9255468494609</v>
      </c>
      <c r="L30" s="47">
        <f>sumatera!AF12</f>
        <v>0</v>
      </c>
      <c r="M30" s="47">
        <f>sumatera!AG12</f>
        <v>0</v>
      </c>
      <c r="N30" s="47">
        <f>sumatera!AH12</f>
        <v>0</v>
      </c>
      <c r="O30" s="47">
        <f>sumatera!AI12</f>
        <v>1.1810022370207092</v>
      </c>
      <c r="P30">
        <f>sumatera!Q12</f>
        <v>30112.68931165828</v>
      </c>
    </row>
    <row r="31" spans="1:16" x14ac:dyDescent="0.25">
      <c r="A31" t="str">
        <f>sumatera!B13</f>
        <v>SUMATERA</v>
      </c>
      <c r="B31">
        <f>sumatera!C13</f>
        <v>2028</v>
      </c>
      <c r="C31" s="47">
        <f>sumatera!W13</f>
        <v>391.87775261325862</v>
      </c>
      <c r="D31" s="47">
        <f>sumatera!X13</f>
        <v>0</v>
      </c>
      <c r="E31" s="47">
        <f>sumatera!Y13</f>
        <v>1703.1278147593262</v>
      </c>
      <c r="F31" s="47">
        <f>sumatera!Z13</f>
        <v>0</v>
      </c>
      <c r="G31" s="47">
        <f>sumatera!AA13</f>
        <v>0</v>
      </c>
      <c r="H31" s="47">
        <f>sumatera!AB13</f>
        <v>0</v>
      </c>
      <c r="I31" s="47">
        <f>sumatera!AC13</f>
        <v>0</v>
      </c>
      <c r="J31" s="47">
        <f>sumatera!AD13</f>
        <v>93.178458319112906</v>
      </c>
      <c r="K31" s="47">
        <f>sumatera!AE13</f>
        <v>145.64619051553507</v>
      </c>
      <c r="L31" s="47">
        <f>sumatera!AF13</f>
        <v>0</v>
      </c>
      <c r="M31" s="47">
        <f>sumatera!AG13</f>
        <v>0</v>
      </c>
      <c r="N31" s="47">
        <f>sumatera!AH13</f>
        <v>0</v>
      </c>
      <c r="O31" s="47">
        <f>sumatera!AI13</f>
        <v>0.53502100551478016</v>
      </c>
      <c r="P31">
        <f>sumatera!Q13</f>
        <v>32446.519527865512</v>
      </c>
    </row>
    <row r="32" spans="1:16" x14ac:dyDescent="0.25">
      <c r="A32" t="str">
        <f>sumatera!B14</f>
        <v>SUMATERA</v>
      </c>
      <c r="B32">
        <f>sumatera!C14</f>
        <v>2029</v>
      </c>
      <c r="C32" s="47">
        <f>sumatera!W14</f>
        <v>411.56414493650942</v>
      </c>
      <c r="D32" s="47">
        <f>sumatera!X14</f>
        <v>0</v>
      </c>
      <c r="E32" s="47">
        <f>sumatera!Y14</f>
        <v>1845.1194868635073</v>
      </c>
      <c r="F32" s="47">
        <f>sumatera!Z14</f>
        <v>0</v>
      </c>
      <c r="G32" s="47">
        <f>sumatera!AA14</f>
        <v>0</v>
      </c>
      <c r="H32" s="47">
        <f>sumatera!AB14</f>
        <v>0</v>
      </c>
      <c r="I32" s="47">
        <f>sumatera!AC14</f>
        <v>3.8393298112137877E-5</v>
      </c>
      <c r="J32" s="47">
        <f>sumatera!AD14</f>
        <v>102.39979420780216</v>
      </c>
      <c r="K32" s="47">
        <f>sumatera!AE14</f>
        <v>119.60382626394039</v>
      </c>
      <c r="L32" s="47">
        <f>sumatera!AF14</f>
        <v>0</v>
      </c>
      <c r="M32" s="47">
        <f>sumatera!AG14</f>
        <v>0.22801793895929037</v>
      </c>
      <c r="N32" s="47">
        <f>sumatera!AH14</f>
        <v>0</v>
      </c>
      <c r="O32" s="47">
        <f>sumatera!AI14</f>
        <v>0.5609923323505619</v>
      </c>
      <c r="P32">
        <f>sumatera!Q14</f>
        <v>34925.434836469518</v>
      </c>
    </row>
    <row r="33" spans="1:16" x14ac:dyDescent="0.25">
      <c r="A33" t="str">
        <f>sumatera!B15</f>
        <v>SUMATERA</v>
      </c>
      <c r="B33">
        <f>sumatera!C15</f>
        <v>2030</v>
      </c>
      <c r="C33" s="47">
        <f>sumatera!W15</f>
        <v>417.62579171456809</v>
      </c>
      <c r="D33" s="47">
        <f>sumatera!X15</f>
        <v>0</v>
      </c>
      <c r="E33" s="47">
        <f>sumatera!Y15</f>
        <v>1011.9530327743472</v>
      </c>
      <c r="F33" s="47">
        <f>sumatera!Z15</f>
        <v>2.8737786169360678E-3</v>
      </c>
      <c r="G33" s="47">
        <f>sumatera!AA15</f>
        <v>0</v>
      </c>
      <c r="H33" s="47">
        <f>sumatera!AB15</f>
        <v>5.9325711640353685E-7</v>
      </c>
      <c r="I33" s="47">
        <f>sumatera!AC15</f>
        <v>6.2964747690229232E-8</v>
      </c>
      <c r="J33" s="47">
        <f>sumatera!AD15</f>
        <v>1652.6917563147806</v>
      </c>
      <c r="K33" s="47">
        <f>sumatera!AE15</f>
        <v>-8.6077222520199637E-5</v>
      </c>
      <c r="L33" s="47">
        <f>sumatera!AF15</f>
        <v>0</v>
      </c>
      <c r="M33" s="47">
        <f>sumatera!AG15</f>
        <v>0</v>
      </c>
      <c r="N33" s="47">
        <f>sumatera!AH15</f>
        <v>0</v>
      </c>
      <c r="O33" s="47">
        <f>sumatera!AI15</f>
        <v>0.71434243160472555</v>
      </c>
      <c r="P33">
        <f>sumatera!Q15</f>
        <v>38007.708205630835</v>
      </c>
    </row>
    <row r="34" spans="1:16" x14ac:dyDescent="0.25">
      <c r="A34" t="str">
        <f>sumatera!B16</f>
        <v>SUMATERA</v>
      </c>
      <c r="B34">
        <f>sumatera!C16</f>
        <v>2031</v>
      </c>
      <c r="C34" s="47">
        <f>sumatera!W16</f>
        <v>487.21823528381185</v>
      </c>
      <c r="D34" s="47">
        <f>sumatera!X16</f>
        <v>0</v>
      </c>
      <c r="E34" s="47">
        <f>sumatera!Y16</f>
        <v>1951.2316457691054</v>
      </c>
      <c r="F34" s="47">
        <f>sumatera!Z16</f>
        <v>0</v>
      </c>
      <c r="G34" s="47">
        <f>sumatera!AA16</f>
        <v>1.4210854715202004E-14</v>
      </c>
      <c r="H34" s="47">
        <f>sumatera!AB16</f>
        <v>0</v>
      </c>
      <c r="I34" s="47">
        <f>sumatera!AC16</f>
        <v>0</v>
      </c>
      <c r="J34" s="47">
        <f>sumatera!AD16</f>
        <v>0</v>
      </c>
      <c r="K34" s="47">
        <f>sumatera!AE16</f>
        <v>450.13531156365309</v>
      </c>
      <c r="L34" s="47">
        <f>sumatera!AF16</f>
        <v>0</v>
      </c>
      <c r="M34" s="47">
        <f>sumatera!AG16</f>
        <v>0</v>
      </c>
      <c r="N34" s="47">
        <f>sumatera!AH16</f>
        <v>0</v>
      </c>
      <c r="O34" s="47">
        <f>sumatera!AI16</f>
        <v>0.71025512454062145</v>
      </c>
      <c r="P34">
        <f>sumatera!Q16</f>
        <v>40896.293398247406</v>
      </c>
    </row>
    <row r="35" spans="1:16" x14ac:dyDescent="0.25">
      <c r="A35" t="str">
        <f>sumatera!B17</f>
        <v>SUMATERA</v>
      </c>
      <c r="B35">
        <f>sumatera!C17</f>
        <v>2032</v>
      </c>
      <c r="C35" s="47">
        <f>sumatera!W17</f>
        <v>517.59941185134653</v>
      </c>
      <c r="D35" s="47">
        <f>sumatera!X17</f>
        <v>0</v>
      </c>
      <c r="E35" s="47">
        <f>sumatera!Y17</f>
        <v>2091.5676465684878</v>
      </c>
      <c r="F35" s="47">
        <f>sumatera!Z17</f>
        <v>0</v>
      </c>
      <c r="G35" s="47">
        <f>sumatera!AA17</f>
        <v>0</v>
      </c>
      <c r="H35" s="47">
        <f>sumatera!AB17</f>
        <v>0</v>
      </c>
      <c r="I35" s="47">
        <f>sumatera!AC17</f>
        <v>0</v>
      </c>
      <c r="J35" s="47">
        <f>sumatera!AD17</f>
        <v>0</v>
      </c>
      <c r="K35" s="47">
        <f>sumatera!AE17</f>
        <v>485.00540572993179</v>
      </c>
      <c r="L35" s="47">
        <f>sumatera!AF17</f>
        <v>0</v>
      </c>
      <c r="M35" s="47">
        <f>sumatera!AG17</f>
        <v>0</v>
      </c>
      <c r="N35" s="47">
        <f>sumatera!AH17</f>
        <v>0</v>
      </c>
      <c r="O35" s="47">
        <f>sumatera!AI17</f>
        <v>0.76073525898628525</v>
      </c>
      <c r="P35">
        <f>sumatera!Q17</f>
        <v>43990.46586239717</v>
      </c>
    </row>
    <row r="36" spans="1:16" x14ac:dyDescent="0.25">
      <c r="A36" t="str">
        <f>sumatera!B18</f>
        <v>SUMATERA</v>
      </c>
      <c r="B36">
        <f>sumatera!C18</f>
        <v>2033</v>
      </c>
      <c r="C36" s="47">
        <f>sumatera!W18</f>
        <v>493.06067411463215</v>
      </c>
      <c r="D36" s="47">
        <f>sumatera!X18</f>
        <v>0</v>
      </c>
      <c r="E36" s="47">
        <f>sumatera!Y18</f>
        <v>2483.0669604965497</v>
      </c>
      <c r="F36" s="47">
        <f>sumatera!Z18</f>
        <v>0</v>
      </c>
      <c r="G36" s="47">
        <f>sumatera!AA18</f>
        <v>0</v>
      </c>
      <c r="H36" s="47">
        <f>sumatera!AB18</f>
        <v>0</v>
      </c>
      <c r="I36" s="47">
        <f>sumatera!AC18</f>
        <v>0</v>
      </c>
      <c r="J36" s="47">
        <f>sumatera!AD18</f>
        <v>0</v>
      </c>
      <c r="K36" s="47">
        <f>sumatera!AE18</f>
        <v>80.061059812971735</v>
      </c>
      <c r="L36" s="47">
        <f>sumatera!AF18</f>
        <v>0</v>
      </c>
      <c r="M36" s="47">
        <f>sumatera!AG18</f>
        <v>0</v>
      </c>
      <c r="N36" s="47">
        <f>sumatera!AH18</f>
        <v>0</v>
      </c>
      <c r="O36" s="47">
        <f>sumatera!AI18</f>
        <v>0.67157530733679138</v>
      </c>
      <c r="P36">
        <f>sumatera!Q18</f>
        <v>47046.654556821333</v>
      </c>
    </row>
    <row r="37" spans="1:16" x14ac:dyDescent="0.25">
      <c r="A37" t="str">
        <f>sumatera!B19</f>
        <v>SUMATERA</v>
      </c>
      <c r="B37">
        <f>sumatera!C19</f>
        <v>2034</v>
      </c>
      <c r="C37" s="47">
        <f>sumatera!W19</f>
        <v>1150.2639309162539</v>
      </c>
      <c r="D37" s="47">
        <f>sumatera!X19</f>
        <v>2.1308868575940082E-4</v>
      </c>
      <c r="E37" s="47">
        <f>sumatera!Y19</f>
        <v>6.0794844995122989E-4</v>
      </c>
      <c r="F37" s="47">
        <f>sumatera!Z19</f>
        <v>1.0256345771992195E-3</v>
      </c>
      <c r="G37" s="47">
        <f>sumatera!AA19</f>
        <v>0</v>
      </c>
      <c r="H37" s="47">
        <f>sumatera!AB19</f>
        <v>0</v>
      </c>
      <c r="I37" s="47">
        <f>sumatera!AC19</f>
        <v>937.17725620890928</v>
      </c>
      <c r="J37" s="47">
        <f>sumatera!AD19</f>
        <v>0</v>
      </c>
      <c r="K37" s="47">
        <f>sumatera!AE19</f>
        <v>1.7646855660944657E-4</v>
      </c>
      <c r="L37" s="47">
        <f>sumatera!AF19</f>
        <v>0</v>
      </c>
      <c r="M37" s="47">
        <f>sumatera!AG19</f>
        <v>0</v>
      </c>
      <c r="N37" s="47">
        <f>sumatera!AH19</f>
        <v>0</v>
      </c>
      <c r="O37" s="47">
        <f>sumatera!AI19</f>
        <v>0.76957833010313514</v>
      </c>
      <c r="P37">
        <f>sumatera!Q19</f>
        <v>49134.097767086758</v>
      </c>
    </row>
    <row r="38" spans="1:16" x14ac:dyDescent="0.25">
      <c r="A38" t="str">
        <f>sumatera!B20</f>
        <v>SUMATERA</v>
      </c>
      <c r="B38">
        <f>sumatera!C20</f>
        <v>2035</v>
      </c>
      <c r="C38" s="47">
        <f>sumatera!W20</f>
        <v>0</v>
      </c>
      <c r="D38" s="47">
        <f>sumatera!X20</f>
        <v>0</v>
      </c>
      <c r="E38" s="47">
        <f>sumatera!Y20</f>
        <v>686.72268502916927</v>
      </c>
      <c r="F38" s="47">
        <f>sumatera!Z20</f>
        <v>1631.8026605878879</v>
      </c>
      <c r="G38" s="47">
        <f>sumatera!AA20</f>
        <v>0</v>
      </c>
      <c r="H38" s="47">
        <f>sumatera!AB20</f>
        <v>0</v>
      </c>
      <c r="I38" s="47">
        <f>sumatera!AC20</f>
        <v>31.943303868548323</v>
      </c>
      <c r="J38" s="47">
        <f>sumatera!AD20</f>
        <v>0</v>
      </c>
      <c r="K38" s="47">
        <f>sumatera!AE20</f>
        <v>273.7368312860475</v>
      </c>
      <c r="L38" s="47">
        <f>sumatera!AF20</f>
        <v>0</v>
      </c>
      <c r="M38" s="47">
        <f>sumatera!AG20</f>
        <v>0</v>
      </c>
      <c r="N38" s="47">
        <f>sumatera!AH20</f>
        <v>0</v>
      </c>
      <c r="O38" s="47">
        <f>sumatera!AI20</f>
        <v>0.81401069314802221</v>
      </c>
      <c r="P38">
        <f>sumatera!Q20</f>
        <v>51758.303247858421</v>
      </c>
    </row>
    <row r="39" spans="1:16" x14ac:dyDescent="0.25">
      <c r="A39" t="str">
        <f>sumatera!B21</f>
        <v>SUMATERA</v>
      </c>
      <c r="B39">
        <f>sumatera!C21</f>
        <v>2036</v>
      </c>
      <c r="C39" s="47">
        <f>sumatera!W21</f>
        <v>635.41603219613239</v>
      </c>
      <c r="D39" s="47">
        <f>sumatera!X21</f>
        <v>0</v>
      </c>
      <c r="E39" s="47">
        <f>sumatera!Y21</f>
        <v>347.5370655992599</v>
      </c>
      <c r="F39" s="47">
        <f>sumatera!Z21</f>
        <v>907.017315111524</v>
      </c>
      <c r="G39" s="47">
        <f>sumatera!AA21</f>
        <v>0</v>
      </c>
      <c r="H39" s="47">
        <f>sumatera!AB21</f>
        <v>0</v>
      </c>
      <c r="I39" s="47">
        <f>sumatera!AC21</f>
        <v>589.01809749317852</v>
      </c>
      <c r="J39" s="47">
        <f>sumatera!AD21</f>
        <v>0</v>
      </c>
      <c r="K39" s="47">
        <f>sumatera!AE21</f>
        <v>136.86841564302375</v>
      </c>
      <c r="L39" s="47">
        <f>sumatera!AF21</f>
        <v>0</v>
      </c>
      <c r="M39" s="47">
        <f>sumatera!AG21</f>
        <v>0</v>
      </c>
      <c r="N39" s="47">
        <f>sumatera!AH21</f>
        <v>0</v>
      </c>
      <c r="O39" s="47">
        <f>sumatera!AI21</f>
        <v>0.88708367857986659</v>
      </c>
      <c r="P39">
        <f>sumatera!Q21</f>
        <v>54374.160173901539</v>
      </c>
    </row>
    <row r="40" spans="1:16" x14ac:dyDescent="0.25">
      <c r="A40" t="str">
        <f>sumatera!B22</f>
        <v>SUMATERA</v>
      </c>
      <c r="B40">
        <f>sumatera!C22</f>
        <v>2037</v>
      </c>
      <c r="C40" s="47">
        <f>sumatera!W22</f>
        <v>649.53283269329881</v>
      </c>
      <c r="D40" s="47">
        <f>sumatera!X22</f>
        <v>0</v>
      </c>
      <c r="E40" s="47">
        <f>sumatera!Y22</f>
        <v>1541.9923126741619</v>
      </c>
      <c r="F40" s="47">
        <f>sumatera!Z22</f>
        <v>270.15411547343302</v>
      </c>
      <c r="G40" s="47">
        <f>sumatera!AA22</f>
        <v>0</v>
      </c>
      <c r="H40" s="47">
        <f>sumatera!AB22</f>
        <v>0</v>
      </c>
      <c r="I40" s="47">
        <f>sumatera!AC22</f>
        <v>532.84225235360475</v>
      </c>
      <c r="J40" s="47">
        <f>sumatera!AD22</f>
        <v>392.72132532951423</v>
      </c>
      <c r="K40" s="47">
        <f>sumatera!AE22</f>
        <v>68.43420782151189</v>
      </c>
      <c r="L40" s="47">
        <f>sumatera!AF22</f>
        <v>0</v>
      </c>
      <c r="M40" s="47">
        <f>sumatera!AG22</f>
        <v>0</v>
      </c>
      <c r="N40" s="47">
        <f>sumatera!AH22</f>
        <v>0</v>
      </c>
      <c r="O40" s="47">
        <f>sumatera!AI22</f>
        <v>0.94141034672716906</v>
      </c>
      <c r="P40">
        <f>sumatera!Q22</f>
        <v>57829.837220247056</v>
      </c>
    </row>
    <row r="41" spans="1:16" x14ac:dyDescent="0.25">
      <c r="A41" t="str">
        <f>sumatera!B23</f>
        <v>SUMATERA</v>
      </c>
      <c r="B41">
        <f>sumatera!C23</f>
        <v>2038</v>
      </c>
      <c r="C41" s="47">
        <f>sumatera!W23</f>
        <v>753.69108749655231</v>
      </c>
      <c r="D41" s="47">
        <f>sumatera!X23</f>
        <v>0</v>
      </c>
      <c r="E41" s="47">
        <f>sumatera!Y23</f>
        <v>1732.7649850584755</v>
      </c>
      <c r="F41" s="47">
        <f>sumatera!Z23</f>
        <v>303.05163784664546</v>
      </c>
      <c r="G41" s="47">
        <f>sumatera!AA23</f>
        <v>2.3251617644275866E-10</v>
      </c>
      <c r="H41" s="47">
        <f>sumatera!AB23</f>
        <v>6.0507153088632925E-10</v>
      </c>
      <c r="I41" s="47">
        <f>sumatera!AC23</f>
        <v>8.1541837521147117E-10</v>
      </c>
      <c r="J41" s="47">
        <f>sumatera!AD23</f>
        <v>2674.7214346749643</v>
      </c>
      <c r="K41" s="47">
        <f>sumatera!AE23</f>
        <v>0</v>
      </c>
      <c r="L41" s="47">
        <f>sumatera!AF23</f>
        <v>0</v>
      </c>
      <c r="M41" s="47">
        <f>sumatera!AG23</f>
        <v>0</v>
      </c>
      <c r="N41" s="47">
        <f>sumatera!AH23</f>
        <v>9.444722444628652E-7</v>
      </c>
      <c r="O41" s="47">
        <f>sumatera!AI23</f>
        <v>1.3051423922715877</v>
      </c>
      <c r="P41">
        <f>sumatera!Q23</f>
        <v>63294.066366269813</v>
      </c>
    </row>
    <row r="42" spans="1:16" x14ac:dyDescent="0.25">
      <c r="A42" t="str">
        <f>Jawa!B4</f>
        <v>JAWA</v>
      </c>
      <c r="B42">
        <f>Jawa!C4</f>
        <v>2019</v>
      </c>
      <c r="C42" s="46">
        <f>Jawa!W4</f>
        <v>0</v>
      </c>
      <c r="D42" s="46">
        <f>Jawa!X4</f>
        <v>0</v>
      </c>
      <c r="E42" s="46">
        <f>Jawa!Y4</f>
        <v>0</v>
      </c>
      <c r="F42" s="46">
        <f>Jawa!Z4</f>
        <v>0</v>
      </c>
      <c r="G42" s="46">
        <f>Jawa!AA4</f>
        <v>0</v>
      </c>
      <c r="H42" s="46">
        <f>Jawa!AB4</f>
        <v>0</v>
      </c>
      <c r="I42" s="46">
        <f>Jawa!AC4</f>
        <v>0</v>
      </c>
      <c r="J42" s="46">
        <f>Jawa!AD4</f>
        <v>0</v>
      </c>
      <c r="K42" s="46">
        <f>Jawa!AE4</f>
        <v>0</v>
      </c>
      <c r="L42" s="46">
        <f>Jawa!AF4</f>
        <v>0</v>
      </c>
      <c r="M42" s="46">
        <f>Jawa!AG4</f>
        <v>0</v>
      </c>
      <c r="N42" s="46">
        <f>Jawa!AH4</f>
        <v>0</v>
      </c>
      <c r="O42" s="46">
        <f>Jawa!AI4</f>
        <v>0</v>
      </c>
      <c r="P42" s="46">
        <f>Jawa!AJ4</f>
        <v>0</v>
      </c>
    </row>
    <row r="43" spans="1:16" x14ac:dyDescent="0.25">
      <c r="A43" t="str">
        <f>Jawa!B5</f>
        <v>JAWA</v>
      </c>
      <c r="B43">
        <f>Jawa!C5</f>
        <v>2020</v>
      </c>
      <c r="C43" s="46">
        <f>Jawa!W5</f>
        <v>1545.3421578041709</v>
      </c>
      <c r="D43" s="46">
        <f>Jawa!X5</f>
        <v>0</v>
      </c>
      <c r="E43" s="46">
        <f>Jawa!Y5</f>
        <v>1005.7602988504029</v>
      </c>
      <c r="F43" s="46">
        <f>Jawa!Z5</f>
        <v>0</v>
      </c>
      <c r="G43" s="46">
        <f>Jawa!AA5</f>
        <v>0</v>
      </c>
      <c r="H43" s="46">
        <f>Jawa!AB5</f>
        <v>2099.5002810393844</v>
      </c>
      <c r="I43" s="46">
        <f>Jawa!AC5</f>
        <v>0</v>
      </c>
      <c r="J43" s="46">
        <f>Jawa!AD5</f>
        <v>5210.8707525711061</v>
      </c>
      <c r="K43" s="46">
        <f>Jawa!AE5</f>
        <v>22.503287433946543</v>
      </c>
      <c r="L43" s="46">
        <f>Jawa!AF5</f>
        <v>0</v>
      </c>
      <c r="M43" s="46">
        <f>Jawa!AG5</f>
        <v>5.5649797213790588</v>
      </c>
      <c r="N43" s="46">
        <f>Jawa!AH5</f>
        <v>0</v>
      </c>
      <c r="O43" s="46">
        <f>Jawa!AI5</f>
        <v>14.142510384854065</v>
      </c>
      <c r="P43" s="46">
        <f>Jawa!AJ5</f>
        <v>9903.6842678052435</v>
      </c>
    </row>
    <row r="44" spans="1:16" x14ac:dyDescent="0.25">
      <c r="A44" t="str">
        <f>Jawa!B6</f>
        <v>JAWA</v>
      </c>
      <c r="B44">
        <f>Jawa!C6</f>
        <v>2021</v>
      </c>
      <c r="C44" s="46">
        <f>Jawa!W6</f>
        <v>0</v>
      </c>
      <c r="D44" s="46">
        <f>Jawa!X6</f>
        <v>96.968120134650846</v>
      </c>
      <c r="E44" s="46">
        <f>Jawa!Y6</f>
        <v>7594.4612409277916</v>
      </c>
      <c r="F44" s="46">
        <f>Jawa!Z6</f>
        <v>8.3122629976995448</v>
      </c>
      <c r="G44" s="46">
        <f>Jawa!AA6</f>
        <v>0</v>
      </c>
      <c r="H44" s="46">
        <f>Jawa!AB6</f>
        <v>0</v>
      </c>
      <c r="I44" s="46">
        <f>Jawa!AC6</f>
        <v>0</v>
      </c>
      <c r="J44" s="46">
        <f>Jawa!AD6</f>
        <v>0</v>
      </c>
      <c r="K44" s="46">
        <f>Jawa!AE6</f>
        <v>0</v>
      </c>
      <c r="L44" s="46">
        <f>Jawa!AF6</f>
        <v>0</v>
      </c>
      <c r="M44" s="46">
        <f>Jawa!AG6</f>
        <v>0</v>
      </c>
      <c r="N44" s="46">
        <f>Jawa!AH6</f>
        <v>0</v>
      </c>
      <c r="O44" s="46">
        <f>Jawa!AI6</f>
        <v>1.476825443411121</v>
      </c>
      <c r="P44" s="46">
        <f>Jawa!AJ6</f>
        <v>7701.2184495035535</v>
      </c>
    </row>
    <row r="45" spans="1:16" x14ac:dyDescent="0.25">
      <c r="A45" t="str">
        <f>Jawa!B7</f>
        <v>JAWA</v>
      </c>
      <c r="B45">
        <f>Jawa!C7</f>
        <v>2022</v>
      </c>
      <c r="C45" s="46">
        <f>Jawa!W7</f>
        <v>0</v>
      </c>
      <c r="D45" s="46">
        <f>Jawa!X7</f>
        <v>460.20378344547032</v>
      </c>
      <c r="E45" s="46">
        <f>Jawa!Y7</f>
        <v>3092.9978713174155</v>
      </c>
      <c r="F45" s="46">
        <f>Jawa!Z7</f>
        <v>1.2539697780763643</v>
      </c>
      <c r="G45" s="46">
        <f>Jawa!AA7</f>
        <v>0</v>
      </c>
      <c r="H45" s="46">
        <f>Jawa!AB7</f>
        <v>0</v>
      </c>
      <c r="I45" s="46">
        <f>Jawa!AC7</f>
        <v>0</v>
      </c>
      <c r="J45" s="46">
        <f>Jawa!AD7</f>
        <v>0</v>
      </c>
      <c r="K45" s="46">
        <f>Jawa!AE7</f>
        <v>401.93579701097906</v>
      </c>
      <c r="L45" s="46">
        <f>Jawa!AF7</f>
        <v>0</v>
      </c>
      <c r="M45" s="46">
        <f>Jawa!AG7</f>
        <v>0</v>
      </c>
      <c r="N45" s="46">
        <f>Jawa!AH7</f>
        <v>0</v>
      </c>
      <c r="O45" s="46">
        <f>Jawa!AI7</f>
        <v>0.84244999793172681</v>
      </c>
      <c r="P45" s="46">
        <f>Jawa!AJ7</f>
        <v>3957.2338715498731</v>
      </c>
    </row>
    <row r="46" spans="1:16" x14ac:dyDescent="0.25">
      <c r="A46" t="str">
        <f>Jawa!B8</f>
        <v>JAWA</v>
      </c>
      <c r="B46">
        <f>Jawa!C8</f>
        <v>2023</v>
      </c>
      <c r="C46" s="46">
        <f>Jawa!W8</f>
        <v>0</v>
      </c>
      <c r="D46" s="46">
        <f>Jawa!X8</f>
        <v>460.47361334386858</v>
      </c>
      <c r="E46" s="46">
        <f>Jawa!Y8</f>
        <v>1157.2117338532807</v>
      </c>
      <c r="F46" s="46">
        <f>Jawa!Z8</f>
        <v>1.1614785683204221</v>
      </c>
      <c r="G46" s="46">
        <f>Jawa!AA8</f>
        <v>0</v>
      </c>
      <c r="H46" s="46">
        <f>Jawa!AB8</f>
        <v>0</v>
      </c>
      <c r="I46" s="46">
        <f>Jawa!AC8</f>
        <v>0</v>
      </c>
      <c r="J46" s="46">
        <f>Jawa!AD8</f>
        <v>0</v>
      </c>
      <c r="K46" s="46">
        <f>Jawa!AE8</f>
        <v>2097.8546958802467</v>
      </c>
      <c r="L46" s="46">
        <f>Jawa!AF8</f>
        <v>0</v>
      </c>
      <c r="M46" s="46">
        <f>Jawa!AG8</f>
        <v>0</v>
      </c>
      <c r="N46" s="46">
        <f>Jawa!AH8</f>
        <v>0</v>
      </c>
      <c r="O46" s="46">
        <f>Jawa!AI8</f>
        <v>1.1247048663317898</v>
      </c>
      <c r="P46" s="46">
        <f>Jawa!AJ8</f>
        <v>3717.8262265120484</v>
      </c>
    </row>
    <row r="47" spans="1:16" x14ac:dyDescent="0.25">
      <c r="A47" t="str">
        <f>Jawa!B9</f>
        <v>JAWA</v>
      </c>
      <c r="B47">
        <f>Jawa!C9</f>
        <v>2024</v>
      </c>
      <c r="C47" s="46">
        <f>Jawa!W9</f>
        <v>0</v>
      </c>
      <c r="D47" s="46">
        <f>Jawa!X9</f>
        <v>479.94642645230198</v>
      </c>
      <c r="E47" s="46">
        <f>Jawa!Y9</f>
        <v>1366.2658075098479</v>
      </c>
      <c r="F47" s="46">
        <f>Jawa!Z9</f>
        <v>1.337215286283602</v>
      </c>
      <c r="G47" s="46">
        <f>Jawa!AA9</f>
        <v>0</v>
      </c>
      <c r="H47" s="46">
        <f>Jawa!AB9</f>
        <v>0</v>
      </c>
      <c r="I47" s="46">
        <f>Jawa!AC9</f>
        <v>0</v>
      </c>
      <c r="J47" s="46">
        <f>Jawa!AD9</f>
        <v>0</v>
      </c>
      <c r="K47" s="46">
        <f>Jawa!AE9</f>
        <v>2325.2787188130119</v>
      </c>
      <c r="L47" s="46">
        <f>Jawa!AF9</f>
        <v>0</v>
      </c>
      <c r="M47" s="46">
        <f>Jawa!AG9</f>
        <v>0</v>
      </c>
      <c r="N47" s="46">
        <f>Jawa!AH9</f>
        <v>0</v>
      </c>
      <c r="O47" s="46">
        <f>Jawa!AI9</f>
        <v>1.256358129925232</v>
      </c>
      <c r="P47" s="46">
        <f>Jawa!AJ9</f>
        <v>4174.084526191371</v>
      </c>
    </row>
    <row r="48" spans="1:16" x14ac:dyDescent="0.25">
      <c r="A48" t="str">
        <f>Jawa!B10</f>
        <v>JAWA</v>
      </c>
      <c r="B48">
        <f>Jawa!C10</f>
        <v>2025</v>
      </c>
      <c r="C48" s="46">
        <f>Jawa!W10</f>
        <v>0</v>
      </c>
      <c r="D48" s="46">
        <f>Jawa!X10</f>
        <v>505.45533333629334</v>
      </c>
      <c r="E48" s="46">
        <f>Jawa!Y10</f>
        <v>992.72491568250268</v>
      </c>
      <c r="F48" s="46">
        <f>Jawa!Z10</f>
        <v>1.1544154519820125</v>
      </c>
      <c r="G48" s="46">
        <f>Jawa!AA10</f>
        <v>0</v>
      </c>
      <c r="H48" s="46">
        <f>Jawa!AB10</f>
        <v>0</v>
      </c>
      <c r="I48" s="46">
        <f>Jawa!AC10</f>
        <v>0</v>
      </c>
      <c r="J48" s="46">
        <f>Jawa!AD10</f>
        <v>0</v>
      </c>
      <c r="K48" s="46">
        <f>Jawa!AE10</f>
        <v>2429.6963286936189</v>
      </c>
      <c r="L48" s="46">
        <f>Jawa!AF10</f>
        <v>0</v>
      </c>
      <c r="M48" s="46">
        <f>Jawa!AG10</f>
        <v>0</v>
      </c>
      <c r="N48" s="46">
        <f>Jawa!AH10</f>
        <v>0</v>
      </c>
      <c r="O48" s="46">
        <f>Jawa!AI10</f>
        <v>1.2302527235998397</v>
      </c>
      <c r="P48" s="46">
        <f>Jawa!AJ10</f>
        <v>3930.2612458879967</v>
      </c>
    </row>
    <row r="49" spans="1:16" x14ac:dyDescent="0.25">
      <c r="A49" t="str">
        <f>Jawa!B11</f>
        <v>JAWA</v>
      </c>
      <c r="B49">
        <f>Jawa!C11</f>
        <v>2026</v>
      </c>
      <c r="C49" s="46">
        <f>Jawa!W11</f>
        <v>0</v>
      </c>
      <c r="D49" s="46">
        <f>Jawa!X11</f>
        <v>542.8844653029023</v>
      </c>
      <c r="E49" s="46">
        <f>Jawa!Y11</f>
        <v>3984.0558674352574</v>
      </c>
      <c r="F49" s="46">
        <f>Jawa!Z11</f>
        <v>2.0999270262532863</v>
      </c>
      <c r="G49" s="46">
        <f>Jawa!AA11</f>
        <v>0</v>
      </c>
      <c r="H49" s="46">
        <f>Jawa!AB11</f>
        <v>2.8421709430404007E-14</v>
      </c>
      <c r="I49" s="46">
        <f>Jawa!AC11</f>
        <v>0</v>
      </c>
      <c r="J49" s="46">
        <f>Jawa!AD11</f>
        <v>0</v>
      </c>
      <c r="K49" s="46">
        <f>Jawa!AE11</f>
        <v>1610.3969700491855</v>
      </c>
      <c r="L49" s="46">
        <f>Jawa!AF11</f>
        <v>0</v>
      </c>
      <c r="M49" s="46">
        <f>Jawa!AG11</f>
        <v>0</v>
      </c>
      <c r="N49" s="46">
        <f>Jawa!AH11</f>
        <v>0</v>
      </c>
      <c r="O49" s="46">
        <f>Jawa!AI11</f>
        <v>1.4956076708467094</v>
      </c>
      <c r="P49" s="46">
        <f>Jawa!AJ11</f>
        <v>6140.9328374844454</v>
      </c>
    </row>
    <row r="50" spans="1:16" x14ac:dyDescent="0.25">
      <c r="A50" t="str">
        <f>Jawa!B12</f>
        <v>JAWA</v>
      </c>
      <c r="B50">
        <f>Jawa!C12</f>
        <v>2027</v>
      </c>
      <c r="C50" s="46">
        <f>Jawa!W12</f>
        <v>0</v>
      </c>
      <c r="D50" s="46">
        <f>Jawa!X12</f>
        <v>551.69160175703041</v>
      </c>
      <c r="E50" s="46">
        <f>Jawa!Y12</f>
        <v>4218.7048185323329</v>
      </c>
      <c r="F50" s="46">
        <f>Jawa!Z12</f>
        <v>2.1713614212640673</v>
      </c>
      <c r="G50" s="46">
        <f>Jawa!AA12</f>
        <v>0</v>
      </c>
      <c r="H50" s="46">
        <f>Jawa!AB12</f>
        <v>0</v>
      </c>
      <c r="I50" s="46">
        <f>Jawa!AC12</f>
        <v>0</v>
      </c>
      <c r="J50" s="46">
        <f>Jawa!AD12</f>
        <v>0</v>
      </c>
      <c r="K50" s="46">
        <f>Jawa!AE12</f>
        <v>1726.4198794720501</v>
      </c>
      <c r="L50" s="46">
        <f>Jawa!AF12</f>
        <v>0</v>
      </c>
      <c r="M50" s="46">
        <f>Jawa!AG12</f>
        <v>0</v>
      </c>
      <c r="N50" s="46">
        <f>Jawa!AH12</f>
        <v>0</v>
      </c>
      <c r="O50" s="46">
        <f>Jawa!AI12</f>
        <v>1.5870368217056594</v>
      </c>
      <c r="P50" s="46">
        <f>Jawa!AJ12</f>
        <v>6500.5746980043823</v>
      </c>
    </row>
    <row r="51" spans="1:16" x14ac:dyDescent="0.25">
      <c r="A51" t="str">
        <f>Jawa!B13</f>
        <v>JAWA</v>
      </c>
      <c r="B51">
        <f>Jawa!C13</f>
        <v>2028</v>
      </c>
      <c r="C51" s="46">
        <f>Jawa!W13</f>
        <v>0</v>
      </c>
      <c r="D51" s="46">
        <f>Jawa!X13</f>
        <v>584.89237169742421</v>
      </c>
      <c r="E51" s="46">
        <f>Jawa!Y13</f>
        <v>4159.9004995860823</v>
      </c>
      <c r="F51" s="46">
        <f>Jawa!Z13</f>
        <v>2.077175121088453</v>
      </c>
      <c r="G51" s="46">
        <f>Jawa!AA13</f>
        <v>0</v>
      </c>
      <c r="H51" s="46">
        <f>Jawa!AB13</f>
        <v>0</v>
      </c>
      <c r="I51" s="46">
        <f>Jawa!AC13</f>
        <v>0</v>
      </c>
      <c r="J51" s="46">
        <f>Jawa!AD13</f>
        <v>0</v>
      </c>
      <c r="K51" s="46">
        <f>Jawa!AE13</f>
        <v>1770.9267006065065</v>
      </c>
      <c r="L51" s="46">
        <f>Jawa!AF13</f>
        <v>0</v>
      </c>
      <c r="M51" s="46">
        <f>Jawa!AG13</f>
        <v>0</v>
      </c>
      <c r="N51" s="46">
        <f>Jawa!AH13</f>
        <v>0</v>
      </c>
      <c r="O51" s="46">
        <f>Jawa!AI13</f>
        <v>1.5997446175480121</v>
      </c>
      <c r="P51" s="46">
        <f>Jawa!AJ13</f>
        <v>6519.3964916286495</v>
      </c>
    </row>
    <row r="52" spans="1:16" x14ac:dyDescent="0.25">
      <c r="A52" t="str">
        <f>Jawa!B14</f>
        <v>JAWA</v>
      </c>
      <c r="B52">
        <f>Jawa!C14</f>
        <v>2029</v>
      </c>
      <c r="C52" s="46">
        <f>Jawa!W14</f>
        <v>0</v>
      </c>
      <c r="D52" s="46">
        <f>Jawa!X14</f>
        <v>639.45397048933171</v>
      </c>
      <c r="E52" s="46">
        <f>Jawa!Y14</f>
        <v>4398.9824131370424</v>
      </c>
      <c r="F52" s="46">
        <f>Jawa!Z14</f>
        <v>2.1757012391990904</v>
      </c>
      <c r="G52" s="46">
        <f>Jawa!AA14</f>
        <v>0</v>
      </c>
      <c r="H52" s="46">
        <f>Jawa!AB14</f>
        <v>0</v>
      </c>
      <c r="I52" s="46">
        <f>Jawa!AC14</f>
        <v>0</v>
      </c>
      <c r="J52" s="46">
        <f>Jawa!AD14</f>
        <v>0</v>
      </c>
      <c r="K52" s="46">
        <f>Jawa!AE14</f>
        <v>1908.3752720786399</v>
      </c>
      <c r="L52" s="46">
        <f>Jawa!AF14</f>
        <v>0</v>
      </c>
      <c r="M52" s="46">
        <f>Jawa!AG14</f>
        <v>0</v>
      </c>
      <c r="N52" s="46">
        <f>Jawa!AH14</f>
        <v>0</v>
      </c>
      <c r="O52" s="46">
        <f>Jawa!AI14</f>
        <v>1.7097409770504193</v>
      </c>
      <c r="P52" s="46">
        <f>Jawa!AJ14</f>
        <v>6950.6970979212629</v>
      </c>
    </row>
    <row r="53" spans="1:16" x14ac:dyDescent="0.25">
      <c r="A53" t="str">
        <f>Jawa!B15</f>
        <v>JAWA</v>
      </c>
      <c r="B53">
        <f>Jawa!C15</f>
        <v>2030</v>
      </c>
      <c r="C53" s="46">
        <f>Jawa!W15</f>
        <v>0</v>
      </c>
      <c r="D53" s="46">
        <f>Jawa!X15</f>
        <v>675.82156721661443</v>
      </c>
      <c r="E53" s="46">
        <f>Jawa!Y15</f>
        <v>4523.6000272989513</v>
      </c>
      <c r="F53" s="46">
        <f>Jawa!Z15</f>
        <v>2.1898480700956031</v>
      </c>
      <c r="G53" s="46">
        <f>Jawa!AA15</f>
        <v>0</v>
      </c>
      <c r="H53" s="46">
        <f>Jawa!AB15</f>
        <v>0</v>
      </c>
      <c r="I53" s="46">
        <f>Jawa!AC15</f>
        <v>0</v>
      </c>
      <c r="J53" s="46">
        <f>Jawa!AD15</f>
        <v>0</v>
      </c>
      <c r="K53" s="46">
        <f>Jawa!AE15</f>
        <v>2011.6211289749638</v>
      </c>
      <c r="L53" s="46">
        <f>Jawa!AF15</f>
        <v>0</v>
      </c>
      <c r="M53" s="46">
        <f>Jawa!AG15</f>
        <v>0</v>
      </c>
      <c r="N53" s="46">
        <f>Jawa!AH15</f>
        <v>0</v>
      </c>
      <c r="O53" s="46">
        <f>Jawa!AI15</f>
        <v>1.7808666129088699</v>
      </c>
      <c r="P53" s="46">
        <f>Jawa!AJ15</f>
        <v>7215.0134381735334</v>
      </c>
    </row>
    <row r="54" spans="1:16" x14ac:dyDescent="0.25">
      <c r="A54" t="str">
        <f>Jawa!B16</f>
        <v>JAWA</v>
      </c>
      <c r="B54">
        <f>Jawa!C16</f>
        <v>2031</v>
      </c>
      <c r="C54" s="46">
        <f>Jawa!W16</f>
        <v>0</v>
      </c>
      <c r="D54" s="46">
        <f>Jawa!X16</f>
        <v>713.61710201800281</v>
      </c>
      <c r="E54" s="46">
        <f>Jawa!Y16</f>
        <v>5361.3203553828835</v>
      </c>
      <c r="F54" s="46">
        <f>Jawa!Z16</f>
        <v>2.6113233396097337</v>
      </c>
      <c r="G54" s="46">
        <f>Jawa!AA16</f>
        <v>0</v>
      </c>
      <c r="H54" s="46">
        <f>Jawa!AB16</f>
        <v>0</v>
      </c>
      <c r="I54" s="46">
        <f>Jawa!AC16</f>
        <v>0</v>
      </c>
      <c r="J54" s="46">
        <f>Jawa!AD16</f>
        <v>0</v>
      </c>
      <c r="K54" s="46">
        <f>Jawa!AE16</f>
        <v>2331.7157274158803</v>
      </c>
      <c r="L54" s="46">
        <f>Jawa!AF16</f>
        <v>0</v>
      </c>
      <c r="M54" s="46">
        <f>Jawa!AG16</f>
        <v>0</v>
      </c>
      <c r="N54" s="46">
        <f>Jawa!AH16</f>
        <v>0</v>
      </c>
      <c r="O54" s="46">
        <f>Jawa!AI16</f>
        <v>2.0724193584473483</v>
      </c>
      <c r="P54" s="46">
        <f>Jawa!AJ16</f>
        <v>8411.3369275148234</v>
      </c>
    </row>
    <row r="55" spans="1:16" x14ac:dyDescent="0.25">
      <c r="A55" t="str">
        <f>Jawa!B17</f>
        <v>JAWA</v>
      </c>
      <c r="B55">
        <f>Jawa!C17</f>
        <v>2032</v>
      </c>
      <c r="C55" s="46">
        <f>Jawa!W17</f>
        <v>0</v>
      </c>
      <c r="D55" s="46">
        <f>Jawa!X17</f>
        <v>754.09362821613263</v>
      </c>
      <c r="E55" s="46">
        <f>Jawa!Y17</f>
        <v>5718.0124181640085</v>
      </c>
      <c r="F55" s="46">
        <f>Jawa!Z17</f>
        <v>2.7412769436342082</v>
      </c>
      <c r="G55" s="46">
        <f>Jawa!AA17</f>
        <v>0</v>
      </c>
      <c r="H55" s="46">
        <f>Jawa!AB17</f>
        <v>0</v>
      </c>
      <c r="I55" s="46">
        <f>Jawa!AC17</f>
        <v>178.24883750732559</v>
      </c>
      <c r="J55" s="46">
        <f>Jawa!AD17</f>
        <v>0</v>
      </c>
      <c r="K55" s="46">
        <f>Jawa!AE17</f>
        <v>2177.6377467854854</v>
      </c>
      <c r="L55" s="46">
        <f>Jawa!AF17</f>
        <v>0</v>
      </c>
      <c r="M55" s="46">
        <f>Jawa!AG17</f>
        <v>0</v>
      </c>
      <c r="N55" s="46">
        <f>Jawa!AH17</f>
        <v>0</v>
      </c>
      <c r="O55" s="46">
        <f>Jawa!AI17</f>
        <v>2.1627947626406403</v>
      </c>
      <c r="P55" s="46">
        <f>Jawa!AJ17</f>
        <v>8832.8967023792266</v>
      </c>
    </row>
    <row r="56" spans="1:16" x14ac:dyDescent="0.25">
      <c r="A56" t="str">
        <f>Jawa!B18</f>
        <v>JAWA</v>
      </c>
      <c r="B56">
        <f>Jawa!C18</f>
        <v>2033</v>
      </c>
      <c r="C56" s="46">
        <f>Jawa!W18</f>
        <v>890.52498072186324</v>
      </c>
      <c r="D56" s="46">
        <f>Jawa!X18</f>
        <v>574.43993065981465</v>
      </c>
      <c r="E56" s="46">
        <f>Jawa!Y18</f>
        <v>4093.0711972613863</v>
      </c>
      <c r="F56" s="46">
        <f>Jawa!Z18</f>
        <v>2.4972354333393061</v>
      </c>
      <c r="G56" s="46">
        <f>Jawa!AA18</f>
        <v>28.764517449097674</v>
      </c>
      <c r="H56" s="46">
        <f>Jawa!AB18</f>
        <v>223.07393264890669</v>
      </c>
      <c r="I56" s="46">
        <f>Jawa!AC18</f>
        <v>361.23202938689417</v>
      </c>
      <c r="J56" s="46">
        <f>Jawa!AD18</f>
        <v>578.72653393101825</v>
      </c>
      <c r="K56" s="46">
        <f>Jawa!AE18</f>
        <v>1088.8188733927427</v>
      </c>
      <c r="L56" s="46">
        <f>Jawa!AF18</f>
        <v>0</v>
      </c>
      <c r="M56" s="46">
        <f>Jawa!AG18</f>
        <v>0</v>
      </c>
      <c r="N56" s="46">
        <f>Jawa!AH18</f>
        <v>0</v>
      </c>
      <c r="O56" s="46">
        <f>Jawa!AI18</f>
        <v>1.9836572359737801</v>
      </c>
      <c r="P56" s="46">
        <f>Jawa!AJ18</f>
        <v>7843.1328881210366</v>
      </c>
    </row>
    <row r="57" spans="1:16" x14ac:dyDescent="0.25">
      <c r="A57" t="str">
        <f>Jawa!B19</f>
        <v>JAWA</v>
      </c>
      <c r="B57">
        <f>Jawa!C19</f>
        <v>2034</v>
      </c>
      <c r="C57" s="46">
        <f>Jawa!W19</f>
        <v>1525.6815308370183</v>
      </c>
      <c r="D57" s="46">
        <f>Jawa!X19</f>
        <v>842.24111975530354</v>
      </c>
      <c r="E57" s="46">
        <f>Jawa!Y19</f>
        <v>3761.2815148580175</v>
      </c>
      <c r="F57" s="46">
        <f>Jawa!Z19</f>
        <v>2.9889100810308546</v>
      </c>
      <c r="G57" s="46">
        <f>Jawa!AA19</f>
        <v>3.5527136788005009E-15</v>
      </c>
      <c r="H57" s="46">
        <f>Jawa!AB19</f>
        <v>0</v>
      </c>
      <c r="I57" s="46">
        <f>Jawa!AC19</f>
        <v>991.74277842871618</v>
      </c>
      <c r="J57" s="46">
        <f>Jawa!AD19</f>
        <v>780.53703323245122</v>
      </c>
      <c r="K57" s="46">
        <f>Jawa!AE19</f>
        <v>544.40943669637136</v>
      </c>
      <c r="L57" s="46">
        <f>Jawa!AF19</f>
        <v>0</v>
      </c>
      <c r="M57" s="46">
        <f>Jawa!AG19</f>
        <v>0</v>
      </c>
      <c r="N57" s="46">
        <f>Jawa!AH19</f>
        <v>0</v>
      </c>
      <c r="O57" s="46">
        <f>Jawa!AI19</f>
        <v>2.2023973716893295</v>
      </c>
      <c r="P57" s="46">
        <f>Jawa!AJ19</f>
        <v>8451.0847212605986</v>
      </c>
    </row>
    <row r="58" spans="1:16" x14ac:dyDescent="0.25">
      <c r="A58" t="str">
        <f>Jawa!B20</f>
        <v>JAWA</v>
      </c>
      <c r="B58">
        <f>Jawa!C20</f>
        <v>2035</v>
      </c>
      <c r="C58" s="46">
        <f>Jawa!W20</f>
        <v>1498.1385278898101</v>
      </c>
      <c r="D58" s="46">
        <f>Jawa!X20</f>
        <v>385.5788548055005</v>
      </c>
      <c r="E58" s="46">
        <f>Jawa!Y20</f>
        <v>4219.7446695012632</v>
      </c>
      <c r="F58" s="46">
        <f>Jawa!Z20</f>
        <v>2.835035248404342</v>
      </c>
      <c r="G58" s="46">
        <f>Jawa!AA20</f>
        <v>65.146408001977761</v>
      </c>
      <c r="H58" s="46">
        <f>Jawa!AB20</f>
        <v>504.87174591039155</v>
      </c>
      <c r="I58" s="46">
        <f>Jawa!AC20</f>
        <v>689.38820245173793</v>
      </c>
      <c r="J58" s="46">
        <f>Jawa!AD20</f>
        <v>854.00270093692473</v>
      </c>
      <c r="K58" s="46">
        <f>Jawa!AE20</f>
        <v>272.17830050565016</v>
      </c>
      <c r="L58" s="46">
        <f>Jawa!AF20</f>
        <v>0</v>
      </c>
      <c r="M58" s="46">
        <f>Jawa!AG20</f>
        <v>0</v>
      </c>
      <c r="N58" s="46">
        <f>Jawa!AH20</f>
        <v>0</v>
      </c>
      <c r="O58" s="46">
        <f>Jawa!AI20</f>
        <v>2.159047854354867</v>
      </c>
      <c r="P58" s="46">
        <f>Jawa!AJ20</f>
        <v>8494.0434931060136</v>
      </c>
    </row>
    <row r="59" spans="1:16" x14ac:dyDescent="0.25">
      <c r="A59" t="str">
        <f>Jawa!B21</f>
        <v>JAWA</v>
      </c>
      <c r="B59">
        <f>Jawa!C21</f>
        <v>2036</v>
      </c>
      <c r="C59" s="46">
        <f>Jawa!W21</f>
        <v>1670.2752936136151</v>
      </c>
      <c r="D59" s="46">
        <f>Jawa!X21</f>
        <v>254.83661468673131</v>
      </c>
      <c r="E59" s="46">
        <f>Jawa!Y21</f>
        <v>4900.056252183892</v>
      </c>
      <c r="F59" s="46">
        <f>Jawa!Z21</f>
        <v>3.1752408577541433</v>
      </c>
      <c r="G59" s="46">
        <f>Jawa!AA21</f>
        <v>450.8123696694575</v>
      </c>
      <c r="H59" s="46">
        <f>Jawa!AB21</f>
        <v>685.77702020065863</v>
      </c>
      <c r="I59" s="46">
        <f>Jawa!AC21</f>
        <v>344.69407611266297</v>
      </c>
      <c r="J59" s="46">
        <f>Jawa!AD21</f>
        <v>989.00155584278923</v>
      </c>
      <c r="K59" s="46">
        <f>Jawa!AE21</f>
        <v>136.1155680953606</v>
      </c>
      <c r="L59" s="46">
        <f>Jawa!AF21</f>
        <v>0</v>
      </c>
      <c r="M59" s="46">
        <f>Jawa!AG21</f>
        <v>0</v>
      </c>
      <c r="N59" s="46">
        <f>Jawa!AH21</f>
        <v>0</v>
      </c>
      <c r="O59" s="46">
        <f>Jawa!AI21</f>
        <v>2.3863573960535263</v>
      </c>
      <c r="P59" s="46">
        <f>Jawa!AJ21</f>
        <v>9437.1303486589732</v>
      </c>
    </row>
    <row r="60" spans="1:16" x14ac:dyDescent="0.25">
      <c r="A60" t="str">
        <f>Jawa!B22</f>
        <v>JAWA</v>
      </c>
      <c r="B60">
        <f>Jawa!C22</f>
        <v>2037</v>
      </c>
      <c r="C60" s="46">
        <f>Jawa!W22</f>
        <v>1703.5355047811258</v>
      </c>
      <c r="D60" s="46">
        <f>Jawa!X22</f>
        <v>651.28666432237947</v>
      </c>
      <c r="E60" s="46">
        <f>Jawa!Y22</f>
        <v>4617.691356340697</v>
      </c>
      <c r="F60" s="46">
        <f>Jawa!Z22</f>
        <v>3.1655425229260503</v>
      </c>
      <c r="G60" s="46">
        <f>Jawa!AA22</f>
        <v>919.22675610156489</v>
      </c>
      <c r="H60" s="46">
        <f>Jawa!AB22</f>
        <v>342.86779453359293</v>
      </c>
      <c r="I60" s="46">
        <f>Jawa!AC22</f>
        <v>172.34703805633151</v>
      </c>
      <c r="J60" s="46">
        <f>Jawa!AD22</f>
        <v>1100.5475248104553</v>
      </c>
      <c r="K60" s="46">
        <f>Jawa!AE22</f>
        <v>68.057784047680315</v>
      </c>
      <c r="L60" s="46">
        <f>Jawa!AF22</f>
        <v>0</v>
      </c>
      <c r="M60" s="46">
        <f>Jawa!AG22</f>
        <v>0</v>
      </c>
      <c r="N60" s="46">
        <f>Jawa!AH22</f>
        <v>1.2406235350967193E-15</v>
      </c>
      <c r="O60" s="46">
        <f>Jawa!AI22</f>
        <v>2.4593156337541728</v>
      </c>
      <c r="P60" s="46">
        <f>Jawa!AJ22</f>
        <v>9581.1852811505087</v>
      </c>
    </row>
    <row r="61" spans="1:16" x14ac:dyDescent="0.25">
      <c r="A61" t="str">
        <f>Jawa!B23</f>
        <v>JAWA</v>
      </c>
      <c r="B61">
        <f>Jawa!C23</f>
        <v>2038</v>
      </c>
      <c r="C61" s="46">
        <f>Jawa!W23</f>
        <v>1961.3826106463143</v>
      </c>
      <c r="D61" s="46">
        <f>Jawa!X23</f>
        <v>878.45182164625157</v>
      </c>
      <c r="E61" s="46">
        <f>Jawa!Y23</f>
        <v>5172.2556354194749</v>
      </c>
      <c r="F61" s="46">
        <f>Jawa!Z23</f>
        <v>3.6912395625191112</v>
      </c>
      <c r="G61" s="46">
        <f>Jawa!AA23</f>
        <v>1320.9560292913372</v>
      </c>
      <c r="H61" s="46">
        <f>Jawa!AB23</f>
        <v>171.45461283353285</v>
      </c>
      <c r="I61" s="46">
        <f>Jawa!AC23</f>
        <v>86.173519028165728</v>
      </c>
      <c r="J61" s="46">
        <f>Jawa!AD23</f>
        <v>1295.1857777620482</v>
      </c>
      <c r="K61" s="46">
        <f>Jawa!AE23</f>
        <v>34.02889202384015</v>
      </c>
      <c r="L61" s="46">
        <f>Jawa!AF23</f>
        <v>0</v>
      </c>
      <c r="M61" s="46">
        <f>Jawa!AG23</f>
        <v>0</v>
      </c>
      <c r="N61" s="46">
        <f>Jawa!AH23</f>
        <v>0</v>
      </c>
      <c r="O61" s="46">
        <f>Jawa!AI23</f>
        <v>2.8232566845495697</v>
      </c>
      <c r="P61" s="46">
        <f>Jawa!AJ23</f>
        <v>10926.403394898032</v>
      </c>
    </row>
    <row r="62" spans="1:16" x14ac:dyDescent="0.25">
      <c r="A62" t="str">
        <f>bali_nt!B4</f>
        <v>BALI_NT</v>
      </c>
      <c r="B62">
        <f>bali_nt!C4</f>
        <v>2019</v>
      </c>
      <c r="C62" s="46">
        <f>bali_nt!W4</f>
        <v>0</v>
      </c>
      <c r="D62" s="46">
        <f>bali_nt!X4</f>
        <v>0</v>
      </c>
      <c r="E62" s="46">
        <f>bali_nt!Y4</f>
        <v>0</v>
      </c>
      <c r="F62" s="46">
        <f>bali_nt!Z4</f>
        <v>0</v>
      </c>
      <c r="G62" s="46">
        <f>bali_nt!AA4</f>
        <v>0</v>
      </c>
      <c r="H62" s="46">
        <f>bali_nt!AB4</f>
        <v>0</v>
      </c>
      <c r="I62" s="46">
        <f>bali_nt!AC4</f>
        <v>0</v>
      </c>
      <c r="J62" s="46">
        <f>bali_nt!AD4</f>
        <v>0</v>
      </c>
      <c r="K62" s="46">
        <f>bali_nt!AE4</f>
        <v>0</v>
      </c>
      <c r="L62" s="46">
        <f>bali_nt!AF4</f>
        <v>0</v>
      </c>
      <c r="M62" s="46">
        <f>bali_nt!AG4</f>
        <v>0</v>
      </c>
      <c r="N62" s="46">
        <f>bali_nt!AH4</f>
        <v>0</v>
      </c>
      <c r="O62" s="46">
        <f>bali_nt!AI4</f>
        <v>0</v>
      </c>
      <c r="P62" s="46">
        <f>bali_nt!AJ4</f>
        <v>0</v>
      </c>
    </row>
    <row r="63" spans="1:16" x14ac:dyDescent="0.25">
      <c r="A63" t="str">
        <f>bali_nt!B5</f>
        <v>BALI_NT</v>
      </c>
      <c r="B63">
        <f>bali_nt!C5</f>
        <v>2020</v>
      </c>
      <c r="C63" s="46">
        <f>bali_nt!W5</f>
        <v>78.667897649817888</v>
      </c>
      <c r="D63" s="46">
        <f>bali_nt!X5</f>
        <v>0</v>
      </c>
      <c r="E63" s="46">
        <f>bali_nt!Y5</f>
        <v>0</v>
      </c>
      <c r="F63" s="46">
        <f>bali_nt!Z5</f>
        <v>0</v>
      </c>
      <c r="G63" s="46">
        <f>bali_nt!AA5</f>
        <v>131.81990597825299</v>
      </c>
      <c r="H63" s="46">
        <f>bali_nt!AB5</f>
        <v>0</v>
      </c>
      <c r="I63" s="46">
        <f>bali_nt!AC5</f>
        <v>0</v>
      </c>
      <c r="J63" s="46">
        <f>bali_nt!AD5</f>
        <v>29.097875978394075</v>
      </c>
      <c r="K63" s="46">
        <f>bali_nt!AE5</f>
        <v>0</v>
      </c>
      <c r="L63" s="46">
        <f>bali_nt!AF5</f>
        <v>-4.0038264259578682E-7</v>
      </c>
      <c r="M63" s="46">
        <f>bali_nt!AG5</f>
        <v>-3.3184666029320575E-7</v>
      </c>
      <c r="N63" s="46">
        <f>bali_nt!AH5</f>
        <v>0</v>
      </c>
      <c r="O63" s="46">
        <f>bali_nt!AI5</f>
        <v>0.62505484098472719</v>
      </c>
      <c r="P63" s="46">
        <f>bali_nt!AJ5</f>
        <v>240.21073371522039</v>
      </c>
    </row>
    <row r="64" spans="1:16" x14ac:dyDescent="0.25">
      <c r="A64" t="str">
        <f>bali_nt!B6</f>
        <v>BALI_NT</v>
      </c>
      <c r="B64">
        <f>bali_nt!C6</f>
        <v>2021</v>
      </c>
      <c r="C64" s="46">
        <f>bali_nt!W6</f>
        <v>75.795908919278176</v>
      </c>
      <c r="D64" s="46">
        <f>bali_nt!X6</f>
        <v>0</v>
      </c>
      <c r="E64" s="46">
        <f>bali_nt!Y6</f>
        <v>34.617891598102879</v>
      </c>
      <c r="F64" s="46">
        <f>bali_nt!Z6</f>
        <v>-9.9999999997324451E-7</v>
      </c>
      <c r="G64" s="46">
        <f>bali_nt!AA6</f>
        <v>-9.9999999747524271E-7</v>
      </c>
      <c r="H64" s="46">
        <f>bali_nt!AB6</f>
        <v>174.19054873618043</v>
      </c>
      <c r="I64" s="46">
        <f>bali_nt!AC6</f>
        <v>0</v>
      </c>
      <c r="J64" s="46">
        <f>bali_nt!AD6</f>
        <v>25.440085769202792</v>
      </c>
      <c r="K64" s="46">
        <f>bali_nt!AE6</f>
        <v>0</v>
      </c>
      <c r="L64" s="46">
        <f>bali_nt!AF6</f>
        <v>4.0038264259578671E-7</v>
      </c>
      <c r="M64" s="46">
        <f>bali_nt!AG6</f>
        <v>3.318466719967151E-7</v>
      </c>
      <c r="N64" s="46">
        <f>bali_nt!AH6</f>
        <v>0</v>
      </c>
      <c r="O64" s="46">
        <f>bali_nt!AI6</f>
        <v>9.1402131173793477E-2</v>
      </c>
      <c r="P64" s="46">
        <f>bali_nt!AJ6</f>
        <v>310.13583588616734</v>
      </c>
    </row>
    <row r="65" spans="1:16" x14ac:dyDescent="0.25">
      <c r="A65" t="str">
        <f>bali_nt!B7</f>
        <v>BALI_NT</v>
      </c>
      <c r="B65">
        <f>bali_nt!C7</f>
        <v>2022</v>
      </c>
      <c r="C65" s="46">
        <f>bali_nt!W7</f>
        <v>65.239461552924254</v>
      </c>
      <c r="D65" s="46">
        <f>bali_nt!X7</f>
        <v>-9.9999999925159955E-7</v>
      </c>
      <c r="E65" s="46">
        <f>bali_nt!Y7</f>
        <v>103.30276127973227</v>
      </c>
      <c r="F65" s="46">
        <f>bali_nt!Z7</f>
        <v>0</v>
      </c>
      <c r="G65" s="46">
        <f>bali_nt!AA7</f>
        <v>0</v>
      </c>
      <c r="H65" s="46">
        <f>bali_nt!AB7</f>
        <v>116.82720362965181</v>
      </c>
      <c r="I65" s="46">
        <f>bali_nt!AC7</f>
        <v>0</v>
      </c>
      <c r="J65" s="46">
        <f>bali_nt!AD7</f>
        <v>19.834066706010304</v>
      </c>
      <c r="K65" s="46">
        <f>bali_nt!AE7</f>
        <v>0</v>
      </c>
      <c r="L65" s="46">
        <f>bali_nt!AF7</f>
        <v>0</v>
      </c>
      <c r="M65" s="46">
        <f>bali_nt!AG7</f>
        <v>-1.1703509342293799E-14</v>
      </c>
      <c r="N65" s="46">
        <f>bali_nt!AH7</f>
        <v>0</v>
      </c>
      <c r="O65" s="46">
        <f>bali_nt!AI7</f>
        <v>8.2103744564567593E-2</v>
      </c>
      <c r="P65" s="46">
        <f>bali_nt!AJ7</f>
        <v>305.28559591288325</v>
      </c>
    </row>
    <row r="66" spans="1:16" x14ac:dyDescent="0.25">
      <c r="A66" t="str">
        <f>bali_nt!B8</f>
        <v>BALI_NT</v>
      </c>
      <c r="B66">
        <f>bali_nt!C8</f>
        <v>2023</v>
      </c>
      <c r="C66" s="46">
        <f>bali_nt!W8</f>
        <v>54.565258210878334</v>
      </c>
      <c r="D66" s="46">
        <f>bali_nt!X8</f>
        <v>0</v>
      </c>
      <c r="E66" s="46">
        <f>bali_nt!Y8</f>
        <v>174.08713340234104</v>
      </c>
      <c r="F66" s="46">
        <f>bali_nt!Z8</f>
        <v>0</v>
      </c>
      <c r="G66" s="46">
        <f>bali_nt!AA8</f>
        <v>-9.9999999991773336E-7</v>
      </c>
      <c r="H66" s="46">
        <f>bali_nt!AB8</f>
        <v>57.208667701924739</v>
      </c>
      <c r="I66" s="46">
        <f>bali_nt!AC8</f>
        <v>0</v>
      </c>
      <c r="J66" s="46">
        <f>bali_nt!AD8</f>
        <v>12.796276571805532</v>
      </c>
      <c r="K66" s="46">
        <f>bali_nt!AE8</f>
        <v>0</v>
      </c>
      <c r="L66" s="46">
        <f>bali_nt!AF8</f>
        <v>0</v>
      </c>
      <c r="M66" s="46">
        <f>bali_nt!AG8</f>
        <v>0</v>
      </c>
      <c r="N66" s="46">
        <f>bali_nt!AH8</f>
        <v>0</v>
      </c>
      <c r="O66" s="46">
        <f>bali_nt!AI8</f>
        <v>7.2145586305669696E-2</v>
      </c>
      <c r="P66" s="46">
        <f>bali_nt!AJ8</f>
        <v>298.72948047325536</v>
      </c>
    </row>
    <row r="67" spans="1:16" x14ac:dyDescent="0.25">
      <c r="A67" t="str">
        <f>bali_nt!B9</f>
        <v>BALI_NT</v>
      </c>
      <c r="B67">
        <f>bali_nt!C9</f>
        <v>2024</v>
      </c>
      <c r="C67" s="46">
        <f>bali_nt!W9</f>
        <v>16.167504102608273</v>
      </c>
      <c r="D67" s="46">
        <f>bali_nt!X9</f>
        <v>-9.9999999991773336E-7</v>
      </c>
      <c r="E67" s="46">
        <f>bali_nt!Y9</f>
        <v>21.078411763300171</v>
      </c>
      <c r="F67" s="46">
        <f>bali_nt!Z9</f>
        <v>0</v>
      </c>
      <c r="G67" s="46">
        <f>bali_nt!AA9</f>
        <v>0</v>
      </c>
      <c r="H67" s="46">
        <f>bali_nt!AB9</f>
        <v>0</v>
      </c>
      <c r="I67" s="46">
        <f>bali_nt!AC9</f>
        <v>0</v>
      </c>
      <c r="J67" s="46">
        <f>bali_nt!AD9</f>
        <v>14.845045559358446</v>
      </c>
      <c r="K67" s="46">
        <f>bali_nt!AE9</f>
        <v>0</v>
      </c>
      <c r="L67" s="46">
        <f>bali_nt!AF9</f>
        <v>111.6900361428942</v>
      </c>
      <c r="M67" s="46">
        <f>bali_nt!AG9</f>
        <v>0</v>
      </c>
      <c r="N67" s="46">
        <f>bali_nt!AH9</f>
        <v>0</v>
      </c>
      <c r="O67" s="46">
        <f>bali_nt!AI9</f>
        <v>3.2173596317986997E-2</v>
      </c>
      <c r="P67" s="46">
        <f>bali_nt!AJ9</f>
        <v>163.81317016447909</v>
      </c>
    </row>
    <row r="68" spans="1:16" x14ac:dyDescent="0.25">
      <c r="A68" t="str">
        <f>bali_nt!B10</f>
        <v>BALI_NT</v>
      </c>
      <c r="B68">
        <f>bali_nt!C10</f>
        <v>2025</v>
      </c>
      <c r="C68" s="46">
        <f>bali_nt!W10</f>
        <v>23.813934534325529</v>
      </c>
      <c r="D68" s="46">
        <f>bali_nt!X10</f>
        <v>-9.9999999747524271E-7</v>
      </c>
      <c r="E68" s="46">
        <f>bali_nt!Y10</f>
        <v>73.99864585920885</v>
      </c>
      <c r="F68" s="46">
        <f>bali_nt!Z10</f>
        <v>0</v>
      </c>
      <c r="G68" s="46">
        <f>bali_nt!AA10</f>
        <v>0</v>
      </c>
      <c r="H68" s="46">
        <f>bali_nt!AB10</f>
        <v>-9.9999999997324451E-7</v>
      </c>
      <c r="I68" s="46">
        <f>bali_nt!AC10</f>
        <v>0</v>
      </c>
      <c r="J68" s="46">
        <f>bali_nt!AD10</f>
        <v>14.461199131701798</v>
      </c>
      <c r="K68" s="46">
        <f>bali_nt!AE10</f>
        <v>0</v>
      </c>
      <c r="L68" s="46">
        <f>bali_nt!AF10</f>
        <v>93.341085746113421</v>
      </c>
      <c r="M68" s="46">
        <f>bali_nt!AG10</f>
        <v>0</v>
      </c>
      <c r="N68" s="46">
        <f>bali_nt!AH10</f>
        <v>0</v>
      </c>
      <c r="O68" s="46">
        <f>bali_nt!AI10</f>
        <v>4.1611103205937972E-2</v>
      </c>
      <c r="P68" s="46">
        <f>bali_nt!AJ10</f>
        <v>205.65647437455556</v>
      </c>
    </row>
    <row r="69" spans="1:16" x14ac:dyDescent="0.25">
      <c r="A69" t="str">
        <f>bali_nt!B11</f>
        <v>BALI_NT</v>
      </c>
      <c r="B69">
        <f>bali_nt!C11</f>
        <v>2026</v>
      </c>
      <c r="C69" s="46">
        <f>bali_nt!W11</f>
        <v>36.661708044829368</v>
      </c>
      <c r="D69" s="46">
        <f>bali_nt!X11</f>
        <v>0</v>
      </c>
      <c r="E69" s="46">
        <f>bali_nt!Y11</f>
        <v>107.20960530475855</v>
      </c>
      <c r="F69" s="46">
        <f>bali_nt!Z11</f>
        <v>0</v>
      </c>
      <c r="G69" s="46">
        <f>bali_nt!AA11</f>
        <v>-9.999999999999972E-7</v>
      </c>
      <c r="H69" s="46">
        <f>bali_nt!AB11</f>
        <v>0</v>
      </c>
      <c r="I69" s="46">
        <f>bali_nt!AC11</f>
        <v>0</v>
      </c>
      <c r="J69" s="46">
        <f>bali_nt!AD11</f>
        <v>13.894846240382339</v>
      </c>
      <c r="K69" s="46">
        <f>bali_nt!AE11</f>
        <v>0</v>
      </c>
      <c r="L69" s="46">
        <f>bali_nt!AF11</f>
        <v>74.855520639537247</v>
      </c>
      <c r="M69" s="46">
        <f>bali_nt!AG11</f>
        <v>0</v>
      </c>
      <c r="N69" s="46">
        <f>bali_nt!AH11</f>
        <v>0</v>
      </c>
      <c r="O69" s="46">
        <f>bali_nt!AI11</f>
        <v>4.8954549379870427E-2</v>
      </c>
      <c r="P69" s="46">
        <f>bali_nt!AJ11</f>
        <v>232.67063377888738</v>
      </c>
    </row>
    <row r="70" spans="1:16" x14ac:dyDescent="0.25">
      <c r="A70" t="str">
        <f>bali_nt!B12</f>
        <v>BALI_NT</v>
      </c>
      <c r="B70">
        <f>bali_nt!C12</f>
        <v>2027</v>
      </c>
      <c r="C70" s="46">
        <f>bali_nt!W12</f>
        <v>33.531260455271735</v>
      </c>
      <c r="D70" s="46">
        <f>bali_nt!X12</f>
        <v>92.406766057796403</v>
      </c>
      <c r="E70" s="46">
        <f>bali_nt!Y12</f>
        <v>-9.9999999925159955E-7</v>
      </c>
      <c r="F70" s="46">
        <f>bali_nt!Z12</f>
        <v>0</v>
      </c>
      <c r="G70" s="46">
        <f>bali_nt!AA12</f>
        <v>0</v>
      </c>
      <c r="H70" s="46">
        <f>bali_nt!AB12</f>
        <v>-9.9999999997324451E-7</v>
      </c>
      <c r="I70" s="46">
        <f>bali_nt!AC12</f>
        <v>0</v>
      </c>
      <c r="J70" s="46">
        <f>bali_nt!AD12</f>
        <v>14.735722000202482</v>
      </c>
      <c r="K70" s="46">
        <f>bali_nt!AE12</f>
        <v>0</v>
      </c>
      <c r="L70" s="46">
        <f>bali_nt!AF12</f>
        <v>71.690470244733731</v>
      </c>
      <c r="M70" s="46">
        <f>bali_nt!AG12</f>
        <v>0</v>
      </c>
      <c r="N70" s="46">
        <f>bali_nt!AH12</f>
        <v>0</v>
      </c>
      <c r="O70" s="46">
        <f>bali_nt!AI12</f>
        <v>4.6135780142135152E-2</v>
      </c>
      <c r="P70" s="46">
        <f>bali_nt!AJ12</f>
        <v>212.4103525381465</v>
      </c>
    </row>
    <row r="71" spans="1:16" x14ac:dyDescent="0.25">
      <c r="A71" t="str">
        <f>bali_nt!B13</f>
        <v>BALI_NT</v>
      </c>
      <c r="B71">
        <f>bali_nt!C13</f>
        <v>2028</v>
      </c>
      <c r="C71" s="46">
        <f>bali_nt!W13</f>
        <v>38.577097308759996</v>
      </c>
      <c r="D71" s="46">
        <f>bali_nt!X13</f>
        <v>129.38827825599714</v>
      </c>
      <c r="E71" s="46">
        <f>bali_nt!Y13</f>
        <v>-9.9999999925159955E-7</v>
      </c>
      <c r="F71" s="46">
        <f>bali_nt!Z13</f>
        <v>0</v>
      </c>
      <c r="G71" s="46">
        <f>bali_nt!AA13</f>
        <v>-9.999999999999972E-7</v>
      </c>
      <c r="H71" s="46">
        <f>bali_nt!AB13</f>
        <v>0</v>
      </c>
      <c r="I71" s="46">
        <f>bali_nt!AC13</f>
        <v>0</v>
      </c>
      <c r="J71" s="46">
        <f>bali_nt!AD13</f>
        <v>14.117942958491932</v>
      </c>
      <c r="K71" s="46">
        <f>bali_nt!AE13</f>
        <v>0</v>
      </c>
      <c r="L71" s="46">
        <f>bali_nt!AF13</f>
        <v>54.921059165662626</v>
      </c>
      <c r="M71" s="46">
        <f>bali_nt!AG13</f>
        <v>0</v>
      </c>
      <c r="N71" s="46">
        <f>bali_nt!AH13</f>
        <v>0</v>
      </c>
      <c r="O71" s="46">
        <f>bali_nt!AI13</f>
        <v>5.243629829492602E-2</v>
      </c>
      <c r="P71" s="46">
        <f>bali_nt!AJ13</f>
        <v>237.05681198720663</v>
      </c>
    </row>
    <row r="72" spans="1:16" x14ac:dyDescent="0.25">
      <c r="A72" t="str">
        <f>bali_nt!B14</f>
        <v>BALI_NT</v>
      </c>
      <c r="B72">
        <f>bali_nt!C14</f>
        <v>2029</v>
      </c>
      <c r="C72" s="46">
        <f>bali_nt!W14</f>
        <v>38.992838859280326</v>
      </c>
      <c r="D72" s="46">
        <f>bali_nt!X14</f>
        <v>0</v>
      </c>
      <c r="E72" s="46">
        <f>bali_nt!Y14</f>
        <v>88.260227698398239</v>
      </c>
      <c r="F72" s="46">
        <f>bali_nt!Z14</f>
        <v>0</v>
      </c>
      <c r="G72" s="46">
        <f>bali_nt!AA14</f>
        <v>-9.999999999999972E-7</v>
      </c>
      <c r="H72" s="46">
        <f>bali_nt!AB14</f>
        <v>-9.9999999991773336E-7</v>
      </c>
      <c r="I72" s="46">
        <f>bali_nt!AC14</f>
        <v>0</v>
      </c>
      <c r="J72" s="46">
        <f>bali_nt!AD14</f>
        <v>21.904507898557128</v>
      </c>
      <c r="K72" s="46">
        <f>bali_nt!AE14</f>
        <v>0</v>
      </c>
      <c r="L72" s="46">
        <f>bali_nt!AF14</f>
        <v>112.25268609663954</v>
      </c>
      <c r="M72" s="46">
        <f>bali_nt!AG14</f>
        <v>0</v>
      </c>
      <c r="N72" s="46">
        <f>bali_nt!AH14</f>
        <v>0</v>
      </c>
      <c r="O72" s="46">
        <f>bali_nt!AI14</f>
        <v>5.4414207275515603E-2</v>
      </c>
      <c r="P72" s="46">
        <f>bali_nt!AJ14</f>
        <v>261.46467276015073</v>
      </c>
    </row>
    <row r="73" spans="1:16" x14ac:dyDescent="0.25">
      <c r="A73" t="str">
        <f>bali_nt!B15</f>
        <v>BALI_NT</v>
      </c>
      <c r="B73">
        <f>bali_nt!C15</f>
        <v>2030</v>
      </c>
      <c r="C73" s="46">
        <f>bali_nt!W15</f>
        <v>41.839526855647598</v>
      </c>
      <c r="D73" s="46">
        <f>bali_nt!X15</f>
        <v>197.54466346357964</v>
      </c>
      <c r="E73" s="46">
        <f>bali_nt!Y15</f>
        <v>0</v>
      </c>
      <c r="F73" s="46">
        <f>bali_nt!Z15</f>
        <v>0</v>
      </c>
      <c r="G73" s="46">
        <f>bali_nt!AA15</f>
        <v>-9.999999999999972E-7</v>
      </c>
      <c r="H73" s="46">
        <f>bali_nt!AB15</f>
        <v>0</v>
      </c>
      <c r="I73" s="46">
        <f>bali_nt!AC15</f>
        <v>0</v>
      </c>
      <c r="J73" s="46">
        <f>bali_nt!AD15</f>
        <v>10.098514416218315</v>
      </c>
      <c r="K73" s="46">
        <f>bali_nt!AE15</f>
        <v>0</v>
      </c>
      <c r="L73" s="46">
        <f>bali_nt!AF15</f>
        <v>-9.9999999925159955E-7</v>
      </c>
      <c r="M73" s="46">
        <f>bali_nt!AG15</f>
        <v>0</v>
      </c>
      <c r="N73" s="46">
        <f>bali_nt!AH15</f>
        <v>0</v>
      </c>
      <c r="O73" s="46">
        <f>bali_nt!AI15</f>
        <v>5.7210503843336591E-2</v>
      </c>
      <c r="P73" s="46">
        <f>bali_nt!AJ15</f>
        <v>249.53991323928889</v>
      </c>
    </row>
    <row r="74" spans="1:16" x14ac:dyDescent="0.25">
      <c r="A74" t="str">
        <f>bali_nt!B16</f>
        <v>BALI_NT</v>
      </c>
      <c r="B74">
        <f>bali_nt!C16</f>
        <v>2031</v>
      </c>
      <c r="C74" s="46">
        <f>bali_nt!W16</f>
        <v>52.097826390842563</v>
      </c>
      <c r="D74" s="46">
        <f>bali_nt!X16</f>
        <v>113.41673494223282</v>
      </c>
      <c r="E74" s="46">
        <f>bali_nt!Y16</f>
        <v>85.129939624271742</v>
      </c>
      <c r="F74" s="46">
        <f>bali_nt!Z16</f>
        <v>0</v>
      </c>
      <c r="G74" s="46">
        <f>bali_nt!AA16</f>
        <v>0</v>
      </c>
      <c r="H74" s="46">
        <f>bali_nt!AB16</f>
        <v>0</v>
      </c>
      <c r="I74" s="46">
        <f>bali_nt!AC16</f>
        <v>0</v>
      </c>
      <c r="J74" s="46">
        <f>bali_nt!AD16</f>
        <v>17.736909263673336</v>
      </c>
      <c r="K74" s="46">
        <f>bali_nt!AE16</f>
        <v>0</v>
      </c>
      <c r="L74" s="46">
        <f>bali_nt!AF16</f>
        <v>54.491719179653181</v>
      </c>
      <c r="M74" s="46">
        <f>bali_nt!AG16</f>
        <v>0</v>
      </c>
      <c r="N74" s="46">
        <f>bali_nt!AH16</f>
        <v>0</v>
      </c>
      <c r="O74" s="46">
        <f>bali_nt!AI16</f>
        <v>7.0725453272995953E-2</v>
      </c>
      <c r="P74" s="46">
        <f>bali_nt!AJ16</f>
        <v>322.94385485394662</v>
      </c>
    </row>
    <row r="75" spans="1:16" x14ac:dyDescent="0.25">
      <c r="A75" t="str">
        <f>bali_nt!B17</f>
        <v>BALI_NT</v>
      </c>
      <c r="B75">
        <f>bali_nt!C17</f>
        <v>2032</v>
      </c>
      <c r="C75" s="46">
        <f>bali_nt!W17</f>
        <v>55.109902486205705</v>
      </c>
      <c r="D75" s="46">
        <f>bali_nt!X17</f>
        <v>156.56458040766367</v>
      </c>
      <c r="E75" s="46">
        <f>bali_nt!Y17</f>
        <v>0</v>
      </c>
      <c r="F75" s="46">
        <f>bali_nt!Z17</f>
        <v>0</v>
      </c>
      <c r="G75" s="46">
        <f>bali_nt!AA17</f>
        <v>0</v>
      </c>
      <c r="H75" s="46">
        <f>bali_nt!AB17</f>
        <v>44.892835619505824</v>
      </c>
      <c r="I75" s="46">
        <f>bali_nt!AC17</f>
        <v>0</v>
      </c>
      <c r="J75" s="46">
        <f>bali_nt!AD17</f>
        <v>26.808380951159357</v>
      </c>
      <c r="K75" s="46">
        <f>bali_nt!AE17</f>
        <v>0</v>
      </c>
      <c r="L75" s="46">
        <f>bali_nt!AF17</f>
        <v>30.878711892383027</v>
      </c>
      <c r="M75" s="46">
        <f>bali_nt!AG17</f>
        <v>0</v>
      </c>
      <c r="N75" s="46">
        <f>bali_nt!AH17</f>
        <v>0</v>
      </c>
      <c r="O75" s="46">
        <f>bali_nt!AI17</f>
        <v>7.6156115994873153E-2</v>
      </c>
      <c r="P75" s="46">
        <f>bali_nt!AJ17</f>
        <v>314.33056747291243</v>
      </c>
    </row>
    <row r="76" spans="1:16" x14ac:dyDescent="0.25">
      <c r="A76" t="str">
        <f>bali_nt!B18</f>
        <v>BALI_NT</v>
      </c>
      <c r="B76">
        <f>bali_nt!C18</f>
        <v>2033</v>
      </c>
      <c r="C76" s="46">
        <f>bali_nt!W18</f>
        <v>47.089522292423808</v>
      </c>
      <c r="D76" s="46">
        <f>bali_nt!X18</f>
        <v>0</v>
      </c>
      <c r="E76" s="46">
        <f>bali_nt!Y18</f>
        <v>147.90187873716258</v>
      </c>
      <c r="F76" s="46">
        <f>bali_nt!Z18</f>
        <v>-9.9999999991773336E-7</v>
      </c>
      <c r="G76" s="46">
        <f>bali_nt!AA18</f>
        <v>-9.9999999991773336E-7</v>
      </c>
      <c r="H76" s="46">
        <f>bali_nt!AB18</f>
        <v>47.720685247575062</v>
      </c>
      <c r="I76" s="46">
        <f>bali_nt!AC18</f>
        <v>0</v>
      </c>
      <c r="J76" s="46">
        <f>bali_nt!AD18</f>
        <v>27.686313951935805</v>
      </c>
      <c r="K76" s="46">
        <f>bali_nt!AE18</f>
        <v>0</v>
      </c>
      <c r="L76" s="46">
        <f>bali_nt!AF18</f>
        <v>15.439355946191514</v>
      </c>
      <c r="M76" s="46">
        <f>bali_nt!AG18</f>
        <v>0</v>
      </c>
      <c r="N76" s="46">
        <f>bali_nt!AH18</f>
        <v>0</v>
      </c>
      <c r="O76" s="46">
        <f>bali_nt!AI18</f>
        <v>6.7807127070676598E-2</v>
      </c>
      <c r="P76" s="46">
        <f>bali_nt!AJ18</f>
        <v>285.9055613023595</v>
      </c>
    </row>
    <row r="77" spans="1:16" x14ac:dyDescent="0.25">
      <c r="A77" t="str">
        <f>bali_nt!B19</f>
        <v>BALI_NT</v>
      </c>
      <c r="B77">
        <f>bali_nt!C19</f>
        <v>2034</v>
      </c>
      <c r="C77" s="46">
        <f>bali_nt!W19</f>
        <v>60.795438350125387</v>
      </c>
      <c r="D77" s="46">
        <f>bali_nt!X19</f>
        <v>174.41842235536581</v>
      </c>
      <c r="E77" s="46">
        <f>bali_nt!Y19</f>
        <v>0</v>
      </c>
      <c r="F77" s="46">
        <f>bali_nt!Z19</f>
        <v>0</v>
      </c>
      <c r="G77" s="46">
        <f>bali_nt!AA19</f>
        <v>-9.9999999925159955E-7</v>
      </c>
      <c r="H77" s="46">
        <f>bali_nt!AB19</f>
        <v>65.438732492753374</v>
      </c>
      <c r="I77" s="46">
        <f>bali_nt!AC19</f>
        <v>0</v>
      </c>
      <c r="J77" s="46">
        <f>bali_nt!AD19</f>
        <v>33.707104228242294</v>
      </c>
      <c r="K77" s="46">
        <f>bali_nt!AE19</f>
        <v>0</v>
      </c>
      <c r="L77" s="46">
        <f>bali_nt!AF19</f>
        <v>7.7196779730957568</v>
      </c>
      <c r="M77" s="46">
        <f>bali_nt!AG19</f>
        <v>0</v>
      </c>
      <c r="N77" s="46">
        <f>bali_nt!AH19</f>
        <v>0</v>
      </c>
      <c r="O77" s="46">
        <f>bali_nt!AI19</f>
        <v>8.565188710606142E-2</v>
      </c>
      <c r="P77" s="46">
        <f>bali_nt!AJ19</f>
        <v>342.16502628668871</v>
      </c>
    </row>
    <row r="78" spans="1:16" x14ac:dyDescent="0.25">
      <c r="A78" t="str">
        <f>bali_nt!B20</f>
        <v>BALI_NT</v>
      </c>
      <c r="B78">
        <f>bali_nt!C20</f>
        <v>2035</v>
      </c>
      <c r="C78" s="46">
        <f>bali_nt!W20</f>
        <v>57.794498431723653</v>
      </c>
      <c r="D78" s="46">
        <f>bali_nt!X20</f>
        <v>-9.9999999747524271E-7</v>
      </c>
      <c r="E78" s="46">
        <f>bali_nt!Y20</f>
        <v>181.58082376732534</v>
      </c>
      <c r="F78" s="46">
        <f>bali_nt!Z20</f>
        <v>0</v>
      </c>
      <c r="G78" s="46">
        <f>bali_nt!AA20</f>
        <v>5.0038894696937657</v>
      </c>
      <c r="H78" s="46">
        <f>bali_nt!AB20</f>
        <v>58.860664786204374</v>
      </c>
      <c r="I78" s="46">
        <f>bali_nt!AC20</f>
        <v>0</v>
      </c>
      <c r="J78" s="46">
        <f>bali_nt!AD20</f>
        <v>36.318897700619644</v>
      </c>
      <c r="K78" s="46">
        <f>bali_nt!AE20</f>
        <v>0</v>
      </c>
      <c r="L78" s="46">
        <f>bali_nt!AF20</f>
        <v>3.8598389865478784</v>
      </c>
      <c r="M78" s="46">
        <f>bali_nt!AG20</f>
        <v>-3.3184666028973631E-7</v>
      </c>
      <c r="N78" s="46">
        <f>bali_nt!AH20</f>
        <v>0</v>
      </c>
      <c r="O78" s="46">
        <f>bali_nt!AI20</f>
        <v>8.3499733390459685E-2</v>
      </c>
      <c r="P78" s="46">
        <f>bali_nt!AJ20</f>
        <v>343.50211154365843</v>
      </c>
    </row>
    <row r="79" spans="1:16" x14ac:dyDescent="0.25">
      <c r="A79" t="str">
        <f>bali_nt!B21</f>
        <v>BALI_NT</v>
      </c>
      <c r="B79">
        <f>bali_nt!C21</f>
        <v>2036</v>
      </c>
      <c r="C79" s="46">
        <f>bali_nt!W21</f>
        <v>61.257789041215958</v>
      </c>
      <c r="D79" s="46">
        <f>bali_nt!X21</f>
        <v>178.94283610719887</v>
      </c>
      <c r="E79" s="46">
        <f>bali_nt!Y21</f>
        <v>0</v>
      </c>
      <c r="F79" s="46">
        <f>bali_nt!Z21</f>
        <v>0</v>
      </c>
      <c r="G79" s="46">
        <f>bali_nt!AA21</f>
        <v>28.873241225530165</v>
      </c>
      <c r="H79" s="46">
        <f>bali_nt!AB21</f>
        <v>29.430332393102187</v>
      </c>
      <c r="I79" s="46">
        <f>bali_nt!AC21</f>
        <v>0</v>
      </c>
      <c r="J79" s="46">
        <f>bali_nt!AD21</f>
        <v>40.873293180856436</v>
      </c>
      <c r="K79" s="46">
        <f>bali_nt!AE21</f>
        <v>0</v>
      </c>
      <c r="L79" s="46">
        <f>bali_nt!AF21</f>
        <v>1.9299194932739392</v>
      </c>
      <c r="M79" s="46">
        <f>bali_nt!AG21</f>
        <v>3.3184666028973599E-7</v>
      </c>
      <c r="N79" s="46">
        <f>bali_nt!AH21</f>
        <v>0</v>
      </c>
      <c r="O79" s="46">
        <f>bali_nt!AI21</f>
        <v>8.9295291870355342E-2</v>
      </c>
      <c r="P79" s="46">
        <f>bali_nt!AJ21</f>
        <v>341.39670706489449</v>
      </c>
    </row>
    <row r="80" spans="1:16" x14ac:dyDescent="0.25">
      <c r="A80" t="str">
        <f>bali_nt!B22</f>
        <v>BALI_NT</v>
      </c>
      <c r="B80">
        <f>bali_nt!C22</f>
        <v>2037</v>
      </c>
      <c r="C80" s="46">
        <f>bali_nt!W22</f>
        <v>64.398134616984748</v>
      </c>
      <c r="D80" s="46">
        <f>bali_nt!X22</f>
        <v>0</v>
      </c>
      <c r="E80" s="46">
        <f>bali_nt!Y22</f>
        <v>204.24153092138056</v>
      </c>
      <c r="F80" s="46">
        <f>bali_nt!Z22</f>
        <v>-9.9999999925159955E-7</v>
      </c>
      <c r="G80" s="46">
        <f>bali_nt!AA22</f>
        <v>42.131713294521845</v>
      </c>
      <c r="H80" s="46">
        <f>bali_nt!AB22</f>
        <v>14.715166196551094</v>
      </c>
      <c r="I80" s="46">
        <f>bali_nt!AC22</f>
        <v>0</v>
      </c>
      <c r="J80" s="46">
        <f>bali_nt!AD22</f>
        <v>45.85495506887986</v>
      </c>
      <c r="K80" s="46">
        <f>bali_nt!AE22</f>
        <v>0</v>
      </c>
      <c r="L80" s="46">
        <f>bali_nt!AF22</f>
        <v>0.9649597466369696</v>
      </c>
      <c r="M80" s="46">
        <f>bali_nt!AG22</f>
        <v>0</v>
      </c>
      <c r="N80" s="46">
        <f>bali_nt!AH22</f>
        <v>0</v>
      </c>
      <c r="O80" s="46">
        <f>bali_nt!AI22</f>
        <v>9.4858155594623295E-2</v>
      </c>
      <c r="P80" s="46">
        <f>bali_nt!AJ22</f>
        <v>372.40131700054968</v>
      </c>
    </row>
    <row r="81" spans="1:16" x14ac:dyDescent="0.25">
      <c r="A81" t="str">
        <f>bali_nt!B23</f>
        <v>BALI_NT</v>
      </c>
      <c r="B81">
        <f>bali_nt!C23</f>
        <v>2038</v>
      </c>
      <c r="C81" s="46">
        <f>bali_nt!W23</f>
        <v>75.867369104117856</v>
      </c>
      <c r="D81" s="46">
        <f>bali_nt!X23</f>
        <v>221.77989620510587</v>
      </c>
      <c r="E81" s="46">
        <f>bali_nt!Y23</f>
        <v>0</v>
      </c>
      <c r="F81" s="46">
        <f>bali_nt!Z23</f>
        <v>-9.9999999925159955E-7</v>
      </c>
      <c r="G81" s="46">
        <f>bali_nt!AA23</f>
        <v>55.602861982729273</v>
      </c>
      <c r="H81" s="46">
        <f>bali_nt!AB23</f>
        <v>7.3575830982755468</v>
      </c>
      <c r="I81" s="46">
        <f>bali_nt!AC23</f>
        <v>0</v>
      </c>
      <c r="J81" s="46">
        <f>bali_nt!AD23</f>
        <v>54.055542226519641</v>
      </c>
      <c r="K81" s="46">
        <f>bali_nt!AE23</f>
        <v>0</v>
      </c>
      <c r="L81" s="46">
        <f>bali_nt!AF23</f>
        <v>0.4824798733184848</v>
      </c>
      <c r="M81" s="46">
        <f>bali_nt!AG23</f>
        <v>1.1703509342293799E-14</v>
      </c>
      <c r="N81" s="46">
        <f>bali_nt!AH23</f>
        <v>0</v>
      </c>
      <c r="O81" s="46">
        <f>bali_nt!AI23</f>
        <v>0.11105967286928942</v>
      </c>
      <c r="P81" s="46">
        <f>bali_nt!AJ23</f>
        <v>415.256791162936</v>
      </c>
    </row>
    <row r="82" spans="1:16" x14ac:dyDescent="0.25">
      <c r="A82" t="str">
        <f>kalimantan!B4</f>
        <v>KALIMANTAN</v>
      </c>
      <c r="B82">
        <f>kalimantan!C4</f>
        <v>2019</v>
      </c>
      <c r="C82" s="46">
        <f>kalimantan!W4</f>
        <v>0</v>
      </c>
      <c r="D82" s="46">
        <f>kalimantan!X4</f>
        <v>0</v>
      </c>
      <c r="E82" s="46">
        <f>kalimantan!Y4</f>
        <v>0</v>
      </c>
      <c r="F82" s="46">
        <f>kalimantan!Z4</f>
        <v>0</v>
      </c>
      <c r="G82" s="46">
        <f>kalimantan!AA4</f>
        <v>0</v>
      </c>
      <c r="H82" s="46">
        <f>kalimantan!AB4</f>
        <v>0</v>
      </c>
      <c r="I82" s="46">
        <f>kalimantan!AC4</f>
        <v>0</v>
      </c>
      <c r="J82" s="46">
        <f>kalimantan!AD4</f>
        <v>0</v>
      </c>
      <c r="K82" s="46">
        <f>kalimantan!AE4</f>
        <v>0</v>
      </c>
      <c r="L82" s="46">
        <f>kalimantan!AF4</f>
        <v>0</v>
      </c>
      <c r="M82" s="46">
        <f>kalimantan!AG4</f>
        <v>0</v>
      </c>
      <c r="N82" s="46">
        <f>kalimantan!AH4</f>
        <v>0</v>
      </c>
      <c r="O82" s="46">
        <f>kalimantan!AI4</f>
        <v>0</v>
      </c>
      <c r="P82" s="46">
        <f>kalimantan!AJ4</f>
        <v>0</v>
      </c>
    </row>
    <row r="83" spans="1:16" x14ac:dyDescent="0.25">
      <c r="A83" t="str">
        <f>kalimantan!B5</f>
        <v>KALIMANTAN</v>
      </c>
      <c r="B83">
        <f>kalimantan!C5</f>
        <v>2020</v>
      </c>
      <c r="C83" s="46">
        <f>kalimantan!W5</f>
        <v>211.8808502052778</v>
      </c>
      <c r="D83" s="46">
        <f>kalimantan!X5</f>
        <v>0</v>
      </c>
      <c r="E83" s="46">
        <f>kalimantan!Y5</f>
        <v>205.29595935798</v>
      </c>
      <c r="F83" s="46">
        <f>kalimantan!Z5</f>
        <v>0</v>
      </c>
      <c r="G83" s="46">
        <f>kalimantan!AA5</f>
        <v>0</v>
      </c>
      <c r="H83" s="46">
        <f>kalimantan!AB5</f>
        <v>7.0744202967873617E-3</v>
      </c>
      <c r="I83" s="46">
        <f>kalimantan!AC5</f>
        <v>56.592784423864018</v>
      </c>
      <c r="J83" s="46">
        <f>kalimantan!AD5</f>
        <v>1013.352781628471</v>
      </c>
      <c r="K83" s="46">
        <f>kalimantan!AE5</f>
        <v>33.186828136340971</v>
      </c>
      <c r="L83" s="46">
        <f>kalimantan!AF5</f>
        <v>0</v>
      </c>
      <c r="M83" s="46">
        <f>kalimantan!AG5</f>
        <v>0</v>
      </c>
      <c r="N83" s="46">
        <f>kalimantan!AH5</f>
        <v>0</v>
      </c>
      <c r="O83" s="46">
        <f>kalimantan!AI5</f>
        <v>2.0195659998244366</v>
      </c>
      <c r="P83" s="46">
        <f>kalimantan!AJ5</f>
        <v>1522.3358441720547</v>
      </c>
    </row>
    <row r="84" spans="1:16" x14ac:dyDescent="0.25">
      <c r="A84" t="str">
        <f>kalimantan!B6</f>
        <v>KALIMANTAN</v>
      </c>
      <c r="B84">
        <f>kalimantan!C6</f>
        <v>2021</v>
      </c>
      <c r="C84" s="46">
        <f>kalimantan!W6</f>
        <v>121.18308390293704</v>
      </c>
      <c r="D84" s="46">
        <f>kalimantan!X6</f>
        <v>0</v>
      </c>
      <c r="E84" s="46">
        <f>kalimantan!Y6</f>
        <v>664.29710489118895</v>
      </c>
      <c r="F84" s="46">
        <f>kalimantan!Z6</f>
        <v>0</v>
      </c>
      <c r="G84" s="46">
        <f>kalimantan!AA6</f>
        <v>0</v>
      </c>
      <c r="H84" s="46">
        <f>kalimantan!AB6</f>
        <v>238.76015911070738</v>
      </c>
      <c r="I84" s="46">
        <f>kalimantan!AC6</f>
        <v>-9.9999999747524271E-7</v>
      </c>
      <c r="J84" s="46">
        <f>kalimantan!AD6</f>
        <v>-5.7313455682749589E-4</v>
      </c>
      <c r="K84" s="46">
        <f>kalimantan!AE6</f>
        <v>-1.8171060488105147E-6</v>
      </c>
      <c r="L84" s="46">
        <f>kalimantan!AF6</f>
        <v>0</v>
      </c>
      <c r="M84" s="46">
        <f>kalimantan!AG6</f>
        <v>0</v>
      </c>
      <c r="N84" s="46">
        <f>kalimantan!AH6</f>
        <v>0</v>
      </c>
      <c r="O84" s="46">
        <f>kalimantan!AI6</f>
        <v>0.24114518084248182</v>
      </c>
      <c r="P84" s="46">
        <f>kalimantan!AJ6</f>
        <v>1024.4809171340132</v>
      </c>
    </row>
    <row r="85" spans="1:16" x14ac:dyDescent="0.25">
      <c r="A85" t="str">
        <f>kalimantan!B7</f>
        <v>KALIMANTAN</v>
      </c>
      <c r="B85">
        <f>kalimantan!C7</f>
        <v>2022</v>
      </c>
      <c r="C85" s="46">
        <f>kalimantan!W7</f>
        <v>113.35877263349323</v>
      </c>
      <c r="D85" s="46">
        <f>kalimantan!X7</f>
        <v>0</v>
      </c>
      <c r="E85" s="46">
        <f>kalimantan!Y7</f>
        <v>776.4813053772757</v>
      </c>
      <c r="F85" s="46">
        <f>kalimantan!Z7</f>
        <v>0</v>
      </c>
      <c r="G85" s="46">
        <f>kalimantan!AA7</f>
        <v>0</v>
      </c>
      <c r="H85" s="46">
        <f>kalimantan!AB7</f>
        <v>0.95446322363287928</v>
      </c>
      <c r="I85" s="46">
        <f>kalimantan!AC7</f>
        <v>-1.2477687448960559E-4</v>
      </c>
      <c r="J85" s="46">
        <f>kalimantan!AD7</f>
        <v>691.56946038343108</v>
      </c>
      <c r="K85" s="46">
        <f>kalimantan!AE7</f>
        <v>-1.5489509066563291E-4</v>
      </c>
      <c r="L85" s="46">
        <f>kalimantan!AF7</f>
        <v>0</v>
      </c>
      <c r="M85" s="46">
        <f>kalimantan!AG7</f>
        <v>0</v>
      </c>
      <c r="N85" s="46">
        <f>kalimantan!AH7</f>
        <v>0</v>
      </c>
      <c r="O85" s="46">
        <f>kalimantan!AI7</f>
        <v>0.34619900769675604</v>
      </c>
      <c r="P85" s="46">
        <f>kalimantan!AJ7</f>
        <v>1582.7099209535643</v>
      </c>
    </row>
    <row r="86" spans="1:16" x14ac:dyDescent="0.25">
      <c r="A86" t="str">
        <f>kalimantan!B8</f>
        <v>KALIMANTAN</v>
      </c>
      <c r="B86">
        <f>kalimantan!C8</f>
        <v>2023</v>
      </c>
      <c r="C86" s="46">
        <f>kalimantan!W8</f>
        <v>0</v>
      </c>
      <c r="D86" s="46">
        <f>kalimantan!X8</f>
        <v>562.81426653379378</v>
      </c>
      <c r="E86" s="46">
        <f>kalimantan!Y8</f>
        <v>1.1343009334907602E-4</v>
      </c>
      <c r="F86" s="46">
        <f>kalimantan!Z8</f>
        <v>1.0660164220132842E-12</v>
      </c>
      <c r="G86" s="46">
        <f>kalimantan!AA8</f>
        <v>5.6735610775401062E-2</v>
      </c>
      <c r="H86" s="46">
        <f>kalimantan!AB8</f>
        <v>176.00603526906454</v>
      </c>
      <c r="I86" s="46">
        <f>kalimantan!AC8</f>
        <v>-6.1395081114960497E-5</v>
      </c>
      <c r="J86" s="46">
        <f>kalimantan!AD8</f>
        <v>93.132443104770715</v>
      </c>
      <c r="K86" s="46">
        <f>kalimantan!AE8</f>
        <v>41.261602072660274</v>
      </c>
      <c r="L86" s="46">
        <f>kalimantan!AF8</f>
        <v>56.354373392574871</v>
      </c>
      <c r="M86" s="46">
        <f>kalimantan!AG8</f>
        <v>0</v>
      </c>
      <c r="N86" s="46">
        <f>kalimantan!AH8</f>
        <v>0</v>
      </c>
      <c r="O86" s="46">
        <f>kalimantan!AI8</f>
        <v>0.2175235378074003</v>
      </c>
      <c r="P86" s="46">
        <f>kalimantan!AJ8</f>
        <v>929.84303155646023</v>
      </c>
    </row>
    <row r="87" spans="1:16" x14ac:dyDescent="0.25">
      <c r="A87" t="str">
        <f>kalimantan!B9</f>
        <v>KALIMANTAN</v>
      </c>
      <c r="B87">
        <f>kalimantan!C9</f>
        <v>2024</v>
      </c>
      <c r="C87" s="46">
        <f>kalimantan!W9</f>
        <v>0</v>
      </c>
      <c r="D87" s="46">
        <f>kalimantan!X9</f>
        <v>159.36701671661169</v>
      </c>
      <c r="E87" s="46">
        <f>kalimantan!Y9</f>
        <v>12.046626859604524</v>
      </c>
      <c r="F87" s="46">
        <f>kalimantan!Z9</f>
        <v>0</v>
      </c>
      <c r="G87" s="46">
        <f>kalimantan!AA9</f>
        <v>9.0418999134158018E-2</v>
      </c>
      <c r="H87" s="46">
        <f>kalimantan!AB9</f>
        <v>10.507958425776287</v>
      </c>
      <c r="I87" s="46">
        <f>kalimantan!AC9</f>
        <v>0.86314709590241778</v>
      </c>
      <c r="J87" s="46">
        <f>kalimantan!AD9</f>
        <v>0.11452719596997524</v>
      </c>
      <c r="K87" s="46">
        <f>kalimantan!AE9</f>
        <v>320.95143028025069</v>
      </c>
      <c r="L87" s="46">
        <f>kalimantan!AF9</f>
        <v>2.5347127451080476</v>
      </c>
      <c r="M87" s="46">
        <f>kalimantan!AG9</f>
        <v>0</v>
      </c>
      <c r="N87" s="46">
        <f>kalimantan!AH9</f>
        <v>0</v>
      </c>
      <c r="O87" s="46">
        <f>kalimantan!AI9</f>
        <v>0.16289335765629165</v>
      </c>
      <c r="P87" s="46">
        <f>kalimantan!AJ9</f>
        <v>506.638731676014</v>
      </c>
    </row>
    <row r="88" spans="1:16" x14ac:dyDescent="0.25">
      <c r="A88" t="str">
        <f>kalimantan!B10</f>
        <v>KALIMANTAN</v>
      </c>
      <c r="B88">
        <f>kalimantan!C10</f>
        <v>2025</v>
      </c>
      <c r="C88" s="46">
        <f>kalimantan!W10</f>
        <v>0</v>
      </c>
      <c r="D88" s="46">
        <f>kalimantan!X10</f>
        <v>16.647781475207506</v>
      </c>
      <c r="E88" s="46">
        <f>kalimantan!Y10</f>
        <v>181.95190292017696</v>
      </c>
      <c r="F88" s="46">
        <f>kalimantan!Z10</f>
        <v>0</v>
      </c>
      <c r="G88" s="46">
        <f>kalimantan!AA10</f>
        <v>0</v>
      </c>
      <c r="H88" s="46">
        <f>kalimantan!AB10</f>
        <v>231.00148055635375</v>
      </c>
      <c r="I88" s="46">
        <f>kalimantan!AC10</f>
        <v>0</v>
      </c>
      <c r="J88" s="46">
        <f>kalimantan!AD10</f>
        <v>0</v>
      </c>
      <c r="K88" s="46">
        <f>kalimantan!AE10</f>
        <v>20.333499445661701</v>
      </c>
      <c r="L88" s="46">
        <f>kalimantan!AF10</f>
        <v>18.960055005936145</v>
      </c>
      <c r="M88" s="46">
        <f>kalimantan!AG10</f>
        <v>0</v>
      </c>
      <c r="N88" s="46">
        <f>kalimantan!AH10</f>
        <v>0</v>
      </c>
      <c r="O88" s="46">
        <f>kalimantan!AI10</f>
        <v>0.12031715750964045</v>
      </c>
      <c r="P88" s="46">
        <f>kalimantan!AJ10</f>
        <v>469.01503656084572</v>
      </c>
    </row>
    <row r="89" spans="1:16" x14ac:dyDescent="0.25">
      <c r="A89" t="str">
        <f>kalimantan!B11</f>
        <v>KALIMANTAN</v>
      </c>
      <c r="B89">
        <f>kalimantan!C11</f>
        <v>2026</v>
      </c>
      <c r="C89" s="46">
        <f>kalimantan!W11</f>
        <v>0</v>
      </c>
      <c r="D89" s="46">
        <f>kalimantan!X11</f>
        <v>107.01262159482985</v>
      </c>
      <c r="E89" s="46">
        <f>kalimantan!Y11</f>
        <v>1.0170125976185798</v>
      </c>
      <c r="F89" s="46">
        <f>kalimantan!Z11</f>
        <v>0</v>
      </c>
      <c r="G89" s="46">
        <f>kalimantan!AA11</f>
        <v>8.017661660442883</v>
      </c>
      <c r="H89" s="46">
        <f>kalimantan!AB11</f>
        <v>0</v>
      </c>
      <c r="I89" s="46">
        <f>kalimantan!AC11</f>
        <v>-2.8841029216488875E-5</v>
      </c>
      <c r="J89" s="46">
        <f>kalimantan!AD11</f>
        <v>2.7098699774315376E-7</v>
      </c>
      <c r="K89" s="46">
        <f>kalimantan!AE11</f>
        <v>70.421179816376807</v>
      </c>
      <c r="L89" s="46">
        <f>kalimantan!AF11</f>
        <v>0.60632157482715332</v>
      </c>
      <c r="M89" s="46">
        <f>kalimantan!AG11</f>
        <v>0</v>
      </c>
      <c r="N89" s="46">
        <f>kalimantan!AH11</f>
        <v>0</v>
      </c>
      <c r="O89" s="46">
        <f>kalimantan!AI11</f>
        <v>5.3135559669066357E-2</v>
      </c>
      <c r="P89" s="46">
        <f>kalimantan!AJ11</f>
        <v>187.12790423372212</v>
      </c>
    </row>
    <row r="90" spans="1:16" x14ac:dyDescent="0.25">
      <c r="A90" t="str">
        <f>kalimantan!B12</f>
        <v>KALIMANTAN</v>
      </c>
      <c r="B90">
        <f>kalimantan!C12</f>
        <v>2027</v>
      </c>
      <c r="C90" s="46">
        <f>kalimantan!W12</f>
        <v>0</v>
      </c>
      <c r="D90" s="46">
        <f>kalimantan!X12</f>
        <v>0</v>
      </c>
      <c r="E90" s="46">
        <f>kalimantan!Y12</f>
        <v>128.69371930866296</v>
      </c>
      <c r="F90" s="46">
        <f>kalimantan!Z12</f>
        <v>11.196653304451409</v>
      </c>
      <c r="G90" s="46">
        <f>kalimantan!AA12</f>
        <v>0</v>
      </c>
      <c r="H90" s="46">
        <f>kalimantan!AB12</f>
        <v>0</v>
      </c>
      <c r="I90" s="46">
        <f>kalimantan!AC12</f>
        <v>0</v>
      </c>
      <c r="J90" s="46">
        <f>kalimantan!AD12</f>
        <v>0</v>
      </c>
      <c r="K90" s="46">
        <f>kalimantan!AE12</f>
        <v>98.44401879217132</v>
      </c>
      <c r="L90" s="46">
        <f>kalimantan!AF12</f>
        <v>0</v>
      </c>
      <c r="M90" s="46">
        <f>kalimantan!AG12</f>
        <v>0</v>
      </c>
      <c r="N90" s="46">
        <f>kalimantan!AH12</f>
        <v>0</v>
      </c>
      <c r="O90" s="46">
        <f>kalimantan!AI12</f>
        <v>6.6402683447233546E-2</v>
      </c>
      <c r="P90" s="46">
        <f>kalimantan!AJ12</f>
        <v>238.40079408873294</v>
      </c>
    </row>
    <row r="91" spans="1:16" x14ac:dyDescent="0.25">
      <c r="A91" t="str">
        <f>kalimantan!B13</f>
        <v>KALIMANTAN</v>
      </c>
      <c r="B91">
        <f>kalimantan!C13</f>
        <v>2028</v>
      </c>
      <c r="C91" s="46">
        <f>kalimantan!W13</f>
        <v>0</v>
      </c>
      <c r="D91" s="46">
        <f>kalimantan!X13</f>
        <v>0</v>
      </c>
      <c r="E91" s="46">
        <f>kalimantan!Y13</f>
        <v>193.08629656640548</v>
      </c>
      <c r="F91" s="46">
        <f>kalimantan!Z13</f>
        <v>86.326675533186176</v>
      </c>
      <c r="G91" s="46">
        <f>kalimantan!AA13</f>
        <v>0</v>
      </c>
      <c r="H91" s="46">
        <f>kalimantan!AB13</f>
        <v>0</v>
      </c>
      <c r="I91" s="46">
        <f>kalimantan!AC13</f>
        <v>0</v>
      </c>
      <c r="J91" s="46">
        <f>kalimantan!AD13</f>
        <v>0</v>
      </c>
      <c r="K91" s="46">
        <f>kalimantan!AE13</f>
        <v>157.12258209712496</v>
      </c>
      <c r="L91" s="46">
        <f>kalimantan!AF13</f>
        <v>0</v>
      </c>
      <c r="M91" s="46">
        <f>kalimantan!AG13</f>
        <v>0</v>
      </c>
      <c r="N91" s="46">
        <f>kalimantan!AH13</f>
        <v>0</v>
      </c>
      <c r="O91" s="46">
        <f>kalimantan!AI13</f>
        <v>0.12728912950541282</v>
      </c>
      <c r="P91" s="46">
        <f>kalimantan!AJ13</f>
        <v>436.66284332622206</v>
      </c>
    </row>
    <row r="92" spans="1:16" x14ac:dyDescent="0.25">
      <c r="A92" t="str">
        <f>kalimantan!B14</f>
        <v>KALIMANTAN</v>
      </c>
      <c r="B92">
        <f>kalimantan!C14</f>
        <v>2029</v>
      </c>
      <c r="C92" s="46">
        <f>kalimantan!W14</f>
        <v>0</v>
      </c>
      <c r="D92" s="46">
        <f>kalimantan!X14</f>
        <v>0</v>
      </c>
      <c r="E92" s="46">
        <f>kalimantan!Y14</f>
        <v>205.65608614984345</v>
      </c>
      <c r="F92" s="46">
        <f>kalimantan!Z14</f>
        <v>91.146794585668744</v>
      </c>
      <c r="G92" s="46">
        <f>kalimantan!AA14</f>
        <v>0</v>
      </c>
      <c r="H92" s="46">
        <f>kalimantan!AB14</f>
        <v>0</v>
      </c>
      <c r="I92" s="46">
        <f>kalimantan!AC14</f>
        <v>0</v>
      </c>
      <c r="J92" s="46">
        <f>kalimantan!AD14</f>
        <v>0</v>
      </c>
      <c r="K92" s="46">
        <f>kalimantan!AE14</f>
        <v>167.24281701510694</v>
      </c>
      <c r="L92" s="46">
        <f>kalimantan!AF14</f>
        <v>0</v>
      </c>
      <c r="M92" s="46">
        <f>kalimantan!AG14</f>
        <v>0</v>
      </c>
      <c r="N92" s="46">
        <f>kalimantan!AH14</f>
        <v>0</v>
      </c>
      <c r="O92" s="46">
        <f>kalimantan!AI14</f>
        <v>0.13525742071618918</v>
      </c>
      <c r="P92" s="46">
        <f>kalimantan!AJ14</f>
        <v>464.18095517133531</v>
      </c>
    </row>
    <row r="93" spans="1:16" x14ac:dyDescent="0.25">
      <c r="A93" t="str">
        <f>kalimantan!B15</f>
        <v>KALIMANTAN</v>
      </c>
      <c r="B93">
        <f>kalimantan!C15</f>
        <v>2030</v>
      </c>
      <c r="C93" s="46">
        <f>kalimantan!W15</f>
        <v>0</v>
      </c>
      <c r="D93" s="46">
        <f>kalimantan!X15</f>
        <v>0</v>
      </c>
      <c r="E93" s="46">
        <f>kalimantan!Y15</f>
        <v>212.44049653572645</v>
      </c>
      <c r="F93" s="46">
        <f>kalimantan!Z15</f>
        <v>88.285345309807411</v>
      </c>
      <c r="G93" s="46">
        <f>kalimantan!AA15</f>
        <v>0</v>
      </c>
      <c r="H93" s="46">
        <f>kalimantan!AB15</f>
        <v>0</v>
      </c>
      <c r="I93" s="46">
        <f>kalimantan!AC15</f>
        <v>0</v>
      </c>
      <c r="J93" s="46">
        <f>kalimantan!AD15</f>
        <v>0</v>
      </c>
      <c r="K93" s="46">
        <f>kalimantan!AE15</f>
        <v>171.96506379700023</v>
      </c>
      <c r="L93" s="46">
        <f>kalimantan!AF15</f>
        <v>0</v>
      </c>
      <c r="M93" s="46">
        <f>kalimantan!AG15</f>
        <v>0</v>
      </c>
      <c r="N93" s="46">
        <f>kalimantan!AH15</f>
        <v>0</v>
      </c>
      <c r="O93" s="46">
        <f>kalimantan!AI15</f>
        <v>0.13738484585906052</v>
      </c>
      <c r="P93" s="46">
        <f>kalimantan!AJ15</f>
        <v>472.82829048839312</v>
      </c>
    </row>
    <row r="94" spans="1:16" x14ac:dyDescent="0.25">
      <c r="A94" t="str">
        <f>kalimantan!B16</f>
        <v>KALIMANTAN</v>
      </c>
      <c r="B94">
        <f>kalimantan!C16</f>
        <v>2031</v>
      </c>
      <c r="C94" s="46">
        <f>kalimantan!W16</f>
        <v>9.8347241470927802</v>
      </c>
      <c r="D94" s="46">
        <f>kalimantan!X16</f>
        <v>0</v>
      </c>
      <c r="E94" s="46">
        <f>kalimantan!Y16</f>
        <v>246.15993944634724</v>
      </c>
      <c r="F94" s="46">
        <f>kalimantan!Z16</f>
        <v>106.00031884792278</v>
      </c>
      <c r="G94" s="46">
        <f>kalimantan!AA16</f>
        <v>0</v>
      </c>
      <c r="H94" s="46">
        <f>kalimantan!AB16</f>
        <v>0</v>
      </c>
      <c r="I94" s="46">
        <f>kalimantan!AC16</f>
        <v>0</v>
      </c>
      <c r="J94" s="46">
        <f>kalimantan!AD16</f>
        <v>0</v>
      </c>
      <c r="K94" s="46">
        <f>kalimantan!AE16</f>
        <v>201.0543332098932</v>
      </c>
      <c r="L94" s="46">
        <f>kalimantan!AF16</f>
        <v>0</v>
      </c>
      <c r="M94" s="46">
        <f>kalimantan!AG16</f>
        <v>0</v>
      </c>
      <c r="N94" s="46">
        <f>kalimantan!AH16</f>
        <v>0</v>
      </c>
      <c r="O94" s="46">
        <f>kalimantan!AI16</f>
        <v>0.16446051318923605</v>
      </c>
      <c r="P94" s="46">
        <f>kalimantan!AJ16</f>
        <v>563.21377616444533</v>
      </c>
    </row>
    <row r="95" spans="1:16" x14ac:dyDescent="0.25">
      <c r="A95" t="str">
        <f>kalimantan!B17</f>
        <v>KALIMANTAN</v>
      </c>
      <c r="B95">
        <f>kalimantan!C17</f>
        <v>2032</v>
      </c>
      <c r="C95" s="46">
        <f>kalimantan!W17</f>
        <v>98.834705699243671</v>
      </c>
      <c r="D95" s="46">
        <f>kalimantan!X17</f>
        <v>7.1054273576010019E-15</v>
      </c>
      <c r="E95" s="46">
        <f>kalimantan!Y17</f>
        <v>265.24892687628687</v>
      </c>
      <c r="F95" s="46">
        <f>kalimantan!Z17</f>
        <v>27.756429518764033</v>
      </c>
      <c r="G95" s="46">
        <f>kalimantan!AA17</f>
        <v>0</v>
      </c>
      <c r="H95" s="46">
        <f>kalimantan!AB17</f>
        <v>0</v>
      </c>
      <c r="I95" s="46">
        <f>kalimantan!AC17</f>
        <v>0</v>
      </c>
      <c r="J95" s="46">
        <f>kalimantan!AD17</f>
        <v>0</v>
      </c>
      <c r="K95" s="46">
        <f>kalimantan!AE17</f>
        <v>216.53152675130198</v>
      </c>
      <c r="L95" s="46">
        <f>kalimantan!AF17</f>
        <v>0</v>
      </c>
      <c r="M95" s="46">
        <f>kalimantan!AG17</f>
        <v>0</v>
      </c>
      <c r="N95" s="46">
        <f>kalimantan!AH17</f>
        <v>0</v>
      </c>
      <c r="O95" s="46">
        <f>kalimantan!AI17</f>
        <v>0.17687915916600883</v>
      </c>
      <c r="P95" s="46">
        <f>kalimantan!AJ17</f>
        <v>608.54846800476253</v>
      </c>
    </row>
    <row r="96" spans="1:16" x14ac:dyDescent="0.25">
      <c r="A96" t="str">
        <f>kalimantan!B18</f>
        <v>KALIMANTAN</v>
      </c>
      <c r="B96">
        <f>kalimantan!C18</f>
        <v>2033</v>
      </c>
      <c r="C96" s="46">
        <f>kalimantan!W18</f>
        <v>90.727710405755573</v>
      </c>
      <c r="D96" s="46">
        <f>kalimantan!X18</f>
        <v>0</v>
      </c>
      <c r="E96" s="46">
        <f>kalimantan!Y18</f>
        <v>261.75035006932427</v>
      </c>
      <c r="F96" s="46">
        <f>kalimantan!Z18</f>
        <v>18.590394826614119</v>
      </c>
      <c r="G96" s="46">
        <f>kalimantan!AA18</f>
        <v>0</v>
      </c>
      <c r="H96" s="46">
        <f>kalimantan!AB18</f>
        <v>0</v>
      </c>
      <c r="I96" s="46">
        <f>kalimantan!AC18</f>
        <v>0</v>
      </c>
      <c r="J96" s="46">
        <f>kalimantan!AD18</f>
        <v>0</v>
      </c>
      <c r="K96" s="46">
        <f>kalimantan!AE18</f>
        <v>211.58912755420329</v>
      </c>
      <c r="L96" s="46">
        <f>kalimantan!AF18</f>
        <v>0</v>
      </c>
      <c r="M96" s="46">
        <f>kalimantan!AG18</f>
        <v>0</v>
      </c>
      <c r="N96" s="46">
        <f>kalimantan!AH18</f>
        <v>0</v>
      </c>
      <c r="O96" s="46">
        <f>kalimantan!AI18</f>
        <v>0.16841887013402124</v>
      </c>
      <c r="P96" s="46">
        <f>kalimantan!AJ18</f>
        <v>582.82600172603122</v>
      </c>
    </row>
    <row r="97" spans="1:16" x14ac:dyDescent="0.25">
      <c r="A97" t="str">
        <f>kalimantan!B19</f>
        <v>KALIMANTAN</v>
      </c>
      <c r="B97">
        <f>kalimantan!C19</f>
        <v>2034</v>
      </c>
      <c r="C97" s="46">
        <f>kalimantan!W19</f>
        <v>112.82275388192441</v>
      </c>
      <c r="D97" s="46">
        <f>kalimantan!X19</f>
        <v>0</v>
      </c>
      <c r="E97" s="46">
        <f>kalimantan!Y19</f>
        <v>306.53587938634683</v>
      </c>
      <c r="F97" s="46">
        <f>kalimantan!Z19</f>
        <v>30.271232595502219</v>
      </c>
      <c r="G97" s="46">
        <f>kalimantan!AA19</f>
        <v>0</v>
      </c>
      <c r="H97" s="46">
        <f>kalimantan!AB19</f>
        <v>0</v>
      </c>
      <c r="I97" s="46">
        <f>kalimantan!AC19</f>
        <v>0</v>
      </c>
      <c r="J97" s="46">
        <f>kalimantan!AD19</f>
        <v>0</v>
      </c>
      <c r="K97" s="46">
        <f>kalimantan!AE19</f>
        <v>249.80732654505417</v>
      </c>
      <c r="L97" s="46">
        <f>kalimantan!AF19</f>
        <v>0</v>
      </c>
      <c r="M97" s="46">
        <f>kalimantan!AG19</f>
        <v>0</v>
      </c>
      <c r="N97" s="46">
        <f>kalimantan!AH19</f>
        <v>0</v>
      </c>
      <c r="O97" s="46">
        <f>kalimantan!AI19</f>
        <v>0.20315382148406069</v>
      </c>
      <c r="P97" s="46">
        <f>kalimantan!AJ19</f>
        <v>699.64034623031171</v>
      </c>
    </row>
    <row r="98" spans="1:16" x14ac:dyDescent="0.25">
      <c r="A98" t="str">
        <f>kalimantan!B20</f>
        <v>KALIMANTAN</v>
      </c>
      <c r="B98">
        <f>kalimantan!C20</f>
        <v>2035</v>
      </c>
      <c r="C98" s="46">
        <f>kalimantan!W20</f>
        <v>107.67955170581648</v>
      </c>
      <c r="D98" s="46">
        <f>kalimantan!X20</f>
        <v>0</v>
      </c>
      <c r="E98" s="46">
        <f>kalimantan!Y20</f>
        <v>308.84913877232231</v>
      </c>
      <c r="F98" s="46">
        <f>kalimantan!Z20</f>
        <v>22.745790927964109</v>
      </c>
      <c r="G98" s="46">
        <f>kalimantan!AA20</f>
        <v>0</v>
      </c>
      <c r="H98" s="46">
        <f>kalimantan!AB20</f>
        <v>0</v>
      </c>
      <c r="I98" s="46">
        <f>kalimantan!AC20</f>
        <v>0</v>
      </c>
      <c r="J98" s="46">
        <f>kalimantan!AD20</f>
        <v>0</v>
      </c>
      <c r="K98" s="46">
        <f>kalimantan!AE20</f>
        <v>249.85419487560517</v>
      </c>
      <c r="L98" s="46">
        <f>kalimantan!AF20</f>
        <v>0</v>
      </c>
      <c r="M98" s="46">
        <f>kalimantan!AG20</f>
        <v>0</v>
      </c>
      <c r="N98" s="46">
        <f>kalimantan!AH20</f>
        <v>0</v>
      </c>
      <c r="O98" s="46">
        <f>kalimantan!AI20</f>
        <v>0.19928802822536618</v>
      </c>
      <c r="P98" s="46">
        <f>kalimantan!AJ20</f>
        <v>689.32796430993346</v>
      </c>
    </row>
    <row r="99" spans="1:16" x14ac:dyDescent="0.25">
      <c r="A99" t="str">
        <f>kalimantan!B21</f>
        <v>KALIMANTAN</v>
      </c>
      <c r="B99">
        <f>kalimantan!C21</f>
        <v>2036</v>
      </c>
      <c r="C99" s="46">
        <f>kalimantan!W21</f>
        <v>124.33358432937119</v>
      </c>
      <c r="D99" s="46">
        <f>kalimantan!X21</f>
        <v>0</v>
      </c>
      <c r="E99" s="46">
        <f>kalimantan!Y21</f>
        <v>347.94117653795621</v>
      </c>
      <c r="F99" s="46">
        <f>kalimantan!Z21</f>
        <v>29.537280852240073</v>
      </c>
      <c r="G99" s="46">
        <f>kalimantan!AA21</f>
        <v>0</v>
      </c>
      <c r="H99" s="46">
        <f>kalimantan!AB21</f>
        <v>0</v>
      </c>
      <c r="I99" s="46">
        <f>kalimantan!AC21</f>
        <v>64.581220685747638</v>
      </c>
      <c r="J99" s="46">
        <f>kalimantan!AD21</f>
        <v>0</v>
      </c>
      <c r="K99" s="46">
        <f>kalimantan!AE21</f>
        <v>158.11731316172231</v>
      </c>
      <c r="L99" s="46">
        <f>kalimantan!AF21</f>
        <v>0</v>
      </c>
      <c r="M99" s="46">
        <f>kalimantan!AG21</f>
        <v>0</v>
      </c>
      <c r="N99" s="46">
        <f>kalimantan!AH21</f>
        <v>0</v>
      </c>
      <c r="O99" s="46">
        <f>kalimantan!AI21</f>
        <v>0.20583619203059289</v>
      </c>
      <c r="P99" s="46">
        <f>kalimantan!AJ21</f>
        <v>724.71641175906802</v>
      </c>
    </row>
    <row r="100" spans="1:16" x14ac:dyDescent="0.25">
      <c r="A100" t="str">
        <f>kalimantan!B22</f>
        <v>KALIMANTAN</v>
      </c>
      <c r="B100">
        <f>kalimantan!C22</f>
        <v>2037</v>
      </c>
      <c r="C100" s="46">
        <f>kalimantan!W22</f>
        <v>124.25270812445886</v>
      </c>
      <c r="D100" s="46">
        <f>kalimantan!X22</f>
        <v>1.1651873935720248E-12</v>
      </c>
      <c r="E100" s="46">
        <f>kalimantan!Y22</f>
        <v>360.10458584624598</v>
      </c>
      <c r="F100" s="46">
        <f>kalimantan!Z22</f>
        <v>24.843312243045283</v>
      </c>
      <c r="G100" s="46">
        <f>kalimantan!AA22</f>
        <v>0</v>
      </c>
      <c r="H100" s="46">
        <f>kalimantan!AB22</f>
        <v>0</v>
      </c>
      <c r="I100" s="46">
        <f>kalimantan!AC22</f>
        <v>110.08438833240677</v>
      </c>
      <c r="J100" s="46">
        <f>kalimantan!AD22</f>
        <v>0</v>
      </c>
      <c r="K100" s="46">
        <f>kalimantan!AE22</f>
        <v>79.058656580861154</v>
      </c>
      <c r="L100" s="46">
        <f>kalimantan!AF22</f>
        <v>0</v>
      </c>
      <c r="M100" s="46">
        <f>kalimantan!AG22</f>
        <v>0</v>
      </c>
      <c r="N100" s="46">
        <f>kalimantan!AH22</f>
        <v>0</v>
      </c>
      <c r="O100" s="46">
        <f>kalimantan!AI22</f>
        <v>0.19471385647772976</v>
      </c>
      <c r="P100" s="46">
        <f>kalimantan!AJ22</f>
        <v>698.53836498349688</v>
      </c>
    </row>
    <row r="101" spans="1:16" x14ac:dyDescent="0.25">
      <c r="A101" t="str">
        <f>kalimantan!B23</f>
        <v>KALIMANTAN</v>
      </c>
      <c r="B101">
        <f>kalimantan!C23</f>
        <v>2038</v>
      </c>
      <c r="C101" s="46">
        <f>kalimantan!W23</f>
        <v>143.11320179868579</v>
      </c>
      <c r="D101" s="46">
        <f>kalimantan!X23</f>
        <v>0</v>
      </c>
      <c r="E101" s="46">
        <f>kalimantan!Y23</f>
        <v>406.4174956843641</v>
      </c>
      <c r="F101" s="46">
        <f>kalimantan!Z23</f>
        <v>31.763788339909329</v>
      </c>
      <c r="G101" s="46">
        <f>kalimantan!AA23</f>
        <v>0</v>
      </c>
      <c r="H101" s="46">
        <f>kalimantan!AB23</f>
        <v>0</v>
      </c>
      <c r="I101" s="46">
        <f>kalimantan!AC23</f>
        <v>150.52427228206847</v>
      </c>
      <c r="J101" s="46">
        <f>kalimantan!AD23</f>
        <v>0</v>
      </c>
      <c r="K101" s="46">
        <f>kalimantan!AE23</f>
        <v>39.529328290430584</v>
      </c>
      <c r="L101" s="46">
        <f>kalimantan!AF23</f>
        <v>0</v>
      </c>
      <c r="M101" s="46">
        <f>kalimantan!AG23</f>
        <v>0</v>
      </c>
      <c r="N101" s="46">
        <f>kalimantan!AH23</f>
        <v>0</v>
      </c>
      <c r="O101" s="46">
        <f>kalimantan!AI23</f>
        <v>0.21364098324861214</v>
      </c>
      <c r="P101" s="46">
        <f>kalimantan!AJ23</f>
        <v>771.56172737870691</v>
      </c>
    </row>
    <row r="102" spans="1:16" x14ac:dyDescent="0.25">
      <c r="A102" t="str">
        <f>sulawesi!B4</f>
        <v>SULAWESI</v>
      </c>
      <c r="B102">
        <f>sulawesi!C4</f>
        <v>2019</v>
      </c>
      <c r="C102" s="46">
        <f>sulawesi!W4</f>
        <v>0</v>
      </c>
      <c r="D102" s="46">
        <f>sulawesi!X4</f>
        <v>0</v>
      </c>
      <c r="E102" s="46">
        <f>sulawesi!Y4</f>
        <v>0</v>
      </c>
      <c r="F102" s="46">
        <f>sulawesi!Z4</f>
        <v>0</v>
      </c>
      <c r="G102" s="46">
        <f>sulawesi!AA4</f>
        <v>0</v>
      </c>
      <c r="H102" s="46">
        <f>sulawesi!AB4</f>
        <v>0</v>
      </c>
      <c r="I102" s="46">
        <f>sulawesi!AC4</f>
        <v>0</v>
      </c>
      <c r="J102" s="46">
        <f>sulawesi!AD4</f>
        <v>0</v>
      </c>
      <c r="K102" s="46">
        <f>sulawesi!AE4</f>
        <v>0</v>
      </c>
      <c r="L102" s="46">
        <f>sulawesi!AF4</f>
        <v>0</v>
      </c>
      <c r="M102" s="46">
        <f>sulawesi!AG4</f>
        <v>0</v>
      </c>
      <c r="N102" s="46">
        <f>sulawesi!AH4</f>
        <v>0</v>
      </c>
      <c r="O102" s="46">
        <f>sulawesi!AI4</f>
        <v>0</v>
      </c>
      <c r="P102" s="46">
        <f>sulawesi!AJ4</f>
        <v>0</v>
      </c>
    </row>
    <row r="103" spans="1:16" x14ac:dyDescent="0.25">
      <c r="A103" t="str">
        <f>sulawesi!B5</f>
        <v>SULAWESI</v>
      </c>
      <c r="B103">
        <f>sulawesi!C5</f>
        <v>2020</v>
      </c>
      <c r="C103" s="46">
        <f>sulawesi!W5</f>
        <v>62.823507141395034</v>
      </c>
      <c r="D103" s="46">
        <f>sulawesi!X5</f>
        <v>-9.9999999747524271E-7</v>
      </c>
      <c r="E103" s="46">
        <f>sulawesi!Y5</f>
        <v>761.50546752226887</v>
      </c>
      <c r="F103" s="46">
        <f>sulawesi!Z5</f>
        <v>0</v>
      </c>
      <c r="G103" s="46">
        <f>sulawesi!AA5</f>
        <v>0</v>
      </c>
      <c r="H103" s="46">
        <f>sulawesi!AB5</f>
        <v>0</v>
      </c>
      <c r="I103" s="46">
        <f>sulawesi!AC5</f>
        <v>0</v>
      </c>
      <c r="J103" s="46">
        <f>sulawesi!AD5</f>
        <v>128.73247342585776</v>
      </c>
      <c r="K103" s="46">
        <f>sulawesi!AE5</f>
        <v>0</v>
      </c>
      <c r="L103" s="46">
        <f>sulawesi!AF5</f>
        <v>0</v>
      </c>
      <c r="M103" s="46">
        <f>sulawesi!AG5</f>
        <v>0</v>
      </c>
      <c r="N103" s="46">
        <f>sulawesi!AH5</f>
        <v>0</v>
      </c>
      <c r="O103" s="46">
        <f>sulawesi!AI5</f>
        <v>1.8945174638231916</v>
      </c>
      <c r="P103" s="46">
        <f>sulawesi!AJ5</f>
        <v>954.95596455334476</v>
      </c>
    </row>
    <row r="104" spans="1:16" x14ac:dyDescent="0.25">
      <c r="A104" t="str">
        <f>sulawesi!B6</f>
        <v>SULAWESI</v>
      </c>
      <c r="B104">
        <f>sulawesi!C6</f>
        <v>2021</v>
      </c>
      <c r="C104" s="46">
        <f>sulawesi!W6</f>
        <v>64.793290422902174</v>
      </c>
      <c r="D104" s="46">
        <f>sulawesi!X6</f>
        <v>-9.9999999747524271E-7</v>
      </c>
      <c r="E104" s="46">
        <f>sulawesi!Y6</f>
        <v>822.03204638230102</v>
      </c>
      <c r="F104" s="46">
        <f>sulawesi!Z6</f>
        <v>0</v>
      </c>
      <c r="G104" s="46">
        <f>sulawesi!AA6</f>
        <v>0</v>
      </c>
      <c r="H104" s="46">
        <f>sulawesi!AB6</f>
        <v>20.406873733969775</v>
      </c>
      <c r="I104" s="46">
        <f>sulawesi!AC6</f>
        <v>3.1597469616176599E-2</v>
      </c>
      <c r="J104" s="46">
        <f>sulawesi!AD6</f>
        <v>257.88087624417557</v>
      </c>
      <c r="K104" s="46">
        <f>sulawesi!AE6</f>
        <v>3.6444104760217082E-2</v>
      </c>
      <c r="L104" s="46">
        <f>sulawesi!AF6</f>
        <v>0</v>
      </c>
      <c r="M104" s="46">
        <f>sulawesi!AG6</f>
        <v>0</v>
      </c>
      <c r="N104" s="46">
        <f>sulawesi!AH6</f>
        <v>0</v>
      </c>
      <c r="O104" s="46">
        <f>sulawesi!AI6</f>
        <v>0.24477511124800055</v>
      </c>
      <c r="P104" s="46">
        <f>sulawesi!AJ6</f>
        <v>1165.4259024689727</v>
      </c>
    </row>
    <row r="105" spans="1:16" x14ac:dyDescent="0.25">
      <c r="A105" t="str">
        <f>sulawesi!B7</f>
        <v>SULAWESI</v>
      </c>
      <c r="B105">
        <f>sulawesi!C7</f>
        <v>2022</v>
      </c>
      <c r="C105" s="46">
        <f>sulawesi!W7</f>
        <v>84.636695712431234</v>
      </c>
      <c r="D105" s="46">
        <f>sulawesi!X7</f>
        <v>0</v>
      </c>
      <c r="E105" s="46">
        <f>sulawesi!Y7</f>
        <v>811.30524070043282</v>
      </c>
      <c r="F105" s="46">
        <f>sulawesi!Z7</f>
        <v>0</v>
      </c>
      <c r="G105" s="46">
        <f>sulawesi!AA7</f>
        <v>0</v>
      </c>
      <c r="H105" s="46">
        <f>sulawesi!AB7</f>
        <v>0</v>
      </c>
      <c r="I105" s="46">
        <f>sulawesi!AC7</f>
        <v>0</v>
      </c>
      <c r="J105" s="46">
        <f>sulawesi!AD7</f>
        <v>0</v>
      </c>
      <c r="K105" s="46">
        <f>sulawesi!AE7</f>
        <v>441.78228896300612</v>
      </c>
      <c r="L105" s="46">
        <f>sulawesi!AF7</f>
        <v>0</v>
      </c>
      <c r="M105" s="46">
        <f>sulawesi!AG7</f>
        <v>0</v>
      </c>
      <c r="N105" s="46">
        <f>sulawesi!AH7</f>
        <v>0</v>
      </c>
      <c r="O105" s="46">
        <f>sulawesi!AI7</f>
        <v>0.35376707343690716</v>
      </c>
      <c r="P105" s="46">
        <f>sulawesi!AJ7</f>
        <v>1338.0779924493072</v>
      </c>
    </row>
    <row r="106" spans="1:16" x14ac:dyDescent="0.25">
      <c r="A106" t="str">
        <f>sulawesi!B8</f>
        <v>SULAWESI</v>
      </c>
      <c r="B106">
        <f>sulawesi!C8</f>
        <v>2023</v>
      </c>
      <c r="C106" s="46">
        <f>sulawesi!W8</f>
        <v>-1.4210854715202004E-14</v>
      </c>
      <c r="D106" s="46">
        <f>sulawesi!X8</f>
        <v>0</v>
      </c>
      <c r="E106" s="46">
        <f>sulawesi!Y8</f>
        <v>78.394093328504923</v>
      </c>
      <c r="F106" s="46">
        <f>sulawesi!Z8</f>
        <v>334.02609379814385</v>
      </c>
      <c r="G106" s="46">
        <f>sulawesi!AA8</f>
        <v>0</v>
      </c>
      <c r="H106" s="46">
        <f>sulawesi!AB8</f>
        <v>0</v>
      </c>
      <c r="I106" s="46">
        <f>sulawesi!AC8</f>
        <v>0</v>
      </c>
      <c r="J106" s="46">
        <f>sulawesi!AD8</f>
        <v>0</v>
      </c>
      <c r="K106" s="46">
        <f>sulawesi!AE8</f>
        <v>91.301983962671073</v>
      </c>
      <c r="L106" s="46">
        <f>sulawesi!AF8</f>
        <v>0</v>
      </c>
      <c r="M106" s="46">
        <f>sulawesi!AG8</f>
        <v>0</v>
      </c>
      <c r="N106" s="46">
        <f>sulawesi!AH8</f>
        <v>0</v>
      </c>
      <c r="O106" s="46">
        <f>sulawesi!AI8</f>
        <v>0.16562178700799546</v>
      </c>
      <c r="P106" s="46">
        <f>sulawesi!AJ8</f>
        <v>503.88779287632786</v>
      </c>
    </row>
    <row r="107" spans="1:16" x14ac:dyDescent="0.25">
      <c r="A107" t="str">
        <f>sulawesi!B9</f>
        <v>SULAWESI</v>
      </c>
      <c r="B107">
        <f>sulawesi!C9</f>
        <v>2024</v>
      </c>
      <c r="C107" s="46">
        <f>sulawesi!W9</f>
        <v>-3.5527136788005009E-15</v>
      </c>
      <c r="D107" s="46">
        <f>sulawesi!X9</f>
        <v>0</v>
      </c>
      <c r="E107" s="46">
        <f>sulawesi!Y9</f>
        <v>495.74082653057349</v>
      </c>
      <c r="F107" s="46">
        <f>sulawesi!Z9</f>
        <v>77.967611699019798</v>
      </c>
      <c r="G107" s="46">
        <f>sulawesi!AA9</f>
        <v>0</v>
      </c>
      <c r="H107" s="46">
        <f>sulawesi!AB9</f>
        <v>0</v>
      </c>
      <c r="I107" s="46">
        <f>sulawesi!AC9</f>
        <v>0</v>
      </c>
      <c r="J107" s="46">
        <f>sulawesi!AD9</f>
        <v>0</v>
      </c>
      <c r="K107" s="46">
        <f>sulawesi!AE9</f>
        <v>437.779651461539</v>
      </c>
      <c r="L107" s="46">
        <f>sulawesi!AF9</f>
        <v>0</v>
      </c>
      <c r="M107" s="46">
        <f>sulawesi!AG9</f>
        <v>0</v>
      </c>
      <c r="N107" s="46">
        <f>sulawesi!AH9</f>
        <v>0</v>
      </c>
      <c r="O107" s="46">
        <f>sulawesi!AI9</f>
        <v>0.29037564820272177</v>
      </c>
      <c r="P107" s="46">
        <f>sulawesi!AJ9</f>
        <v>1011.778465339335</v>
      </c>
    </row>
    <row r="108" spans="1:16" x14ac:dyDescent="0.25">
      <c r="A108" t="str">
        <f>sulawesi!B10</f>
        <v>SULAWESI</v>
      </c>
      <c r="B108">
        <f>sulawesi!C10</f>
        <v>2025</v>
      </c>
      <c r="C108" s="46">
        <f>sulawesi!W10</f>
        <v>0</v>
      </c>
      <c r="D108" s="46">
        <f>sulawesi!X10</f>
        <v>1.4210854715202004E-14</v>
      </c>
      <c r="E108" s="46">
        <f>sulawesi!Y10</f>
        <v>565.98892878801712</v>
      </c>
      <c r="F108" s="46">
        <f>sulawesi!Z10</f>
        <v>89.977541229917321</v>
      </c>
      <c r="G108" s="46">
        <f>sulawesi!AA10</f>
        <v>0</v>
      </c>
      <c r="H108" s="46">
        <f>sulawesi!AB10</f>
        <v>0</v>
      </c>
      <c r="I108" s="46">
        <f>sulawesi!AC10</f>
        <v>0</v>
      </c>
      <c r="J108" s="46">
        <f>sulawesi!AD10</f>
        <v>0</v>
      </c>
      <c r="K108" s="46">
        <f>sulawesi!AE10</f>
        <v>512.09835678816273</v>
      </c>
      <c r="L108" s="46">
        <f>sulawesi!AF10</f>
        <v>0</v>
      </c>
      <c r="M108" s="46">
        <f>sulawesi!AG10</f>
        <v>0</v>
      </c>
      <c r="N108" s="46">
        <f>sulawesi!AH10</f>
        <v>0</v>
      </c>
      <c r="O108" s="46">
        <f>sulawesi!AI10</f>
        <v>0.33658378994306037</v>
      </c>
      <c r="P108" s="46">
        <f>sulawesi!AJ10</f>
        <v>1168.4014105960403</v>
      </c>
    </row>
    <row r="109" spans="1:16" x14ac:dyDescent="0.25">
      <c r="A109" t="str">
        <f>sulawesi!B11</f>
        <v>SULAWESI</v>
      </c>
      <c r="B109">
        <f>sulawesi!C11</f>
        <v>2026</v>
      </c>
      <c r="C109" s="46">
        <f>sulawesi!W11</f>
        <v>0</v>
      </c>
      <c r="D109" s="46">
        <f>sulawesi!X11</f>
        <v>0</v>
      </c>
      <c r="E109" s="46">
        <f>sulawesi!Y11</f>
        <v>643.33039112458755</v>
      </c>
      <c r="F109" s="46">
        <f>sulawesi!Z11</f>
        <v>64.715341338503649</v>
      </c>
      <c r="G109" s="46">
        <f>sulawesi!AA11</f>
        <v>0</v>
      </c>
      <c r="H109" s="46">
        <f>sulawesi!AB11</f>
        <v>0</v>
      </c>
      <c r="I109" s="46">
        <f>sulawesi!AC11</f>
        <v>0</v>
      </c>
      <c r="J109" s="46">
        <f>sulawesi!AD11</f>
        <v>7.3982555320728842</v>
      </c>
      <c r="K109" s="46">
        <f>sulawesi!AE11</f>
        <v>262.25516856190086</v>
      </c>
      <c r="L109" s="46">
        <f>sulawesi!AF11</f>
        <v>0</v>
      </c>
      <c r="M109" s="46">
        <f>sulawesi!AG11</f>
        <v>0</v>
      </c>
      <c r="N109" s="46">
        <f>sulawesi!AH11</f>
        <v>0</v>
      </c>
      <c r="O109" s="46">
        <f>sulawesi!AI11</f>
        <v>0.24818689738284094</v>
      </c>
      <c r="P109" s="46">
        <f>sulawesi!AJ11</f>
        <v>977.94734345444783</v>
      </c>
    </row>
    <row r="110" spans="1:16" x14ac:dyDescent="0.25">
      <c r="A110" t="str">
        <f>sulawesi!B12</f>
        <v>SULAWESI</v>
      </c>
      <c r="B110">
        <f>sulawesi!C12</f>
        <v>2027</v>
      </c>
      <c r="C110" s="46">
        <f>sulawesi!W12</f>
        <v>0</v>
      </c>
      <c r="D110" s="46">
        <f>sulawesi!X12</f>
        <v>0</v>
      </c>
      <c r="E110" s="46">
        <f>sulawesi!Y12</f>
        <v>806.24786339628542</v>
      </c>
      <c r="F110" s="46">
        <f>sulawesi!Z12</f>
        <v>84.738451537851503</v>
      </c>
      <c r="G110" s="46">
        <f>sulawesi!AA12</f>
        <v>0</v>
      </c>
      <c r="H110" s="46">
        <f>sulawesi!AB12</f>
        <v>0</v>
      </c>
      <c r="I110" s="46">
        <f>sulawesi!AC12</f>
        <v>3.5527136788005009E-15</v>
      </c>
      <c r="J110" s="46">
        <f>sulawesi!AD12</f>
        <v>59.362435737711884</v>
      </c>
      <c r="K110" s="46">
        <f>sulawesi!AE12</f>
        <v>294.59866450105204</v>
      </c>
      <c r="L110" s="46">
        <f>sulawesi!AF12</f>
        <v>0</v>
      </c>
      <c r="M110" s="46">
        <f>sulawesi!AG12</f>
        <v>0</v>
      </c>
      <c r="N110" s="46">
        <f>sulawesi!AH12</f>
        <v>0</v>
      </c>
      <c r="O110" s="46">
        <f>sulawesi!AI12</f>
        <v>0.31071251892020602</v>
      </c>
      <c r="P110" s="46">
        <f>sulawesi!AJ12</f>
        <v>1245.2581276918208</v>
      </c>
    </row>
    <row r="111" spans="1:16" x14ac:dyDescent="0.25">
      <c r="A111" t="str">
        <f>sulawesi!B13</f>
        <v>SULAWESI</v>
      </c>
      <c r="B111">
        <f>sulawesi!C13</f>
        <v>2028</v>
      </c>
      <c r="C111" s="46">
        <f>sulawesi!W13</f>
        <v>74.045259476382924</v>
      </c>
      <c r="D111" s="46">
        <f>sulawesi!X13</f>
        <v>0</v>
      </c>
      <c r="E111" s="46">
        <f>sulawesi!Y13</f>
        <v>236.0393702824002</v>
      </c>
      <c r="F111" s="46">
        <f>sulawesi!Z13</f>
        <v>19.946841082869994</v>
      </c>
      <c r="G111" s="46">
        <f>sulawesi!AA13</f>
        <v>0</v>
      </c>
      <c r="H111" s="46">
        <f>sulawesi!AB13</f>
        <v>0</v>
      </c>
      <c r="I111" s="46">
        <f>sulawesi!AC13</f>
        <v>-3.5527136788005009E-15</v>
      </c>
      <c r="J111" s="46">
        <f>sulawesi!AD13</f>
        <v>45.72939694475712</v>
      </c>
      <c r="K111" s="46">
        <f>sulawesi!AE13</f>
        <v>154.73726743217358</v>
      </c>
      <c r="L111" s="46">
        <f>sulawesi!AF13</f>
        <v>0</v>
      </c>
      <c r="M111" s="46">
        <f>sulawesi!AG13</f>
        <v>0</v>
      </c>
      <c r="N111" s="46">
        <f>sulawesi!AH13</f>
        <v>0</v>
      </c>
      <c r="O111" s="46">
        <f>sulawesi!AI13</f>
        <v>0.14701413334712088</v>
      </c>
      <c r="P111" s="46">
        <f>sulawesi!AJ13</f>
        <v>530.64514935193097</v>
      </c>
    </row>
    <row r="112" spans="1:16" x14ac:dyDescent="0.25">
      <c r="A112" t="str">
        <f>sulawesi!B14</f>
        <v>SULAWESI</v>
      </c>
      <c r="B112">
        <f>sulawesi!C14</f>
        <v>2029</v>
      </c>
      <c r="C112" s="46">
        <f>sulawesi!W14</f>
        <v>87.153463684784271</v>
      </c>
      <c r="D112" s="46">
        <f>sulawesi!X14</f>
        <v>0</v>
      </c>
      <c r="E112" s="46">
        <f>sulawesi!Y14</f>
        <v>239.88994826773646</v>
      </c>
      <c r="F112" s="46">
        <f>sulawesi!Z14</f>
        <v>22.34827330970942</v>
      </c>
      <c r="G112" s="46">
        <f>sulawesi!AA14</f>
        <v>0</v>
      </c>
      <c r="H112" s="46">
        <f>sulawesi!AB14</f>
        <v>0</v>
      </c>
      <c r="I112" s="46">
        <f>sulawesi!AC14</f>
        <v>0</v>
      </c>
      <c r="J112" s="46">
        <f>sulawesi!AD14</f>
        <v>50.948298741671479</v>
      </c>
      <c r="K112" s="46">
        <f>sulawesi!AE14</f>
        <v>165.19984432857197</v>
      </c>
      <c r="L112" s="46">
        <f>sulawesi!AF14</f>
        <v>0</v>
      </c>
      <c r="M112" s="46">
        <f>sulawesi!AG14</f>
        <v>0</v>
      </c>
      <c r="N112" s="46">
        <f>sulawesi!AH14</f>
        <v>0</v>
      </c>
      <c r="O112" s="46">
        <f>sulawesi!AI14</f>
        <v>0.15820753334376025</v>
      </c>
      <c r="P112" s="46">
        <f>sulawesi!AJ14</f>
        <v>565.69803586581736</v>
      </c>
    </row>
    <row r="113" spans="1:16" x14ac:dyDescent="0.25">
      <c r="A113" t="str">
        <f>sulawesi!B15</f>
        <v>SULAWESI</v>
      </c>
      <c r="B113">
        <f>sulawesi!C15</f>
        <v>2030</v>
      </c>
      <c r="C113" s="46">
        <f>sulawesi!W15</f>
        <v>91.290298550757342</v>
      </c>
      <c r="D113" s="46">
        <f>sulawesi!X15</f>
        <v>0</v>
      </c>
      <c r="E113" s="46">
        <f>sulawesi!Y15</f>
        <v>251.87338634485255</v>
      </c>
      <c r="F113" s="46">
        <f>sulawesi!Z15</f>
        <v>23.575390607053453</v>
      </c>
      <c r="G113" s="46">
        <f>sulawesi!AA15</f>
        <v>0</v>
      </c>
      <c r="H113" s="46">
        <f>sulawesi!AB15</f>
        <v>-3.5527136788005009E-15</v>
      </c>
      <c r="I113" s="46">
        <f>sulawesi!AC15</f>
        <v>0</v>
      </c>
      <c r="J113" s="46">
        <f>sulawesi!AD15</f>
        <v>56.343113136627942</v>
      </c>
      <c r="K113" s="46">
        <f>sulawesi!AE15</f>
        <v>173.23730276310329</v>
      </c>
      <c r="L113" s="46">
        <f>sulawesi!AF15</f>
        <v>0</v>
      </c>
      <c r="M113" s="46">
        <f>sulawesi!AG15</f>
        <v>0</v>
      </c>
      <c r="N113" s="46">
        <f>sulawesi!AH15</f>
        <v>0</v>
      </c>
      <c r="O113" s="46">
        <f>sulawesi!AI15</f>
        <v>0.1666495716499039</v>
      </c>
      <c r="P113" s="46">
        <f>sulawesi!AJ15</f>
        <v>596.48614097404447</v>
      </c>
    </row>
    <row r="114" spans="1:16" x14ac:dyDescent="0.25">
      <c r="A114" t="str">
        <f>sulawesi!B16</f>
        <v>SULAWESI</v>
      </c>
      <c r="B114">
        <f>sulawesi!C16</f>
        <v>2031</v>
      </c>
      <c r="C114" s="46">
        <f>sulawesi!W16</f>
        <v>112.59384070969348</v>
      </c>
      <c r="D114" s="46">
        <f>sulawesi!X16</f>
        <v>0</v>
      </c>
      <c r="E114" s="46">
        <f>sulawesi!Y16</f>
        <v>297.54795677356492</v>
      </c>
      <c r="F114" s="46">
        <f>sulawesi!Z16</f>
        <v>33.026342114576067</v>
      </c>
      <c r="G114" s="46">
        <f>sulawesi!AA16</f>
        <v>0</v>
      </c>
      <c r="H114" s="46">
        <f>sulawesi!AB16</f>
        <v>0</v>
      </c>
      <c r="I114" s="46">
        <f>sulawesi!AC16</f>
        <v>0</v>
      </c>
      <c r="J114" s="46">
        <f>sulawesi!AD16</f>
        <v>65.695592192668741</v>
      </c>
      <c r="K114" s="46">
        <f>sulawesi!AE16</f>
        <v>202.77941901025022</v>
      </c>
      <c r="L114" s="46">
        <f>sulawesi!AF16</f>
        <v>0</v>
      </c>
      <c r="M114" s="46">
        <f>sulawesi!AG16</f>
        <v>0</v>
      </c>
      <c r="N114" s="46">
        <f>sulawesi!AH16</f>
        <v>0</v>
      </c>
      <c r="O114" s="46">
        <f>sulawesi!AI16</f>
        <v>0.19933198175098621</v>
      </c>
      <c r="P114" s="46">
        <f>sulawesi!AJ16</f>
        <v>711.84248278250448</v>
      </c>
    </row>
    <row r="115" spans="1:16" x14ac:dyDescent="0.25">
      <c r="A115" t="str">
        <f>sulawesi!B17</f>
        <v>SULAWESI</v>
      </c>
      <c r="B115">
        <f>sulawesi!C17</f>
        <v>2032</v>
      </c>
      <c r="C115" s="46">
        <f>sulawesi!W17</f>
        <v>123.63041236186859</v>
      </c>
      <c r="D115" s="46">
        <f>sulawesi!X17</f>
        <v>0</v>
      </c>
      <c r="E115" s="46">
        <f>sulawesi!Y17</f>
        <v>324.54746547957234</v>
      </c>
      <c r="F115" s="46">
        <f>sulawesi!Z17</f>
        <v>37.208624274792399</v>
      </c>
      <c r="G115" s="46">
        <f>sulawesi!AA17</f>
        <v>0</v>
      </c>
      <c r="H115" s="46">
        <f>sulawesi!AB17</f>
        <v>0</v>
      </c>
      <c r="I115" s="46">
        <f>sulawesi!AC17</f>
        <v>0</v>
      </c>
      <c r="J115" s="46">
        <f>sulawesi!AD17</f>
        <v>74.203122085765031</v>
      </c>
      <c r="K115" s="46">
        <f>sulawesi!AE17</f>
        <v>220.40566633606608</v>
      </c>
      <c r="L115" s="46">
        <f>sulawesi!AF17</f>
        <v>0</v>
      </c>
      <c r="M115" s="46">
        <f>sulawesi!AG17</f>
        <v>0</v>
      </c>
      <c r="N115" s="46">
        <f>sulawesi!AH17</f>
        <v>0</v>
      </c>
      <c r="O115" s="46">
        <f>sulawesi!AI17</f>
        <v>0.21839251376158675</v>
      </c>
      <c r="P115" s="46">
        <f>sulawesi!AJ17</f>
        <v>780.21368305182602</v>
      </c>
    </row>
    <row r="116" spans="1:16" x14ac:dyDescent="0.25">
      <c r="A116" t="str">
        <f>sulawesi!B18</f>
        <v>SULAWESI</v>
      </c>
      <c r="B116">
        <f>sulawesi!C18</f>
        <v>2033</v>
      </c>
      <c r="C116" s="46">
        <f>sulawesi!W18</f>
        <v>119.57855648476368</v>
      </c>
      <c r="D116" s="46">
        <f>sulawesi!X18</f>
        <v>0</v>
      </c>
      <c r="E116" s="46">
        <f>sulawesi!Y18</f>
        <v>322.29069420547796</v>
      </c>
      <c r="F116" s="46">
        <f>sulawesi!Z18</f>
        <v>34.126279682852314</v>
      </c>
      <c r="G116" s="46">
        <f>sulawesi!AA18</f>
        <v>0</v>
      </c>
      <c r="H116" s="46">
        <f>sulawesi!AB18</f>
        <v>0</v>
      </c>
      <c r="I116" s="46">
        <f>sulawesi!AC18</f>
        <v>0</v>
      </c>
      <c r="J116" s="46">
        <f>sulawesi!AD18</f>
        <v>80.312562280420551</v>
      </c>
      <c r="K116" s="46">
        <f>sulawesi!AE18</f>
        <v>219.12389906131614</v>
      </c>
      <c r="L116" s="46">
        <f>sulawesi!AF18</f>
        <v>0</v>
      </c>
      <c r="M116" s="46">
        <f>sulawesi!AG18</f>
        <v>0</v>
      </c>
      <c r="N116" s="46">
        <f>sulawesi!AH18</f>
        <v>0</v>
      </c>
      <c r="O116" s="46">
        <f>sulawesi!AI18</f>
        <v>0.21644904536912435</v>
      </c>
      <c r="P116" s="46">
        <f>sulawesi!AJ18</f>
        <v>775.64844076019983</v>
      </c>
    </row>
    <row r="117" spans="1:16" x14ac:dyDescent="0.25">
      <c r="A117" t="str">
        <f>sulawesi!B19</f>
        <v>SULAWESI</v>
      </c>
      <c r="B117">
        <f>sulawesi!C19</f>
        <v>2034</v>
      </c>
      <c r="C117" s="46">
        <f>sulawesi!W19</f>
        <v>147.08854982081166</v>
      </c>
      <c r="D117" s="46">
        <f>sulawesi!X19</f>
        <v>0</v>
      </c>
      <c r="E117" s="46">
        <f>sulawesi!Y19</f>
        <v>383.39143127822001</v>
      </c>
      <c r="F117" s="46">
        <f>sulawesi!Z19</f>
        <v>45.785619059521224</v>
      </c>
      <c r="G117" s="46">
        <f>sulawesi!AA19</f>
        <v>-3.5527136788005009E-15</v>
      </c>
      <c r="H117" s="46">
        <f>sulawesi!AB19</f>
        <v>0</v>
      </c>
      <c r="I117" s="46">
        <f>sulawesi!AC19</f>
        <v>0</v>
      </c>
      <c r="J117" s="46">
        <f>sulawesi!AD19</f>
        <v>94.517867772462267</v>
      </c>
      <c r="K117" s="46">
        <f>sulawesi!AE19</f>
        <v>258.50130673006254</v>
      </c>
      <c r="L117" s="46">
        <f>sulawesi!AF19</f>
        <v>0</v>
      </c>
      <c r="M117" s="46">
        <f>sulawesi!AG19</f>
        <v>0</v>
      </c>
      <c r="N117" s="46">
        <f>sulawesi!AH19</f>
        <v>0</v>
      </c>
      <c r="O117" s="46">
        <f>sulawesi!AI19</f>
        <v>0.25983328847583653</v>
      </c>
      <c r="P117" s="46">
        <f>sulawesi!AJ19</f>
        <v>929.54460794955355</v>
      </c>
    </row>
    <row r="118" spans="1:16" x14ac:dyDescent="0.25">
      <c r="A118" t="str">
        <f>sulawesi!B20</f>
        <v>SULAWESI</v>
      </c>
      <c r="B118">
        <f>sulawesi!C20</f>
        <v>2035</v>
      </c>
      <c r="C118" s="46">
        <f>sulawesi!W20</f>
        <v>149.08313563424733</v>
      </c>
      <c r="D118" s="46">
        <f>sulawesi!X20</f>
        <v>0</v>
      </c>
      <c r="E118" s="46">
        <f>sulawesi!Y20</f>
        <v>394.43056560171613</v>
      </c>
      <c r="F118" s="46">
        <f>sulawesi!Z20</f>
        <v>45.301875390117857</v>
      </c>
      <c r="G118" s="46">
        <f>sulawesi!AA20</f>
        <v>-3.5527136788005009E-15</v>
      </c>
      <c r="H118" s="46">
        <f>sulawesi!AB20</f>
        <v>0</v>
      </c>
      <c r="I118" s="46">
        <f>sulawesi!AC20</f>
        <v>0</v>
      </c>
      <c r="J118" s="46">
        <f>sulawesi!AD20</f>
        <v>104.1426642061537</v>
      </c>
      <c r="K118" s="46">
        <f>sulawesi!AE20</f>
        <v>265.48830736291825</v>
      </c>
      <c r="L118" s="46">
        <f>sulawesi!AF20</f>
        <v>0</v>
      </c>
      <c r="M118" s="46">
        <f>sulawesi!AG20</f>
        <v>0</v>
      </c>
      <c r="N118" s="46">
        <f>sulawesi!AH20</f>
        <v>0</v>
      </c>
      <c r="O118" s="46">
        <f>sulawesi!AI20</f>
        <v>0.26735409189010717</v>
      </c>
      <c r="P118" s="46">
        <f>sulawesi!AJ20</f>
        <v>958.71390228704331</v>
      </c>
    </row>
    <row r="119" spans="1:16" x14ac:dyDescent="0.25">
      <c r="A119" t="str">
        <f>sulawesi!B21</f>
        <v>SULAWESI</v>
      </c>
      <c r="B119">
        <f>sulawesi!C21</f>
        <v>2036</v>
      </c>
      <c r="C119" s="46">
        <f>sulawesi!W21</f>
        <v>169.72925499834432</v>
      </c>
      <c r="D119" s="46">
        <f>sulawesi!X21</f>
        <v>0</v>
      </c>
      <c r="E119" s="46">
        <f>sulawesi!Y21</f>
        <v>444.12477857695444</v>
      </c>
      <c r="F119" s="46">
        <f>sulawesi!Z21</f>
        <v>53.24657651041813</v>
      </c>
      <c r="G119" s="46">
        <f>sulawesi!AA21</f>
        <v>0</v>
      </c>
      <c r="H119" s="46">
        <f>sulawesi!AB21</f>
        <v>0</v>
      </c>
      <c r="I119" s="46">
        <f>sulawesi!AC21</f>
        <v>0</v>
      </c>
      <c r="J119" s="46">
        <f>sulawesi!AD21</f>
        <v>119.87866003191827</v>
      </c>
      <c r="K119" s="46">
        <f>sulawesi!AE21</f>
        <v>297.25693920534758</v>
      </c>
      <c r="L119" s="46">
        <f>sulawesi!AF21</f>
        <v>0</v>
      </c>
      <c r="M119" s="46">
        <f>sulawesi!AG21</f>
        <v>0</v>
      </c>
      <c r="N119" s="46">
        <f>sulawesi!AH21</f>
        <v>0</v>
      </c>
      <c r="O119" s="46">
        <f>sulawesi!AI21</f>
        <v>0.30239164593512324</v>
      </c>
      <c r="P119" s="46">
        <f>sulawesi!AJ21</f>
        <v>1084.5386009689178</v>
      </c>
    </row>
    <row r="120" spans="1:16" x14ac:dyDescent="0.25">
      <c r="A120" t="str">
        <f>sulawesi!B22</f>
        <v>SULAWESI</v>
      </c>
      <c r="B120">
        <f>sulawesi!C22</f>
        <v>2037</v>
      </c>
      <c r="C120" s="46">
        <f>sulawesi!W22</f>
        <v>179.85803970039052</v>
      </c>
      <c r="D120" s="46">
        <f>sulawesi!X22</f>
        <v>0</v>
      </c>
      <c r="E120" s="46">
        <f>sulawesi!Y22</f>
        <v>473.36896134772604</v>
      </c>
      <c r="F120" s="46">
        <f>sulawesi!Z22</f>
        <v>56.179516864139501</v>
      </c>
      <c r="G120" s="46">
        <f>sulawesi!AA22</f>
        <v>0</v>
      </c>
      <c r="H120" s="46">
        <f>sulawesi!AB22</f>
        <v>0</v>
      </c>
      <c r="I120" s="46">
        <f>sulawesi!AC22</f>
        <v>0</v>
      </c>
      <c r="J120" s="46">
        <f>sulawesi!AD22</f>
        <v>134.56387461860191</v>
      </c>
      <c r="K120" s="46">
        <f>sulawesi!AE22</f>
        <v>315.55580627592735</v>
      </c>
      <c r="L120" s="46">
        <f>sulawesi!AF22</f>
        <v>0</v>
      </c>
      <c r="M120" s="46">
        <f>sulawesi!AG22</f>
        <v>0</v>
      </c>
      <c r="N120" s="46">
        <f>sulawesi!AH22</f>
        <v>0</v>
      </c>
      <c r="O120" s="46">
        <f>sulawesi!AI22</f>
        <v>0.32282680171982037</v>
      </c>
      <c r="P120" s="46">
        <f>sulawesi!AJ22</f>
        <v>1159.8490256085051</v>
      </c>
    </row>
    <row r="121" spans="1:16" x14ac:dyDescent="0.25">
      <c r="A121" t="str">
        <f>sulawesi!B23</f>
        <v>SULAWESI</v>
      </c>
      <c r="B121">
        <f>sulawesi!C23</f>
        <v>2038</v>
      </c>
      <c r="C121" s="46">
        <f>sulawesi!W23</f>
        <v>213.26721366787967</v>
      </c>
      <c r="D121" s="46">
        <f>sulawesi!X23</f>
        <v>0</v>
      </c>
      <c r="E121" s="46">
        <f>sulawesi!Y23</f>
        <v>552.51695925591503</v>
      </c>
      <c r="F121" s="46">
        <f>sulawesi!Z23</f>
        <v>69.229263435580364</v>
      </c>
      <c r="G121" s="46">
        <f>sulawesi!AA23</f>
        <v>0</v>
      </c>
      <c r="H121" s="46">
        <f>sulawesi!AB23</f>
        <v>0</v>
      </c>
      <c r="I121" s="46">
        <f>sulawesi!AC23</f>
        <v>0</v>
      </c>
      <c r="J121" s="46">
        <f>sulawesi!AD23</f>
        <v>158.35492337193313</v>
      </c>
      <c r="K121" s="46">
        <f>sulawesi!AE23</f>
        <v>365.94463779734428</v>
      </c>
      <c r="L121" s="46">
        <f>sulawesi!AF23</f>
        <v>0</v>
      </c>
      <c r="M121" s="46">
        <f>sulawesi!AG23</f>
        <v>0</v>
      </c>
      <c r="N121" s="46">
        <f>sulawesi!AH23</f>
        <v>0</v>
      </c>
      <c r="O121" s="46">
        <f>sulawesi!AI23</f>
        <v>0.37857129044541526</v>
      </c>
      <c r="P121" s="46">
        <f>sulawesi!AJ23</f>
        <v>1359.6915688190979</v>
      </c>
    </row>
    <row r="122" spans="1:16" x14ac:dyDescent="0.25">
      <c r="A122" t="str">
        <f>maluku_papua!B4</f>
        <v>MALUKU_PAPUA</v>
      </c>
      <c r="B122">
        <f>maluku_papua!C4</f>
        <v>2019</v>
      </c>
      <c r="C122" s="46">
        <f>maluku_papua!W4</f>
        <v>0</v>
      </c>
      <c r="D122" s="46">
        <f>maluku_papua!X4</f>
        <v>0</v>
      </c>
      <c r="E122" s="46">
        <f>maluku_papua!Y4</f>
        <v>0</v>
      </c>
      <c r="F122" s="46">
        <f>maluku_papua!Z4</f>
        <v>0</v>
      </c>
      <c r="G122" s="46">
        <f>maluku_papua!AA4</f>
        <v>0</v>
      </c>
      <c r="H122" s="46">
        <f>maluku_papua!AB4</f>
        <v>0</v>
      </c>
      <c r="I122" s="46">
        <f>maluku_papua!AC4</f>
        <v>0</v>
      </c>
      <c r="J122" s="46">
        <f>maluku_papua!AD4</f>
        <v>0</v>
      </c>
      <c r="K122" s="46">
        <f>maluku_papua!AE4</f>
        <v>0</v>
      </c>
      <c r="L122" s="46">
        <f>maluku_papua!AF4</f>
        <v>0</v>
      </c>
      <c r="M122" s="46">
        <f>maluku_papua!AG4</f>
        <v>0</v>
      </c>
      <c r="N122" s="46">
        <f>maluku_papua!AH4</f>
        <v>0</v>
      </c>
      <c r="O122" s="46">
        <f>maluku_papua!AI4</f>
        <v>0</v>
      </c>
      <c r="P122" s="46">
        <f>maluku_papua!AJ4</f>
        <v>0</v>
      </c>
    </row>
    <row r="123" spans="1:16" x14ac:dyDescent="0.25">
      <c r="A123" t="str">
        <f>maluku_papua!B5</f>
        <v>MALUKU_PAPUA</v>
      </c>
      <c r="B123">
        <f>maluku_papua!C5</f>
        <v>2020</v>
      </c>
      <c r="C123" s="46">
        <f>maluku_papua!W5</f>
        <v>0</v>
      </c>
      <c r="D123" s="46">
        <f>maluku_papua!X5</f>
        <v>-9.9999999747524271E-7</v>
      </c>
      <c r="E123" s="46">
        <f>maluku_papua!Y5</f>
        <v>245.6691115891654</v>
      </c>
      <c r="F123" s="46">
        <f>maluku_papua!Z5</f>
        <v>0</v>
      </c>
      <c r="G123" s="46">
        <f>maluku_papua!AA5</f>
        <v>0</v>
      </c>
      <c r="H123" s="46">
        <f>maluku_papua!AB5</f>
        <v>0</v>
      </c>
      <c r="I123" s="46">
        <f>maluku_papua!AC5</f>
        <v>0</v>
      </c>
      <c r="J123" s="46">
        <f>maluku_papua!AD5</f>
        <v>-9.9999999991773336E-7</v>
      </c>
      <c r="K123" s="46">
        <f>maluku_papua!AE5</f>
        <v>0</v>
      </c>
      <c r="L123" s="46">
        <f>maluku_papua!AF5</f>
        <v>0</v>
      </c>
      <c r="M123" s="46">
        <f>maluku_papua!AG5</f>
        <v>-3.3184666029494048E-7</v>
      </c>
      <c r="N123" s="46">
        <f>maluku_papua!AH5</f>
        <v>0</v>
      </c>
      <c r="O123" s="46">
        <f>maluku_papua!AI5</f>
        <v>0.46078982868869955</v>
      </c>
      <c r="P123" s="46">
        <f>maluku_papua!AJ5</f>
        <v>246.12989908600744</v>
      </c>
    </row>
    <row r="124" spans="1:16" x14ac:dyDescent="0.25">
      <c r="A124" t="str">
        <f>maluku_papua!B6</f>
        <v>MALUKU_PAPUA</v>
      </c>
      <c r="B124">
        <f>maluku_papua!C6</f>
        <v>2021</v>
      </c>
      <c r="C124" s="46">
        <f>maluku_papua!W6</f>
        <v>0</v>
      </c>
      <c r="D124" s="46">
        <f>maluku_papua!X6</f>
        <v>-9.9999999925159955E-7</v>
      </c>
      <c r="E124" s="46">
        <f>maluku_papua!Y6</f>
        <v>262.12894184002107</v>
      </c>
      <c r="F124" s="46">
        <f>maluku_papua!Z6</f>
        <v>0</v>
      </c>
      <c r="G124" s="46">
        <f>maluku_papua!AA6</f>
        <v>-3.3644169840764491E-15</v>
      </c>
      <c r="H124" s="46">
        <f>maluku_papua!AB6</f>
        <v>5.0543343819716249E-4</v>
      </c>
      <c r="I124" s="46">
        <f>maluku_papua!AC6</f>
        <v>75.510804178099022</v>
      </c>
      <c r="J124" s="46">
        <f>maluku_papua!AD6</f>
        <v>334.14731514609451</v>
      </c>
      <c r="K124" s="46">
        <f>maluku_papua!AE6</f>
        <v>37.155986149229314</v>
      </c>
      <c r="L124" s="46">
        <f>maluku_papua!AF6</f>
        <v>0</v>
      </c>
      <c r="M124" s="46">
        <f>maluku_papua!AG6</f>
        <v>0.24162846896898316</v>
      </c>
      <c r="N124" s="46">
        <f>maluku_papua!AH6</f>
        <v>0</v>
      </c>
      <c r="O124" s="46">
        <f>maluku_papua!AI6</f>
        <v>0.17243003319854711</v>
      </c>
      <c r="P124" s="46">
        <f>maluku_papua!AJ6</f>
        <v>709.35761024904969</v>
      </c>
    </row>
    <row r="125" spans="1:16" x14ac:dyDescent="0.25">
      <c r="A125" t="str">
        <f>maluku_papua!B7</f>
        <v>MALUKU_PAPUA</v>
      </c>
      <c r="B125">
        <f>maluku_papua!C7</f>
        <v>2022</v>
      </c>
      <c r="C125" s="46">
        <f>maluku_papua!W7</f>
        <v>19.364059648975463</v>
      </c>
      <c r="D125" s="46">
        <f>maluku_papua!X7</f>
        <v>-9.9999999747524271E-7</v>
      </c>
      <c r="E125" s="46">
        <f>maluku_papua!Y7</f>
        <v>197.49627561210181</v>
      </c>
      <c r="F125" s="46">
        <f>maluku_papua!Z7</f>
        <v>0</v>
      </c>
      <c r="G125" s="46">
        <f>maluku_papua!AA7</f>
        <v>3.3644169840764475E-15</v>
      </c>
      <c r="H125" s="46">
        <f>maluku_papua!AB7</f>
        <v>19.564339465271498</v>
      </c>
      <c r="I125" s="46">
        <f>maluku_papua!AC7</f>
        <v>31.464612008417035</v>
      </c>
      <c r="J125" s="46">
        <f>maluku_papua!AD7</f>
        <v>8.1111513289800214</v>
      </c>
      <c r="K125" s="46">
        <f>maluku_papua!AE7</f>
        <v>13.55630883963925</v>
      </c>
      <c r="L125" s="46">
        <f>maluku_papua!AF7</f>
        <v>0</v>
      </c>
      <c r="M125" s="46">
        <f>maluku_papua!AG7</f>
        <v>3.63580512477348E-2</v>
      </c>
      <c r="N125" s="46">
        <f>maluku_papua!AH7</f>
        <v>0</v>
      </c>
      <c r="O125" s="46">
        <f>maluku_papua!AI7</f>
        <v>7.0295537860864066E-2</v>
      </c>
      <c r="P125" s="46">
        <f>maluku_papua!AJ7</f>
        <v>289.66339949249374</v>
      </c>
    </row>
    <row r="126" spans="1:16" x14ac:dyDescent="0.25">
      <c r="A126" t="str">
        <f>maluku_papua!B8</f>
        <v>MALUKU_PAPUA</v>
      </c>
      <c r="B126">
        <f>maluku_papua!C8</f>
        <v>2023</v>
      </c>
      <c r="C126" s="46">
        <f>maluku_papua!W8</f>
        <v>52.235566973894187</v>
      </c>
      <c r="D126" s="46">
        <f>maluku_papua!X8</f>
        <v>0</v>
      </c>
      <c r="E126" s="46">
        <f>maluku_papua!Y8</f>
        <v>76.704770249985685</v>
      </c>
      <c r="F126" s="46">
        <f>maluku_papua!Z8</f>
        <v>0</v>
      </c>
      <c r="G126" s="46">
        <f>maluku_papua!AA8</f>
        <v>-3.3644176193511595E-15</v>
      </c>
      <c r="H126" s="46">
        <f>maluku_papua!AB8</f>
        <v>0.53841643807778894</v>
      </c>
      <c r="I126" s="46">
        <f>maluku_papua!AC8</f>
        <v>3.468112188361093E-3</v>
      </c>
      <c r="J126" s="46">
        <f>maluku_papua!AD8</f>
        <v>6.3939199695328846</v>
      </c>
      <c r="K126" s="46">
        <f>maluku_papua!AE8</f>
        <v>103.85589847031007</v>
      </c>
      <c r="L126" s="46">
        <f>maluku_papua!AF8</f>
        <v>0</v>
      </c>
      <c r="M126" s="46">
        <f>maluku_papua!AG8</f>
        <v>5.4068698728671691E-3</v>
      </c>
      <c r="N126" s="46">
        <f>maluku_papua!AH8</f>
        <v>0</v>
      </c>
      <c r="O126" s="46">
        <f>maluku_papua!AI8</f>
        <v>7.3825470553855799E-2</v>
      </c>
      <c r="P126" s="46">
        <f>maluku_papua!AJ8</f>
        <v>239.81127255441569</v>
      </c>
    </row>
    <row r="127" spans="1:16" x14ac:dyDescent="0.25">
      <c r="A127" t="str">
        <f>maluku_papua!B9</f>
        <v>MALUKU_PAPUA</v>
      </c>
      <c r="B127">
        <f>maluku_papua!C9</f>
        <v>2024</v>
      </c>
      <c r="C127" s="46">
        <f>maluku_papua!W9</f>
        <v>54.732410853242584</v>
      </c>
      <c r="D127" s="46">
        <f>maluku_papua!X9</f>
        <v>-9.9999999925159955E-7</v>
      </c>
      <c r="E127" s="46">
        <f>maluku_papua!Y9</f>
        <v>86.10120155738106</v>
      </c>
      <c r="F127" s="46">
        <f>maluku_papua!Z9</f>
        <v>0</v>
      </c>
      <c r="G127" s="46">
        <f>maluku_papua!AA9</f>
        <v>-1.5410365783452562E-7</v>
      </c>
      <c r="H127" s="46">
        <f>maluku_papua!AB9</f>
        <v>13.279591013719321</v>
      </c>
      <c r="I127" s="46">
        <f>maluku_papua!AC9</f>
        <v>50.418511943765786</v>
      </c>
      <c r="J127" s="46">
        <f>maluku_papua!AD9</f>
        <v>0</v>
      </c>
      <c r="K127" s="46">
        <f>maluku_papua!AE9</f>
        <v>8.0360573155209636</v>
      </c>
      <c r="L127" s="46">
        <f>maluku_papua!AF9</f>
        <v>0</v>
      </c>
      <c r="M127" s="46">
        <f>maluku_papua!AG9</f>
        <v>0</v>
      </c>
      <c r="N127" s="46">
        <f>maluku_papua!AH9</f>
        <v>0</v>
      </c>
      <c r="O127" s="46">
        <f>maluku_papua!AI9</f>
        <v>6.2658416900189362E-2</v>
      </c>
      <c r="P127" s="46">
        <f>maluku_papua!AJ9</f>
        <v>212.63042994642623</v>
      </c>
    </row>
    <row r="128" spans="1:16" x14ac:dyDescent="0.25">
      <c r="A128" t="str">
        <f>maluku_papua!B10</f>
        <v>MALUKU_PAPUA</v>
      </c>
      <c r="B128">
        <f>maluku_papua!C10</f>
        <v>2025</v>
      </c>
      <c r="C128" s="46">
        <f>maluku_papua!W10</f>
        <v>57.234057342423412</v>
      </c>
      <c r="D128" s="46">
        <f>maluku_papua!X10</f>
        <v>-9.9999999925159955E-7</v>
      </c>
      <c r="E128" s="46">
        <f>maluku_papua!Y10</f>
        <v>96.816907516130073</v>
      </c>
      <c r="F128" s="46">
        <f>maluku_papua!Z10</f>
        <v>0</v>
      </c>
      <c r="G128" s="46">
        <f>maluku_papua!AA10</f>
        <v>0</v>
      </c>
      <c r="H128" s="46">
        <f>maluku_papua!AB10</f>
        <v>59.151659816079444</v>
      </c>
      <c r="I128" s="46">
        <f>maluku_papua!AC10</f>
        <v>6.425643666454997</v>
      </c>
      <c r="J128" s="46">
        <f>maluku_papua!AD10</f>
        <v>23.793263725148364</v>
      </c>
      <c r="K128" s="46">
        <f>maluku_papua!AE10</f>
        <v>30.456259811217326</v>
      </c>
      <c r="L128" s="46">
        <f>maluku_papua!AF10</f>
        <v>0</v>
      </c>
      <c r="M128" s="46">
        <f>maluku_papua!AG10</f>
        <v>1.4957542723621736E-5</v>
      </c>
      <c r="N128" s="46">
        <f>maluku_papua!AH10</f>
        <v>0</v>
      </c>
      <c r="O128" s="46">
        <f>maluku_papua!AI10</f>
        <v>7.5731453429144113E-2</v>
      </c>
      <c r="P128" s="46">
        <f>maluku_papua!AJ10</f>
        <v>273.95353728842548</v>
      </c>
    </row>
    <row r="129" spans="1:16" x14ac:dyDescent="0.25">
      <c r="A129" t="str">
        <f>maluku_papua!B11</f>
        <v>MALUKU_PAPUA</v>
      </c>
      <c r="B129">
        <f>maluku_papua!C11</f>
        <v>2026</v>
      </c>
      <c r="C129" s="46">
        <f>maluku_papua!W11</f>
        <v>65.993090943407793</v>
      </c>
      <c r="D129" s="46">
        <f>maluku_papua!X11</f>
        <v>0</v>
      </c>
      <c r="E129" s="46">
        <f>maluku_papua!Y11</f>
        <v>82.401065576594121</v>
      </c>
      <c r="F129" s="46">
        <f>maluku_papua!Z11</f>
        <v>0</v>
      </c>
      <c r="G129" s="46">
        <f>maluku_papua!AA11</f>
        <v>1.5410366119894316E-7</v>
      </c>
      <c r="H129" s="46">
        <f>maluku_papua!AB11</f>
        <v>14.824554379867456</v>
      </c>
      <c r="I129" s="46">
        <f>maluku_papua!AC11</f>
        <v>18.921310649173719</v>
      </c>
      <c r="J129" s="46">
        <f>maluku_papua!AD11</f>
        <v>5.0592446272743086</v>
      </c>
      <c r="K129" s="46">
        <f>maluku_papua!AE11</f>
        <v>9.8450285832801931</v>
      </c>
      <c r="L129" s="46">
        <f>maluku_papua!AF11</f>
        <v>0</v>
      </c>
      <c r="M129" s="46">
        <f>maluku_papua!AG11</f>
        <v>5.3504930357019372E-2</v>
      </c>
      <c r="N129" s="46">
        <f>maluku_papua!AH11</f>
        <v>0</v>
      </c>
      <c r="O129" s="46">
        <f>maluku_papua!AI11</f>
        <v>5.5186527268138219E-2</v>
      </c>
      <c r="P129" s="46">
        <f>maluku_papua!AJ11</f>
        <v>197.15298637132642</v>
      </c>
    </row>
    <row r="130" spans="1:16" x14ac:dyDescent="0.25">
      <c r="A130" t="str">
        <f>maluku_papua!B12</f>
        <v>MALUKU_PAPUA</v>
      </c>
      <c r="B130">
        <f>maluku_papua!C12</f>
        <v>2027</v>
      </c>
      <c r="C130" s="46">
        <f>maluku_papua!W12</f>
        <v>69.974987174514453</v>
      </c>
      <c r="D130" s="46">
        <f>maluku_papua!X12</f>
        <v>-9.9999999991773336E-7</v>
      </c>
      <c r="E130" s="46">
        <f>maluku_papua!Y12</f>
        <v>89.78809784859321</v>
      </c>
      <c r="F130" s="46">
        <f>maluku_papua!Z12</f>
        <v>0</v>
      </c>
      <c r="G130" s="46">
        <f>maluku_papua!AA12</f>
        <v>-1.541036613872393E-7</v>
      </c>
      <c r="H130" s="46">
        <f>maluku_papua!AB12</f>
        <v>14.727737020662939</v>
      </c>
      <c r="I130" s="46">
        <f>maluku_papua!AC12</f>
        <v>22.379540364341114</v>
      </c>
      <c r="J130" s="46">
        <f>maluku_papua!AD12</f>
        <v>3.5938222359393053</v>
      </c>
      <c r="K130" s="46">
        <f>maluku_papua!AE12</f>
        <v>10.29787069605054</v>
      </c>
      <c r="L130" s="46">
        <f>maluku_papua!AF12</f>
        <v>0</v>
      </c>
      <c r="M130" s="46">
        <f>maluku_papua!AG12</f>
        <v>4.8886225213608463E-2</v>
      </c>
      <c r="N130" s="46">
        <f>maluku_papua!AH12</f>
        <v>0</v>
      </c>
      <c r="O130" s="46">
        <f>maluku_papua!AI12</f>
        <v>5.9157834852646474E-2</v>
      </c>
      <c r="P130" s="46">
        <f>maluku_papua!AJ12</f>
        <v>210.87009824606417</v>
      </c>
    </row>
    <row r="131" spans="1:16" x14ac:dyDescent="0.25">
      <c r="A131" t="str">
        <f>maluku_papua!B13</f>
        <v>MALUKU_PAPUA</v>
      </c>
      <c r="B131">
        <f>maluku_papua!C13</f>
        <v>2028</v>
      </c>
      <c r="C131" s="46">
        <f>maluku_papua!W13</f>
        <v>74.178698487843022</v>
      </c>
      <c r="D131" s="46">
        <f>maluku_papua!X13</f>
        <v>-9.9999999925159955E-7</v>
      </c>
      <c r="E131" s="46">
        <f>maluku_papua!Y13</f>
        <v>97.860953249519923</v>
      </c>
      <c r="F131" s="46">
        <f>maluku_papua!Z13</f>
        <v>0</v>
      </c>
      <c r="G131" s="46">
        <f>maluku_papua!AA13</f>
        <v>1.5410365802282173E-7</v>
      </c>
      <c r="H131" s="46">
        <f>maluku_papua!AB13</f>
        <v>0</v>
      </c>
      <c r="I131" s="46">
        <f>maluku_papua!AC13</f>
        <v>-9.9999999925159955E-7</v>
      </c>
      <c r="J131" s="46">
        <f>maluku_papua!AD13</f>
        <v>13.574111755114942</v>
      </c>
      <c r="K131" s="46">
        <f>maluku_papua!AE13</f>
        <v>75.281597121137509</v>
      </c>
      <c r="L131" s="46">
        <f>maluku_papua!AF13</f>
        <v>0</v>
      </c>
      <c r="M131" s="46">
        <f>maluku_papua!AG13</f>
        <v>5.8792939269708945E-2</v>
      </c>
      <c r="N131" s="46">
        <f>maluku_papua!AH13</f>
        <v>0</v>
      </c>
      <c r="O131" s="46">
        <f>maluku_papua!AI13</f>
        <v>7.5743559728401078E-2</v>
      </c>
      <c r="P131" s="46">
        <f>maluku_papua!AJ13</f>
        <v>261.02989526671712</v>
      </c>
    </row>
    <row r="132" spans="1:16" x14ac:dyDescent="0.25">
      <c r="A132" t="str">
        <f>maluku_papua!B14</f>
        <v>MALUKU_PAPUA</v>
      </c>
      <c r="B132">
        <f>maluku_papua!C14</f>
        <v>2029</v>
      </c>
      <c r="C132" s="46">
        <f>maluku_papua!W14</f>
        <v>78.615570043903858</v>
      </c>
      <c r="D132" s="46">
        <f>maluku_papua!X14</f>
        <v>-9.9999999925159955E-7</v>
      </c>
      <c r="E132" s="46">
        <f>maluku_papua!Y14</f>
        <v>106.68051055430251</v>
      </c>
      <c r="F132" s="46">
        <f>maluku_papua!Z14</f>
        <v>0</v>
      </c>
      <c r="G132" s="46">
        <f>maluku_papua!AA14</f>
        <v>0</v>
      </c>
      <c r="H132" s="46">
        <f>maluku_papua!AB14</f>
        <v>13.693097851541337</v>
      </c>
      <c r="I132" s="46">
        <f>maluku_papua!AC14</f>
        <v>30.841366768605187</v>
      </c>
      <c r="J132" s="46">
        <f>maluku_papua!AD14</f>
        <v>3.5529542022191847</v>
      </c>
      <c r="K132" s="46">
        <f>maluku_papua!AE14</f>
        <v>9.3325581564985072</v>
      </c>
      <c r="L132" s="46">
        <f>maluku_papua!AF14</f>
        <v>0</v>
      </c>
      <c r="M132" s="46">
        <f>maluku_papua!AG14</f>
        <v>0.10767815461197919</v>
      </c>
      <c r="N132" s="46">
        <f>maluku_papua!AH14</f>
        <v>0</v>
      </c>
      <c r="O132" s="46">
        <f>maluku_papua!AI14</f>
        <v>6.8078348838968683E-2</v>
      </c>
      <c r="P132" s="46">
        <f>maluku_papua!AJ14</f>
        <v>242.89181308052153</v>
      </c>
    </row>
    <row r="133" spans="1:16" x14ac:dyDescent="0.25">
      <c r="A133" t="str">
        <f>maluku_papua!B15</f>
        <v>MALUKU_PAPUA</v>
      </c>
      <c r="B133">
        <f>maluku_papua!C15</f>
        <v>2030</v>
      </c>
      <c r="C133" s="46">
        <f>maluku_papua!W15</f>
        <v>83.296350294970395</v>
      </c>
      <c r="D133" s="46">
        <f>maluku_papua!X15</f>
        <v>0</v>
      </c>
      <c r="E133" s="46">
        <f>maluku_papua!Y15</f>
        <v>116.31748270949591</v>
      </c>
      <c r="F133" s="46">
        <f>maluku_papua!Z15</f>
        <v>0</v>
      </c>
      <c r="G133" s="46">
        <f>maluku_papua!AA15</f>
        <v>3.3644175664115987E-15</v>
      </c>
      <c r="H133" s="46">
        <f>maluku_papua!AB15</f>
        <v>19.49512400316085</v>
      </c>
      <c r="I133" s="46">
        <f>maluku_papua!AC15</f>
        <v>27.04307209742424</v>
      </c>
      <c r="J133" s="46">
        <f>maluku_papua!AD15</f>
        <v>8.122537900874784</v>
      </c>
      <c r="K133" s="46">
        <f>maluku_papua!AE15</f>
        <v>13.513781190019042</v>
      </c>
      <c r="L133" s="46">
        <f>maluku_papua!AF15</f>
        <v>0</v>
      </c>
      <c r="M133" s="46">
        <f>maluku_papua!AG15</f>
        <v>0</v>
      </c>
      <c r="N133" s="46">
        <f>maluku_papua!AH15</f>
        <v>0</v>
      </c>
      <c r="O133" s="46">
        <f>maluku_papua!AI15</f>
        <v>7.4340935113153206E-2</v>
      </c>
      <c r="P133" s="46">
        <f>maluku_papua!AJ15</f>
        <v>267.86268913105835</v>
      </c>
    </row>
    <row r="134" spans="1:16" x14ac:dyDescent="0.25">
      <c r="A134" t="str">
        <f>maluku_papua!B16</f>
        <v>MALUKU_PAPUA</v>
      </c>
      <c r="B134">
        <f>maluku_papua!C16</f>
        <v>2031</v>
      </c>
      <c r="C134" s="46">
        <f>maluku_papua!W16</f>
        <v>88.23243534510631</v>
      </c>
      <c r="D134" s="46">
        <f>maluku_papua!X16</f>
        <v>0</v>
      </c>
      <c r="E134" s="46">
        <f>maluku_papua!Y16</f>
        <v>126.84763451375098</v>
      </c>
      <c r="F134" s="46">
        <f>maluku_papua!Z16</f>
        <v>0</v>
      </c>
      <c r="G134" s="46">
        <f>maluku_papua!AA16</f>
        <v>-1.541036613872393E-7</v>
      </c>
      <c r="H134" s="46">
        <f>maluku_papua!AB16</f>
        <v>26.02883049701115</v>
      </c>
      <c r="I134" s="46">
        <f>maluku_papua!AC16</f>
        <v>21.367496204271607</v>
      </c>
      <c r="J134" s="46">
        <f>maluku_papua!AD16</f>
        <v>1.5461133397154032</v>
      </c>
      <c r="K134" s="46">
        <f>maluku_papua!AE16</f>
        <v>27.519378277267037</v>
      </c>
      <c r="L134" s="46">
        <f>maluku_papua!AF16</f>
        <v>0</v>
      </c>
      <c r="M134" s="46">
        <f>maluku_papua!AG16</f>
        <v>0</v>
      </c>
      <c r="N134" s="46">
        <f>maluku_papua!AH16</f>
        <v>0</v>
      </c>
      <c r="O134" s="46">
        <f>maluku_papua!AI16</f>
        <v>8.1572264839501862E-2</v>
      </c>
      <c r="P134" s="46">
        <f>maluku_papua!AJ16</f>
        <v>291.62346028785834</v>
      </c>
    </row>
    <row r="135" spans="1:16" x14ac:dyDescent="0.25">
      <c r="A135" t="str">
        <f>maluku_papua!B17</f>
        <v>MALUKU_PAPUA</v>
      </c>
      <c r="B135">
        <f>maluku_papua!C17</f>
        <v>2032</v>
      </c>
      <c r="C135" s="46">
        <f>maluku_papua!W17</f>
        <v>93.435421946895161</v>
      </c>
      <c r="D135" s="46">
        <f>maluku_papua!X17</f>
        <v>0</v>
      </c>
      <c r="E135" s="46">
        <f>maluku_papua!Y17</f>
        <v>138.35418759199081</v>
      </c>
      <c r="F135" s="46">
        <f>maluku_papua!Z17</f>
        <v>0</v>
      </c>
      <c r="G135" s="46">
        <f>maluku_papua!AA17</f>
        <v>0</v>
      </c>
      <c r="H135" s="46">
        <f>maluku_papua!AB17</f>
        <v>23.510582434977742</v>
      </c>
      <c r="I135" s="46">
        <f>maluku_papua!AC17</f>
        <v>31.343072414185656</v>
      </c>
      <c r="J135" s="46">
        <f>maluku_papua!AD17</f>
        <v>9.7462984262873409</v>
      </c>
      <c r="K135" s="46">
        <f>maluku_papua!AE17</f>
        <v>16.290881670346625</v>
      </c>
      <c r="L135" s="46">
        <f>maluku_papua!AF17</f>
        <v>0</v>
      </c>
      <c r="M135" s="46">
        <f>maluku_papua!AG17</f>
        <v>0.11282010470057383</v>
      </c>
      <c r="N135" s="46">
        <f>maluku_papua!AH17</f>
        <v>0</v>
      </c>
      <c r="O135" s="46">
        <f>maluku_papua!AI17</f>
        <v>8.6439940905760571E-2</v>
      </c>
      <c r="P135" s="46">
        <f>maluku_papua!AJ17</f>
        <v>312.87970453028964</v>
      </c>
    </row>
    <row r="136" spans="1:16" x14ac:dyDescent="0.25">
      <c r="A136" t="str">
        <f>maluku_papua!B18</f>
        <v>MALUKU_PAPUA</v>
      </c>
      <c r="B136">
        <f>maluku_papua!C18</f>
        <v>2033</v>
      </c>
      <c r="C136" s="46">
        <f>maluku_papua!W18</f>
        <v>98.917162070345114</v>
      </c>
      <c r="D136" s="46">
        <f>maluku_papua!X18</f>
        <v>-9.9999999925159955E-7</v>
      </c>
      <c r="E136" s="46">
        <f>maluku_papua!Y18</f>
        <v>150.92816229768803</v>
      </c>
      <c r="F136" s="46">
        <f>maluku_papua!Z18</f>
        <v>0</v>
      </c>
      <c r="G136" s="46">
        <f>maluku_papua!AA18</f>
        <v>1.5410366138723922E-7</v>
      </c>
      <c r="H136" s="46">
        <f>maluku_papua!AB18</f>
        <v>0.14266961506617118</v>
      </c>
      <c r="I136" s="46">
        <f>maluku_papua!AC18</f>
        <v>22.908062119314767</v>
      </c>
      <c r="J136" s="46">
        <f>maluku_papua!AD18</f>
        <v>77.733285253679682</v>
      </c>
      <c r="K136" s="46">
        <f>maluku_papua!AE18</f>
        <v>35.890110166943998</v>
      </c>
      <c r="L136" s="46">
        <f>maluku_papua!AF18</f>
        <v>0</v>
      </c>
      <c r="M136" s="46">
        <f>maluku_papua!AG18</f>
        <v>0</v>
      </c>
      <c r="N136" s="46">
        <f>maluku_papua!AH18</f>
        <v>0</v>
      </c>
      <c r="O136" s="46">
        <f>maluku_papua!AI18</f>
        <v>0.10321161395823353</v>
      </c>
      <c r="P136" s="46">
        <f>maluku_papua!AJ18</f>
        <v>386.62266229109974</v>
      </c>
    </row>
    <row r="137" spans="1:16" x14ac:dyDescent="0.25">
      <c r="A137" t="str">
        <f>maluku_papua!B19</f>
        <v>MALUKU_PAPUA</v>
      </c>
      <c r="B137">
        <f>maluku_papua!C19</f>
        <v>2034</v>
      </c>
      <c r="C137" s="46">
        <f>maluku_papua!W19</f>
        <v>104.68968413688447</v>
      </c>
      <c r="D137" s="46">
        <f>maluku_papua!X19</f>
        <v>0</v>
      </c>
      <c r="E137" s="46">
        <f>maluku_papua!Y19</f>
        <v>164.66928929238208</v>
      </c>
      <c r="F137" s="46">
        <f>maluku_papua!Z19</f>
        <v>0</v>
      </c>
      <c r="G137" s="46">
        <f>maluku_papua!AA19</f>
        <v>-3.3644177517000575E-15</v>
      </c>
      <c r="H137" s="46">
        <f>maluku_papua!AB19</f>
        <v>25.739288397972164</v>
      </c>
      <c r="I137" s="46">
        <f>maluku_papua!AC19</f>
        <v>41.636763641722162</v>
      </c>
      <c r="J137" s="46">
        <f>maluku_papua!AD19</f>
        <v>9.1696279486279781</v>
      </c>
      <c r="K137" s="46">
        <f>maluku_papua!AE19</f>
        <v>15.013455185898813</v>
      </c>
      <c r="L137" s="46">
        <f>maluku_papua!AF19</f>
        <v>0</v>
      </c>
      <c r="M137" s="46">
        <f>maluku_papua!AG19</f>
        <v>4.739950868837434E-3</v>
      </c>
      <c r="N137" s="46">
        <f>maluku_papua!AH19</f>
        <v>0</v>
      </c>
      <c r="O137" s="46">
        <f>maluku_papua!AI19</f>
        <v>9.9486851748354255E-2</v>
      </c>
      <c r="P137" s="46">
        <f>maluku_papua!AJ19</f>
        <v>361.02233540610484</v>
      </c>
    </row>
    <row r="138" spans="1:16" x14ac:dyDescent="0.25">
      <c r="A138" t="str">
        <f>maluku_papua!B20</f>
        <v>MALUKU_PAPUA</v>
      </c>
      <c r="B138">
        <f>maluku_papua!C20</f>
        <v>2035</v>
      </c>
      <c r="C138" s="46">
        <f>maluku_papua!W20</f>
        <v>113.80078891513401</v>
      </c>
      <c r="D138" s="46">
        <f>maluku_papua!X20</f>
        <v>-9.9999999747524271E-7</v>
      </c>
      <c r="E138" s="46">
        <f>maluku_papua!Y20</f>
        <v>166.80136833111652</v>
      </c>
      <c r="F138" s="46">
        <f>maluku_papua!Z20</f>
        <v>0</v>
      </c>
      <c r="G138" s="46">
        <f>maluku_papua!AA20</f>
        <v>-1.5410365605816878E-7</v>
      </c>
      <c r="H138" s="46">
        <f>maluku_papua!AB20</f>
        <v>66.875662488057699</v>
      </c>
      <c r="I138" s="46">
        <f>maluku_papua!AC20</f>
        <v>0.19999900000000076</v>
      </c>
      <c r="J138" s="46">
        <f>maluku_papua!AD20</f>
        <v>84.092681552294863</v>
      </c>
      <c r="K138" s="46">
        <f>maluku_papua!AE20</f>
        <v>9.004467047123986E-2</v>
      </c>
      <c r="L138" s="46">
        <f>maluku_papua!AF20</f>
        <v>0</v>
      </c>
      <c r="M138" s="46">
        <f>maluku_papua!AG20</f>
        <v>0.18021807061522982</v>
      </c>
      <c r="N138" s="46">
        <f>maluku_papua!AH20</f>
        <v>0</v>
      </c>
      <c r="O138" s="46">
        <f>maluku_papua!AI20</f>
        <v>0.110189577550448</v>
      </c>
      <c r="P138" s="46">
        <f>maluku_papua!AJ20</f>
        <v>432.15095145113628</v>
      </c>
    </row>
    <row r="139" spans="1:16" x14ac:dyDescent="0.25">
      <c r="A139" t="str">
        <f>maluku_papua!B21</f>
        <v>MALUKU_PAPUA</v>
      </c>
      <c r="B139">
        <f>maluku_papua!C21</f>
        <v>2036</v>
      </c>
      <c r="C139" s="46">
        <f>maluku_papua!W21</f>
        <v>105.64183953068388</v>
      </c>
      <c r="D139" s="46">
        <f>maluku_papua!X21</f>
        <v>0</v>
      </c>
      <c r="E139" s="46">
        <f>maluku_papua!Y21</f>
        <v>244.97426584560102</v>
      </c>
      <c r="F139" s="46">
        <f>maluku_papua!Z21</f>
        <v>0</v>
      </c>
      <c r="G139" s="46">
        <f>maluku_papua!AA21</f>
        <v>1.5410365605816862E-7</v>
      </c>
      <c r="H139" s="46">
        <f>maluku_papua!AB21</f>
        <v>3.1727814530538467E-2</v>
      </c>
      <c r="I139" s="46">
        <f>maluku_papua!AC21</f>
        <v>114.43272877215108</v>
      </c>
      <c r="J139" s="46">
        <f>maluku_papua!AD21</f>
        <v>34.633260331885417</v>
      </c>
      <c r="K139" s="46">
        <f>maluku_papua!AE21</f>
        <v>25.183771866751812</v>
      </c>
      <c r="L139" s="46">
        <f>maluku_papua!AF21</f>
        <v>0</v>
      </c>
      <c r="M139" s="46">
        <f>maluku_papua!AG21</f>
        <v>0</v>
      </c>
      <c r="N139" s="46">
        <f>maluku_papua!AH21</f>
        <v>0</v>
      </c>
      <c r="O139" s="46">
        <f>maluku_papua!AI21</f>
        <v>0.14686803608694277</v>
      </c>
      <c r="P139" s="46">
        <f>maluku_papua!AJ21</f>
        <v>525.04446235179432</v>
      </c>
    </row>
    <row r="140" spans="1:16" x14ac:dyDescent="0.25">
      <c r="A140" t="str">
        <f>maluku_papua!B22</f>
        <v>MALUKU_PAPUA</v>
      </c>
      <c r="B140">
        <f>maluku_papua!C22</f>
        <v>2037</v>
      </c>
      <c r="C140" s="46">
        <f>maluku_papua!W22</f>
        <v>113.49315445876709</v>
      </c>
      <c r="D140" s="46">
        <f>maluku_papua!X22</f>
        <v>-9.9999999747524271E-7</v>
      </c>
      <c r="E140" s="46">
        <f>maluku_papua!Y22</f>
        <v>258.10505465821814</v>
      </c>
      <c r="F140" s="46">
        <f>maluku_papua!Z22</f>
        <v>0</v>
      </c>
      <c r="G140" s="46">
        <f>maluku_papua!AA22</f>
        <v>3.3644179105187355E-15</v>
      </c>
      <c r="H140" s="46">
        <f>maluku_papua!AB22</f>
        <v>28.935821139680655</v>
      </c>
      <c r="I140" s="46">
        <f>maluku_papua!AC22</f>
        <v>118.01718251590863</v>
      </c>
      <c r="J140" s="46">
        <f>maluku_papua!AD22</f>
        <v>11.99644222040658</v>
      </c>
      <c r="K140" s="46">
        <f>maluku_papua!AE22</f>
        <v>20.049892958977953</v>
      </c>
      <c r="L140" s="46">
        <f>maluku_papua!AF22</f>
        <v>0</v>
      </c>
      <c r="M140" s="46">
        <f>maluku_papua!AG22</f>
        <v>0.18160776529667144</v>
      </c>
      <c r="N140" s="46">
        <f>maluku_papua!AH22</f>
        <v>0</v>
      </c>
      <c r="O140" s="46">
        <f>maluku_papua!AI22</f>
        <v>0.15523961455543889</v>
      </c>
      <c r="P140" s="46">
        <f>maluku_papua!AJ22</f>
        <v>550.93439433181118</v>
      </c>
    </row>
    <row r="141" spans="1:16" x14ac:dyDescent="0.25">
      <c r="A141" t="str">
        <f>maluku_papua!B23</f>
        <v>MALUKU_PAPUA</v>
      </c>
      <c r="B141">
        <f>maluku_papua!C23</f>
        <v>2038</v>
      </c>
      <c r="C141" s="46">
        <f>maluku_papua!W23</f>
        <v>38.057020523004461</v>
      </c>
      <c r="D141" s="46">
        <f>maluku_papua!X23</f>
        <v>0</v>
      </c>
      <c r="E141" s="46">
        <f>maluku_papua!Y23</f>
        <v>133.57727508164666</v>
      </c>
      <c r="F141" s="46">
        <f>maluku_papua!Z23</f>
        <v>63.723541536433018</v>
      </c>
      <c r="G141" s="46">
        <f>maluku_papua!AA23</f>
        <v>0</v>
      </c>
      <c r="H141" s="46">
        <f>maluku_papua!AB23</f>
        <v>0</v>
      </c>
      <c r="I141" s="46">
        <f>maluku_papua!AC23</f>
        <v>0</v>
      </c>
      <c r="J141" s="46">
        <f>maluku_papua!AD23</f>
        <v>0</v>
      </c>
      <c r="K141" s="46">
        <f>maluku_papua!AE23</f>
        <v>0</v>
      </c>
      <c r="L141" s="46">
        <f>maluku_papua!AF23</f>
        <v>0</v>
      </c>
      <c r="M141" s="46">
        <f>maluku_papua!AG23</f>
        <v>0</v>
      </c>
      <c r="N141" s="46">
        <f>maluku_papua!AH23</f>
        <v>0</v>
      </c>
      <c r="O141" s="46">
        <f>maluku_papua!AI23</f>
        <v>6.0366610864881487E-2</v>
      </c>
      <c r="P141" s="46">
        <f>maluku_papua!AJ23</f>
        <v>235.41820375194902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2003-E828-47B7-A9BA-1C0D64A62393}">
  <sheetPr codeName="Sheet16"/>
  <dimension ref="A1:J141"/>
  <sheetViews>
    <sheetView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E72" sqref="E72"/>
    </sheetView>
  </sheetViews>
  <sheetFormatPr defaultRowHeight="15" x14ac:dyDescent="0.25"/>
  <cols>
    <col min="1" max="1" width="16" customWidth="1"/>
  </cols>
  <sheetData>
    <row r="1" spans="1:10" x14ac:dyDescent="0.25">
      <c r="A1" t="str">
        <f>indonesia!AO3</f>
        <v>region</v>
      </c>
      <c r="B1" t="str">
        <f>indonesia!AP3</f>
        <v>year</v>
      </c>
      <c r="C1" t="str">
        <f>indonesia!AU3</f>
        <v>geothermal</v>
      </c>
      <c r="D1" t="str">
        <f>indonesia!AV3</f>
        <v>lhydro</v>
      </c>
      <c r="E1" t="str">
        <f>indonesia!AW3</f>
        <v>mhydro</v>
      </c>
      <c r="F1" t="str">
        <f>indonesia!AX3</f>
        <v>solar</v>
      </c>
      <c r="G1" t="str">
        <f>indonesia!AY3</f>
        <v>wind</v>
      </c>
      <c r="H1" t="str">
        <f>indonesia!AZ3</f>
        <v>biomass</v>
      </c>
      <c r="I1" t="str">
        <f>indonesia!BA3</f>
        <v>ocean</v>
      </c>
      <c r="J1" t="str">
        <f>indonesia!BD3</f>
        <v>total</v>
      </c>
    </row>
    <row r="2" spans="1:10" x14ac:dyDescent="0.25">
      <c r="A2" t="str">
        <f>indonesia!AO4</f>
        <v>INDONESIA</v>
      </c>
      <c r="B2">
        <f>indonesia!AP4</f>
        <v>2019</v>
      </c>
      <c r="C2">
        <f>SUM(C22,C42,C62,C82,C102,C122)</f>
        <v>46700.6</v>
      </c>
      <c r="D2">
        <f t="shared" ref="D2:J2" si="0">SUM(D22,D42,D62,D82,D102,D122)</f>
        <v>127381</v>
      </c>
      <c r="E2">
        <f t="shared" si="0"/>
        <v>37938</v>
      </c>
      <c r="F2">
        <f t="shared" si="0"/>
        <v>402398</v>
      </c>
      <c r="G2">
        <f t="shared" si="0"/>
        <v>115754</v>
      </c>
      <c r="H2">
        <f t="shared" si="0"/>
        <v>65091</v>
      </c>
      <c r="I2">
        <f t="shared" si="0"/>
        <v>35585</v>
      </c>
      <c r="J2">
        <f t="shared" si="0"/>
        <v>830847.6</v>
      </c>
    </row>
    <row r="3" spans="1:10" x14ac:dyDescent="0.25">
      <c r="A3" t="str">
        <f>indonesia!AO5</f>
        <v>INDONESIA</v>
      </c>
      <c r="B3">
        <f>indonesia!AP5</f>
        <v>2020</v>
      </c>
      <c r="C3">
        <f t="shared" ref="C3:J18" si="1">SUM(C23,C43,C63,C83,C103,C123)</f>
        <v>46568.780094021742</v>
      </c>
      <c r="D3">
        <f t="shared" si="1"/>
        <v>125281.49264454033</v>
      </c>
      <c r="E3">
        <f t="shared" si="1"/>
        <v>37881.407215576139</v>
      </c>
      <c r="F3">
        <f t="shared" si="1"/>
        <v>395621.37947152712</v>
      </c>
      <c r="G3">
        <f t="shared" si="1"/>
        <v>115698.30988442971</v>
      </c>
      <c r="H3">
        <f t="shared" si="1"/>
        <v>65091.000000400381</v>
      </c>
      <c r="I3">
        <f t="shared" si="1"/>
        <v>35579.435020942314</v>
      </c>
      <c r="J3">
        <f t="shared" si="1"/>
        <v>821721.80433143768</v>
      </c>
    </row>
    <row r="4" spans="1:10" x14ac:dyDescent="0.25">
      <c r="A4" t="str">
        <f>indonesia!AO6</f>
        <v>INDONESIA</v>
      </c>
      <c r="B4">
        <f>indonesia!AP6</f>
        <v>2021</v>
      </c>
      <c r="C4">
        <f t="shared" si="1"/>
        <v>46568.78009502175</v>
      </c>
      <c r="D4">
        <f t="shared" si="1"/>
        <v>124848.13455752603</v>
      </c>
      <c r="E4">
        <f t="shared" si="1"/>
        <v>37805.86481492842</v>
      </c>
      <c r="F4">
        <f t="shared" si="1"/>
        <v>394983.01240004506</v>
      </c>
      <c r="G4">
        <f t="shared" si="1"/>
        <v>115661.11745599283</v>
      </c>
      <c r="H4">
        <f t="shared" si="1"/>
        <v>65091</v>
      </c>
      <c r="I4">
        <f t="shared" si="1"/>
        <v>35579.193392141504</v>
      </c>
      <c r="J4">
        <f t="shared" si="1"/>
        <v>820537.1027156557</v>
      </c>
    </row>
    <row r="5" spans="1:10" x14ac:dyDescent="0.25">
      <c r="A5" t="str">
        <f>indonesia!AO7</f>
        <v>INDONESIA</v>
      </c>
      <c r="B5">
        <f>indonesia!AP7</f>
        <v>2022</v>
      </c>
      <c r="C5">
        <f t="shared" si="1"/>
        <v>46568.78009502175</v>
      </c>
      <c r="D5">
        <f t="shared" si="1"/>
        <v>124710.78855120747</v>
      </c>
      <c r="E5">
        <f t="shared" si="1"/>
        <v>37774.400327696872</v>
      </c>
      <c r="F5">
        <f t="shared" si="1"/>
        <v>394241.43184854847</v>
      </c>
      <c r="G5">
        <f t="shared" si="1"/>
        <v>114803.8432160743</v>
      </c>
      <c r="H5">
        <f t="shared" si="1"/>
        <v>65091</v>
      </c>
      <c r="I5">
        <f t="shared" si="1"/>
        <v>35579.157034090254</v>
      </c>
      <c r="J5">
        <f t="shared" si="1"/>
        <v>818769.40107263916</v>
      </c>
    </row>
    <row r="6" spans="1:10" x14ac:dyDescent="0.25">
      <c r="A6" t="str">
        <f>indonesia!AO8</f>
        <v>INDONESIA</v>
      </c>
      <c r="B6">
        <f>indonesia!AP8</f>
        <v>2023</v>
      </c>
      <c r="C6">
        <f t="shared" si="1"/>
        <v>46568.723360410972</v>
      </c>
      <c r="D6">
        <f t="shared" si="1"/>
        <v>124477.0354317984</v>
      </c>
      <c r="E6">
        <f t="shared" si="1"/>
        <v>37774.396920979772</v>
      </c>
      <c r="F6">
        <f t="shared" si="1"/>
        <v>394105.80566489662</v>
      </c>
      <c r="G6">
        <f t="shared" si="1"/>
        <v>112469.56903564763</v>
      </c>
      <c r="H6">
        <f t="shared" si="1"/>
        <v>65034.645626607424</v>
      </c>
      <c r="I6">
        <f t="shared" si="1"/>
        <v>35579.151627220373</v>
      </c>
      <c r="J6">
        <f t="shared" si="1"/>
        <v>816009.32766756113</v>
      </c>
    </row>
    <row r="7" spans="1:10" x14ac:dyDescent="0.25">
      <c r="A7" t="str">
        <f>indonesia!AO9</f>
        <v>INDONESIA</v>
      </c>
      <c r="B7">
        <f>indonesia!AP9</f>
        <v>2024</v>
      </c>
      <c r="C7">
        <f t="shared" si="1"/>
        <v>46568.632941565942</v>
      </c>
      <c r="D7">
        <f t="shared" si="1"/>
        <v>124453.2478823589</v>
      </c>
      <c r="E7">
        <f t="shared" si="1"/>
        <v>37723.115261940104</v>
      </c>
      <c r="F7">
        <f t="shared" si="1"/>
        <v>393968.00368908199</v>
      </c>
      <c r="G7">
        <f t="shared" si="1"/>
        <v>108484.8025580706</v>
      </c>
      <c r="H7">
        <f t="shared" si="1"/>
        <v>64920.420877719429</v>
      </c>
      <c r="I7">
        <f t="shared" si="1"/>
        <v>35579.151627220373</v>
      </c>
      <c r="J7">
        <f t="shared" si="1"/>
        <v>811697.37483795732</v>
      </c>
    </row>
    <row r="8" spans="1:10" x14ac:dyDescent="0.25">
      <c r="A8" t="str">
        <f>indonesia!AO10</f>
        <v>INDONESIA</v>
      </c>
      <c r="B8">
        <f>indonesia!AP10</f>
        <v>2025</v>
      </c>
      <c r="C8">
        <f t="shared" si="1"/>
        <v>46568.632941565942</v>
      </c>
      <c r="D8">
        <f t="shared" si="1"/>
        <v>124163.09474298646</v>
      </c>
      <c r="E8">
        <f t="shared" si="1"/>
        <v>37716.689618273653</v>
      </c>
      <c r="F8">
        <f t="shared" si="1"/>
        <v>393777.10833779781</v>
      </c>
      <c r="G8">
        <f t="shared" si="1"/>
        <v>104445.09284371077</v>
      </c>
      <c r="H8">
        <f t="shared" si="1"/>
        <v>64808.119736967376</v>
      </c>
      <c r="I8">
        <f t="shared" si="1"/>
        <v>35579.151612262838</v>
      </c>
      <c r="J8">
        <f t="shared" si="1"/>
        <v>807057.88983356487</v>
      </c>
    </row>
    <row r="9" spans="1:10" x14ac:dyDescent="0.25">
      <c r="A9" t="str">
        <f>indonesia!AO11</f>
        <v>INDONESIA</v>
      </c>
      <c r="B9">
        <f>indonesia!AP11</f>
        <v>2026</v>
      </c>
      <c r="C9">
        <f t="shared" si="1"/>
        <v>46560.615280751394</v>
      </c>
      <c r="D9">
        <f t="shared" si="1"/>
        <v>124148.27018860661</v>
      </c>
      <c r="E9">
        <f t="shared" si="1"/>
        <v>37697.768336465509</v>
      </c>
      <c r="F9">
        <f t="shared" si="1"/>
        <v>393491.19707659516</v>
      </c>
      <c r="G9">
        <f t="shared" si="1"/>
        <v>100690.87147976761</v>
      </c>
      <c r="H9">
        <f t="shared" si="1"/>
        <v>64732.657894753007</v>
      </c>
      <c r="I9">
        <f t="shared" si="1"/>
        <v>35579.09810733248</v>
      </c>
      <c r="J9">
        <f t="shared" si="1"/>
        <v>802900.47836427169</v>
      </c>
    </row>
    <row r="10" spans="1:10" x14ac:dyDescent="0.25">
      <c r="A10" t="str">
        <f>indonesia!AO12</f>
        <v>INDONESIA</v>
      </c>
      <c r="B10">
        <f>indonesia!AP12</f>
        <v>2027</v>
      </c>
      <c r="C10">
        <f t="shared" si="1"/>
        <v>46560.615280905498</v>
      </c>
      <c r="D10">
        <f t="shared" si="1"/>
        <v>124133.54245258594</v>
      </c>
      <c r="E10">
        <f t="shared" si="1"/>
        <v>37383.842986444324</v>
      </c>
      <c r="F10">
        <f t="shared" si="1"/>
        <v>393052.33561079332</v>
      </c>
      <c r="G10">
        <f t="shared" si="1"/>
        <v>96733.185499456828</v>
      </c>
      <c r="H10">
        <f t="shared" si="1"/>
        <v>64660.967424508279</v>
      </c>
      <c r="I10">
        <f t="shared" si="1"/>
        <v>35579.049221107263</v>
      </c>
      <c r="J10">
        <f t="shared" si="1"/>
        <v>798103.53847580147</v>
      </c>
    </row>
    <row r="11" spans="1:10" x14ac:dyDescent="0.25">
      <c r="A11" t="str">
        <f>indonesia!AO13</f>
        <v>INDONESIA</v>
      </c>
      <c r="B11">
        <f>indonesia!AP13</f>
        <v>2028</v>
      </c>
      <c r="C11">
        <f t="shared" si="1"/>
        <v>46560.615281751394</v>
      </c>
      <c r="D11">
        <f t="shared" si="1"/>
        <v>124133.54245258594</v>
      </c>
      <c r="E11">
        <f t="shared" si="1"/>
        <v>37383.842987444325</v>
      </c>
      <c r="F11">
        <f t="shared" si="1"/>
        <v>392885.73570081586</v>
      </c>
      <c r="G11">
        <f t="shared" si="1"/>
        <v>94429.471161684341</v>
      </c>
      <c r="H11">
        <f t="shared" si="1"/>
        <v>64606.046365342612</v>
      </c>
      <c r="I11">
        <f t="shared" si="1"/>
        <v>35578.990428167992</v>
      </c>
      <c r="J11">
        <f t="shared" si="1"/>
        <v>795578.24437779246</v>
      </c>
    </row>
    <row r="12" spans="1:10" x14ac:dyDescent="0.25">
      <c r="A12" t="str">
        <f>indonesia!AO14</f>
        <v>INDONESIA</v>
      </c>
      <c r="B12">
        <f>indonesia!AP14</f>
        <v>2029</v>
      </c>
      <c r="C12">
        <f t="shared" si="1"/>
        <v>46560.615282751394</v>
      </c>
      <c r="D12">
        <f t="shared" si="1"/>
        <v>124119.84935573439</v>
      </c>
      <c r="E12">
        <f t="shared" si="1"/>
        <v>37353.001582282421</v>
      </c>
      <c r="F12">
        <f t="shared" si="1"/>
        <v>392706.9301457656</v>
      </c>
      <c r="G12">
        <f t="shared" si="1"/>
        <v>92059.716843841583</v>
      </c>
      <c r="H12">
        <f t="shared" si="1"/>
        <v>64493.793679245973</v>
      </c>
      <c r="I12">
        <f t="shared" si="1"/>
        <v>35578.654732074421</v>
      </c>
      <c r="J12">
        <f t="shared" si="1"/>
        <v>792872.56162169576</v>
      </c>
    </row>
    <row r="13" spans="1:10" x14ac:dyDescent="0.25">
      <c r="A13" t="str">
        <f>indonesia!AO15</f>
        <v>INDONESIA</v>
      </c>
      <c r="B13">
        <f>indonesia!AP15</f>
        <v>2030</v>
      </c>
      <c r="C13">
        <f t="shared" si="1"/>
        <v>46560.615283751395</v>
      </c>
      <c r="D13">
        <f t="shared" si="1"/>
        <v>124100.35423113797</v>
      </c>
      <c r="E13">
        <f t="shared" si="1"/>
        <v>37325.958510122029</v>
      </c>
      <c r="F13">
        <f t="shared" si="1"/>
        <v>390979.67422399711</v>
      </c>
      <c r="G13">
        <f t="shared" si="1"/>
        <v>89689.379653193726</v>
      </c>
      <c r="H13">
        <f t="shared" si="1"/>
        <v>64493.793680245974</v>
      </c>
      <c r="I13">
        <f t="shared" si="1"/>
        <v>35578.654732074421</v>
      </c>
      <c r="J13">
        <f t="shared" si="1"/>
        <v>788728.43031452259</v>
      </c>
    </row>
    <row r="14" spans="1:10" x14ac:dyDescent="0.25">
      <c r="A14" t="str">
        <f>indonesia!AO16</f>
        <v>INDONESIA</v>
      </c>
      <c r="B14">
        <f>indonesia!AP16</f>
        <v>2031</v>
      </c>
      <c r="C14">
        <f t="shared" si="1"/>
        <v>46560.615283905499</v>
      </c>
      <c r="D14">
        <f t="shared" si="1"/>
        <v>124074.32540064096</v>
      </c>
      <c r="E14">
        <f t="shared" si="1"/>
        <v>37304.591013917758</v>
      </c>
      <c r="F14">
        <f t="shared" si="1"/>
        <v>390894.69560920104</v>
      </c>
      <c r="G14">
        <f t="shared" si="1"/>
        <v>86476.175483716768</v>
      </c>
      <c r="H14">
        <f t="shared" si="1"/>
        <v>64439.301961066318</v>
      </c>
      <c r="I14">
        <f t="shared" si="1"/>
        <v>35578.654732074421</v>
      </c>
      <c r="J14">
        <f t="shared" si="1"/>
        <v>785328.35948452284</v>
      </c>
    </row>
    <row r="15" spans="1:10" x14ac:dyDescent="0.25">
      <c r="A15" t="str">
        <f>indonesia!AO17</f>
        <v>INDONESIA</v>
      </c>
      <c r="B15">
        <f>indonesia!AP17</f>
        <v>2032</v>
      </c>
      <c r="C15">
        <f t="shared" si="1"/>
        <v>46560.615283905499</v>
      </c>
      <c r="D15">
        <f t="shared" si="1"/>
        <v>124005.92198258647</v>
      </c>
      <c r="E15">
        <f t="shared" si="1"/>
        <v>37094.999103996248</v>
      </c>
      <c r="F15">
        <f t="shared" si="1"/>
        <v>390783.93780773785</v>
      </c>
      <c r="G15">
        <f t="shared" si="1"/>
        <v>83360.304256443633</v>
      </c>
      <c r="H15">
        <f t="shared" si="1"/>
        <v>64408.423249173939</v>
      </c>
      <c r="I15">
        <f t="shared" si="1"/>
        <v>35578.541911969718</v>
      </c>
      <c r="J15">
        <f t="shared" si="1"/>
        <v>781792.7435958134</v>
      </c>
    </row>
    <row r="16" spans="1:10" x14ac:dyDescent="0.25">
      <c r="A16" t="str">
        <f>indonesia!AO18</f>
        <v>INDONESIA</v>
      </c>
      <c r="B16">
        <f>indonesia!AP18</f>
        <v>2033</v>
      </c>
      <c r="C16">
        <f t="shared" si="1"/>
        <v>46531.850767302298</v>
      </c>
      <c r="D16">
        <f t="shared" si="1"/>
        <v>123734.98469507493</v>
      </c>
      <c r="E16">
        <f t="shared" si="1"/>
        <v>36710.859012490037</v>
      </c>
      <c r="F16">
        <f t="shared" si="1"/>
        <v>390019.4791123207</v>
      </c>
      <c r="G16">
        <f t="shared" si="1"/>
        <v>81724.821186455461</v>
      </c>
      <c r="H16">
        <f t="shared" si="1"/>
        <v>64392.983893227749</v>
      </c>
      <c r="I16">
        <f t="shared" si="1"/>
        <v>35578.541911969718</v>
      </c>
      <c r="J16">
        <f t="shared" si="1"/>
        <v>778693.52057884098</v>
      </c>
    </row>
    <row r="17" spans="1:10" x14ac:dyDescent="0.25">
      <c r="A17" t="str">
        <f>indonesia!AO19</f>
        <v>INDONESIA</v>
      </c>
      <c r="B17">
        <f>indonesia!AP19</f>
        <v>2034</v>
      </c>
      <c r="C17">
        <f t="shared" si="1"/>
        <v>46531.850768302298</v>
      </c>
      <c r="D17">
        <f t="shared" si="1"/>
        <v>123643.8066741842</v>
      </c>
      <c r="E17">
        <f t="shared" si="1"/>
        <v>34740.302214210693</v>
      </c>
      <c r="F17">
        <f t="shared" si="1"/>
        <v>389101.54747913894</v>
      </c>
      <c r="G17">
        <f t="shared" si="1"/>
        <v>80657.089484829514</v>
      </c>
      <c r="H17">
        <f t="shared" si="1"/>
        <v>64385.264215254647</v>
      </c>
      <c r="I17">
        <f t="shared" si="1"/>
        <v>35578.537172018856</v>
      </c>
      <c r="J17">
        <f t="shared" si="1"/>
        <v>774638.3980079391</v>
      </c>
    </row>
    <row r="18" spans="1:10" x14ac:dyDescent="0.25">
      <c r="A18" t="str">
        <f>indonesia!AO20</f>
        <v>INDONESIA</v>
      </c>
      <c r="B18">
        <f>indonesia!AP20</f>
        <v>2035</v>
      </c>
      <c r="C18">
        <f t="shared" si="1"/>
        <v>46461.700470984724</v>
      </c>
      <c r="D18">
        <f t="shared" si="1"/>
        <v>123013.19860099955</v>
      </c>
      <c r="E18">
        <f t="shared" si="1"/>
        <v>34018.770708890399</v>
      </c>
      <c r="F18">
        <f t="shared" si="1"/>
        <v>388022.99053474294</v>
      </c>
      <c r="G18">
        <f t="shared" si="1"/>
        <v>79595.741806128819</v>
      </c>
      <c r="H18">
        <f t="shared" si="1"/>
        <v>64381.404376268103</v>
      </c>
      <c r="I18">
        <f t="shared" si="1"/>
        <v>35578.356954280083</v>
      </c>
      <c r="J18">
        <f t="shared" si="1"/>
        <v>771072.16345229466</v>
      </c>
    </row>
    <row r="19" spans="1:10" x14ac:dyDescent="0.25">
      <c r="A19" t="str">
        <f>indonesia!AO21</f>
        <v>INDONESIA</v>
      </c>
      <c r="B19">
        <f>indonesia!AP21</f>
        <v>2036</v>
      </c>
      <c r="C19">
        <f t="shared" ref="C19:J21" si="2">SUM(C39,C59,C79,C99,C119,C139)</f>
        <v>45982.014859935633</v>
      </c>
      <c r="D19">
        <f t="shared" si="2"/>
        <v>122297.95952059125</v>
      </c>
      <c r="E19">
        <f t="shared" si="2"/>
        <v>32906.044585826661</v>
      </c>
      <c r="F19">
        <f t="shared" si="2"/>
        <v>386838.60376535554</v>
      </c>
      <c r="G19">
        <f t="shared" si="2"/>
        <v>78842.199798156609</v>
      </c>
      <c r="H19">
        <f t="shared" si="2"/>
        <v>64379.474456774828</v>
      </c>
      <c r="I19">
        <f t="shared" si="2"/>
        <v>35578.356953948241</v>
      </c>
      <c r="J19">
        <f t="shared" si="2"/>
        <v>766824.6539405887</v>
      </c>
    </row>
    <row r="20" spans="1:10" x14ac:dyDescent="0.25">
      <c r="A20" t="str">
        <f>indonesia!AO22</f>
        <v>INDONESIA</v>
      </c>
      <c r="B20">
        <f>indonesia!AP22</f>
        <v>2037</v>
      </c>
      <c r="C20">
        <f t="shared" si="2"/>
        <v>45020.656390539545</v>
      </c>
      <c r="D20">
        <f t="shared" si="2"/>
        <v>121911.44073872143</v>
      </c>
      <c r="E20">
        <f t="shared" si="2"/>
        <v>31972.753724568414</v>
      </c>
      <c r="F20">
        <f t="shared" si="2"/>
        <v>385152.91964330769</v>
      </c>
      <c r="G20">
        <f t="shared" si="2"/>
        <v>78291.043450471654</v>
      </c>
      <c r="H20">
        <f t="shared" si="2"/>
        <v>64378.509497028193</v>
      </c>
      <c r="I20">
        <f t="shared" si="2"/>
        <v>35578.175346182936</v>
      </c>
      <c r="J20">
        <f t="shared" si="2"/>
        <v>762305.4987908199</v>
      </c>
    </row>
    <row r="21" spans="1:10" x14ac:dyDescent="0.25">
      <c r="A21" t="str">
        <f>indonesia!AO23</f>
        <v>INDONESIA</v>
      </c>
      <c r="B21">
        <f>indonesia!AP23</f>
        <v>2038</v>
      </c>
      <c r="C21">
        <f t="shared" si="2"/>
        <v>43644.097499265248</v>
      </c>
      <c r="D21">
        <f t="shared" si="2"/>
        <v>121732.62854278901</v>
      </c>
      <c r="E21">
        <f t="shared" si="2"/>
        <v>31736.055933257361</v>
      </c>
      <c r="F21">
        <f t="shared" si="2"/>
        <v>380970.60196527222</v>
      </c>
      <c r="G21">
        <f t="shared" si="2"/>
        <v>77851.540592360034</v>
      </c>
      <c r="H21">
        <f t="shared" si="2"/>
        <v>64378.027017154876</v>
      </c>
      <c r="I21">
        <f t="shared" si="2"/>
        <v>35578.175346182936</v>
      </c>
      <c r="J21">
        <f t="shared" si="2"/>
        <v>755891.12689628173</v>
      </c>
    </row>
    <row r="22" spans="1:10" x14ac:dyDescent="0.25">
      <c r="A22" t="str">
        <f>sumatera!AO4</f>
        <v>SUMATERA</v>
      </c>
      <c r="B22">
        <f>sumatera!AP4</f>
        <v>2019</v>
      </c>
      <c r="C22">
        <f>sumatera!AU4</f>
        <v>9679</v>
      </c>
      <c r="D22">
        <f>sumatera!AV4</f>
        <v>15579</v>
      </c>
      <c r="E22">
        <f>sumatera!AW4</f>
        <v>5734</v>
      </c>
      <c r="F22">
        <f>sumatera!AX4</f>
        <v>68749</v>
      </c>
      <c r="G22">
        <f>sumatera!AY4</f>
        <v>7397</v>
      </c>
      <c r="H22">
        <f>sumatera!AZ4</f>
        <v>15589</v>
      </c>
      <c r="I22">
        <f>sumatera!BA4</f>
        <v>6027</v>
      </c>
      <c r="J22">
        <f>sumatera!BD4</f>
        <v>128754</v>
      </c>
    </row>
    <row r="23" spans="1:10" x14ac:dyDescent="0.25">
      <c r="A23" t="str">
        <f>sumatera!AO5</f>
        <v>SUMATERA</v>
      </c>
      <c r="B23">
        <f>sumatera!AP5</f>
        <v>2020</v>
      </c>
      <c r="C23">
        <f>sumatera!AU5</f>
        <v>9679</v>
      </c>
      <c r="D23">
        <f>sumatera!AV5</f>
        <v>15579</v>
      </c>
      <c r="E23">
        <f>sumatera!AW5</f>
        <v>5734</v>
      </c>
      <c r="F23">
        <f>sumatera!AX5</f>
        <v>68354.433354130946</v>
      </c>
      <c r="G23">
        <f>sumatera!AY5</f>
        <v>7397</v>
      </c>
      <c r="H23">
        <f>sumatera!AZ5</f>
        <v>15589</v>
      </c>
      <c r="I23">
        <f>sumatera!BA5</f>
        <v>6027</v>
      </c>
      <c r="J23">
        <f>sumatera!BD5</f>
        <v>128359.43335413095</v>
      </c>
    </row>
    <row r="24" spans="1:10" x14ac:dyDescent="0.25">
      <c r="A24" t="str">
        <f>sumatera!AO6</f>
        <v>SUMATERA</v>
      </c>
      <c r="B24">
        <f>sumatera!AP6</f>
        <v>2021</v>
      </c>
      <c r="C24">
        <f>sumatera!AU6</f>
        <v>9679</v>
      </c>
      <c r="D24">
        <f>sumatera!AV6</f>
        <v>15579</v>
      </c>
      <c r="E24">
        <f>sumatera!AW6</f>
        <v>5734</v>
      </c>
      <c r="F24">
        <f>sumatera!AX6</f>
        <v>68333.533986673792</v>
      </c>
      <c r="G24">
        <f>sumatera!AY6</f>
        <v>7397</v>
      </c>
      <c r="H24">
        <f>sumatera!AZ6</f>
        <v>15589</v>
      </c>
      <c r="I24">
        <f>sumatera!BA6</f>
        <v>6027</v>
      </c>
      <c r="J24">
        <f>sumatera!BD6</f>
        <v>128338.53398667379</v>
      </c>
    </row>
    <row r="25" spans="1:10" x14ac:dyDescent="0.25">
      <c r="A25" t="str">
        <f>sumatera!AO7</f>
        <v>SUMATERA</v>
      </c>
      <c r="B25">
        <f>sumatera!AP7</f>
        <v>2022</v>
      </c>
      <c r="C25">
        <f>sumatera!AU7</f>
        <v>9679</v>
      </c>
      <c r="D25">
        <f>sumatera!AV7</f>
        <v>15579</v>
      </c>
      <c r="E25">
        <f>sumatera!AW7</f>
        <v>5734</v>
      </c>
      <c r="F25">
        <f>sumatera!AX7</f>
        <v>68311.468113595634</v>
      </c>
      <c r="G25">
        <f>sumatera!AY7</f>
        <v>7397</v>
      </c>
      <c r="H25">
        <f>sumatera!AZ7</f>
        <v>15589</v>
      </c>
      <c r="I25">
        <f>sumatera!BA7</f>
        <v>6027</v>
      </c>
      <c r="J25">
        <f>sumatera!BD7</f>
        <v>128316.46811359563</v>
      </c>
    </row>
    <row r="26" spans="1:10" x14ac:dyDescent="0.25">
      <c r="A26" t="str">
        <f>sumatera!AO8</f>
        <v>SUMATERA</v>
      </c>
      <c r="B26">
        <f>sumatera!AP8</f>
        <v>2023</v>
      </c>
      <c r="C26">
        <f>sumatera!AU8</f>
        <v>9679</v>
      </c>
      <c r="D26">
        <f>sumatera!AV8</f>
        <v>15579</v>
      </c>
      <c r="E26">
        <f>sumatera!AW8</f>
        <v>5734</v>
      </c>
      <c r="F26">
        <f>sumatera!AX8</f>
        <v>68288.164569589891</v>
      </c>
      <c r="G26">
        <f>sumatera!AY8</f>
        <v>7396.9999999592183</v>
      </c>
      <c r="H26">
        <f>sumatera!AZ8</f>
        <v>15589</v>
      </c>
      <c r="I26">
        <f>sumatera!BA8</f>
        <v>6027</v>
      </c>
      <c r="J26">
        <f>sumatera!BD8</f>
        <v>128293.16456954912</v>
      </c>
    </row>
    <row r="27" spans="1:10" x14ac:dyDescent="0.25">
      <c r="A27" t="str">
        <f>sumatera!AO9</f>
        <v>SUMATERA</v>
      </c>
      <c r="B27">
        <f>sumatera!AP9</f>
        <v>2024</v>
      </c>
      <c r="C27">
        <f>sumatera!AU9</f>
        <v>9679</v>
      </c>
      <c r="D27">
        <f>sumatera!AV9</f>
        <v>15579</v>
      </c>
      <c r="E27">
        <f>sumatera!AW9</f>
        <v>5734</v>
      </c>
      <c r="F27">
        <f>sumatera!AX9</f>
        <v>68165.32216653059</v>
      </c>
      <c r="G27">
        <f>sumatera!AY9</f>
        <v>6504.2793802525093</v>
      </c>
      <c r="H27">
        <f>sumatera!AZ9</f>
        <v>15589</v>
      </c>
      <c r="I27">
        <f>sumatera!BA9</f>
        <v>6027</v>
      </c>
      <c r="J27">
        <f>sumatera!BD9</f>
        <v>127277.6015467831</v>
      </c>
    </row>
    <row r="28" spans="1:10" x14ac:dyDescent="0.25">
      <c r="A28" t="str">
        <f>sumatera!AO10</f>
        <v>SUMATERA</v>
      </c>
      <c r="B28">
        <f>sumatera!AP10</f>
        <v>2025</v>
      </c>
      <c r="C28">
        <f>sumatera!AU10</f>
        <v>9679</v>
      </c>
      <c r="D28">
        <f>sumatera!AV10</f>
        <v>15579</v>
      </c>
      <c r="E28">
        <f>sumatera!AW10</f>
        <v>5734</v>
      </c>
      <c r="F28">
        <f>sumatera!AX10</f>
        <v>68012.68127810322</v>
      </c>
      <c r="G28">
        <f>sumatera!AY10</f>
        <v>5457.1541106313398</v>
      </c>
      <c r="H28">
        <f>sumatera!AZ10</f>
        <v>15589</v>
      </c>
      <c r="I28">
        <f>sumatera!BA10</f>
        <v>6027</v>
      </c>
      <c r="J28">
        <f>sumatera!BD10</f>
        <v>126077.83538873456</v>
      </c>
    </row>
    <row r="29" spans="1:10" x14ac:dyDescent="0.25">
      <c r="A29" t="str">
        <f>sumatera!AO11</f>
        <v>SUMATERA</v>
      </c>
      <c r="B29">
        <f>sumatera!AP11</f>
        <v>2026</v>
      </c>
      <c r="C29">
        <f>sumatera!AU11</f>
        <v>9679</v>
      </c>
      <c r="D29">
        <f>sumatera!AV11</f>
        <v>15579</v>
      </c>
      <c r="E29">
        <f>sumatera!AW11</f>
        <v>5734</v>
      </c>
      <c r="F29">
        <f>sumatera!AX11</f>
        <v>67753.122363571296</v>
      </c>
      <c r="G29">
        <f>sumatera!AY11</f>
        <v>3655.8510936989219</v>
      </c>
      <c r="H29">
        <f>sumatera!AZ11</f>
        <v>15589</v>
      </c>
      <c r="I29">
        <f>sumatera!BA11</f>
        <v>6027</v>
      </c>
      <c r="J29">
        <f>sumatera!BD11</f>
        <v>124016.97345727021</v>
      </c>
    </row>
    <row r="30" spans="1:10" x14ac:dyDescent="0.25">
      <c r="A30" t="str">
        <f>sumatera!AO12</f>
        <v>SUMATERA</v>
      </c>
      <c r="B30">
        <f>sumatera!AP12</f>
        <v>2027</v>
      </c>
      <c r="C30">
        <f>sumatera!AU12</f>
        <v>9679</v>
      </c>
      <c r="D30">
        <f>sumatera!AV12</f>
        <v>15579</v>
      </c>
      <c r="E30">
        <f>sumatera!AW12</f>
        <v>5442.4541903431582</v>
      </c>
      <c r="F30">
        <f>sumatera!AX12</f>
        <v>67391.952877743344</v>
      </c>
      <c r="G30">
        <f>sumatera!AY12</f>
        <v>1827.9255468494609</v>
      </c>
      <c r="H30">
        <f>sumatera!AZ12</f>
        <v>15589</v>
      </c>
      <c r="I30">
        <f>sumatera!BA12</f>
        <v>6027</v>
      </c>
      <c r="J30">
        <f>sumatera!BD12</f>
        <v>121536.33261493596</v>
      </c>
    </row>
    <row r="31" spans="1:10" x14ac:dyDescent="0.25">
      <c r="A31" t="str">
        <f>sumatera!AO13</f>
        <v>SUMATERA</v>
      </c>
      <c r="B31">
        <f>sumatera!AP13</f>
        <v>2028</v>
      </c>
      <c r="C31">
        <f>sumatera!AU13</f>
        <v>9679</v>
      </c>
      <c r="D31">
        <f>sumatera!AV13</f>
        <v>15579</v>
      </c>
      <c r="E31">
        <f>sumatera!AW13</f>
        <v>5442.4541903431582</v>
      </c>
      <c r="F31">
        <f>sumatera!AX13</f>
        <v>67298.774419424226</v>
      </c>
      <c r="G31">
        <f>sumatera!AY13</f>
        <v>1682.279356333926</v>
      </c>
      <c r="H31">
        <f>sumatera!AZ13</f>
        <v>15589</v>
      </c>
      <c r="I31">
        <f>sumatera!BA13</f>
        <v>6027</v>
      </c>
      <c r="J31">
        <f>sumatera!BD13</f>
        <v>121297.50796610132</v>
      </c>
    </row>
    <row r="32" spans="1:10" x14ac:dyDescent="0.25">
      <c r="A32" t="str">
        <f>sumatera!AO14</f>
        <v>SUMATERA</v>
      </c>
      <c r="B32">
        <f>sumatera!AP14</f>
        <v>2029</v>
      </c>
      <c r="C32">
        <f>sumatera!AU14</f>
        <v>9679</v>
      </c>
      <c r="D32">
        <f>sumatera!AV14</f>
        <v>15579</v>
      </c>
      <c r="E32">
        <f>sumatera!AW14</f>
        <v>5442.4541519498598</v>
      </c>
      <c r="F32">
        <f>sumatera!AX14</f>
        <v>67196.374625216427</v>
      </c>
      <c r="G32">
        <f>sumatera!AY14</f>
        <v>1562.6755300699856</v>
      </c>
      <c r="H32">
        <f>sumatera!AZ14</f>
        <v>15589</v>
      </c>
      <c r="I32">
        <f>sumatera!BA14</f>
        <v>6026.7719820610409</v>
      </c>
      <c r="J32">
        <f>sumatera!BD14</f>
        <v>121075.27628929731</v>
      </c>
    </row>
    <row r="33" spans="1:10" x14ac:dyDescent="0.25">
      <c r="A33" t="str">
        <f>sumatera!AO15</f>
        <v>SUMATERA</v>
      </c>
      <c r="B33">
        <f>sumatera!AP15</f>
        <v>2030</v>
      </c>
      <c r="C33">
        <f>sumatera!AU15</f>
        <v>9679</v>
      </c>
      <c r="D33">
        <f>sumatera!AV15</f>
        <v>15578.999999406742</v>
      </c>
      <c r="E33">
        <f>sumatera!AW15</f>
        <v>5442.4541518868955</v>
      </c>
      <c r="F33">
        <f>sumatera!AX15</f>
        <v>65543.68286890164</v>
      </c>
      <c r="G33">
        <f>sumatera!AY15</f>
        <v>1562.6756161472081</v>
      </c>
      <c r="H33">
        <f>sumatera!AZ15</f>
        <v>15589</v>
      </c>
      <c r="I33">
        <f>sumatera!BA15</f>
        <v>6026.7719820610409</v>
      </c>
      <c r="J33">
        <f>sumatera!BD15</f>
        <v>119422.58461840353</v>
      </c>
    </row>
    <row r="34" spans="1:10" x14ac:dyDescent="0.25">
      <c r="A34" t="str">
        <f>sumatera!AO16</f>
        <v>SUMATERA</v>
      </c>
      <c r="B34">
        <f>sumatera!AP16</f>
        <v>2031</v>
      </c>
      <c r="C34">
        <f>sumatera!AU16</f>
        <v>9679</v>
      </c>
      <c r="D34">
        <f>sumatera!AV16</f>
        <v>15578.999999406742</v>
      </c>
      <c r="E34">
        <f>sumatera!AW16</f>
        <v>5442.4541518868955</v>
      </c>
      <c r="F34">
        <f>sumatera!AX16</f>
        <v>65543.68286890164</v>
      </c>
      <c r="G34">
        <f>sumatera!AY16</f>
        <v>1112.5403045835551</v>
      </c>
      <c r="H34">
        <f>sumatera!AZ16</f>
        <v>15589</v>
      </c>
      <c r="I34">
        <f>sumatera!BA16</f>
        <v>6026.7719820610409</v>
      </c>
      <c r="J34">
        <f>sumatera!BD16</f>
        <v>118972.44930683987</v>
      </c>
    </row>
    <row r="35" spans="1:10" x14ac:dyDescent="0.25">
      <c r="A35" t="str">
        <f>sumatera!AO17</f>
        <v>SUMATERA</v>
      </c>
      <c r="B35">
        <f>sumatera!AP17</f>
        <v>2032</v>
      </c>
      <c r="C35">
        <f>sumatera!AU17</f>
        <v>9679</v>
      </c>
      <c r="D35">
        <f>sumatera!AV17</f>
        <v>15578.999999406742</v>
      </c>
      <c r="E35">
        <f>sumatera!AW17</f>
        <v>5442.4541518868955</v>
      </c>
      <c r="F35">
        <f>sumatera!AX17</f>
        <v>65543.68286890164</v>
      </c>
      <c r="G35">
        <f>sumatera!AY17</f>
        <v>627.5348988536233</v>
      </c>
      <c r="H35">
        <f>sumatera!AZ17</f>
        <v>15589</v>
      </c>
      <c r="I35">
        <f>sumatera!BA17</f>
        <v>6026.7719820610409</v>
      </c>
      <c r="J35">
        <f>sumatera!BD17</f>
        <v>118487.44390110995</v>
      </c>
    </row>
    <row r="36" spans="1:10" x14ac:dyDescent="0.25">
      <c r="A36" t="str">
        <f>sumatera!AO18</f>
        <v>SUMATERA</v>
      </c>
      <c r="B36">
        <f>sumatera!AP18</f>
        <v>2033</v>
      </c>
      <c r="C36">
        <f>sumatera!AU18</f>
        <v>9679</v>
      </c>
      <c r="D36">
        <f>sumatera!AV18</f>
        <v>15578.999999406742</v>
      </c>
      <c r="E36">
        <f>sumatera!AW18</f>
        <v>5442.4541518868955</v>
      </c>
      <c r="F36">
        <f>sumatera!AX18</f>
        <v>65543.68286890164</v>
      </c>
      <c r="G36">
        <f>sumatera!AY18</f>
        <v>547.47383904065157</v>
      </c>
      <c r="H36">
        <f>sumatera!AZ18</f>
        <v>15589</v>
      </c>
      <c r="I36">
        <f>sumatera!BA18</f>
        <v>6026.7719820610409</v>
      </c>
      <c r="J36">
        <f>sumatera!BD18</f>
        <v>118407.38284129697</v>
      </c>
    </row>
    <row r="37" spans="1:10" x14ac:dyDescent="0.25">
      <c r="A37" t="str">
        <f>sumatera!AO19</f>
        <v>SUMATERA</v>
      </c>
      <c r="B37">
        <f>sumatera!AP19</f>
        <v>2034</v>
      </c>
      <c r="C37">
        <f>sumatera!AU19</f>
        <v>9679</v>
      </c>
      <c r="D37">
        <f>sumatera!AV19</f>
        <v>15578.999999406742</v>
      </c>
      <c r="E37">
        <f>sumatera!AW19</f>
        <v>4505.2768956779864</v>
      </c>
      <c r="F37">
        <f>sumatera!AX19</f>
        <v>65543.68286890164</v>
      </c>
      <c r="G37">
        <f>sumatera!AY19</f>
        <v>547.47366257209501</v>
      </c>
      <c r="H37">
        <f>sumatera!AZ19</f>
        <v>15589</v>
      </c>
      <c r="I37">
        <f>sumatera!BA19</f>
        <v>6026.7719820610409</v>
      </c>
      <c r="J37">
        <f>sumatera!BD19</f>
        <v>117470.2054086195</v>
      </c>
    </row>
    <row r="38" spans="1:10" x14ac:dyDescent="0.25">
      <c r="A38" t="str">
        <f>sumatera!AO20</f>
        <v>SUMATERA</v>
      </c>
      <c r="B38">
        <f>sumatera!AP20</f>
        <v>2035</v>
      </c>
      <c r="C38">
        <f>sumatera!AU20</f>
        <v>9679</v>
      </c>
      <c r="D38">
        <f>sumatera!AV20</f>
        <v>15578.999999406742</v>
      </c>
      <c r="E38">
        <f>sumatera!AW20</f>
        <v>4473.3335918094381</v>
      </c>
      <c r="F38">
        <f>sumatera!AX20</f>
        <v>65543.68286890164</v>
      </c>
      <c r="G38">
        <f>sumatera!AY20</f>
        <v>273.7368312860475</v>
      </c>
      <c r="H38">
        <f>sumatera!AZ20</f>
        <v>15589</v>
      </c>
      <c r="I38">
        <f>sumatera!BA20</f>
        <v>6026.7719820610409</v>
      </c>
      <c r="J38">
        <f>sumatera!BD20</f>
        <v>117164.52527346491</v>
      </c>
    </row>
    <row r="39" spans="1:10" x14ac:dyDescent="0.25">
      <c r="A39" t="str">
        <f>sumatera!AO21</f>
        <v>SUMATERA</v>
      </c>
      <c r="B39">
        <f>sumatera!AP21</f>
        <v>2036</v>
      </c>
      <c r="C39">
        <f>sumatera!AU21</f>
        <v>9679</v>
      </c>
      <c r="D39">
        <f>sumatera!AV21</f>
        <v>15578.999999406742</v>
      </c>
      <c r="E39">
        <f>sumatera!AW21</f>
        <v>3884.3154943162594</v>
      </c>
      <c r="F39">
        <f>sumatera!AX21</f>
        <v>65543.68286890164</v>
      </c>
      <c r="G39">
        <f>sumatera!AY21</f>
        <v>136.86841564302375</v>
      </c>
      <c r="H39">
        <f>sumatera!AZ21</f>
        <v>15589</v>
      </c>
      <c r="I39">
        <f>sumatera!BA21</f>
        <v>6026.7719820610409</v>
      </c>
      <c r="J39">
        <f>sumatera!BD21</f>
        <v>116438.6387603287</v>
      </c>
    </row>
    <row r="40" spans="1:10" x14ac:dyDescent="0.25">
      <c r="A40" t="str">
        <f>sumatera!AO22</f>
        <v>SUMATERA</v>
      </c>
      <c r="B40">
        <f>sumatera!AP22</f>
        <v>2037</v>
      </c>
      <c r="C40">
        <f>sumatera!AU22</f>
        <v>9679</v>
      </c>
      <c r="D40">
        <f>sumatera!AV22</f>
        <v>15578.999999406742</v>
      </c>
      <c r="E40">
        <f>sumatera!AW22</f>
        <v>3351.4732419626548</v>
      </c>
      <c r="F40">
        <f>sumatera!AX22</f>
        <v>65150.961543572128</v>
      </c>
      <c r="G40">
        <f>sumatera!AY22</f>
        <v>68.434207821511862</v>
      </c>
      <c r="H40">
        <f>sumatera!AZ22</f>
        <v>15589</v>
      </c>
      <c r="I40">
        <f>sumatera!BA22</f>
        <v>6026.7719820610409</v>
      </c>
      <c r="J40">
        <f>sumatera!BD22</f>
        <v>115444.64097482407</v>
      </c>
    </row>
    <row r="41" spans="1:10" x14ac:dyDescent="0.25">
      <c r="A41" t="str">
        <f>sumatera!AO23</f>
        <v>SUMATERA</v>
      </c>
      <c r="B41">
        <f>sumatera!AP23</f>
        <v>2038</v>
      </c>
      <c r="C41">
        <f>sumatera!AU23</f>
        <v>9678.9999999997672</v>
      </c>
      <c r="D41">
        <f>sumatera!AV23</f>
        <v>15578.999999406136</v>
      </c>
      <c r="E41">
        <f>sumatera!AW23</f>
        <v>3351.4732419618394</v>
      </c>
      <c r="F41">
        <f>sumatera!AX23</f>
        <v>62476.240108897167</v>
      </c>
      <c r="G41">
        <f>sumatera!AY23</f>
        <v>68.434207821511862</v>
      </c>
      <c r="H41">
        <f>sumatera!AZ23</f>
        <v>15589</v>
      </c>
      <c r="I41">
        <f>sumatera!BA23</f>
        <v>6026.7719820610409</v>
      </c>
      <c r="J41">
        <f>sumatera!BD23</f>
        <v>112769.91954014746</v>
      </c>
    </row>
    <row r="42" spans="1:10" x14ac:dyDescent="0.25">
      <c r="A42" t="str">
        <f>Jawa!AO4</f>
        <v>JAWA</v>
      </c>
      <c r="B42">
        <f>Jawa!AP4</f>
        <v>2019</v>
      </c>
      <c r="C42">
        <f>Jawa!AU4</f>
        <v>8107</v>
      </c>
      <c r="D42">
        <f>Jawa!AV4</f>
        <v>4199</v>
      </c>
      <c r="E42">
        <f>Jawa!AW4</f>
        <v>2910</v>
      </c>
      <c r="F42">
        <f>Jawa!AX4</f>
        <v>31869</v>
      </c>
      <c r="G42">
        <f>Jawa!AY4</f>
        <v>22992</v>
      </c>
      <c r="H42">
        <f>Jawa!AZ4</f>
        <v>9215</v>
      </c>
      <c r="I42">
        <f>Jawa!BA4</f>
        <v>2273</v>
      </c>
      <c r="J42">
        <f>Jawa!BD4</f>
        <v>81565</v>
      </c>
    </row>
    <row r="43" spans="1:10" x14ac:dyDescent="0.25">
      <c r="A43" t="str">
        <f>Jawa!AO5</f>
        <v>JAWA</v>
      </c>
      <c r="B43">
        <f>Jawa!AP5</f>
        <v>2020</v>
      </c>
      <c r="C43">
        <f>Jawa!AU5</f>
        <v>8107</v>
      </c>
      <c r="D43">
        <f>Jawa!AV5</f>
        <v>2099.4997189606156</v>
      </c>
      <c r="E43">
        <f>Jawa!AW5</f>
        <v>2910</v>
      </c>
      <c r="F43">
        <f>Jawa!AX5</f>
        <v>26658.129247428893</v>
      </c>
      <c r="G43">
        <f>Jawa!AY5</f>
        <v>22969.496712566055</v>
      </c>
      <c r="H43">
        <f>Jawa!AZ5</f>
        <v>9215</v>
      </c>
      <c r="I43">
        <f>Jawa!BA5</f>
        <v>2267.4350202786209</v>
      </c>
      <c r="J43">
        <f>Jawa!BD5</f>
        <v>74226.560699234178</v>
      </c>
    </row>
    <row r="44" spans="1:10" x14ac:dyDescent="0.25">
      <c r="A44" t="str">
        <f>Jawa!AO6</f>
        <v>JAWA</v>
      </c>
      <c r="B44">
        <f>Jawa!AP6</f>
        <v>2021</v>
      </c>
      <c r="C44">
        <f>Jawa!AU6</f>
        <v>8107</v>
      </c>
      <c r="D44">
        <f>Jawa!AV6</f>
        <v>2099.4997189606156</v>
      </c>
      <c r="E44">
        <f>Jawa!AW6</f>
        <v>2910</v>
      </c>
      <c r="F44">
        <f>Jawa!AX6</f>
        <v>26658.129247428893</v>
      </c>
      <c r="G44">
        <f>Jawa!AY6</f>
        <v>22969.496712566055</v>
      </c>
      <c r="H44">
        <f>Jawa!AZ6</f>
        <v>9215</v>
      </c>
      <c r="I44">
        <f>Jawa!BA6</f>
        <v>2267.4350202786209</v>
      </c>
      <c r="J44">
        <f>Jawa!BD6</f>
        <v>74226.560699234178</v>
      </c>
    </row>
    <row r="45" spans="1:10" x14ac:dyDescent="0.25">
      <c r="A45" t="str">
        <f>Jawa!AO7</f>
        <v>JAWA</v>
      </c>
      <c r="B45">
        <f>Jawa!AP7</f>
        <v>2022</v>
      </c>
      <c r="C45">
        <f>Jawa!AU7</f>
        <v>8107</v>
      </c>
      <c r="D45">
        <f>Jawa!AV7</f>
        <v>2099.4997189606156</v>
      </c>
      <c r="E45">
        <f>Jawa!AW7</f>
        <v>2910</v>
      </c>
      <c r="F45">
        <f>Jawa!AX7</f>
        <v>26658.129247428893</v>
      </c>
      <c r="G45">
        <f>Jawa!AY7</f>
        <v>22567.560915555077</v>
      </c>
      <c r="H45">
        <f>Jawa!AZ7</f>
        <v>9215</v>
      </c>
      <c r="I45">
        <f>Jawa!BA7</f>
        <v>2267.4350202786209</v>
      </c>
      <c r="J45">
        <f>Jawa!BD7</f>
        <v>73824.624902223208</v>
      </c>
    </row>
    <row r="46" spans="1:10" x14ac:dyDescent="0.25">
      <c r="A46" t="str">
        <f>Jawa!AO8</f>
        <v>JAWA</v>
      </c>
      <c r="B46">
        <f>Jawa!AP8</f>
        <v>2023</v>
      </c>
      <c r="C46">
        <f>Jawa!AU8</f>
        <v>8107</v>
      </c>
      <c r="D46">
        <f>Jawa!AV8</f>
        <v>2099.4997189606156</v>
      </c>
      <c r="E46">
        <f>Jawa!AW8</f>
        <v>2910</v>
      </c>
      <c r="F46">
        <f>Jawa!AX8</f>
        <v>26658.129247428893</v>
      </c>
      <c r="G46">
        <f>Jawa!AY8</f>
        <v>20469.70621967483</v>
      </c>
      <c r="H46">
        <f>Jawa!AZ8</f>
        <v>9215</v>
      </c>
      <c r="I46">
        <f>Jawa!BA8</f>
        <v>2267.4350202786209</v>
      </c>
      <c r="J46">
        <f>Jawa!BD8</f>
        <v>71726.770206342946</v>
      </c>
    </row>
    <row r="47" spans="1:10" x14ac:dyDescent="0.25">
      <c r="A47" t="str">
        <f>Jawa!AO9</f>
        <v>JAWA</v>
      </c>
      <c r="B47">
        <f>Jawa!AP9</f>
        <v>2024</v>
      </c>
      <c r="C47">
        <f>Jawa!AU9</f>
        <v>8107</v>
      </c>
      <c r="D47">
        <f>Jawa!AV9</f>
        <v>2099.4997189606156</v>
      </c>
      <c r="E47">
        <f>Jawa!AW9</f>
        <v>2910</v>
      </c>
      <c r="F47">
        <f>Jawa!AX9</f>
        <v>26658.129247428893</v>
      </c>
      <c r="G47">
        <f>Jawa!AY9</f>
        <v>18144.427500861817</v>
      </c>
      <c r="H47">
        <f>Jawa!AZ9</f>
        <v>9215</v>
      </c>
      <c r="I47">
        <f>Jawa!BA9</f>
        <v>2267.4350202786209</v>
      </c>
      <c r="J47">
        <f>Jawa!BD9</f>
        <v>69401.491487529944</v>
      </c>
    </row>
    <row r="48" spans="1:10" x14ac:dyDescent="0.25">
      <c r="A48" t="str">
        <f>Jawa!AO10</f>
        <v>JAWA</v>
      </c>
      <c r="B48">
        <f>Jawa!AP10</f>
        <v>2025</v>
      </c>
      <c r="C48">
        <f>Jawa!AU10</f>
        <v>8107</v>
      </c>
      <c r="D48">
        <f>Jawa!AV10</f>
        <v>2099.4997189606156</v>
      </c>
      <c r="E48">
        <f>Jawa!AW10</f>
        <v>2910</v>
      </c>
      <c r="F48">
        <f>Jawa!AX10</f>
        <v>26658.129247428893</v>
      </c>
      <c r="G48">
        <f>Jawa!AY10</f>
        <v>15714.731172168198</v>
      </c>
      <c r="H48">
        <f>Jawa!AZ10</f>
        <v>9215</v>
      </c>
      <c r="I48">
        <f>Jawa!BA10</f>
        <v>2267.4350202786209</v>
      </c>
      <c r="J48">
        <f>Jawa!BD10</f>
        <v>66971.795158836321</v>
      </c>
    </row>
    <row r="49" spans="1:10" x14ac:dyDescent="0.25">
      <c r="A49" t="str">
        <f>Jawa!AO11</f>
        <v>JAWA</v>
      </c>
      <c r="B49">
        <f>Jawa!AP11</f>
        <v>2026</v>
      </c>
      <c r="C49">
        <f>Jawa!AU11</f>
        <v>8107</v>
      </c>
      <c r="D49">
        <f>Jawa!AV11</f>
        <v>2099.4997189606156</v>
      </c>
      <c r="E49">
        <f>Jawa!AW11</f>
        <v>2910</v>
      </c>
      <c r="F49">
        <f>Jawa!AX11</f>
        <v>26658.129247428893</v>
      </c>
      <c r="G49">
        <f>Jawa!AY11</f>
        <v>14104.334202119013</v>
      </c>
      <c r="H49">
        <f>Jawa!AZ11</f>
        <v>9215</v>
      </c>
      <c r="I49">
        <f>Jawa!BA11</f>
        <v>2267.4350202786209</v>
      </c>
      <c r="J49">
        <f>Jawa!BD11</f>
        <v>65361.398188787141</v>
      </c>
    </row>
    <row r="50" spans="1:10" x14ac:dyDescent="0.25">
      <c r="A50" t="str">
        <f>Jawa!AO12</f>
        <v>JAWA</v>
      </c>
      <c r="B50">
        <f>Jawa!AP12</f>
        <v>2027</v>
      </c>
      <c r="C50">
        <f>Jawa!AU12</f>
        <v>8107</v>
      </c>
      <c r="D50">
        <f>Jawa!AV12</f>
        <v>2099.4997189606156</v>
      </c>
      <c r="E50">
        <f>Jawa!AW12</f>
        <v>2910</v>
      </c>
      <c r="F50">
        <f>Jawa!AX12</f>
        <v>26658.129247428893</v>
      </c>
      <c r="G50">
        <f>Jawa!AY12</f>
        <v>12377.914322646962</v>
      </c>
      <c r="H50">
        <f>Jawa!AZ12</f>
        <v>9215</v>
      </c>
      <c r="I50">
        <f>Jawa!BA12</f>
        <v>2267.4350202786209</v>
      </c>
      <c r="J50">
        <f>Jawa!BD12</f>
        <v>63634.978309315091</v>
      </c>
    </row>
    <row r="51" spans="1:10" x14ac:dyDescent="0.25">
      <c r="A51" t="str">
        <f>Jawa!AO13</f>
        <v>JAWA</v>
      </c>
      <c r="B51">
        <f>Jawa!AP13</f>
        <v>2028</v>
      </c>
      <c r="C51">
        <f>Jawa!AU13</f>
        <v>8107</v>
      </c>
      <c r="D51">
        <f>Jawa!AV13</f>
        <v>2099.4997189606156</v>
      </c>
      <c r="E51">
        <f>Jawa!AW13</f>
        <v>2910</v>
      </c>
      <c r="F51">
        <f>Jawa!AX13</f>
        <v>26658.129247428893</v>
      </c>
      <c r="G51">
        <f>Jawa!AY13</f>
        <v>10606.987622040455</v>
      </c>
      <c r="H51">
        <f>Jawa!AZ13</f>
        <v>9215</v>
      </c>
      <c r="I51">
        <f>Jawa!BA13</f>
        <v>2267.4350202786209</v>
      </c>
      <c r="J51">
        <f>Jawa!BD13</f>
        <v>61864.051608708585</v>
      </c>
    </row>
    <row r="52" spans="1:10" x14ac:dyDescent="0.25">
      <c r="A52" t="str">
        <f>Jawa!AO14</f>
        <v>JAWA</v>
      </c>
      <c r="B52">
        <f>Jawa!AP14</f>
        <v>2029</v>
      </c>
      <c r="C52">
        <f>Jawa!AU14</f>
        <v>8107</v>
      </c>
      <c r="D52">
        <f>Jawa!AV14</f>
        <v>2099.4997189606156</v>
      </c>
      <c r="E52">
        <f>Jawa!AW14</f>
        <v>2910</v>
      </c>
      <c r="F52">
        <f>Jawa!AX14</f>
        <v>26658.129247428893</v>
      </c>
      <c r="G52">
        <f>Jawa!AY14</f>
        <v>8698.6123499618152</v>
      </c>
      <c r="H52">
        <f>Jawa!AZ14</f>
        <v>9215</v>
      </c>
      <c r="I52">
        <f>Jawa!BA14</f>
        <v>2267.4350202786209</v>
      </c>
      <c r="J52">
        <f>Jawa!BD14</f>
        <v>59955.676336629949</v>
      </c>
    </row>
    <row r="53" spans="1:10" x14ac:dyDescent="0.25">
      <c r="A53" t="str">
        <f>Jawa!AO15</f>
        <v>JAWA</v>
      </c>
      <c r="B53">
        <f>Jawa!AP15</f>
        <v>2030</v>
      </c>
      <c r="C53">
        <f>Jawa!AU15</f>
        <v>8107</v>
      </c>
      <c r="D53">
        <f>Jawa!AV15</f>
        <v>2099.4997189606156</v>
      </c>
      <c r="E53">
        <f>Jawa!AW15</f>
        <v>2910</v>
      </c>
      <c r="F53">
        <f>Jawa!AX15</f>
        <v>26658.129247428893</v>
      </c>
      <c r="G53">
        <f>Jawa!AY15</f>
        <v>6686.9912209868517</v>
      </c>
      <c r="H53">
        <f>Jawa!AZ15</f>
        <v>9215</v>
      </c>
      <c r="I53">
        <f>Jawa!BA15</f>
        <v>2267.4350202786209</v>
      </c>
      <c r="J53">
        <f>Jawa!BD15</f>
        <v>57944.055207654979</v>
      </c>
    </row>
    <row r="54" spans="1:10" x14ac:dyDescent="0.25">
      <c r="A54" t="str">
        <f>Jawa!AO16</f>
        <v>JAWA</v>
      </c>
      <c r="B54">
        <f>Jawa!AP16</f>
        <v>2031</v>
      </c>
      <c r="C54">
        <f>Jawa!AU16</f>
        <v>8107</v>
      </c>
      <c r="D54">
        <f>Jawa!AV16</f>
        <v>2099.4997189606156</v>
      </c>
      <c r="E54">
        <f>Jawa!AW16</f>
        <v>2910</v>
      </c>
      <c r="F54">
        <f>Jawa!AX16</f>
        <v>26658.129247428893</v>
      </c>
      <c r="G54">
        <f>Jawa!AY16</f>
        <v>4355.2754935709709</v>
      </c>
      <c r="H54">
        <f>Jawa!AZ16</f>
        <v>9215</v>
      </c>
      <c r="I54">
        <f>Jawa!BA16</f>
        <v>2267.4350202786209</v>
      </c>
      <c r="J54">
        <f>Jawa!BD16</f>
        <v>55612.339480239105</v>
      </c>
    </row>
    <row r="55" spans="1:10" x14ac:dyDescent="0.25">
      <c r="A55" t="str">
        <f>Jawa!AO17</f>
        <v>JAWA</v>
      </c>
      <c r="B55">
        <f>Jawa!AP17</f>
        <v>2032</v>
      </c>
      <c r="C55">
        <f>Jawa!AU17</f>
        <v>8107</v>
      </c>
      <c r="D55">
        <f>Jawa!AV17</f>
        <v>2099.4997189606156</v>
      </c>
      <c r="E55">
        <f>Jawa!AW17</f>
        <v>2731.7511624926742</v>
      </c>
      <c r="F55">
        <f>Jawa!AX17</f>
        <v>26658.129247428893</v>
      </c>
      <c r="G55">
        <f>Jawa!AY17</f>
        <v>2177.6377467854854</v>
      </c>
      <c r="H55">
        <f>Jawa!AZ17</f>
        <v>9215</v>
      </c>
      <c r="I55">
        <f>Jawa!BA17</f>
        <v>2267.4350202786209</v>
      </c>
      <c r="J55">
        <f>Jawa!BD17</f>
        <v>53256.452895946291</v>
      </c>
    </row>
    <row r="56" spans="1:10" x14ac:dyDescent="0.25">
      <c r="A56" t="str">
        <f>Jawa!AO18</f>
        <v>JAWA</v>
      </c>
      <c r="B56">
        <f>Jawa!AP18</f>
        <v>2033</v>
      </c>
      <c r="C56">
        <f>Jawa!AU18</f>
        <v>8078.2354825509019</v>
      </c>
      <c r="D56">
        <f>Jawa!AV18</f>
        <v>1876.4257863117089</v>
      </c>
      <c r="E56">
        <f>Jawa!AW18</f>
        <v>2370.5191331057799</v>
      </c>
      <c r="F56">
        <f>Jawa!AX18</f>
        <v>26079.402713497875</v>
      </c>
      <c r="G56">
        <f>Jawa!AY18</f>
        <v>1088.8188733927427</v>
      </c>
      <c r="H56">
        <f>Jawa!AZ18</f>
        <v>9215</v>
      </c>
      <c r="I56">
        <f>Jawa!BA18</f>
        <v>2267.4350202786209</v>
      </c>
      <c r="J56">
        <f>Jawa!BD18</f>
        <v>50975.837009137635</v>
      </c>
    </row>
    <row r="57" spans="1:10" x14ac:dyDescent="0.25">
      <c r="A57" t="str">
        <f>Jawa!AO19</f>
        <v>JAWA</v>
      </c>
      <c r="B57">
        <f>Jawa!AP19</f>
        <v>2034</v>
      </c>
      <c r="C57">
        <f>Jawa!AU19</f>
        <v>8078.2354825509019</v>
      </c>
      <c r="D57">
        <f>Jawa!AV19</f>
        <v>1876.4257863117089</v>
      </c>
      <c r="E57">
        <f>Jawa!AW19</f>
        <v>1378.7763546770639</v>
      </c>
      <c r="F57">
        <f>Jawa!AX19</f>
        <v>25298.865680265422</v>
      </c>
      <c r="G57">
        <f>Jawa!AY19</f>
        <v>544.40943669637136</v>
      </c>
      <c r="H57">
        <f>Jawa!AZ19</f>
        <v>9215</v>
      </c>
      <c r="I57">
        <f>Jawa!BA19</f>
        <v>2267.4350202786209</v>
      </c>
      <c r="J57">
        <f>Jawa!BD19</f>
        <v>48659.147760780084</v>
      </c>
    </row>
    <row r="58" spans="1:10" x14ac:dyDescent="0.25">
      <c r="A58" t="str">
        <f>Jawa!AO20</f>
        <v>JAWA</v>
      </c>
      <c r="B58">
        <f>Jawa!AP20</f>
        <v>2035</v>
      </c>
      <c r="C58">
        <f>Jawa!AU20</f>
        <v>8013.0890745489241</v>
      </c>
      <c r="D58">
        <f>Jawa!AV20</f>
        <v>1371.5540404013173</v>
      </c>
      <c r="E58">
        <f>Jawa!AW20</f>
        <v>689.38815222532594</v>
      </c>
      <c r="F58">
        <f>Jawa!AX20</f>
        <v>24444.862979328496</v>
      </c>
      <c r="G58">
        <f>Jawa!AY20</f>
        <v>272.2311361907212</v>
      </c>
      <c r="H58">
        <f>Jawa!AZ20</f>
        <v>9215</v>
      </c>
      <c r="I58">
        <f>Jawa!BA20</f>
        <v>2267.4350202786209</v>
      </c>
      <c r="J58">
        <f>Jawa!BD20</f>
        <v>46273.560402973402</v>
      </c>
    </row>
    <row r="59" spans="1:10" x14ac:dyDescent="0.25">
      <c r="A59" t="str">
        <f>Jawa!AO21</f>
        <v>JAWA</v>
      </c>
      <c r="B59">
        <f>Jawa!AP21</f>
        <v>2036</v>
      </c>
      <c r="C59">
        <f>Jawa!AU21</f>
        <v>7562.2767048794667</v>
      </c>
      <c r="D59">
        <f>Jawa!AV21</f>
        <v>685.77702020065863</v>
      </c>
      <c r="E59">
        <f>Jawa!AW21</f>
        <v>344.69407611266297</v>
      </c>
      <c r="F59">
        <f>Jawa!AX21</f>
        <v>23455.861423485709</v>
      </c>
      <c r="G59">
        <f>Jawa!AY21</f>
        <v>136.1155680953606</v>
      </c>
      <c r="H59">
        <f>Jawa!AZ21</f>
        <v>9215</v>
      </c>
      <c r="I59">
        <f>Jawa!BA21</f>
        <v>2267.4350202786209</v>
      </c>
      <c r="J59">
        <f>Jawa!BD21</f>
        <v>43667.15981305248</v>
      </c>
    </row>
    <row r="60" spans="1:10" x14ac:dyDescent="0.25">
      <c r="A60" t="str">
        <f>Jawa!AO22</f>
        <v>JAWA</v>
      </c>
      <c r="B60">
        <f>Jawa!AP22</f>
        <v>2037</v>
      </c>
      <c r="C60">
        <f>Jawa!AU22</f>
        <v>6643.0499487779016</v>
      </c>
      <c r="D60">
        <f>Jawa!AV22</f>
        <v>342.9092256670657</v>
      </c>
      <c r="E60">
        <f>Jawa!AW22</f>
        <v>172.34703805633146</v>
      </c>
      <c r="F60">
        <f>Jawa!AX22</f>
        <v>22355.313898675253</v>
      </c>
      <c r="G60">
        <f>Jawa!AY22</f>
        <v>68.057784047680286</v>
      </c>
      <c r="H60">
        <f>Jawa!AZ22</f>
        <v>9215</v>
      </c>
      <c r="I60">
        <f>Jawa!BA22</f>
        <v>2267.4350202786209</v>
      </c>
      <c r="J60">
        <f>Jawa!BD22</f>
        <v>41064.112915502854</v>
      </c>
    </row>
    <row r="61" spans="1:10" x14ac:dyDescent="0.25">
      <c r="A61" t="str">
        <f>Jawa!AO23</f>
        <v>JAWA</v>
      </c>
      <c r="B61">
        <f>Jawa!AP23</f>
        <v>2038</v>
      </c>
      <c r="C61">
        <f>Jawa!AU23</f>
        <v>5322.0939194865641</v>
      </c>
      <c r="D61">
        <f>Jawa!AV23</f>
        <v>171.45461283353285</v>
      </c>
      <c r="E61">
        <f>Jawa!AW23</f>
        <v>86.173519028165728</v>
      </c>
      <c r="F61">
        <f>Jawa!AX23</f>
        <v>21060.128120913203</v>
      </c>
      <c r="G61">
        <f>Jawa!AY23</f>
        <v>34.028892023840136</v>
      </c>
      <c r="H61">
        <f>Jawa!AZ23</f>
        <v>9215</v>
      </c>
      <c r="I61">
        <f>Jawa!BA23</f>
        <v>2267.4350202786209</v>
      </c>
      <c r="J61">
        <f>Jawa!BD23</f>
        <v>38156.314084563935</v>
      </c>
    </row>
    <row r="62" spans="1:10" x14ac:dyDescent="0.25">
      <c r="A62" t="str">
        <f>bali_nt!AO4</f>
        <v>BALI_NT</v>
      </c>
      <c r="B62">
        <f>bali_nt!AP4</f>
        <v>2019</v>
      </c>
      <c r="C62">
        <f>bali_nt!AU4</f>
        <v>1698.8</v>
      </c>
      <c r="D62">
        <f>bali_nt!AV4</f>
        <v>624</v>
      </c>
      <c r="E62">
        <f>bali_nt!AW4</f>
        <v>141</v>
      </c>
      <c r="F62">
        <f>bali_nt!AX4</f>
        <v>18457</v>
      </c>
      <c r="G62">
        <f>bali_nt!AY4</f>
        <v>13812</v>
      </c>
      <c r="H62">
        <f>bali_nt!AZ4</f>
        <v>635</v>
      </c>
      <c r="I62">
        <f>bali_nt!BA4</f>
        <v>9297</v>
      </c>
      <c r="J62">
        <f>bali_nt!BD4</f>
        <v>44664.800000000003</v>
      </c>
    </row>
    <row r="63" spans="1:10" x14ac:dyDescent="0.25">
      <c r="A63" t="str">
        <f>bali_nt!AO5</f>
        <v>BALI_NT</v>
      </c>
      <c r="B63">
        <f>bali_nt!AP5</f>
        <v>2020</v>
      </c>
      <c r="C63">
        <f>bali_nt!AU5</f>
        <v>1566.9800940217469</v>
      </c>
      <c r="D63">
        <f>bali_nt!AV5</f>
        <v>624</v>
      </c>
      <c r="E63">
        <f>bali_nt!AW5</f>
        <v>141</v>
      </c>
      <c r="F63">
        <f>bali_nt!AX5</f>
        <v>18427.902124021606</v>
      </c>
      <c r="G63">
        <f>bali_nt!AY5</f>
        <v>13812</v>
      </c>
      <c r="H63">
        <f>bali_nt!AZ5</f>
        <v>635.00000040038265</v>
      </c>
      <c r="I63">
        <f>bali_nt!BA5</f>
        <v>9297.0000003318473</v>
      </c>
      <c r="J63">
        <f>bali_nt!BD5</f>
        <v>44503.88221877558</v>
      </c>
    </row>
    <row r="64" spans="1:10" x14ac:dyDescent="0.25">
      <c r="A64" t="str">
        <f>bali_nt!AO6</f>
        <v>BALI_NT</v>
      </c>
      <c r="B64">
        <f>bali_nt!AP6</f>
        <v>2021</v>
      </c>
      <c r="C64">
        <f>bali_nt!AU6</f>
        <v>1566.9800950217468</v>
      </c>
      <c r="D64">
        <f>bali_nt!AV6</f>
        <v>449.8094512638196</v>
      </c>
      <c r="E64">
        <f>bali_nt!AW6</f>
        <v>141</v>
      </c>
      <c r="F64">
        <f>bali_nt!AX6</f>
        <v>18402.462038252404</v>
      </c>
      <c r="G64">
        <f>bali_nt!AY6</f>
        <v>13812</v>
      </c>
      <c r="H64">
        <f>bali_nt!AZ6</f>
        <v>635</v>
      </c>
      <c r="I64">
        <f>bali_nt!BA6</f>
        <v>9297</v>
      </c>
      <c r="J64">
        <f>bali_nt!BD6</f>
        <v>44304.251584537968</v>
      </c>
    </row>
    <row r="65" spans="1:10" x14ac:dyDescent="0.25">
      <c r="A65" t="str">
        <f>bali_nt!AO7</f>
        <v>BALI_NT</v>
      </c>
      <c r="B65">
        <f>bali_nt!AP7</f>
        <v>2022</v>
      </c>
      <c r="C65">
        <f>bali_nt!AU7</f>
        <v>1566.9800950217468</v>
      </c>
      <c r="D65">
        <f>bali_nt!AV7</f>
        <v>332.98224763416778</v>
      </c>
      <c r="E65">
        <f>bali_nt!AW7</f>
        <v>141</v>
      </c>
      <c r="F65">
        <f>bali_nt!AX7</f>
        <v>18382.627971546393</v>
      </c>
      <c r="G65">
        <f>bali_nt!AY7</f>
        <v>13812</v>
      </c>
      <c r="H65">
        <f>bali_nt!AZ7</f>
        <v>635</v>
      </c>
      <c r="I65">
        <f>bali_nt!BA7</f>
        <v>9297</v>
      </c>
      <c r="J65">
        <f>bali_nt!BD7</f>
        <v>44167.590314202309</v>
      </c>
    </row>
    <row r="66" spans="1:10" x14ac:dyDescent="0.25">
      <c r="A66" t="str">
        <f>bali_nt!AO8</f>
        <v>BALI_NT</v>
      </c>
      <c r="B66">
        <f>bali_nt!AP8</f>
        <v>2023</v>
      </c>
      <c r="C66">
        <f>bali_nt!AU8</f>
        <v>1566.9800960217469</v>
      </c>
      <c r="D66">
        <f>bali_nt!AV8</f>
        <v>275.77357993224302</v>
      </c>
      <c r="E66">
        <f>bali_nt!AW8</f>
        <v>141</v>
      </c>
      <c r="F66">
        <f>bali_nt!AX8</f>
        <v>18369.831694974589</v>
      </c>
      <c r="G66">
        <f>bali_nt!AY8</f>
        <v>13812</v>
      </c>
      <c r="H66">
        <f>bali_nt!AZ8</f>
        <v>635</v>
      </c>
      <c r="I66">
        <f>bali_nt!BA8</f>
        <v>9297</v>
      </c>
      <c r="J66">
        <f>bali_nt!BD8</f>
        <v>44097.58537092858</v>
      </c>
    </row>
    <row r="67" spans="1:10" x14ac:dyDescent="0.25">
      <c r="A67" t="str">
        <f>bali_nt!AO9</f>
        <v>BALI_NT</v>
      </c>
      <c r="B67">
        <f>bali_nt!AP9</f>
        <v>2024</v>
      </c>
      <c r="C67">
        <f>bali_nt!AU9</f>
        <v>1566.9800960217469</v>
      </c>
      <c r="D67">
        <f>bali_nt!AV9</f>
        <v>275.77357993224302</v>
      </c>
      <c r="E67">
        <f>bali_nt!AW9</f>
        <v>141</v>
      </c>
      <c r="F67">
        <f>bali_nt!AX9</f>
        <v>18354.98664941523</v>
      </c>
      <c r="G67">
        <f>bali_nt!AY9</f>
        <v>13812</v>
      </c>
      <c r="H67">
        <f>bali_nt!AZ9</f>
        <v>523.3099638571058</v>
      </c>
      <c r="I67">
        <f>bali_nt!BA9</f>
        <v>9297</v>
      </c>
      <c r="J67">
        <f>bali_nt!BD9</f>
        <v>43971.050289226325</v>
      </c>
    </row>
    <row r="68" spans="1:10" x14ac:dyDescent="0.25">
      <c r="A68" t="str">
        <f>bali_nt!AO10</f>
        <v>BALI_NT</v>
      </c>
      <c r="B68">
        <f>bali_nt!AP10</f>
        <v>2025</v>
      </c>
      <c r="C68">
        <f>bali_nt!AU10</f>
        <v>1566.9800960217469</v>
      </c>
      <c r="D68">
        <f>bali_nt!AV10</f>
        <v>275.77358093224302</v>
      </c>
      <c r="E68">
        <f>bali_nt!AW10</f>
        <v>141</v>
      </c>
      <c r="F68">
        <f>bali_nt!AX10</f>
        <v>18340.525450283527</v>
      </c>
      <c r="G68">
        <f>bali_nt!AY10</f>
        <v>13812</v>
      </c>
      <c r="H68">
        <f>bali_nt!AZ10</f>
        <v>429.96887811099236</v>
      </c>
      <c r="I68">
        <f>bali_nt!BA10</f>
        <v>9297</v>
      </c>
      <c r="J68">
        <f>bali_nt!BD10</f>
        <v>43863.248005348512</v>
      </c>
    </row>
    <row r="69" spans="1:10" x14ac:dyDescent="0.25">
      <c r="A69" t="str">
        <f>bali_nt!AO11</f>
        <v>BALI_NT</v>
      </c>
      <c r="B69">
        <f>bali_nt!AP11</f>
        <v>2026</v>
      </c>
      <c r="C69">
        <f>bali_nt!AU11</f>
        <v>1566.980097021747</v>
      </c>
      <c r="D69">
        <f>bali_nt!AV11</f>
        <v>275.77358093224302</v>
      </c>
      <c r="E69">
        <f>bali_nt!AW11</f>
        <v>141</v>
      </c>
      <c r="F69">
        <f>bali_nt!AX11</f>
        <v>18326.630604043145</v>
      </c>
      <c r="G69">
        <f>bali_nt!AY11</f>
        <v>13812</v>
      </c>
      <c r="H69">
        <f>bali_nt!AZ11</f>
        <v>355.11335747145512</v>
      </c>
      <c r="I69">
        <f>bali_nt!BA11</f>
        <v>9297</v>
      </c>
      <c r="J69">
        <f>bali_nt!BD11</f>
        <v>43774.497639468587</v>
      </c>
    </row>
    <row r="70" spans="1:10" x14ac:dyDescent="0.25">
      <c r="A70" t="str">
        <f>bali_nt!AO12</f>
        <v>BALI_NT</v>
      </c>
      <c r="B70">
        <f>bali_nt!AP12</f>
        <v>2027</v>
      </c>
      <c r="C70">
        <f>bali_nt!AU12</f>
        <v>1566.980097021747</v>
      </c>
      <c r="D70">
        <f>bali_nt!AV12</f>
        <v>275.77358193224302</v>
      </c>
      <c r="E70">
        <f>bali_nt!AW12</f>
        <v>141</v>
      </c>
      <c r="F70">
        <f>bali_nt!AX12</f>
        <v>18311.894882042943</v>
      </c>
      <c r="G70">
        <f>bali_nt!AY12</f>
        <v>13812</v>
      </c>
      <c r="H70">
        <f>bali_nt!AZ12</f>
        <v>283.4228872267214</v>
      </c>
      <c r="I70">
        <f>bali_nt!BA12</f>
        <v>9297</v>
      </c>
      <c r="J70">
        <f>bali_nt!BD12</f>
        <v>43688.071448223651</v>
      </c>
    </row>
    <row r="71" spans="1:10" x14ac:dyDescent="0.25">
      <c r="A71" t="str">
        <f>bali_nt!AO13</f>
        <v>BALI_NT</v>
      </c>
      <c r="B71">
        <f>bali_nt!AP13</f>
        <v>2028</v>
      </c>
      <c r="C71">
        <f>bali_nt!AU13</f>
        <v>1566.9800980217472</v>
      </c>
      <c r="D71">
        <f>bali_nt!AV13</f>
        <v>275.77358193224302</v>
      </c>
      <c r="E71">
        <f>bali_nt!AW13</f>
        <v>141</v>
      </c>
      <c r="F71">
        <f>bali_nt!AX13</f>
        <v>18297.776939084451</v>
      </c>
      <c r="G71">
        <f>bali_nt!AY13</f>
        <v>13812</v>
      </c>
      <c r="H71">
        <f>bali_nt!AZ13</f>
        <v>228.50182806105877</v>
      </c>
      <c r="I71">
        <f>bali_nt!BA13</f>
        <v>9297</v>
      </c>
      <c r="J71">
        <f>bali_nt!BD13</f>
        <v>43619.032447099504</v>
      </c>
    </row>
    <row r="72" spans="1:10" x14ac:dyDescent="0.25">
      <c r="A72" t="str">
        <f>bali_nt!AO14</f>
        <v>BALI_NT</v>
      </c>
      <c r="B72">
        <f>bali_nt!AP14</f>
        <v>2029</v>
      </c>
      <c r="C72">
        <f>bali_nt!AU14</f>
        <v>1566.9800990217473</v>
      </c>
      <c r="D72">
        <f>bali_nt!AV14</f>
        <v>275.77358293224302</v>
      </c>
      <c r="E72">
        <f>bali_nt!AW14</f>
        <v>141</v>
      </c>
      <c r="F72">
        <f>bali_nt!AX14</f>
        <v>18275.872431185893</v>
      </c>
      <c r="G72">
        <f>bali_nt!AY14</f>
        <v>13812</v>
      </c>
      <c r="H72">
        <f>bali_nt!AZ14</f>
        <v>116.24914196441924</v>
      </c>
      <c r="I72">
        <f>bali_nt!BA14</f>
        <v>9297</v>
      </c>
      <c r="J72">
        <f>bali_nt!BD14</f>
        <v>43484.8752551043</v>
      </c>
    </row>
    <row r="73" spans="1:10" x14ac:dyDescent="0.25">
      <c r="A73" t="str">
        <f>bali_nt!AO15</f>
        <v>BALI_NT</v>
      </c>
      <c r="B73">
        <f>bali_nt!AP15</f>
        <v>2030</v>
      </c>
      <c r="C73">
        <f>bali_nt!AU15</f>
        <v>1566.9801000217474</v>
      </c>
      <c r="D73">
        <f>bali_nt!AV15</f>
        <v>275.77358293224302</v>
      </c>
      <c r="E73">
        <f>bali_nt!AW15</f>
        <v>141</v>
      </c>
      <c r="F73">
        <f>bali_nt!AX15</f>
        <v>18265.773916769675</v>
      </c>
      <c r="G73">
        <f>bali_nt!AY15</f>
        <v>13812</v>
      </c>
      <c r="H73">
        <f>bali_nt!AZ15</f>
        <v>116.24914296441924</v>
      </c>
      <c r="I73">
        <f>bali_nt!BA15</f>
        <v>9297</v>
      </c>
      <c r="J73">
        <f>bali_nt!BD15</f>
        <v>43474.776742688082</v>
      </c>
    </row>
    <row r="74" spans="1:10" x14ac:dyDescent="0.25">
      <c r="A74" t="str">
        <f>bali_nt!AO16</f>
        <v>BALI_NT</v>
      </c>
      <c r="B74">
        <f>bali_nt!AP16</f>
        <v>2031</v>
      </c>
      <c r="C74">
        <f>bali_nt!AU16</f>
        <v>1566.9801000217474</v>
      </c>
      <c r="D74">
        <f>bali_nt!AV16</f>
        <v>275.77358293224302</v>
      </c>
      <c r="E74">
        <f>bali_nt!AW16</f>
        <v>141</v>
      </c>
      <c r="F74">
        <f>bali_nt!AX16</f>
        <v>18248.037007506002</v>
      </c>
      <c r="G74">
        <f>bali_nt!AY16</f>
        <v>13812</v>
      </c>
      <c r="H74">
        <f>bali_nt!AZ16</f>
        <v>61.757423784766054</v>
      </c>
      <c r="I74">
        <f>bali_nt!BA16</f>
        <v>9297</v>
      </c>
      <c r="J74">
        <f>bali_nt!BD16</f>
        <v>43402.548114244761</v>
      </c>
    </row>
    <row r="75" spans="1:10" x14ac:dyDescent="0.25">
      <c r="A75" t="str">
        <f>bali_nt!AO17</f>
        <v>BALI_NT</v>
      </c>
      <c r="B75">
        <f>bali_nt!AP17</f>
        <v>2032</v>
      </c>
      <c r="C75">
        <f>bali_nt!AU17</f>
        <v>1566.9801000217474</v>
      </c>
      <c r="D75">
        <f>bali_nt!AV17</f>
        <v>230.88074731273718</v>
      </c>
      <c r="E75">
        <f>bali_nt!AW17</f>
        <v>141</v>
      </c>
      <c r="F75">
        <f>bali_nt!AX17</f>
        <v>18221.228626554843</v>
      </c>
      <c r="G75">
        <f>bali_nt!AY17</f>
        <v>13812</v>
      </c>
      <c r="H75">
        <f>bali_nt!AZ17</f>
        <v>30.878711892383027</v>
      </c>
      <c r="I75">
        <f>bali_nt!BA17</f>
        <v>9297</v>
      </c>
      <c r="J75">
        <f>bali_nt!BD17</f>
        <v>43299.968185781712</v>
      </c>
    </row>
    <row r="76" spans="1:10" x14ac:dyDescent="0.25">
      <c r="A76" t="str">
        <f>bali_nt!AO18</f>
        <v>BALI_NT</v>
      </c>
      <c r="B76">
        <f>bali_nt!AP18</f>
        <v>2033</v>
      </c>
      <c r="C76">
        <f>bali_nt!AU18</f>
        <v>1566.9801010217475</v>
      </c>
      <c r="D76">
        <f>bali_nt!AV18</f>
        <v>183.16006206516212</v>
      </c>
      <c r="E76">
        <f>bali_nt!AW18</f>
        <v>141</v>
      </c>
      <c r="F76">
        <f>bali_nt!AX18</f>
        <v>18193.542312602905</v>
      </c>
      <c r="G76">
        <f>bali_nt!AY18</f>
        <v>13812</v>
      </c>
      <c r="H76">
        <f>bali_nt!AZ18</f>
        <v>15.439355946191514</v>
      </c>
      <c r="I76">
        <f>bali_nt!BA18</f>
        <v>9297</v>
      </c>
      <c r="J76">
        <f>bali_nt!BD18</f>
        <v>43209.121831636003</v>
      </c>
    </row>
    <row r="77" spans="1:10" x14ac:dyDescent="0.25">
      <c r="A77" t="str">
        <f>bali_nt!AO19</f>
        <v>BALI_NT</v>
      </c>
      <c r="B77">
        <f>bali_nt!AP19</f>
        <v>2034</v>
      </c>
      <c r="C77">
        <f>bali_nt!AU19</f>
        <v>1566.9801020217476</v>
      </c>
      <c r="D77">
        <f>bali_nt!AV19</f>
        <v>117.72132957240875</v>
      </c>
      <c r="E77">
        <f>bali_nt!AW19</f>
        <v>141</v>
      </c>
      <c r="F77">
        <f>bali_nt!AX19</f>
        <v>18159.835208374665</v>
      </c>
      <c r="G77">
        <f>bali_nt!AY19</f>
        <v>13812</v>
      </c>
      <c r="H77">
        <f>bali_nt!AZ19</f>
        <v>7.7196779730957568</v>
      </c>
      <c r="I77">
        <f>bali_nt!BA19</f>
        <v>9297</v>
      </c>
      <c r="J77">
        <f>bali_nt!BD19</f>
        <v>43102.256317941916</v>
      </c>
    </row>
    <row r="78" spans="1:10" x14ac:dyDescent="0.25">
      <c r="A78" t="str">
        <f>bali_nt!AO20</f>
        <v>BALI_NT</v>
      </c>
      <c r="B78">
        <f>bali_nt!AP20</f>
        <v>2035</v>
      </c>
      <c r="C78">
        <f>bali_nt!AU20</f>
        <v>1561.9762125520538</v>
      </c>
      <c r="D78">
        <f>bali_nt!AV20</f>
        <v>58.860664786204374</v>
      </c>
      <c r="E78">
        <f>bali_nt!AW20</f>
        <v>141</v>
      </c>
      <c r="F78">
        <f>bali_nt!AX20</f>
        <v>18123.516310674044</v>
      </c>
      <c r="G78">
        <f>bali_nt!AY20</f>
        <v>13812</v>
      </c>
      <c r="H78">
        <f>bali_nt!AZ20</f>
        <v>3.8598389865478784</v>
      </c>
      <c r="I78">
        <f>bali_nt!BA20</f>
        <v>9297.0000003318473</v>
      </c>
      <c r="J78">
        <f>bali_nt!BD20</f>
        <v>42998.213027330705</v>
      </c>
    </row>
    <row r="79" spans="1:10" x14ac:dyDescent="0.25">
      <c r="A79" t="str">
        <f>bali_nt!AO21</f>
        <v>BALI_NT</v>
      </c>
      <c r="B79">
        <f>bali_nt!AP21</f>
        <v>2036</v>
      </c>
      <c r="C79">
        <f>bali_nt!AU21</f>
        <v>1533.1029713265236</v>
      </c>
      <c r="D79">
        <f>bali_nt!AV21</f>
        <v>29.430332393102187</v>
      </c>
      <c r="E79">
        <f>bali_nt!AW21</f>
        <v>141</v>
      </c>
      <c r="F79">
        <f>bali_nt!AX21</f>
        <v>18082.643017493188</v>
      </c>
      <c r="G79">
        <f>bali_nt!AY21</f>
        <v>13812</v>
      </c>
      <c r="H79">
        <f>bali_nt!AZ21</f>
        <v>1.9299194932739392</v>
      </c>
      <c r="I79">
        <f>bali_nt!BA21</f>
        <v>9297</v>
      </c>
      <c r="J79">
        <f>bali_nt!BD21</f>
        <v>42897.106240706089</v>
      </c>
    </row>
    <row r="80" spans="1:10" x14ac:dyDescent="0.25">
      <c r="A80" t="str">
        <f>bali_nt!AO22</f>
        <v>BALI_NT</v>
      </c>
      <c r="B80">
        <f>bali_nt!AP22</f>
        <v>2037</v>
      </c>
      <c r="C80">
        <f>bali_nt!AU22</f>
        <v>1490.9712580320017</v>
      </c>
      <c r="D80">
        <f>bali_nt!AV22</f>
        <v>14.715166196551094</v>
      </c>
      <c r="E80">
        <f>bali_nt!AW22</f>
        <v>141</v>
      </c>
      <c r="F80">
        <f>bali_nt!AX22</f>
        <v>18036.788062424308</v>
      </c>
      <c r="G80">
        <f>bali_nt!AY22</f>
        <v>13812</v>
      </c>
      <c r="H80">
        <f>bali_nt!AZ22</f>
        <v>0.9649597466369696</v>
      </c>
      <c r="I80">
        <f>bali_nt!BA22</f>
        <v>9297</v>
      </c>
      <c r="J80">
        <f>bali_nt!BD22</f>
        <v>42793.439446399498</v>
      </c>
    </row>
    <row r="81" spans="1:10" x14ac:dyDescent="0.25">
      <c r="A81" t="str">
        <f>bali_nt!AO23</f>
        <v>BALI_NT</v>
      </c>
      <c r="B81">
        <f>bali_nt!AP23</f>
        <v>2038</v>
      </c>
      <c r="C81">
        <f>bali_nt!AU23</f>
        <v>1435.3683960492724</v>
      </c>
      <c r="D81">
        <f>bali_nt!AV23</f>
        <v>7.3575830982755468</v>
      </c>
      <c r="E81">
        <f>bali_nt!AW23</f>
        <v>141</v>
      </c>
      <c r="F81">
        <f>bali_nt!AX23</f>
        <v>17982.732520197787</v>
      </c>
      <c r="G81">
        <f>bali_nt!AY23</f>
        <v>13812</v>
      </c>
      <c r="H81">
        <f>bali_nt!AZ23</f>
        <v>0.4824798733184848</v>
      </c>
      <c r="I81">
        <f>bali_nt!BA23</f>
        <v>9297</v>
      </c>
      <c r="J81">
        <f>bali_nt!BD23</f>
        <v>42675.940979218649</v>
      </c>
    </row>
    <row r="82" spans="1:10" x14ac:dyDescent="0.25">
      <c r="A82" t="str">
        <f>kalimantan!AO4</f>
        <v>KALIMANTAN</v>
      </c>
      <c r="B82">
        <f>kalimantan!AP4</f>
        <v>2019</v>
      </c>
      <c r="C82">
        <f>kalimantan!AU4</f>
        <v>182</v>
      </c>
      <c r="D82">
        <f>kalimantan!AV4</f>
        <v>21581</v>
      </c>
      <c r="E82">
        <f>kalimantan!AW4</f>
        <v>8100</v>
      </c>
      <c r="F82">
        <f>kalimantan!AX4</f>
        <v>52725</v>
      </c>
      <c r="G82">
        <f>kalimantan!AY4</f>
        <v>2526</v>
      </c>
      <c r="H82">
        <f>kalimantan!AZ4</f>
        <v>5061</v>
      </c>
      <c r="I82">
        <f>kalimantan!BA4</f>
        <v>0</v>
      </c>
      <c r="J82">
        <f>kalimantan!BD4</f>
        <v>90175</v>
      </c>
    </row>
    <row r="83" spans="1:10" x14ac:dyDescent="0.25">
      <c r="A83" t="str">
        <f>kalimantan!AO5</f>
        <v>KALIMANTAN</v>
      </c>
      <c r="B83">
        <f>kalimantan!AP5</f>
        <v>2020</v>
      </c>
      <c r="C83">
        <f>kalimantan!AU5</f>
        <v>182</v>
      </c>
      <c r="D83">
        <f>kalimantan!AV5</f>
        <v>21580.992925579703</v>
      </c>
      <c r="E83">
        <f>kalimantan!AW5</f>
        <v>8043.407215576136</v>
      </c>
      <c r="F83">
        <f>kalimantan!AX5</f>
        <v>51711.64721837153</v>
      </c>
      <c r="G83">
        <f>kalimantan!AY5</f>
        <v>2492.8131718636591</v>
      </c>
      <c r="H83">
        <f>kalimantan!AZ5</f>
        <v>5061</v>
      </c>
      <c r="I83">
        <f>kalimantan!BA5</f>
        <v>0</v>
      </c>
      <c r="J83">
        <f>kalimantan!BD5</f>
        <v>89071.860531391023</v>
      </c>
    </row>
    <row r="84" spans="1:10" x14ac:dyDescent="0.25">
      <c r="A84" t="str">
        <f>kalimantan!AO6</f>
        <v>KALIMANTAN</v>
      </c>
      <c r="B84">
        <f>kalimantan!AP6</f>
        <v>2021</v>
      </c>
      <c r="C84">
        <f>kalimantan!AU6</f>
        <v>182</v>
      </c>
      <c r="D84">
        <f>kalimantan!AV6</f>
        <v>21342.232766468995</v>
      </c>
      <c r="E84">
        <f>kalimantan!AW6</f>
        <v>8043.4072165761363</v>
      </c>
      <c r="F84">
        <f>kalimantan!AX6</f>
        <v>51711.64779150609</v>
      </c>
      <c r="G84">
        <f>kalimantan!AY6</f>
        <v>2492.813173680765</v>
      </c>
      <c r="H84">
        <f>kalimantan!AZ6</f>
        <v>5061</v>
      </c>
      <c r="I84">
        <f>kalimantan!BA6</f>
        <v>0</v>
      </c>
      <c r="J84">
        <f>kalimantan!BD6</f>
        <v>88833.100948231993</v>
      </c>
    </row>
    <row r="85" spans="1:10" x14ac:dyDescent="0.25">
      <c r="A85" t="str">
        <f>kalimantan!AO7</f>
        <v>KALIMANTAN</v>
      </c>
      <c r="B85">
        <f>kalimantan!AP7</f>
        <v>2022</v>
      </c>
      <c r="C85">
        <f>kalimantan!AU7</f>
        <v>182</v>
      </c>
      <c r="D85">
        <f>kalimantan!AV7</f>
        <v>21341.278303245363</v>
      </c>
      <c r="E85">
        <f>kalimantan!AW7</f>
        <v>8043.4073413530105</v>
      </c>
      <c r="F85">
        <f>kalimantan!AX7</f>
        <v>51020.078331122655</v>
      </c>
      <c r="G85">
        <f>kalimantan!AY7</f>
        <v>2492.8133285758558</v>
      </c>
      <c r="H85">
        <f>kalimantan!AZ7</f>
        <v>5061</v>
      </c>
      <c r="I85">
        <f>kalimantan!BA7</f>
        <v>0</v>
      </c>
      <c r="J85">
        <f>kalimantan!BD7</f>
        <v>88140.577304296879</v>
      </c>
    </row>
    <row r="86" spans="1:10" x14ac:dyDescent="0.25">
      <c r="A86" t="str">
        <f>kalimantan!AO8</f>
        <v>KALIMANTAN</v>
      </c>
      <c r="B86">
        <f>kalimantan!AP8</f>
        <v>2023</v>
      </c>
      <c r="C86">
        <f>kalimantan!AU8</f>
        <v>181.94326438922459</v>
      </c>
      <c r="D86">
        <f>kalimantan!AV8</f>
        <v>21165.272267976299</v>
      </c>
      <c r="E86">
        <f>kalimantan!AW8</f>
        <v>8043.407402748092</v>
      </c>
      <c r="F86">
        <f>kalimantan!AX8</f>
        <v>50926.945888017886</v>
      </c>
      <c r="G86">
        <f>kalimantan!AY8</f>
        <v>2451.5517265031954</v>
      </c>
      <c r="H86">
        <f>kalimantan!AZ8</f>
        <v>5004.6456266074256</v>
      </c>
      <c r="I86">
        <f>kalimantan!BA8</f>
        <v>0</v>
      </c>
      <c r="J86">
        <f>kalimantan!BD8</f>
        <v>87773.766176242119</v>
      </c>
    </row>
    <row r="87" spans="1:10" x14ac:dyDescent="0.25">
      <c r="A87" t="str">
        <f>kalimantan!AO9</f>
        <v>KALIMANTAN</v>
      </c>
      <c r="B87">
        <f>kalimantan!AP9</f>
        <v>2024</v>
      </c>
      <c r="C87">
        <f>kalimantan!AU9</f>
        <v>181.85284539009044</v>
      </c>
      <c r="D87">
        <f>kalimantan!AV9</f>
        <v>21154.764309550523</v>
      </c>
      <c r="E87">
        <f>kalimantan!AW9</f>
        <v>8042.5442556521893</v>
      </c>
      <c r="F87">
        <f>kalimantan!AX9</f>
        <v>50926.831360821918</v>
      </c>
      <c r="G87">
        <f>kalimantan!AY9</f>
        <v>2130.6002962229445</v>
      </c>
      <c r="H87">
        <f>kalimantan!AZ9</f>
        <v>5002.1109138623178</v>
      </c>
      <c r="I87">
        <f>kalimantan!BA9</f>
        <v>0</v>
      </c>
      <c r="J87">
        <f>kalimantan!BD9</f>
        <v>87438.703981499973</v>
      </c>
    </row>
    <row r="88" spans="1:10" x14ac:dyDescent="0.25">
      <c r="A88" t="str">
        <f>kalimantan!AO10</f>
        <v>KALIMANTAN</v>
      </c>
      <c r="B88">
        <f>kalimantan!AP10</f>
        <v>2025</v>
      </c>
      <c r="C88">
        <f>kalimantan!AU10</f>
        <v>181.85284539009044</v>
      </c>
      <c r="D88">
        <f>kalimantan!AV10</f>
        <v>20923.762828994168</v>
      </c>
      <c r="E88">
        <f>kalimantan!AW10</f>
        <v>8042.5442556521893</v>
      </c>
      <c r="F88">
        <f>kalimantan!AX10</f>
        <v>50926.831360821918</v>
      </c>
      <c r="G88">
        <f>kalimantan!AY10</f>
        <v>2110.2667967772827</v>
      </c>
      <c r="H88">
        <f>kalimantan!AZ10</f>
        <v>4983.150858856382</v>
      </c>
      <c r="I88">
        <f>kalimantan!BA10</f>
        <v>0</v>
      </c>
      <c r="J88">
        <f>kalimantan!BD10</f>
        <v>87168.40894649204</v>
      </c>
    </row>
    <row r="89" spans="1:10" x14ac:dyDescent="0.25">
      <c r="A89" t="str">
        <f>kalimantan!AO11</f>
        <v>KALIMANTAN</v>
      </c>
      <c r="B89">
        <f>kalimantan!AP11</f>
        <v>2026</v>
      </c>
      <c r="C89">
        <f>kalimantan!AU11</f>
        <v>173.83518372964755</v>
      </c>
      <c r="D89">
        <f>kalimantan!AV11</f>
        <v>20923.762828994168</v>
      </c>
      <c r="E89">
        <f>kalimantan!AW11</f>
        <v>8042.5442844932186</v>
      </c>
      <c r="F89">
        <f>kalimantan!AX11</f>
        <v>50926.831360550932</v>
      </c>
      <c r="G89">
        <f>kalimantan!AY11</f>
        <v>2039.845616960906</v>
      </c>
      <c r="H89">
        <f>kalimantan!AZ11</f>
        <v>4982.5445372815548</v>
      </c>
      <c r="I89">
        <f>kalimantan!BA11</f>
        <v>0</v>
      </c>
      <c r="J89">
        <f>kalimantan!BD11</f>
        <v>87089.36381201043</v>
      </c>
    </row>
    <row r="90" spans="1:10" x14ac:dyDescent="0.25">
      <c r="A90" t="str">
        <f>kalimantan!AO12</f>
        <v>KALIMANTAN</v>
      </c>
      <c r="B90">
        <f>kalimantan!AP12</f>
        <v>2027</v>
      </c>
      <c r="C90">
        <f>kalimantan!AU12</f>
        <v>173.83518372964755</v>
      </c>
      <c r="D90">
        <f>kalimantan!AV12</f>
        <v>20923.762828994168</v>
      </c>
      <c r="E90">
        <f>kalimantan!AW12</f>
        <v>8042.5442844932186</v>
      </c>
      <c r="F90">
        <f>kalimantan!AX12</f>
        <v>50926.831360550932</v>
      </c>
      <c r="G90">
        <f>kalimantan!AY12</f>
        <v>1941.4015981687346</v>
      </c>
      <c r="H90">
        <f>kalimantan!AZ12</f>
        <v>4982.5445372815548</v>
      </c>
      <c r="I90">
        <f>kalimantan!BA12</f>
        <v>0</v>
      </c>
      <c r="J90">
        <f>kalimantan!BD12</f>
        <v>86990.919793218258</v>
      </c>
    </row>
    <row r="91" spans="1:10" x14ac:dyDescent="0.25">
      <c r="A91" t="str">
        <f>kalimantan!AO13</f>
        <v>KALIMANTAN</v>
      </c>
      <c r="B91">
        <f>kalimantan!AP13</f>
        <v>2028</v>
      </c>
      <c r="C91">
        <f>kalimantan!AU13</f>
        <v>173.83518372964755</v>
      </c>
      <c r="D91">
        <f>kalimantan!AV13</f>
        <v>20923.762828994168</v>
      </c>
      <c r="E91">
        <f>kalimantan!AW13</f>
        <v>8042.5442844932186</v>
      </c>
      <c r="F91">
        <f>kalimantan!AX13</f>
        <v>50926.831360550932</v>
      </c>
      <c r="G91">
        <f>kalimantan!AY13</f>
        <v>1784.2790160716097</v>
      </c>
      <c r="H91">
        <f>kalimantan!AZ13</f>
        <v>4982.5445372815548</v>
      </c>
      <c r="I91">
        <f>kalimantan!BA13</f>
        <v>0</v>
      </c>
      <c r="J91">
        <f>kalimantan!BD13</f>
        <v>86833.797211121127</v>
      </c>
    </row>
    <row r="92" spans="1:10" x14ac:dyDescent="0.25">
      <c r="A92" t="str">
        <f>kalimantan!AO14</f>
        <v>KALIMANTAN</v>
      </c>
      <c r="B92">
        <f>kalimantan!AP14</f>
        <v>2029</v>
      </c>
      <c r="C92">
        <f>kalimantan!AU14</f>
        <v>173.83518372964755</v>
      </c>
      <c r="D92">
        <f>kalimantan!AV14</f>
        <v>20923.762828994168</v>
      </c>
      <c r="E92">
        <f>kalimantan!AW14</f>
        <v>8042.5442844932186</v>
      </c>
      <c r="F92">
        <f>kalimantan!AX14</f>
        <v>50926.831360550932</v>
      </c>
      <c r="G92">
        <f>kalimantan!AY14</f>
        <v>1617.0361990565027</v>
      </c>
      <c r="H92">
        <f>kalimantan!AZ14</f>
        <v>4982.5445372815548</v>
      </c>
      <c r="I92">
        <f>kalimantan!BA14</f>
        <v>0</v>
      </c>
      <c r="J92">
        <f>kalimantan!BD14</f>
        <v>86666.554394106017</v>
      </c>
    </row>
    <row r="93" spans="1:10" x14ac:dyDescent="0.25">
      <c r="A93" t="str">
        <f>kalimantan!AO15</f>
        <v>KALIMANTAN</v>
      </c>
      <c r="B93">
        <f>kalimantan!AP15</f>
        <v>2030</v>
      </c>
      <c r="C93">
        <f>kalimantan!AU15</f>
        <v>173.83518372964755</v>
      </c>
      <c r="D93">
        <f>kalimantan!AV15</f>
        <v>20923.762828994168</v>
      </c>
      <c r="E93">
        <f>kalimantan!AW15</f>
        <v>8042.5442844932186</v>
      </c>
      <c r="F93">
        <f>kalimantan!AX15</f>
        <v>50926.831360550932</v>
      </c>
      <c r="G93">
        <f>kalimantan!AY15</f>
        <v>1445.0711352595024</v>
      </c>
      <c r="H93">
        <f>kalimantan!AZ15</f>
        <v>4982.5445372815548</v>
      </c>
      <c r="I93">
        <f>kalimantan!BA15</f>
        <v>0</v>
      </c>
      <c r="J93">
        <f>kalimantan!BD15</f>
        <v>86494.589330309012</v>
      </c>
    </row>
    <row r="94" spans="1:10" x14ac:dyDescent="0.25">
      <c r="A94" t="str">
        <f>kalimantan!AO16</f>
        <v>KALIMANTAN</v>
      </c>
      <c r="B94">
        <f>kalimantan!AP16</f>
        <v>2031</v>
      </c>
      <c r="C94">
        <f>kalimantan!AU16</f>
        <v>173.83518372964755</v>
      </c>
      <c r="D94">
        <f>kalimantan!AV16</f>
        <v>20923.762828994168</v>
      </c>
      <c r="E94">
        <f>kalimantan!AW16</f>
        <v>8042.5442844932186</v>
      </c>
      <c r="F94">
        <f>kalimantan!AX16</f>
        <v>50926.831360550932</v>
      </c>
      <c r="G94">
        <f>kalimantan!AY16</f>
        <v>1244.0168020496092</v>
      </c>
      <c r="H94">
        <f>kalimantan!AZ16</f>
        <v>4982.5445372815548</v>
      </c>
      <c r="I94">
        <f>kalimantan!BA16</f>
        <v>0</v>
      </c>
      <c r="J94">
        <f>kalimantan!BD16</f>
        <v>86293.534997099123</v>
      </c>
    </row>
    <row r="95" spans="1:10" x14ac:dyDescent="0.25">
      <c r="A95" t="str">
        <f>kalimantan!AO17</f>
        <v>KALIMANTAN</v>
      </c>
      <c r="B95">
        <f>kalimantan!AP17</f>
        <v>2032</v>
      </c>
      <c r="C95">
        <f>kalimantan!AU17</f>
        <v>173.83518372964755</v>
      </c>
      <c r="D95">
        <f>kalimantan!AV17</f>
        <v>20923.762828994168</v>
      </c>
      <c r="E95">
        <f>kalimantan!AW17</f>
        <v>8042.5442844932186</v>
      </c>
      <c r="F95">
        <f>kalimantan!AX17</f>
        <v>50926.831360550932</v>
      </c>
      <c r="G95">
        <f>kalimantan!AY17</f>
        <v>1027.4852752983072</v>
      </c>
      <c r="H95">
        <f>kalimantan!AZ17</f>
        <v>4982.5445372815548</v>
      </c>
      <c r="I95">
        <f>kalimantan!BA17</f>
        <v>0</v>
      </c>
      <c r="J95">
        <f>kalimantan!BD17</f>
        <v>86077.00347034783</v>
      </c>
    </row>
    <row r="96" spans="1:10" x14ac:dyDescent="0.25">
      <c r="A96" t="str">
        <f>kalimantan!AO18</f>
        <v>KALIMANTAN</v>
      </c>
      <c r="B96">
        <f>kalimantan!AP18</f>
        <v>2033</v>
      </c>
      <c r="C96">
        <f>kalimantan!AU18</f>
        <v>173.83518372964755</v>
      </c>
      <c r="D96">
        <f>kalimantan!AV18</f>
        <v>20923.762828994168</v>
      </c>
      <c r="E96">
        <f>kalimantan!AW18</f>
        <v>8042.5442844932186</v>
      </c>
      <c r="F96">
        <f>kalimantan!AX18</f>
        <v>50926.831360550932</v>
      </c>
      <c r="G96">
        <f>kalimantan!AY18</f>
        <v>815.89614774410393</v>
      </c>
      <c r="H96">
        <f>kalimantan!AZ18</f>
        <v>4982.5445372815548</v>
      </c>
      <c r="I96">
        <f>kalimantan!BA18</f>
        <v>0</v>
      </c>
      <c r="J96">
        <f>kalimantan!BD18</f>
        <v>85865.414342793621</v>
      </c>
    </row>
    <row r="97" spans="1:10" x14ac:dyDescent="0.25">
      <c r="A97" t="str">
        <f>kalimantan!AO19</f>
        <v>KALIMANTAN</v>
      </c>
      <c r="B97">
        <f>kalimantan!AP19</f>
        <v>2034</v>
      </c>
      <c r="C97">
        <f>kalimantan!AU19</f>
        <v>173.83518372964755</v>
      </c>
      <c r="D97">
        <f>kalimantan!AV19</f>
        <v>20923.762828994168</v>
      </c>
      <c r="E97">
        <f>kalimantan!AW19</f>
        <v>8042.5442844932186</v>
      </c>
      <c r="F97">
        <f>kalimantan!AX19</f>
        <v>50926.831360550932</v>
      </c>
      <c r="G97">
        <f>kalimantan!AY19</f>
        <v>566.08882119904979</v>
      </c>
      <c r="H97">
        <f>kalimantan!AZ19</f>
        <v>4982.5445372815548</v>
      </c>
      <c r="I97">
        <f>kalimantan!BA19</f>
        <v>0</v>
      </c>
      <c r="J97">
        <f>kalimantan!BD19</f>
        <v>85615.60701624857</v>
      </c>
    </row>
    <row r="98" spans="1:10" x14ac:dyDescent="0.25">
      <c r="A98" t="str">
        <f>kalimantan!AO20</f>
        <v>KALIMANTAN</v>
      </c>
      <c r="B98">
        <f>kalimantan!AP20</f>
        <v>2035</v>
      </c>
      <c r="C98">
        <f>kalimantan!AU20</f>
        <v>173.83518372964755</v>
      </c>
      <c r="D98">
        <f>kalimantan!AV20</f>
        <v>20923.762828994168</v>
      </c>
      <c r="E98">
        <f>kalimantan!AW20</f>
        <v>8042.5442844932186</v>
      </c>
      <c r="F98">
        <f>kalimantan!AX20</f>
        <v>50926.831360550932</v>
      </c>
      <c r="G98">
        <f>kalimantan!AY20</f>
        <v>316.23462632344462</v>
      </c>
      <c r="H98">
        <f>kalimantan!AZ20</f>
        <v>4982.5445372815548</v>
      </c>
      <c r="I98">
        <f>kalimantan!BA20</f>
        <v>0</v>
      </c>
      <c r="J98">
        <f>kalimantan!BD20</f>
        <v>85365.752821372967</v>
      </c>
    </row>
    <row r="99" spans="1:10" x14ac:dyDescent="0.25">
      <c r="A99" t="str">
        <f>kalimantan!AO21</f>
        <v>KALIMANTAN</v>
      </c>
      <c r="B99">
        <f>kalimantan!AP21</f>
        <v>2036</v>
      </c>
      <c r="C99">
        <f>kalimantan!AU21</f>
        <v>173.83518372964755</v>
      </c>
      <c r="D99">
        <f>kalimantan!AV21</f>
        <v>20923.762828994168</v>
      </c>
      <c r="E99">
        <f>kalimantan!AW21</f>
        <v>7977.9630638074714</v>
      </c>
      <c r="F99">
        <f>kalimantan!AX21</f>
        <v>50926.831360550932</v>
      </c>
      <c r="G99">
        <f>kalimantan!AY21</f>
        <v>158.11731316172231</v>
      </c>
      <c r="H99">
        <f>kalimantan!AZ21</f>
        <v>4982.5445372815548</v>
      </c>
      <c r="I99">
        <f>kalimantan!BA21</f>
        <v>0</v>
      </c>
      <c r="J99">
        <f>kalimantan!BD21</f>
        <v>85143.054287525505</v>
      </c>
    </row>
    <row r="100" spans="1:10" x14ac:dyDescent="0.25">
      <c r="A100" t="str">
        <f>kalimantan!AO22</f>
        <v>KALIMANTAN</v>
      </c>
      <c r="B100">
        <f>kalimantan!AP22</f>
        <v>2037</v>
      </c>
      <c r="C100">
        <f>kalimantan!AU22</f>
        <v>173.83518372964755</v>
      </c>
      <c r="D100">
        <f>kalimantan!AV22</f>
        <v>20923.762828994168</v>
      </c>
      <c r="E100">
        <f>kalimantan!AW22</f>
        <v>7867.8786754750645</v>
      </c>
      <c r="F100">
        <f>kalimantan!AX22</f>
        <v>50926.831360550932</v>
      </c>
      <c r="G100">
        <f>kalimantan!AY22</f>
        <v>79.058656580861154</v>
      </c>
      <c r="H100">
        <f>kalimantan!AZ22</f>
        <v>4982.5445372815548</v>
      </c>
      <c r="I100">
        <f>kalimantan!BA22</f>
        <v>0</v>
      </c>
      <c r="J100">
        <f>kalimantan!BD22</f>
        <v>84953.91124261223</v>
      </c>
    </row>
    <row r="101" spans="1:10" x14ac:dyDescent="0.25">
      <c r="A101" t="str">
        <f>kalimantan!AO23</f>
        <v>KALIMANTAN</v>
      </c>
      <c r="B101">
        <f>kalimantan!AP23</f>
        <v>2038</v>
      </c>
      <c r="C101">
        <f>kalimantan!AU23</f>
        <v>173.83518372964755</v>
      </c>
      <c r="D101">
        <f>kalimantan!AV23</f>
        <v>20923.762828994168</v>
      </c>
      <c r="E101">
        <f>kalimantan!AW23</f>
        <v>7717.354403192996</v>
      </c>
      <c r="F101">
        <f>kalimantan!AX23</f>
        <v>50926.831360550932</v>
      </c>
      <c r="G101">
        <f>kalimantan!AY23</f>
        <v>39.52932829043057</v>
      </c>
      <c r="H101">
        <f>kalimantan!AZ23</f>
        <v>4982.5445372815548</v>
      </c>
      <c r="I101">
        <f>kalimantan!BA23</f>
        <v>0</v>
      </c>
      <c r="J101">
        <f>kalimantan!BD23</f>
        <v>84763.857642039729</v>
      </c>
    </row>
    <row r="102" spans="1:10" x14ac:dyDescent="0.25">
      <c r="A102" t="str">
        <f>sulawesi!AO4</f>
        <v>SULAWESI</v>
      </c>
      <c r="B102">
        <f>sulawesi!AP4</f>
        <v>2019</v>
      </c>
      <c r="C102">
        <f>sulawesi!AU4</f>
        <v>3068</v>
      </c>
      <c r="D102">
        <f>sulawesi!AV4</f>
        <v>10307</v>
      </c>
      <c r="E102">
        <f>sulawesi!AW4</f>
        <v>1668</v>
      </c>
      <c r="F102">
        <f>sulawesi!AX4</f>
        <v>22700</v>
      </c>
      <c r="G102">
        <f>sulawesi!AY4</f>
        <v>8380</v>
      </c>
      <c r="H102">
        <f>sulawesi!AZ4</f>
        <v>1937</v>
      </c>
      <c r="I102">
        <f>sulawesi!BA4</f>
        <v>0</v>
      </c>
      <c r="J102">
        <f>sulawesi!BD4</f>
        <v>48060</v>
      </c>
    </row>
    <row r="103" spans="1:10" x14ac:dyDescent="0.25">
      <c r="A103" t="str">
        <f>sulawesi!AO5</f>
        <v>SULAWESI</v>
      </c>
      <c r="B103">
        <f>sulawesi!AP5</f>
        <v>2020</v>
      </c>
      <c r="C103">
        <f>sulawesi!AU5</f>
        <v>3068</v>
      </c>
      <c r="D103">
        <f>sulawesi!AV5</f>
        <v>10307</v>
      </c>
      <c r="E103">
        <f>sulawesi!AW5</f>
        <v>1668</v>
      </c>
      <c r="F103">
        <f>sulawesi!AX5</f>
        <v>22571.267526574142</v>
      </c>
      <c r="G103">
        <f>sulawesi!AY5</f>
        <v>8380</v>
      </c>
      <c r="H103">
        <f>sulawesi!AZ5</f>
        <v>1937</v>
      </c>
      <c r="I103">
        <f>sulawesi!BA5</f>
        <v>0</v>
      </c>
      <c r="J103">
        <f>sulawesi!BD5</f>
        <v>47931.267526574142</v>
      </c>
    </row>
    <row r="104" spans="1:10" x14ac:dyDescent="0.25">
      <c r="A104" t="str">
        <f>sulawesi!AO6</f>
        <v>SULAWESI</v>
      </c>
      <c r="B104">
        <f>sulawesi!AP6</f>
        <v>2021</v>
      </c>
      <c r="C104">
        <f>sulawesi!AU6</f>
        <v>3068</v>
      </c>
      <c r="D104">
        <f>sulawesi!AV6</f>
        <v>10286.593126266031</v>
      </c>
      <c r="E104">
        <f>sulawesi!AW6</f>
        <v>1667.9684025303839</v>
      </c>
      <c r="F104">
        <f>sulawesi!AX6</f>
        <v>22313.386650329965</v>
      </c>
      <c r="G104">
        <f>sulawesi!AY6</f>
        <v>8379.9635558952396</v>
      </c>
      <c r="H104">
        <f>sulawesi!AZ6</f>
        <v>1937</v>
      </c>
      <c r="I104">
        <f>sulawesi!BA6</f>
        <v>0</v>
      </c>
      <c r="J104">
        <f>sulawesi!BD6</f>
        <v>47652.911735021626</v>
      </c>
    </row>
    <row r="105" spans="1:10" x14ac:dyDescent="0.25">
      <c r="A105" t="str">
        <f>sulawesi!AO7</f>
        <v>SULAWESI</v>
      </c>
      <c r="B105">
        <f>sulawesi!AP7</f>
        <v>2022</v>
      </c>
      <c r="C105">
        <f>sulawesi!AU7</f>
        <v>3068</v>
      </c>
      <c r="D105">
        <f>sulawesi!AV7</f>
        <v>10286.593126266031</v>
      </c>
      <c r="E105">
        <f>sulawesi!AW7</f>
        <v>1667.9684025303839</v>
      </c>
      <c r="F105">
        <f>sulawesi!AX7</f>
        <v>22313.386650329965</v>
      </c>
      <c r="G105">
        <f>sulawesi!AY7</f>
        <v>7938.1812669322335</v>
      </c>
      <c r="H105">
        <f>sulawesi!AZ7</f>
        <v>1937</v>
      </c>
      <c r="I105">
        <f>sulawesi!BA7</f>
        <v>0</v>
      </c>
      <c r="J105">
        <f>sulawesi!BD7</f>
        <v>47211.129446058614</v>
      </c>
    </row>
    <row r="106" spans="1:10" x14ac:dyDescent="0.25">
      <c r="A106" t="str">
        <f>sulawesi!AO8</f>
        <v>SULAWESI</v>
      </c>
      <c r="B106">
        <f>sulawesi!AP8</f>
        <v>2023</v>
      </c>
      <c r="C106">
        <f>sulawesi!AU8</f>
        <v>3068</v>
      </c>
      <c r="D106">
        <f>sulawesi!AV8</f>
        <v>10286.593126266031</v>
      </c>
      <c r="E106">
        <f>sulawesi!AW8</f>
        <v>1667.9684025303839</v>
      </c>
      <c r="F106">
        <f>sulawesi!AX8</f>
        <v>22313.386650329965</v>
      </c>
      <c r="G106">
        <f>sulawesi!AY8</f>
        <v>7846.8792829695622</v>
      </c>
      <c r="H106">
        <f>sulawesi!AZ8</f>
        <v>1937</v>
      </c>
      <c r="I106">
        <f>sulawesi!BA8</f>
        <v>0</v>
      </c>
      <c r="J106">
        <f>sulawesi!BD8</f>
        <v>47119.827462095942</v>
      </c>
    </row>
    <row r="107" spans="1:10" x14ac:dyDescent="0.25">
      <c r="A107" t="str">
        <f>sulawesi!AO9</f>
        <v>SULAWESI</v>
      </c>
      <c r="B107">
        <f>sulawesi!AP9</f>
        <v>2024</v>
      </c>
      <c r="C107">
        <f>sulawesi!AU9</f>
        <v>3068</v>
      </c>
      <c r="D107">
        <f>sulawesi!AV9</f>
        <v>10286.593126266031</v>
      </c>
      <c r="E107">
        <f>sulawesi!AW9</f>
        <v>1667.9684025303839</v>
      </c>
      <c r="F107">
        <f>sulawesi!AX9</f>
        <v>22313.386650329965</v>
      </c>
      <c r="G107">
        <f>sulawesi!AY9</f>
        <v>7409.0996315080229</v>
      </c>
      <c r="H107">
        <f>sulawesi!AZ9</f>
        <v>1937</v>
      </c>
      <c r="I107">
        <f>sulawesi!BA9</f>
        <v>0</v>
      </c>
      <c r="J107">
        <f>sulawesi!BD9</f>
        <v>46682.047810634409</v>
      </c>
    </row>
    <row r="108" spans="1:10" x14ac:dyDescent="0.25">
      <c r="A108" t="str">
        <f>sulawesi!AO10</f>
        <v>SULAWESI</v>
      </c>
      <c r="B108">
        <f>sulawesi!AP10</f>
        <v>2025</v>
      </c>
      <c r="C108">
        <f>sulawesi!AU10</f>
        <v>3068</v>
      </c>
      <c r="D108">
        <f>sulawesi!AV10</f>
        <v>10286.593126266031</v>
      </c>
      <c r="E108">
        <f>sulawesi!AW10</f>
        <v>1667.9684025303839</v>
      </c>
      <c r="F108">
        <f>sulawesi!AX10</f>
        <v>22313.386650329965</v>
      </c>
      <c r="G108">
        <f>sulawesi!AY10</f>
        <v>6897.0012747198598</v>
      </c>
      <c r="H108">
        <f>sulawesi!AZ10</f>
        <v>1937</v>
      </c>
      <c r="I108">
        <f>sulawesi!BA10</f>
        <v>0</v>
      </c>
      <c r="J108">
        <f>sulawesi!BD10</f>
        <v>46169.949453846246</v>
      </c>
    </row>
    <row r="109" spans="1:10" x14ac:dyDescent="0.25">
      <c r="A109" t="str">
        <f>sulawesi!AO11</f>
        <v>SULAWESI</v>
      </c>
      <c r="B109">
        <f>sulawesi!AP11</f>
        <v>2026</v>
      </c>
      <c r="C109">
        <f>sulawesi!AU11</f>
        <v>3068</v>
      </c>
      <c r="D109">
        <f>sulawesi!AV11</f>
        <v>10286.593126266031</v>
      </c>
      <c r="E109">
        <f>sulawesi!AW11</f>
        <v>1667.9684025303839</v>
      </c>
      <c r="F109">
        <f>sulawesi!AX11</f>
        <v>22305.988394797892</v>
      </c>
      <c r="G109">
        <f>sulawesi!AY11</f>
        <v>6634.7461061579588</v>
      </c>
      <c r="H109">
        <f>sulawesi!AZ11</f>
        <v>1937</v>
      </c>
      <c r="I109">
        <f>sulawesi!BA11</f>
        <v>0</v>
      </c>
      <c r="J109">
        <f>sulawesi!BD11</f>
        <v>45900.296029752266</v>
      </c>
    </row>
    <row r="110" spans="1:10" x14ac:dyDescent="0.25">
      <c r="A110" t="str">
        <f>sulawesi!AO12</f>
        <v>SULAWESI</v>
      </c>
      <c r="B110">
        <f>sulawesi!AP12</f>
        <v>2027</v>
      </c>
      <c r="C110">
        <f>sulawesi!AU12</f>
        <v>3068</v>
      </c>
      <c r="D110">
        <f>sulawesi!AV12</f>
        <v>10286.593126266031</v>
      </c>
      <c r="E110">
        <f>sulawesi!AW12</f>
        <v>1667.9684025303839</v>
      </c>
      <c r="F110">
        <f>sulawesi!AX12</f>
        <v>22246.62595906018</v>
      </c>
      <c r="G110">
        <f>sulawesi!AY12</f>
        <v>6340.1474416569072</v>
      </c>
      <c r="H110">
        <f>sulawesi!AZ12</f>
        <v>1937</v>
      </c>
      <c r="I110">
        <f>sulawesi!BA12</f>
        <v>0</v>
      </c>
      <c r="J110">
        <f>sulawesi!BD12</f>
        <v>45546.334929513498</v>
      </c>
    </row>
    <row r="111" spans="1:10" x14ac:dyDescent="0.25">
      <c r="A111" t="str">
        <f>sulawesi!AO13</f>
        <v>SULAWESI</v>
      </c>
      <c r="B111">
        <f>sulawesi!AP13</f>
        <v>2028</v>
      </c>
      <c r="C111">
        <f>sulawesi!AU13</f>
        <v>3068</v>
      </c>
      <c r="D111">
        <f>sulawesi!AV13</f>
        <v>10286.593126266031</v>
      </c>
      <c r="E111">
        <f>sulawesi!AW13</f>
        <v>1667.9684025303839</v>
      </c>
      <c r="F111">
        <f>sulawesi!AX13</f>
        <v>22200.896562115424</v>
      </c>
      <c r="G111">
        <f>sulawesi!AY13</f>
        <v>6185.410174224734</v>
      </c>
      <c r="H111">
        <f>sulawesi!AZ13</f>
        <v>1937</v>
      </c>
      <c r="I111">
        <f>sulawesi!BA13</f>
        <v>0</v>
      </c>
      <c r="J111">
        <f>sulawesi!BD13</f>
        <v>45345.868265136574</v>
      </c>
    </row>
    <row r="112" spans="1:10" x14ac:dyDescent="0.25">
      <c r="A112" t="str">
        <f>sulawesi!AO14</f>
        <v>SULAWESI</v>
      </c>
      <c r="B112">
        <f>sulawesi!AP14</f>
        <v>2029</v>
      </c>
      <c r="C112">
        <f>sulawesi!AU14</f>
        <v>3068</v>
      </c>
      <c r="D112">
        <f>sulawesi!AV14</f>
        <v>10286.593126266031</v>
      </c>
      <c r="E112">
        <f>sulawesi!AW14</f>
        <v>1667.9684025303839</v>
      </c>
      <c r="F112">
        <f>sulawesi!AX14</f>
        <v>22149.948263373753</v>
      </c>
      <c r="G112">
        <f>sulawesi!AY14</f>
        <v>6020.210329896162</v>
      </c>
      <c r="H112">
        <f>sulawesi!AZ14</f>
        <v>1937</v>
      </c>
      <c r="I112">
        <f>sulawesi!BA14</f>
        <v>0</v>
      </c>
      <c r="J112">
        <f>sulawesi!BD14</f>
        <v>45129.720122066326</v>
      </c>
    </row>
    <row r="113" spans="1:10" x14ac:dyDescent="0.25">
      <c r="A113" t="str">
        <f>sulawesi!AO15</f>
        <v>SULAWESI</v>
      </c>
      <c r="B113">
        <f>sulawesi!AP15</f>
        <v>2030</v>
      </c>
      <c r="C113">
        <f>sulawesi!AU15</f>
        <v>3068</v>
      </c>
      <c r="D113">
        <f>sulawesi!AV15</f>
        <v>10286.593126266031</v>
      </c>
      <c r="E113">
        <f>sulawesi!AW15</f>
        <v>1667.9684025303839</v>
      </c>
      <c r="F113">
        <f>sulawesi!AX15</f>
        <v>22093.605150237127</v>
      </c>
      <c r="G113">
        <f>sulawesi!AY15</f>
        <v>5846.9730271330591</v>
      </c>
      <c r="H113">
        <f>sulawesi!AZ15</f>
        <v>1937</v>
      </c>
      <c r="I113">
        <f>sulawesi!BA15</f>
        <v>0</v>
      </c>
      <c r="J113">
        <f>sulawesi!BD15</f>
        <v>44900.139706166607</v>
      </c>
    </row>
    <row r="114" spans="1:10" x14ac:dyDescent="0.25">
      <c r="A114" t="str">
        <f>sulawesi!AO16</f>
        <v>SULAWESI</v>
      </c>
      <c r="B114">
        <f>sulawesi!AP16</f>
        <v>2031</v>
      </c>
      <c r="C114">
        <f>sulawesi!AU16</f>
        <v>3068</v>
      </c>
      <c r="D114">
        <f>sulawesi!AV16</f>
        <v>10286.593126266031</v>
      </c>
      <c r="E114">
        <f>sulawesi!AW16</f>
        <v>1667.9684025303839</v>
      </c>
      <c r="F114">
        <f>sulawesi!AX16</f>
        <v>22027.909558044459</v>
      </c>
      <c r="G114">
        <f>sulawesi!AY16</f>
        <v>5644.1936081228087</v>
      </c>
      <c r="H114">
        <f>sulawesi!AZ16</f>
        <v>1937</v>
      </c>
      <c r="I114">
        <f>sulawesi!BA16</f>
        <v>0</v>
      </c>
      <c r="J114">
        <f>sulawesi!BD16</f>
        <v>44631.664694963678</v>
      </c>
    </row>
    <row r="115" spans="1:10" x14ac:dyDescent="0.25">
      <c r="A115" t="str">
        <f>sulawesi!AO17</f>
        <v>SULAWESI</v>
      </c>
      <c r="B115">
        <f>sulawesi!AP17</f>
        <v>2032</v>
      </c>
      <c r="C115">
        <f>sulawesi!AU17</f>
        <v>3068</v>
      </c>
      <c r="D115">
        <f>sulawesi!AV17</f>
        <v>10286.593126266031</v>
      </c>
      <c r="E115">
        <f>sulawesi!AW17</f>
        <v>1667.9684025303839</v>
      </c>
      <c r="F115">
        <f>sulawesi!AX17</f>
        <v>21953.706435958695</v>
      </c>
      <c r="G115">
        <f>sulawesi!AY17</f>
        <v>5423.7879417867425</v>
      </c>
      <c r="H115">
        <f>sulawesi!AZ17</f>
        <v>1937</v>
      </c>
      <c r="I115">
        <f>sulawesi!BA17</f>
        <v>0</v>
      </c>
      <c r="J115">
        <f>sulawesi!BD17</f>
        <v>44337.055906541857</v>
      </c>
    </row>
    <row r="116" spans="1:10" x14ac:dyDescent="0.25">
      <c r="A116" t="str">
        <f>sulawesi!AO18</f>
        <v>SULAWESI</v>
      </c>
      <c r="B116">
        <f>sulawesi!AP18</f>
        <v>2033</v>
      </c>
      <c r="C116">
        <f>sulawesi!AU18</f>
        <v>3068</v>
      </c>
      <c r="D116">
        <f>sulawesi!AV18</f>
        <v>10286.593126266031</v>
      </c>
      <c r="E116">
        <f>sulawesi!AW18</f>
        <v>1667.9684025303839</v>
      </c>
      <c r="F116">
        <f>sulawesi!AX18</f>
        <v>21873.393873678273</v>
      </c>
      <c r="G116">
        <f>sulawesi!AY18</f>
        <v>5204.664042725426</v>
      </c>
      <c r="H116">
        <f>sulawesi!AZ18</f>
        <v>1937</v>
      </c>
      <c r="I116">
        <f>sulawesi!BA18</f>
        <v>0</v>
      </c>
      <c r="J116">
        <f>sulawesi!BD18</f>
        <v>44037.619445200115</v>
      </c>
    </row>
    <row r="117" spans="1:10" x14ac:dyDescent="0.25">
      <c r="A117" t="str">
        <f>sulawesi!AO19</f>
        <v>SULAWESI</v>
      </c>
      <c r="B117">
        <f>sulawesi!AP19</f>
        <v>2034</v>
      </c>
      <c r="C117">
        <f>sulawesi!AU19</f>
        <v>3068</v>
      </c>
      <c r="D117">
        <f>sulawesi!AV19</f>
        <v>10286.593126266031</v>
      </c>
      <c r="E117">
        <f>sulawesi!AW19</f>
        <v>1667.9684025303839</v>
      </c>
      <c r="F117">
        <f>sulawesi!AX19</f>
        <v>21778.876005905811</v>
      </c>
      <c r="G117">
        <f>sulawesi!AY19</f>
        <v>4946.1627359953636</v>
      </c>
      <c r="H117">
        <f>sulawesi!AZ19</f>
        <v>1937</v>
      </c>
      <c r="I117">
        <f>sulawesi!BA19</f>
        <v>0</v>
      </c>
      <c r="J117">
        <f>sulawesi!BD19</f>
        <v>43684.600270697592</v>
      </c>
    </row>
    <row r="118" spans="1:10" x14ac:dyDescent="0.25">
      <c r="A118" t="str">
        <f>sulawesi!AO20</f>
        <v>SULAWESI</v>
      </c>
      <c r="B118">
        <f>sulawesi!AP20</f>
        <v>2035</v>
      </c>
      <c r="C118">
        <f>sulawesi!AU20</f>
        <v>3068</v>
      </c>
      <c r="D118">
        <f>sulawesi!AV20</f>
        <v>10286.593126266031</v>
      </c>
      <c r="E118">
        <f>sulawesi!AW20</f>
        <v>1667.9684025303839</v>
      </c>
      <c r="F118">
        <f>sulawesi!AX20</f>
        <v>21674.733341699659</v>
      </c>
      <c r="G118">
        <f>sulawesi!AY20</f>
        <v>4680.6744286324456</v>
      </c>
      <c r="H118">
        <f>sulawesi!AZ20</f>
        <v>1937</v>
      </c>
      <c r="I118">
        <f>sulawesi!BA20</f>
        <v>0</v>
      </c>
      <c r="J118">
        <f>sulawesi!BD20</f>
        <v>43314.969299128519</v>
      </c>
    </row>
    <row r="119" spans="1:10" x14ac:dyDescent="0.25">
      <c r="A119" t="str">
        <f>sulawesi!AO21</f>
        <v>SULAWESI</v>
      </c>
      <c r="B119">
        <f>sulawesi!AP21</f>
        <v>2036</v>
      </c>
      <c r="C119">
        <f>sulawesi!AU21</f>
        <v>3068</v>
      </c>
      <c r="D119">
        <f>sulawesi!AV21</f>
        <v>10286.593126266031</v>
      </c>
      <c r="E119">
        <f>sulawesi!AW21</f>
        <v>1667.9684025303839</v>
      </c>
      <c r="F119">
        <f>sulawesi!AX21</f>
        <v>21554.854681667741</v>
      </c>
      <c r="G119">
        <f>sulawesi!AY21</f>
        <v>4383.4174894270982</v>
      </c>
      <c r="H119">
        <f>sulawesi!AZ21</f>
        <v>1937</v>
      </c>
      <c r="I119">
        <f>sulawesi!BA21</f>
        <v>0</v>
      </c>
      <c r="J119">
        <f>sulawesi!BD21</f>
        <v>42897.833699891256</v>
      </c>
    </row>
    <row r="120" spans="1:10" x14ac:dyDescent="0.25">
      <c r="A120" t="str">
        <f>sulawesi!AO22</f>
        <v>SULAWESI</v>
      </c>
      <c r="B120">
        <f>sulawesi!AP22</f>
        <v>2037</v>
      </c>
      <c r="C120">
        <f>sulawesi!AU22</f>
        <v>3068</v>
      </c>
      <c r="D120">
        <f>sulawesi!AV22</f>
        <v>10286.593126266031</v>
      </c>
      <c r="E120">
        <f>sulawesi!AW22</f>
        <v>1667.9684025303839</v>
      </c>
      <c r="F120">
        <f>sulawesi!AX22</f>
        <v>21420.290807049139</v>
      </c>
      <c r="G120">
        <f>sulawesi!AY22</f>
        <v>4067.8616831511708</v>
      </c>
      <c r="H120">
        <f>sulawesi!AZ22</f>
        <v>1937</v>
      </c>
      <c r="I120">
        <f>sulawesi!BA22</f>
        <v>0</v>
      </c>
      <c r="J120">
        <f>sulawesi!BD22</f>
        <v>42447.714018996725</v>
      </c>
    </row>
    <row r="121" spans="1:10" x14ac:dyDescent="0.25">
      <c r="A121" t="str">
        <f>sulawesi!AO23</f>
        <v>SULAWESI</v>
      </c>
      <c r="B121">
        <f>sulawesi!AP23</f>
        <v>2038</v>
      </c>
      <c r="C121">
        <f>sulawesi!AU23</f>
        <v>3068</v>
      </c>
      <c r="D121">
        <f>sulawesi!AV23</f>
        <v>10286.593126266031</v>
      </c>
      <c r="E121">
        <f>sulawesi!AW23</f>
        <v>1667.9684025303839</v>
      </c>
      <c r="F121">
        <f>sulawesi!AX23</f>
        <v>21261.935883677208</v>
      </c>
      <c r="G121">
        <f>sulawesi!AY23</f>
        <v>3701.9170453538263</v>
      </c>
      <c r="H121">
        <f>sulawesi!AZ23</f>
        <v>1937</v>
      </c>
      <c r="I121">
        <f>sulawesi!BA23</f>
        <v>0</v>
      </c>
      <c r="J121">
        <f>sulawesi!BD23</f>
        <v>41923.414457827443</v>
      </c>
    </row>
    <row r="122" spans="1:10" x14ac:dyDescent="0.25">
      <c r="A122" t="str">
        <f>maluku_papua!AO4</f>
        <v>MALUKU_PAPUA</v>
      </c>
      <c r="B122">
        <f>maluku_papua!AP4</f>
        <v>2019</v>
      </c>
      <c r="C122">
        <f>maluku_papua!AU4</f>
        <v>23965.8</v>
      </c>
      <c r="D122">
        <f>maluku_papua!AV4</f>
        <v>75091</v>
      </c>
      <c r="E122">
        <f>maluku_papua!AW4</f>
        <v>19385</v>
      </c>
      <c r="F122">
        <f>maluku_papua!AX4</f>
        <v>207898</v>
      </c>
      <c r="G122">
        <f>maluku_papua!AY4</f>
        <v>60647</v>
      </c>
      <c r="H122">
        <f>maluku_papua!AZ4</f>
        <v>32654</v>
      </c>
      <c r="I122">
        <f>maluku_papua!BA4</f>
        <v>17988</v>
      </c>
      <c r="J122">
        <f>maluku_papua!BD4</f>
        <v>437628.8</v>
      </c>
    </row>
    <row r="123" spans="1:10" x14ac:dyDescent="0.25">
      <c r="A123" t="str">
        <f>maluku_papua!AO5</f>
        <v>MALUKU_PAPUA</v>
      </c>
      <c r="B123">
        <f>maluku_papua!AP5</f>
        <v>2020</v>
      </c>
      <c r="C123">
        <f>maluku_papua!AU5</f>
        <v>23965.8</v>
      </c>
      <c r="D123">
        <f>maluku_papua!AV5</f>
        <v>75091</v>
      </c>
      <c r="E123">
        <f>maluku_papua!AW5</f>
        <v>19385</v>
      </c>
      <c r="F123">
        <f>maluku_papua!AX5</f>
        <v>207898.00000100001</v>
      </c>
      <c r="G123">
        <f>maluku_papua!AY5</f>
        <v>60647</v>
      </c>
      <c r="H123">
        <f>maluku_papua!AZ5</f>
        <v>32654</v>
      </c>
      <c r="I123">
        <f>maluku_papua!BA5</f>
        <v>17988.000000331846</v>
      </c>
      <c r="J123">
        <f>maluku_papua!BD5</f>
        <v>437628.80000133184</v>
      </c>
    </row>
    <row r="124" spans="1:10" x14ac:dyDescent="0.25">
      <c r="A124" t="str">
        <f>maluku_papua!AO6</f>
        <v>MALUKU_PAPUA</v>
      </c>
      <c r="B124">
        <f>maluku_papua!AP6</f>
        <v>2021</v>
      </c>
      <c r="C124">
        <f>maluku_papua!AU6</f>
        <v>23965.8</v>
      </c>
      <c r="D124">
        <f>maluku_papua!AV6</f>
        <v>75090.999494566568</v>
      </c>
      <c r="E124">
        <f>maluku_papua!AW6</f>
        <v>19309.489195821901</v>
      </c>
      <c r="F124">
        <f>maluku_papua!AX6</f>
        <v>207563.85268585393</v>
      </c>
      <c r="G124">
        <f>maluku_papua!AY6</f>
        <v>60609.844013850772</v>
      </c>
      <c r="H124">
        <f>maluku_papua!AZ6</f>
        <v>32654</v>
      </c>
      <c r="I124">
        <f>maluku_papua!BA6</f>
        <v>17987.758371862878</v>
      </c>
      <c r="J124">
        <f>maluku_papua!BD6</f>
        <v>437181.74376195605</v>
      </c>
    </row>
    <row r="125" spans="1:10" x14ac:dyDescent="0.25">
      <c r="A125" t="str">
        <f>maluku_papua!AO7</f>
        <v>MALUKU_PAPUA</v>
      </c>
      <c r="B125">
        <f>maluku_papua!AP7</f>
        <v>2022</v>
      </c>
      <c r="C125">
        <f>maluku_papua!AU7</f>
        <v>23965.8</v>
      </c>
      <c r="D125">
        <f>maluku_papua!AV7</f>
        <v>75071.435155101295</v>
      </c>
      <c r="E125">
        <f>maluku_papua!AW7</f>
        <v>19278.024583813483</v>
      </c>
      <c r="F125">
        <f>maluku_papua!AX7</f>
        <v>207555.74153452495</v>
      </c>
      <c r="G125">
        <f>maluku_papua!AY7</f>
        <v>60596.287705011135</v>
      </c>
      <c r="H125">
        <f>maluku_papua!AZ7</f>
        <v>32654</v>
      </c>
      <c r="I125">
        <f>maluku_papua!BA7</f>
        <v>17987.722013811628</v>
      </c>
      <c r="J125">
        <f>maluku_papua!BD7</f>
        <v>437109.01099226251</v>
      </c>
    </row>
    <row r="126" spans="1:10" x14ac:dyDescent="0.25">
      <c r="A126" t="str">
        <f>maluku_papua!AO8</f>
        <v>MALUKU_PAPUA</v>
      </c>
      <c r="B126">
        <f>maluku_papua!AP8</f>
        <v>2023</v>
      </c>
      <c r="C126">
        <f>maluku_papua!AU8</f>
        <v>23965.8</v>
      </c>
      <c r="D126">
        <f>maluku_papua!AV8</f>
        <v>75070.896738663214</v>
      </c>
      <c r="E126">
        <f>maluku_papua!AW8</f>
        <v>19278.021115701296</v>
      </c>
      <c r="F126">
        <f>maluku_papua!AX8</f>
        <v>207549.34761455542</v>
      </c>
      <c r="G126">
        <f>maluku_papua!AY8</f>
        <v>60492.431806540822</v>
      </c>
      <c r="H126">
        <f>maluku_papua!AZ8</f>
        <v>32654</v>
      </c>
      <c r="I126">
        <f>maluku_papua!BA8</f>
        <v>17987.716606941754</v>
      </c>
      <c r="J126">
        <f>maluku_papua!BD8</f>
        <v>436998.21388240252</v>
      </c>
    </row>
    <row r="127" spans="1:10" x14ac:dyDescent="0.25">
      <c r="A127" t="str">
        <f>maluku_papua!AO9</f>
        <v>MALUKU_PAPUA</v>
      </c>
      <c r="B127">
        <f>maluku_papua!AP9</f>
        <v>2024</v>
      </c>
      <c r="C127">
        <f>maluku_papua!AU9</f>
        <v>23965.800000154104</v>
      </c>
      <c r="D127">
        <f>maluku_papua!AV9</f>
        <v>75057.617147649493</v>
      </c>
      <c r="E127">
        <f>maluku_papua!AW9</f>
        <v>19227.602603757532</v>
      </c>
      <c r="F127">
        <f>maluku_papua!AX9</f>
        <v>207549.34761455542</v>
      </c>
      <c r="G127">
        <f>maluku_papua!AY9</f>
        <v>60484.395749225303</v>
      </c>
      <c r="H127">
        <f>maluku_papua!AZ9</f>
        <v>32654</v>
      </c>
      <c r="I127">
        <f>maluku_papua!BA9</f>
        <v>17987.716606941754</v>
      </c>
      <c r="J127">
        <f>maluku_papua!BD9</f>
        <v>436926.47972228361</v>
      </c>
    </row>
    <row r="128" spans="1:10" x14ac:dyDescent="0.25">
      <c r="A128" t="str">
        <f>maluku_papua!AO10</f>
        <v>MALUKU_PAPUA</v>
      </c>
      <c r="B128">
        <f>maluku_papua!AP10</f>
        <v>2025</v>
      </c>
      <c r="C128">
        <f>maluku_papua!AU10</f>
        <v>23965.800000154104</v>
      </c>
      <c r="D128">
        <f>maluku_papua!AV10</f>
        <v>74998.465487833411</v>
      </c>
      <c r="E128">
        <f>maluku_papua!AW10</f>
        <v>19221.176960091077</v>
      </c>
      <c r="F128">
        <f>maluku_papua!AX10</f>
        <v>207525.55435083027</v>
      </c>
      <c r="G128">
        <f>maluku_papua!AY10</f>
        <v>60453.939489414086</v>
      </c>
      <c r="H128">
        <f>maluku_papua!AZ10</f>
        <v>32654</v>
      </c>
      <c r="I128">
        <f>maluku_papua!BA10</f>
        <v>17987.716591984212</v>
      </c>
      <c r="J128">
        <f>maluku_papua!BD10</f>
        <v>436806.65288030717</v>
      </c>
    </row>
    <row r="129" spans="1:10" x14ac:dyDescent="0.25">
      <c r="A129" t="str">
        <f>maluku_papua!AO11</f>
        <v>MALUKU_PAPUA</v>
      </c>
      <c r="B129">
        <f>maluku_papua!AP11</f>
        <v>2026</v>
      </c>
      <c r="C129">
        <f>maluku_papua!AU11</f>
        <v>23965.8</v>
      </c>
      <c r="D129">
        <f>maluku_papua!AV11</f>
        <v>74983.640933453542</v>
      </c>
      <c r="E129">
        <f>maluku_papua!AW11</f>
        <v>19202.255649441904</v>
      </c>
      <c r="F129">
        <f>maluku_papua!AX11</f>
        <v>207520.49510620299</v>
      </c>
      <c r="G129">
        <f>maluku_papua!AY11</f>
        <v>60444.094460830805</v>
      </c>
      <c r="H129">
        <f>maluku_papua!AZ11</f>
        <v>32654</v>
      </c>
      <c r="I129">
        <f>maluku_papua!BA11</f>
        <v>17987.663087053854</v>
      </c>
      <c r="J129">
        <f>maluku_papua!BD11</f>
        <v>436757.94923698308</v>
      </c>
    </row>
    <row r="130" spans="1:10" x14ac:dyDescent="0.25">
      <c r="A130" t="str">
        <f>maluku_papua!AO12</f>
        <v>MALUKU_PAPUA</v>
      </c>
      <c r="B130">
        <f>maluku_papua!AP12</f>
        <v>2027</v>
      </c>
      <c r="C130">
        <f>maluku_papua!AU12</f>
        <v>23965.800000154104</v>
      </c>
      <c r="D130">
        <f>maluku_papua!AV12</f>
        <v>74968.913196432884</v>
      </c>
      <c r="E130">
        <f>maluku_papua!AW12</f>
        <v>19179.876109077562</v>
      </c>
      <c r="F130">
        <f>maluku_papua!AX12</f>
        <v>207516.90128396705</v>
      </c>
      <c r="G130">
        <f>maluku_papua!AY12</f>
        <v>60433.796590134756</v>
      </c>
      <c r="H130">
        <f>maluku_papua!AZ12</f>
        <v>32654</v>
      </c>
      <c r="I130">
        <f>maluku_papua!BA12</f>
        <v>17987.614200828641</v>
      </c>
      <c r="J130">
        <f>maluku_papua!BD12</f>
        <v>436706.90138059499</v>
      </c>
    </row>
    <row r="131" spans="1:10" x14ac:dyDescent="0.25">
      <c r="A131" t="str">
        <f>maluku_papua!AO13</f>
        <v>MALUKU_PAPUA</v>
      </c>
      <c r="B131">
        <f>maluku_papua!AP13</f>
        <v>2028</v>
      </c>
      <c r="C131">
        <f>maluku_papua!AU13</f>
        <v>23965.8</v>
      </c>
      <c r="D131">
        <f>maluku_papua!AV13</f>
        <v>74968.913196432884</v>
      </c>
      <c r="E131">
        <f>maluku_papua!AW13</f>
        <v>19179.876110077563</v>
      </c>
      <c r="F131">
        <f>maluku_papua!AX13</f>
        <v>207503.32717221192</v>
      </c>
      <c r="G131">
        <f>maluku_papua!AY13</f>
        <v>60358.514993013618</v>
      </c>
      <c r="H131">
        <f>maluku_papua!AZ13</f>
        <v>32654</v>
      </c>
      <c r="I131">
        <f>maluku_papua!BA13</f>
        <v>17987.555407889369</v>
      </c>
      <c r="J131">
        <f>maluku_papua!BD13</f>
        <v>436617.98687962536</v>
      </c>
    </row>
    <row r="132" spans="1:10" x14ac:dyDescent="0.25">
      <c r="A132" t="str">
        <f>maluku_papua!AO14</f>
        <v>MALUKU_PAPUA</v>
      </c>
      <c r="B132">
        <f>maluku_papua!AP14</f>
        <v>2029</v>
      </c>
      <c r="C132">
        <f>maluku_papua!AU14</f>
        <v>23965.8</v>
      </c>
      <c r="D132">
        <f>maluku_papua!AV14</f>
        <v>74955.22009858134</v>
      </c>
      <c r="E132">
        <f>maluku_papua!AW14</f>
        <v>19149.034743308959</v>
      </c>
      <c r="F132">
        <f>maluku_papua!AX14</f>
        <v>207499.7742180097</v>
      </c>
      <c r="G132">
        <f>maluku_papua!AY14</f>
        <v>60349.182434857117</v>
      </c>
      <c r="H132">
        <f>maluku_papua!AZ14</f>
        <v>32654</v>
      </c>
      <c r="I132">
        <f>maluku_papua!BA14</f>
        <v>17987.447729734758</v>
      </c>
      <c r="J132">
        <f>maluku_papua!BD14</f>
        <v>436560.4592244919</v>
      </c>
    </row>
    <row r="133" spans="1:10" x14ac:dyDescent="0.25">
      <c r="A133" t="str">
        <f>maluku_papua!AO15</f>
        <v>MALUKU_PAPUA</v>
      </c>
      <c r="B133">
        <f>maluku_papua!AP15</f>
        <v>2030</v>
      </c>
      <c r="C133">
        <f>maluku_papua!AU15</f>
        <v>23965.8</v>
      </c>
      <c r="D133">
        <f>maluku_papua!AV15</f>
        <v>74935.724974578174</v>
      </c>
      <c r="E133">
        <f>maluku_papua!AW15</f>
        <v>19121.991671211534</v>
      </c>
      <c r="F133">
        <f>maluku_papua!AX15</f>
        <v>207491.65168010883</v>
      </c>
      <c r="G133">
        <f>maluku_papua!AY15</f>
        <v>60335.668653667097</v>
      </c>
      <c r="H133">
        <f>maluku_papua!AZ15</f>
        <v>32654</v>
      </c>
      <c r="I133">
        <f>maluku_papua!BA15</f>
        <v>17987.447729734758</v>
      </c>
      <c r="J133">
        <f>maluku_papua!BD15</f>
        <v>436492.28470930038</v>
      </c>
    </row>
    <row r="134" spans="1:10" x14ac:dyDescent="0.25">
      <c r="A134" t="str">
        <f>maluku_papua!AO16</f>
        <v>MALUKU_PAPUA</v>
      </c>
      <c r="B134">
        <f>maluku_papua!AP16</f>
        <v>2031</v>
      </c>
      <c r="C134">
        <f>maluku_papua!AU16</f>
        <v>23965.800000154104</v>
      </c>
      <c r="D134">
        <f>maluku_papua!AV16</f>
        <v>74909.696144081157</v>
      </c>
      <c r="E134">
        <f>maluku_papua!AW16</f>
        <v>19100.624175007262</v>
      </c>
      <c r="F134">
        <f>maluku_papua!AX16</f>
        <v>207490.10556676911</v>
      </c>
      <c r="G134">
        <f>maluku_papua!AY16</f>
        <v>60308.149275389827</v>
      </c>
      <c r="H134">
        <f>maluku_papua!AZ16</f>
        <v>32654</v>
      </c>
      <c r="I134">
        <f>maluku_papua!BA16</f>
        <v>17987.447729734758</v>
      </c>
      <c r="J134">
        <f>maluku_papua!BD16</f>
        <v>436415.82289113622</v>
      </c>
    </row>
    <row r="135" spans="1:10" x14ac:dyDescent="0.25">
      <c r="A135" t="str">
        <f>maluku_papua!AO17</f>
        <v>MALUKU_PAPUA</v>
      </c>
      <c r="B135">
        <f>maluku_papua!AP17</f>
        <v>2032</v>
      </c>
      <c r="C135">
        <f>maluku_papua!AU17</f>
        <v>23965.800000154104</v>
      </c>
      <c r="D135">
        <f>maluku_papua!AV17</f>
        <v>74886.185561646183</v>
      </c>
      <c r="E135">
        <f>maluku_papua!AW17</f>
        <v>19069.281102593075</v>
      </c>
      <c r="F135">
        <f>maluku_papua!AX17</f>
        <v>207480.35926834281</v>
      </c>
      <c r="G135">
        <f>maluku_papua!AY17</f>
        <v>60291.858393719478</v>
      </c>
      <c r="H135">
        <f>maluku_papua!AZ17</f>
        <v>32654</v>
      </c>
      <c r="I135">
        <f>maluku_papua!BA17</f>
        <v>17987.334909630059</v>
      </c>
      <c r="J135">
        <f>maluku_papua!BD17</f>
        <v>436334.81923608575</v>
      </c>
    </row>
    <row r="136" spans="1:10" x14ac:dyDescent="0.25">
      <c r="A136" t="str">
        <f>maluku_papua!AO18</f>
        <v>MALUKU_PAPUA</v>
      </c>
      <c r="B136">
        <f>maluku_papua!AP18</f>
        <v>2033</v>
      </c>
      <c r="C136">
        <f>maluku_papua!AU18</f>
        <v>23965.8</v>
      </c>
      <c r="D136">
        <f>maluku_papua!AV18</f>
        <v>74886.042892031124</v>
      </c>
      <c r="E136">
        <f>maluku_papua!AW18</f>
        <v>19046.373040473762</v>
      </c>
      <c r="F136">
        <f>maluku_papua!AX18</f>
        <v>207402.62598308912</v>
      </c>
      <c r="G136">
        <f>maluku_papua!AY18</f>
        <v>60255.968283552531</v>
      </c>
      <c r="H136">
        <f>maluku_papua!AZ18</f>
        <v>32654</v>
      </c>
      <c r="I136">
        <f>maluku_papua!BA18</f>
        <v>17987.334909630059</v>
      </c>
      <c r="J136">
        <f>maluku_papua!BD18</f>
        <v>436198.14510877657</v>
      </c>
    </row>
    <row r="137" spans="1:10" x14ac:dyDescent="0.25">
      <c r="A137" t="str">
        <f>maluku_papua!AO19</f>
        <v>MALUKU_PAPUA</v>
      </c>
      <c r="B137">
        <f>maluku_papua!AP19</f>
        <v>2034</v>
      </c>
      <c r="C137">
        <f>maluku_papua!AU19</f>
        <v>23965.8</v>
      </c>
      <c r="D137">
        <f>maluku_papua!AV19</f>
        <v>74860.303603633147</v>
      </c>
      <c r="E137">
        <f>maluku_papua!AW19</f>
        <v>19004.736276832038</v>
      </c>
      <c r="F137">
        <f>maluku_papua!AX19</f>
        <v>207393.45635514049</v>
      </c>
      <c r="G137">
        <f>maluku_papua!AY19</f>
        <v>60240.95482836663</v>
      </c>
      <c r="H137">
        <f>maluku_papua!AZ19</f>
        <v>32654</v>
      </c>
      <c r="I137">
        <f>maluku_papua!BA19</f>
        <v>17987.33016967919</v>
      </c>
      <c r="J137">
        <f>maluku_papua!BD19</f>
        <v>436106.58123365149</v>
      </c>
    </row>
    <row r="138" spans="1:10" x14ac:dyDescent="0.25">
      <c r="A138" t="str">
        <f>maluku_papua!AO20</f>
        <v>MALUKU_PAPUA</v>
      </c>
      <c r="B138">
        <f>maluku_papua!AP20</f>
        <v>2035</v>
      </c>
      <c r="C138">
        <f>maluku_papua!AU20</f>
        <v>23965.800000154104</v>
      </c>
      <c r="D138">
        <f>maluku_papua!AV20</f>
        <v>74793.427941145084</v>
      </c>
      <c r="E138">
        <f>maluku_papua!AW20</f>
        <v>19004.536277832038</v>
      </c>
      <c r="F138">
        <f>maluku_papua!AX20</f>
        <v>207309.3636735882</v>
      </c>
      <c r="G138">
        <f>maluku_papua!AY20</f>
        <v>60240.864783696161</v>
      </c>
      <c r="H138">
        <f>maluku_papua!AZ20</f>
        <v>32654</v>
      </c>
      <c r="I138">
        <f>maluku_papua!BA20</f>
        <v>17987.149951608575</v>
      </c>
      <c r="J138">
        <f>maluku_papua!BD20</f>
        <v>435955.14262802416</v>
      </c>
    </row>
    <row r="139" spans="1:10" x14ac:dyDescent="0.25">
      <c r="A139" t="str">
        <f>maluku_papua!AO21</f>
        <v>MALUKU_PAPUA</v>
      </c>
      <c r="B139">
        <f>maluku_papua!AP21</f>
        <v>2036</v>
      </c>
      <c r="C139">
        <f>maluku_papua!AU21</f>
        <v>23965.8</v>
      </c>
      <c r="D139">
        <f>maluku_papua!AV21</f>
        <v>74793.396213330547</v>
      </c>
      <c r="E139">
        <f>maluku_papua!AW21</f>
        <v>18890.103549059888</v>
      </c>
      <c r="F139">
        <f>maluku_papua!AX21</f>
        <v>207274.73041325633</v>
      </c>
      <c r="G139">
        <f>maluku_papua!AY21</f>
        <v>60215.681011829409</v>
      </c>
      <c r="H139">
        <f>maluku_papua!AZ21</f>
        <v>32654</v>
      </c>
      <c r="I139">
        <f>maluku_papua!BA21</f>
        <v>17987.149951608575</v>
      </c>
      <c r="J139">
        <f>maluku_papua!BD21</f>
        <v>435780.86113908474</v>
      </c>
    </row>
    <row r="140" spans="1:10" x14ac:dyDescent="0.25">
      <c r="A140" t="str">
        <f>maluku_papua!AO22</f>
        <v>MALUKU_PAPUA</v>
      </c>
      <c r="B140">
        <f>maluku_papua!AP22</f>
        <v>2037</v>
      </c>
      <c r="C140">
        <f>maluku_papua!AU22</f>
        <v>23965.8</v>
      </c>
      <c r="D140">
        <f>maluku_papua!AV22</f>
        <v>74764.460392190871</v>
      </c>
      <c r="E140">
        <f>maluku_papua!AW22</f>
        <v>18772.086366543979</v>
      </c>
      <c r="F140">
        <f>maluku_papua!AX22</f>
        <v>207262.73397103592</v>
      </c>
      <c r="G140">
        <f>maluku_papua!AY22</f>
        <v>60195.631118870428</v>
      </c>
      <c r="H140">
        <f>maluku_papua!AZ22</f>
        <v>32654</v>
      </c>
      <c r="I140">
        <f>maluku_papua!BA22</f>
        <v>17986.968343843277</v>
      </c>
      <c r="J140">
        <f>maluku_papua!BD22</f>
        <v>435601.68019248446</v>
      </c>
    </row>
    <row r="141" spans="1:10" x14ac:dyDescent="0.25">
      <c r="A141" t="str">
        <f>maluku_papua!AO23</f>
        <v>MALUKU_PAPUA</v>
      </c>
      <c r="B141">
        <f>maluku_papua!AP23</f>
        <v>2038</v>
      </c>
      <c r="C141">
        <f>maluku_papua!AU23</f>
        <v>23965.8</v>
      </c>
      <c r="D141">
        <f>maluku_papua!AV23</f>
        <v>74764.460392190871</v>
      </c>
      <c r="E141">
        <f>maluku_papua!AW23</f>
        <v>18772.086366543979</v>
      </c>
      <c r="F141">
        <f>maluku_papua!AX23</f>
        <v>207262.73397103592</v>
      </c>
      <c r="G141">
        <f>maluku_papua!AY23</f>
        <v>60195.631118870428</v>
      </c>
      <c r="H141">
        <f>maluku_papua!AZ23</f>
        <v>32654</v>
      </c>
      <c r="I141">
        <f>maluku_papua!BA23</f>
        <v>17986.968343843277</v>
      </c>
      <c r="J141">
        <f>maluku_papua!BD23</f>
        <v>435601.68019248446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FD11-85EC-4521-91C0-E30EE81000FC}">
  <sheetPr codeName="Sheet17"/>
  <dimension ref="A1:R141"/>
  <sheetViews>
    <sheetView workbookViewId="0">
      <selection activeCell="R2" sqref="R2"/>
    </sheetView>
  </sheetViews>
  <sheetFormatPr defaultRowHeight="15" x14ac:dyDescent="0.25"/>
  <cols>
    <col min="1" max="1" width="15.85546875" bestFit="1" customWidth="1"/>
    <col min="2" max="2" width="5" bestFit="1" customWidth="1"/>
    <col min="3" max="6" width="12" bestFit="1" customWidth="1"/>
    <col min="7" max="7" width="12.7109375" bestFit="1" customWidth="1"/>
    <col min="8" max="16" width="12" bestFit="1" customWidth="1"/>
    <col min="17" max="17" width="13.5703125" bestFit="1" customWidth="1"/>
    <col min="18" max="18" width="14.42578125" bestFit="1" customWidth="1"/>
  </cols>
  <sheetData>
    <row r="1" spans="1:18" x14ac:dyDescent="0.25">
      <c r="A1" t="str">
        <f>indonesia!B27</f>
        <v>region</v>
      </c>
      <c r="B1" t="str">
        <f>indonesia!C27</f>
        <v>year</v>
      </c>
      <c r="C1" t="str">
        <f>indonesia!D27</f>
        <v>coal</v>
      </c>
      <c r="D1" t="str">
        <f>indonesia!E27</f>
        <v>ocgt</v>
      </c>
      <c r="E1" t="str">
        <f>indonesia!F27</f>
        <v>ccgt</v>
      </c>
      <c r="F1" t="str">
        <f>indonesia!G27</f>
        <v>reciprocating</v>
      </c>
      <c r="G1" t="str">
        <f>indonesia!H27</f>
        <v>geothermal</v>
      </c>
      <c r="H1" t="str">
        <f>indonesia!I27</f>
        <v>lhydro</v>
      </c>
      <c r="I1" t="str">
        <f>indonesia!J27</f>
        <v>mhydro</v>
      </c>
      <c r="J1" t="str">
        <f>indonesia!K27</f>
        <v>solar</v>
      </c>
      <c r="K1" t="str">
        <f>indonesia!L27</f>
        <v>wind</v>
      </c>
      <c r="L1" t="str">
        <f>indonesia!M27</f>
        <v>biomass</v>
      </c>
      <c r="M1" t="str">
        <f>indonesia!N27</f>
        <v>ocean</v>
      </c>
      <c r="N1" t="str">
        <f>indonesia!O27</f>
        <v>waste</v>
      </c>
      <c r="O1" t="str">
        <f>indonesia!P27</f>
        <v>storage</v>
      </c>
      <c r="P1" t="str">
        <f>indonesia!Q27</f>
        <v>total</v>
      </c>
      <c r="Q1" t="s">
        <v>14</v>
      </c>
      <c r="R1" t="s">
        <v>8</v>
      </c>
    </row>
    <row r="2" spans="1:18" x14ac:dyDescent="0.25">
      <c r="A2" t="str">
        <f>indonesia!B28</f>
        <v>INDONESIA</v>
      </c>
      <c r="B2">
        <f>indonesia!C28</f>
        <v>2019</v>
      </c>
      <c r="C2">
        <f>SUM(C22,C42,C62,C82,C102,C122)</f>
        <v>167089.32579226667</v>
      </c>
      <c r="D2">
        <f t="shared" ref="D2:P2" si="0">SUM(D22,D42,D62,D82,D102,D122)</f>
        <v>16856.297613489227</v>
      </c>
      <c r="E2">
        <f t="shared" si="0"/>
        <v>31896.550966707691</v>
      </c>
      <c r="F2">
        <f t="shared" si="0"/>
        <v>33098.739795692309</v>
      </c>
      <c r="G2">
        <f t="shared" si="0"/>
        <v>12890.02464</v>
      </c>
      <c r="H2">
        <f t="shared" si="0"/>
        <v>25258.010098707695</v>
      </c>
      <c r="I2">
        <f t="shared" si="0"/>
        <v>1003.9917400615385</v>
      </c>
      <c r="J2">
        <f t="shared" si="0"/>
        <v>32.229792000000003</v>
      </c>
      <c r="K2">
        <f t="shared" si="0"/>
        <v>0</v>
      </c>
      <c r="L2">
        <f t="shared" si="0"/>
        <v>356.78369838461538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288481.95413730969</v>
      </c>
      <c r="Q2">
        <f>indonesia!R28</f>
        <v>289000</v>
      </c>
      <c r="R2" s="45">
        <f>proj_rukn!C2</f>
        <v>289000</v>
      </c>
    </row>
    <row r="3" spans="1:18" x14ac:dyDescent="0.25">
      <c r="A3" t="str">
        <f>indonesia!B29</f>
        <v>INDONESIA</v>
      </c>
      <c r="B3">
        <f>indonesia!C29</f>
        <v>2020</v>
      </c>
      <c r="C3">
        <f t="shared" ref="C3:P18" si="1">SUM(C23,C43,C63,C83,C103,C123)</f>
        <v>177238.99270208227</v>
      </c>
      <c r="D3">
        <f t="shared" si="1"/>
        <v>16856.297607510463</v>
      </c>
      <c r="E3">
        <f t="shared" si="1"/>
        <v>41898.502376711716</v>
      </c>
      <c r="F3">
        <f t="shared" si="1"/>
        <v>33098.739795692309</v>
      </c>
      <c r="G3">
        <f t="shared" si="1"/>
        <v>13745.422261879865</v>
      </c>
      <c r="H3">
        <f t="shared" si="1"/>
        <v>34578.34987178853</v>
      </c>
      <c r="I3">
        <f t="shared" si="1"/>
        <v>1338.9680878309216</v>
      </c>
      <c r="J3">
        <f t="shared" si="1"/>
        <v>12498.500916178724</v>
      </c>
      <c r="K3">
        <f t="shared" si="1"/>
        <v>171.2787716351184</v>
      </c>
      <c r="L3">
        <f t="shared" si="1"/>
        <v>356.78369738461538</v>
      </c>
      <c r="M3">
        <f t="shared" si="1"/>
        <v>16.769730491592505</v>
      </c>
      <c r="N3">
        <f t="shared" si="1"/>
        <v>0</v>
      </c>
      <c r="O3">
        <f t="shared" si="1"/>
        <v>84.165310409940602</v>
      </c>
      <c r="P3">
        <f t="shared" si="1"/>
        <v>331798.60581918608</v>
      </c>
      <c r="Q3">
        <f>indonesia!R29</f>
        <v>315000</v>
      </c>
      <c r="R3" s="45">
        <f>proj_rukn!C3</f>
        <v>315000</v>
      </c>
    </row>
    <row r="4" spans="1:18" x14ac:dyDescent="0.25">
      <c r="A4" t="str">
        <f>indonesia!B30</f>
        <v>INDONESIA</v>
      </c>
      <c r="B4">
        <f>indonesia!C30</f>
        <v>2021</v>
      </c>
      <c r="C4">
        <f t="shared" si="1"/>
        <v>178508.36489680604</v>
      </c>
      <c r="D4">
        <f t="shared" si="1"/>
        <v>19504.416784049976</v>
      </c>
      <c r="E4">
        <f t="shared" si="1"/>
        <v>67850.706805845635</v>
      </c>
      <c r="F4">
        <f t="shared" si="1"/>
        <v>33140.278189413883</v>
      </c>
      <c r="G4">
        <f t="shared" si="1"/>
        <v>13745.422255390726</v>
      </c>
      <c r="H4">
        <f t="shared" si="1"/>
        <v>36502.155760766342</v>
      </c>
      <c r="I4">
        <f t="shared" si="1"/>
        <v>1786.1084384660207</v>
      </c>
      <c r="J4">
        <f t="shared" si="1"/>
        <v>13672.840980877134</v>
      </c>
      <c r="K4">
        <f t="shared" si="1"/>
        <v>285.66663726553554</v>
      </c>
      <c r="L4">
        <f t="shared" si="1"/>
        <v>356.78369838461538</v>
      </c>
      <c r="M4">
        <f t="shared" si="1"/>
        <v>17.497864385122433</v>
      </c>
      <c r="N4">
        <f t="shared" si="1"/>
        <v>0</v>
      </c>
      <c r="O4">
        <f t="shared" si="1"/>
        <v>92.682380030282786</v>
      </c>
      <c r="P4">
        <f t="shared" si="1"/>
        <v>365370.24231165095</v>
      </c>
      <c r="Q4">
        <f>indonesia!R30</f>
        <v>355000</v>
      </c>
      <c r="R4" s="45">
        <f>proj_rukn!C4</f>
        <v>355000</v>
      </c>
    </row>
    <row r="5" spans="1:18" x14ac:dyDescent="0.25">
      <c r="A5" t="str">
        <f>indonesia!B31</f>
        <v>INDONESIA</v>
      </c>
      <c r="B5">
        <f>indonesia!C31</f>
        <v>2022</v>
      </c>
      <c r="C5">
        <f t="shared" si="1"/>
        <v>179878.72884497521</v>
      </c>
      <c r="D5">
        <f t="shared" si="1"/>
        <v>20880.1424634414</v>
      </c>
      <c r="E5">
        <f t="shared" si="1"/>
        <v>82152.982003784549</v>
      </c>
      <c r="F5">
        <f t="shared" si="1"/>
        <v>33593.618419243052</v>
      </c>
      <c r="G5">
        <f t="shared" si="1"/>
        <v>13745.422255390726</v>
      </c>
      <c r="H5">
        <f t="shared" si="1"/>
        <v>37111.875675314761</v>
      </c>
      <c r="I5">
        <f t="shared" si="1"/>
        <v>1972.3487714794653</v>
      </c>
      <c r="J5">
        <f t="shared" si="1"/>
        <v>15037.052563410236</v>
      </c>
      <c r="K5">
        <f t="shared" si="1"/>
        <v>2922.2723843366789</v>
      </c>
      <c r="L5">
        <f t="shared" si="1"/>
        <v>356.78369838461538</v>
      </c>
      <c r="M5">
        <f t="shared" si="1"/>
        <v>17.607427191074372</v>
      </c>
      <c r="N5">
        <f t="shared" si="1"/>
        <v>0</v>
      </c>
      <c r="O5">
        <f t="shared" si="1"/>
        <v>98.965652514422217</v>
      </c>
      <c r="P5">
        <f t="shared" si="1"/>
        <v>387668.83450695174</v>
      </c>
      <c r="Q5">
        <f>indonesia!R31</f>
        <v>375000</v>
      </c>
      <c r="R5" s="45">
        <f>proj_rukn!C5</f>
        <v>375000</v>
      </c>
    </row>
    <row r="6" spans="1:18" x14ac:dyDescent="0.25">
      <c r="A6" t="str">
        <f>indonesia!B32</f>
        <v>INDONESIA</v>
      </c>
      <c r="B6">
        <f>indonesia!C32</f>
        <v>2023</v>
      </c>
      <c r="C6">
        <f t="shared" si="1"/>
        <v>180396.62171041721</v>
      </c>
      <c r="D6">
        <f t="shared" si="1"/>
        <v>23939.142564083792</v>
      </c>
      <c r="E6">
        <f t="shared" si="1"/>
        <v>90816.083186311924</v>
      </c>
      <c r="F6">
        <f t="shared" si="1"/>
        <v>36771.247400178356</v>
      </c>
      <c r="G6">
        <f t="shared" si="1"/>
        <v>13745.79041413561</v>
      </c>
      <c r="H6">
        <f t="shared" si="1"/>
        <v>38149.575538687248</v>
      </c>
      <c r="I6">
        <f t="shared" si="1"/>
        <v>1972.3689360581493</v>
      </c>
      <c r="J6">
        <f t="shared" si="1"/>
        <v>15286.550490856174</v>
      </c>
      <c r="K6">
        <f t="shared" si="1"/>
        <v>10101.49279335959</v>
      </c>
      <c r="L6">
        <f t="shared" si="1"/>
        <v>497.53498826316223</v>
      </c>
      <c r="M6">
        <f t="shared" si="1"/>
        <v>17.623720469024065</v>
      </c>
      <c r="N6">
        <f t="shared" si="1"/>
        <v>0</v>
      </c>
      <c r="O6">
        <f t="shared" si="1"/>
        <v>106.35633538680733</v>
      </c>
      <c r="P6">
        <f t="shared" si="1"/>
        <v>411694.03174282023</v>
      </c>
      <c r="Q6">
        <f>indonesia!R32</f>
        <v>399000</v>
      </c>
      <c r="R6" s="45">
        <f>proj_rukn!C6</f>
        <v>399000</v>
      </c>
    </row>
    <row r="7" spans="1:18" x14ac:dyDescent="0.25">
      <c r="A7" t="str">
        <f>indonesia!B33</f>
        <v>INDONESIA</v>
      </c>
      <c r="B7">
        <f>indonesia!C33</f>
        <v>2024</v>
      </c>
      <c r="C7">
        <f t="shared" si="1"/>
        <v>180740.42579669232</v>
      </c>
      <c r="D7">
        <f t="shared" si="1"/>
        <v>25850.29573938726</v>
      </c>
      <c r="E7">
        <f t="shared" si="1"/>
        <v>100323.63519910193</v>
      </c>
      <c r="F7">
        <f t="shared" si="1"/>
        <v>38455.430876731843</v>
      </c>
      <c r="G7">
        <f t="shared" si="1"/>
        <v>13746.377154540545</v>
      </c>
      <c r="H7">
        <f t="shared" si="1"/>
        <v>38255.17557031777</v>
      </c>
      <c r="I7">
        <f t="shared" si="1"/>
        <v>2275.9083894980681</v>
      </c>
      <c r="J7">
        <f t="shared" si="1"/>
        <v>15540.051005564776</v>
      </c>
      <c r="K7">
        <f t="shared" si="1"/>
        <v>22356.915511432213</v>
      </c>
      <c r="L7">
        <f t="shared" si="1"/>
        <v>782.82395119851697</v>
      </c>
      <c r="M7">
        <f t="shared" si="1"/>
        <v>17.623720469024065</v>
      </c>
      <c r="N7">
        <f t="shared" si="1"/>
        <v>0</v>
      </c>
      <c r="O7">
        <f t="shared" si="1"/>
        <v>115.40462403133478</v>
      </c>
      <c r="P7">
        <f t="shared" si="1"/>
        <v>438344.66291493434</v>
      </c>
      <c r="Q7">
        <f>indonesia!R33</f>
        <v>429000</v>
      </c>
      <c r="R7" s="45">
        <f>proj_rukn!C7</f>
        <v>429000</v>
      </c>
    </row>
    <row r="8" spans="1:18" x14ac:dyDescent="0.25">
      <c r="A8" t="str">
        <f>indonesia!B34</f>
        <v>INDONESIA</v>
      </c>
      <c r="B8">
        <f>indonesia!C34</f>
        <v>2025</v>
      </c>
      <c r="C8">
        <f t="shared" si="1"/>
        <v>181646.23330049921</v>
      </c>
      <c r="D8">
        <f t="shared" si="1"/>
        <v>27411.062270529044</v>
      </c>
      <c r="E8">
        <f t="shared" si="1"/>
        <v>108780.66405450029</v>
      </c>
      <c r="F8">
        <f t="shared" si="1"/>
        <v>40170.710867114576</v>
      </c>
      <c r="G8">
        <f t="shared" si="1"/>
        <v>13746.377154540545</v>
      </c>
      <c r="H8">
        <f t="shared" si="1"/>
        <v>39543.251955544372</v>
      </c>
      <c r="I8">
        <f t="shared" si="1"/>
        <v>2313.9421895552523</v>
      </c>
      <c r="J8">
        <f t="shared" si="1"/>
        <v>15891.222093787219</v>
      </c>
      <c r="K8">
        <f t="shared" si="1"/>
        <v>34781.319924181655</v>
      </c>
      <c r="L8">
        <f t="shared" si="1"/>
        <v>1063.3084897377364</v>
      </c>
      <c r="M8">
        <f t="shared" si="1"/>
        <v>17.62376554268161</v>
      </c>
      <c r="N8">
        <f t="shared" si="1"/>
        <v>0</v>
      </c>
      <c r="O8">
        <f t="shared" si="1"/>
        <v>124.59715346190998</v>
      </c>
      <c r="P8">
        <f t="shared" si="1"/>
        <v>465365.71606553259</v>
      </c>
      <c r="Q8">
        <f>indonesia!R34</f>
        <v>460000</v>
      </c>
      <c r="R8" s="45">
        <f>proj_rukn!C8</f>
        <v>460000</v>
      </c>
    </row>
    <row r="9" spans="1:18" x14ac:dyDescent="0.25">
      <c r="A9" t="str">
        <f>indonesia!B35</f>
        <v>INDONESIA</v>
      </c>
      <c r="B9">
        <f>indonesia!C35</f>
        <v>2026</v>
      </c>
      <c r="C9">
        <f t="shared" si="1"/>
        <v>184988.26343971118</v>
      </c>
      <c r="D9">
        <f t="shared" si="1"/>
        <v>29353.854023779397</v>
      </c>
      <c r="E9">
        <f t="shared" si="1"/>
        <v>123407.69355513096</v>
      </c>
      <c r="F9">
        <f t="shared" si="1"/>
        <v>40504.603004383112</v>
      </c>
      <c r="G9">
        <f t="shared" si="1"/>
        <v>13798.404865703787</v>
      </c>
      <c r="H9">
        <f t="shared" si="1"/>
        <v>39609.062576995908</v>
      </c>
      <c r="I9">
        <f t="shared" si="1"/>
        <v>2425.9384791835605</v>
      </c>
      <c r="J9">
        <f t="shared" si="1"/>
        <v>16417.184449895605</v>
      </c>
      <c r="K9">
        <f t="shared" si="1"/>
        <v>46327.685326331666</v>
      </c>
      <c r="L9">
        <f t="shared" si="1"/>
        <v>1251.7827995183261</v>
      </c>
      <c r="M9">
        <f t="shared" si="1"/>
        <v>17.784999440016666</v>
      </c>
      <c r="N9">
        <f t="shared" si="1"/>
        <v>0</v>
      </c>
      <c r="O9">
        <f t="shared" si="1"/>
        <v>135.05597303123935</v>
      </c>
      <c r="P9">
        <f t="shared" si="1"/>
        <v>498102.2575200735</v>
      </c>
      <c r="Q9">
        <f>indonesia!R35</f>
        <v>499000</v>
      </c>
      <c r="R9" s="45">
        <f>proj_rukn!C9</f>
        <v>499000</v>
      </c>
    </row>
    <row r="10" spans="1:18" x14ac:dyDescent="0.25">
      <c r="A10" t="str">
        <f>indonesia!B36</f>
        <v>INDONESIA</v>
      </c>
      <c r="B10">
        <f>indonesia!C36</f>
        <v>2027</v>
      </c>
      <c r="C10">
        <f t="shared" si="1"/>
        <v>188835.48244791949</v>
      </c>
      <c r="D10">
        <f t="shared" si="1"/>
        <v>31279.311177777654</v>
      </c>
      <c r="E10">
        <f t="shared" si="1"/>
        <v>138546.52753216232</v>
      </c>
      <c r="F10">
        <f t="shared" si="1"/>
        <v>40994.864863720111</v>
      </c>
      <c r="G10">
        <f t="shared" si="1"/>
        <v>13798.404864703787</v>
      </c>
      <c r="H10">
        <f t="shared" si="1"/>
        <v>39674.44339285438</v>
      </c>
      <c r="I10">
        <f t="shared" si="1"/>
        <v>4284.0829103661745</v>
      </c>
      <c r="J10">
        <f t="shared" si="1"/>
        <v>17224.514002384614</v>
      </c>
      <c r="K10">
        <f t="shared" si="1"/>
        <v>58499.82011692322</v>
      </c>
      <c r="L10">
        <f t="shared" si="1"/>
        <v>1430.837690052791</v>
      </c>
      <c r="M10">
        <f t="shared" si="1"/>
        <v>17.932315146524363</v>
      </c>
      <c r="N10">
        <f t="shared" si="1"/>
        <v>0</v>
      </c>
      <c r="O10">
        <f t="shared" si="1"/>
        <v>146.61748108032074</v>
      </c>
      <c r="P10">
        <f t="shared" si="1"/>
        <v>534586.22131401114</v>
      </c>
      <c r="Q10">
        <f>indonesia!R36</f>
        <v>543000</v>
      </c>
      <c r="R10" s="45">
        <f>proj_rukn!C10</f>
        <v>543000</v>
      </c>
    </row>
    <row r="11" spans="1:18" x14ac:dyDescent="0.25">
      <c r="A11" t="str">
        <f>indonesia!B37</f>
        <v>INDONESIA</v>
      </c>
      <c r="B11">
        <f>indonesia!C37</f>
        <v>2028</v>
      </c>
      <c r="C11">
        <f t="shared" si="1"/>
        <v>191641.58086025168</v>
      </c>
      <c r="D11">
        <f t="shared" si="1"/>
        <v>33414.570101489975</v>
      </c>
      <c r="E11">
        <f t="shared" si="1"/>
        <v>156230.80538333804</v>
      </c>
      <c r="F11">
        <f t="shared" si="1"/>
        <v>41536.319607883379</v>
      </c>
      <c r="G11">
        <f t="shared" si="1"/>
        <v>13798.40485921465</v>
      </c>
      <c r="H11">
        <f t="shared" si="1"/>
        <v>39674.44339285438</v>
      </c>
      <c r="I11">
        <f t="shared" si="1"/>
        <v>4284.0829044471102</v>
      </c>
      <c r="J11">
        <f t="shared" si="1"/>
        <v>17530.991196779181</v>
      </c>
      <c r="K11">
        <f t="shared" si="1"/>
        <v>65585.051632987801</v>
      </c>
      <c r="L11">
        <f t="shared" si="1"/>
        <v>1568.0091188825104</v>
      </c>
      <c r="M11">
        <f t="shared" si="1"/>
        <v>18.109484141437274</v>
      </c>
      <c r="N11">
        <f t="shared" si="1"/>
        <v>0</v>
      </c>
      <c r="O11">
        <f t="shared" si="1"/>
        <v>155.64221333071694</v>
      </c>
      <c r="P11">
        <f t="shared" si="1"/>
        <v>565282.36854227015</v>
      </c>
      <c r="Q11">
        <f>indonesia!R37</f>
        <v>573000</v>
      </c>
      <c r="R11" s="45">
        <f>proj_rukn!C11</f>
        <v>573000</v>
      </c>
    </row>
    <row r="12" spans="1:18" x14ac:dyDescent="0.25">
      <c r="A12" t="str">
        <f>indonesia!B38</f>
        <v>INDONESIA</v>
      </c>
      <c r="B12">
        <f>indonesia!C38</f>
        <v>2029</v>
      </c>
      <c r="C12">
        <f t="shared" si="1"/>
        <v>194630.23611371047</v>
      </c>
      <c r="D12">
        <f t="shared" si="1"/>
        <v>35326.143369862795</v>
      </c>
      <c r="E12">
        <f t="shared" si="1"/>
        <v>175283.80920988062</v>
      </c>
      <c r="F12">
        <f t="shared" si="1"/>
        <v>42114.354558143517</v>
      </c>
      <c r="G12">
        <f t="shared" si="1"/>
        <v>13798.404852725511</v>
      </c>
      <c r="H12">
        <f t="shared" si="1"/>
        <v>39735.231136641123</v>
      </c>
      <c r="I12">
        <f t="shared" si="1"/>
        <v>4466.6351744296726</v>
      </c>
      <c r="J12">
        <f t="shared" si="1"/>
        <v>17859.92189584962</v>
      </c>
      <c r="K12">
        <f t="shared" si="1"/>
        <v>72873.393639117145</v>
      </c>
      <c r="L12">
        <f t="shared" si="1"/>
        <v>1848.3726365525586</v>
      </c>
      <c r="M12">
        <f t="shared" si="1"/>
        <v>19.121084177648683</v>
      </c>
      <c r="N12">
        <f t="shared" si="1"/>
        <v>0</v>
      </c>
      <c r="O12">
        <f t="shared" si="1"/>
        <v>165.19849564012375</v>
      </c>
      <c r="P12">
        <f t="shared" si="1"/>
        <v>597955.62367109058</v>
      </c>
      <c r="Q12">
        <f>indonesia!R38</f>
        <v>606000</v>
      </c>
      <c r="R12" s="45">
        <f>proj_rukn!C12</f>
        <v>606000</v>
      </c>
    </row>
    <row r="13" spans="1:18" x14ac:dyDescent="0.25">
      <c r="A13" t="str">
        <f>indonesia!B39</f>
        <v>INDONESIA</v>
      </c>
      <c r="B13">
        <f>indonesia!C39</f>
        <v>2030</v>
      </c>
      <c r="C13">
        <f t="shared" si="1"/>
        <v>197704.84709799892</v>
      </c>
      <c r="D13">
        <f t="shared" si="1"/>
        <v>37936.9701372704</v>
      </c>
      <c r="E13">
        <f t="shared" si="1"/>
        <v>192210.26492227352</v>
      </c>
      <c r="F13">
        <f t="shared" si="1"/>
        <v>42684.30741036166</v>
      </c>
      <c r="G13">
        <f t="shared" si="1"/>
        <v>13798.404846236372</v>
      </c>
      <c r="H13">
        <f t="shared" si="1"/>
        <v>39821.775813269509</v>
      </c>
      <c r="I13">
        <f t="shared" si="1"/>
        <v>4626.7048659455231</v>
      </c>
      <c r="J13">
        <f t="shared" si="1"/>
        <v>21037.381889534961</v>
      </c>
      <c r="K13">
        <f t="shared" si="1"/>
        <v>80163.528310552676</v>
      </c>
      <c r="L13">
        <f t="shared" si="1"/>
        <v>1848.3726340549476</v>
      </c>
      <c r="M13">
        <f t="shared" si="1"/>
        <v>19.121084177648683</v>
      </c>
      <c r="N13">
        <f t="shared" si="1"/>
        <v>0</v>
      </c>
      <c r="O13">
        <f t="shared" si="1"/>
        <v>175.62303100558566</v>
      </c>
      <c r="P13">
        <f t="shared" si="1"/>
        <v>631851.67901167599</v>
      </c>
      <c r="Q13">
        <f>indonesia!R39</f>
        <v>639000</v>
      </c>
      <c r="R13" s="45">
        <f>proj_rukn!C13</f>
        <v>639000</v>
      </c>
    </row>
    <row r="14" spans="1:18" x14ac:dyDescent="0.25">
      <c r="A14" t="str">
        <f>indonesia!B40</f>
        <v>INDONESIA</v>
      </c>
      <c r="B14">
        <f>indonesia!C40</f>
        <v>2031</v>
      </c>
      <c r="C14">
        <f t="shared" si="1"/>
        <v>201341.59586767407</v>
      </c>
      <c r="D14">
        <f t="shared" si="1"/>
        <v>40409.291602466001</v>
      </c>
      <c r="E14">
        <f t="shared" si="1"/>
        <v>214539.00041061992</v>
      </c>
      <c r="F14">
        <f t="shared" si="1"/>
        <v>43392.106846844719</v>
      </c>
      <c r="G14">
        <f t="shared" si="1"/>
        <v>13798.404845236371</v>
      </c>
      <c r="H14">
        <f t="shared" si="1"/>
        <v>39937.325560450539</v>
      </c>
      <c r="I14">
        <f t="shared" si="1"/>
        <v>4753.180456647593</v>
      </c>
      <c r="J14">
        <f t="shared" si="1"/>
        <v>21193.708549313786</v>
      </c>
      <c r="K14">
        <f t="shared" si="1"/>
        <v>90045.958209018965</v>
      </c>
      <c r="L14">
        <f t="shared" si="1"/>
        <v>1984.4717387119481</v>
      </c>
      <c r="M14">
        <f t="shared" si="1"/>
        <v>19.121084177648683</v>
      </c>
      <c r="N14">
        <f t="shared" si="1"/>
        <v>0</v>
      </c>
      <c r="O14">
        <f t="shared" si="1"/>
        <v>187.35639700288758</v>
      </c>
      <c r="P14">
        <f t="shared" si="1"/>
        <v>671414.16517116153</v>
      </c>
      <c r="Q14">
        <f>indonesia!R40</f>
        <v>678000</v>
      </c>
      <c r="R14" s="45">
        <f>proj_rukn!C14</f>
        <v>678000</v>
      </c>
    </row>
    <row r="15" spans="1:18" x14ac:dyDescent="0.25">
      <c r="A15" t="str">
        <f>indonesia!B41</f>
        <v>INDONESIA</v>
      </c>
      <c r="B15">
        <f>indonesia!C41</f>
        <v>2032</v>
      </c>
      <c r="C15">
        <f t="shared" si="1"/>
        <v>205650.59538084097</v>
      </c>
      <c r="D15">
        <f t="shared" si="1"/>
        <v>43131.598400592113</v>
      </c>
      <c r="E15">
        <f t="shared" si="1"/>
        <v>238167.0517550408</v>
      </c>
      <c r="F15">
        <f t="shared" si="1"/>
        <v>43730.451839385008</v>
      </c>
      <c r="G15">
        <f t="shared" si="1"/>
        <v>13798.404845236371</v>
      </c>
      <c r="H15">
        <f t="shared" si="1"/>
        <v>40240.988748983778</v>
      </c>
      <c r="I15">
        <f t="shared" si="1"/>
        <v>5993.7685143348899</v>
      </c>
      <c r="J15">
        <f t="shared" si="1"/>
        <v>21397.458600885508</v>
      </c>
      <c r="K15">
        <f t="shared" si="1"/>
        <v>99629.033965200157</v>
      </c>
      <c r="L15">
        <f t="shared" si="1"/>
        <v>2061.5947420743382</v>
      </c>
      <c r="M15">
        <f t="shared" si="1"/>
        <v>19.461060793957579</v>
      </c>
      <c r="N15">
        <f t="shared" si="1"/>
        <v>0</v>
      </c>
      <c r="O15">
        <f t="shared" si="1"/>
        <v>199.73936995304535</v>
      </c>
      <c r="P15">
        <f t="shared" si="1"/>
        <v>713820.40785336774</v>
      </c>
      <c r="Q15">
        <f>indonesia!R41</f>
        <v>719000</v>
      </c>
      <c r="R15" s="45">
        <f>proj_rukn!C15</f>
        <v>719000</v>
      </c>
    </row>
    <row r="16" spans="1:18" x14ac:dyDescent="0.25">
      <c r="A16" t="str">
        <f>indonesia!B42</f>
        <v>INDONESIA</v>
      </c>
      <c r="B16">
        <f>indonesia!C42</f>
        <v>2033</v>
      </c>
      <c r="C16">
        <f t="shared" si="1"/>
        <v>214087.61890689924</v>
      </c>
      <c r="D16">
        <f t="shared" si="1"/>
        <v>44848.819758527534</v>
      </c>
      <c r="E16">
        <f t="shared" si="1"/>
        <v>258809.75655664082</v>
      </c>
      <c r="F16">
        <f t="shared" si="1"/>
        <v>44006.369163599302</v>
      </c>
      <c r="G16">
        <f t="shared" si="1"/>
        <v>13985.061776253769</v>
      </c>
      <c r="H16">
        <f t="shared" si="1"/>
        <v>41443.760232607194</v>
      </c>
      <c r="I16">
        <f t="shared" si="1"/>
        <v>8267.5185373199001</v>
      </c>
      <c r="J16">
        <f t="shared" si="1"/>
        <v>22803.756816974725</v>
      </c>
      <c r="K16">
        <f t="shared" si="1"/>
        <v>104659.07436624866</v>
      </c>
      <c r="L16">
        <f t="shared" si="1"/>
        <v>2100.1562437555335</v>
      </c>
      <c r="M16">
        <f t="shared" si="1"/>
        <v>19.461060793957579</v>
      </c>
      <c r="N16">
        <f t="shared" si="1"/>
        <v>0</v>
      </c>
      <c r="O16">
        <f t="shared" si="1"/>
        <v>211.16098995459879</v>
      </c>
      <c r="P16">
        <f t="shared" si="1"/>
        <v>755031.35341962078</v>
      </c>
      <c r="Q16">
        <f>indonesia!R42</f>
        <v>760000</v>
      </c>
      <c r="R16" s="45">
        <f>proj_rukn!C16</f>
        <v>760000</v>
      </c>
    </row>
    <row r="17" spans="1:18" x14ac:dyDescent="0.25">
      <c r="A17" t="str">
        <f>indonesia!B43</f>
        <v>INDONESIA</v>
      </c>
      <c r="B17">
        <f>indonesia!C43</f>
        <v>2034</v>
      </c>
      <c r="C17">
        <f t="shared" si="1"/>
        <v>229126.48058501177</v>
      </c>
      <c r="D17">
        <f t="shared" si="1"/>
        <v>47888.005851346024</v>
      </c>
      <c r="E17">
        <f t="shared" si="1"/>
        <v>271584.13700972166</v>
      </c>
      <c r="F17">
        <f t="shared" si="1"/>
        <v>44401.385174540199</v>
      </c>
      <c r="G17">
        <f t="shared" si="1"/>
        <v>13985.06176976463</v>
      </c>
      <c r="H17">
        <f t="shared" si="1"/>
        <v>41848.526680473507</v>
      </c>
      <c r="I17">
        <f t="shared" si="1"/>
        <v>19931.37155462079</v>
      </c>
      <c r="J17">
        <f t="shared" si="1"/>
        <v>24492.383849375932</v>
      </c>
      <c r="K17">
        <f t="shared" si="1"/>
        <v>107942.95647742061</v>
      </c>
      <c r="L17">
        <f t="shared" si="1"/>
        <v>2119.4369945961307</v>
      </c>
      <c r="M17">
        <f t="shared" si="1"/>
        <v>19.475344351503768</v>
      </c>
      <c r="N17">
        <f t="shared" si="1"/>
        <v>0</v>
      </c>
      <c r="O17">
        <f t="shared" si="1"/>
        <v>224.03731802117804</v>
      </c>
      <c r="P17">
        <f t="shared" si="1"/>
        <v>803339.22129122273</v>
      </c>
      <c r="Q17">
        <f>indonesia!R43</f>
        <v>807000</v>
      </c>
      <c r="R17" s="45">
        <f>proj_rukn!C17</f>
        <v>807000</v>
      </c>
    </row>
    <row r="18" spans="1:18" x14ac:dyDescent="0.25">
      <c r="A18" t="str">
        <f>indonesia!B44</f>
        <v>INDONESIA</v>
      </c>
      <c r="B18">
        <f>indonesia!C44</f>
        <v>2035</v>
      </c>
      <c r="C18">
        <f t="shared" si="1"/>
        <v>238468.34467882675</v>
      </c>
      <c r="D18">
        <f t="shared" si="1"/>
        <v>49040.648986021479</v>
      </c>
      <c r="E18">
        <f t="shared" si="1"/>
        <v>288073.17721469788</v>
      </c>
      <c r="F18">
        <f t="shared" si="1"/>
        <v>52910.1178127444</v>
      </c>
      <c r="G18">
        <f t="shared" si="1"/>
        <v>14440.276762176418</v>
      </c>
      <c r="H18">
        <f t="shared" si="1"/>
        <v>44647.984129595883</v>
      </c>
      <c r="I18">
        <f t="shared" si="1"/>
        <v>24202.163156647286</v>
      </c>
      <c r="J18">
        <f t="shared" si="1"/>
        <v>26476.497204286799</v>
      </c>
      <c r="K18">
        <f t="shared" si="1"/>
        <v>111207.20408804376</v>
      </c>
      <c r="L18">
        <f t="shared" si="1"/>
        <v>2129.0773700164295</v>
      </c>
      <c r="M18">
        <f t="shared" si="1"/>
        <v>20.018419694218526</v>
      </c>
      <c r="N18">
        <f t="shared" si="1"/>
        <v>0</v>
      </c>
      <c r="O18">
        <f t="shared" si="1"/>
        <v>236.96091165625404</v>
      </c>
      <c r="P18">
        <f t="shared" si="1"/>
        <v>851615.50982275128</v>
      </c>
      <c r="Q18">
        <f>indonesia!R44</f>
        <v>855000</v>
      </c>
      <c r="R18" s="45">
        <f>proj_rukn!C18</f>
        <v>855000</v>
      </c>
    </row>
    <row r="19" spans="1:18" x14ac:dyDescent="0.25">
      <c r="A19" t="str">
        <f>indonesia!B45</f>
        <v>INDONESIA</v>
      </c>
      <c r="B19">
        <f>indonesia!C45</f>
        <v>2036</v>
      </c>
      <c r="C19">
        <f t="shared" ref="C19:P21" si="2">SUM(C39,C59,C79,C99,C119,C139)</f>
        <v>251884.25470041318</v>
      </c>
      <c r="D19">
        <f t="shared" si="2"/>
        <v>50337.38220228305</v>
      </c>
      <c r="E19">
        <f t="shared" si="2"/>
        <v>305465.81351516815</v>
      </c>
      <c r="F19">
        <f t="shared" si="2"/>
        <v>57872.262319815338</v>
      </c>
      <c r="G19">
        <f t="shared" si="2"/>
        <v>17553.023110281654</v>
      </c>
      <c r="H19">
        <f t="shared" si="2"/>
        <v>47823.143878884592</v>
      </c>
      <c r="I19">
        <f t="shared" si="2"/>
        <v>30788.460978287978</v>
      </c>
      <c r="J19">
        <f t="shared" si="2"/>
        <v>28655.295105251953</v>
      </c>
      <c r="K19">
        <f t="shared" si="2"/>
        <v>113524.774238137</v>
      </c>
      <c r="L19">
        <f t="shared" si="2"/>
        <v>2133.8975577265787</v>
      </c>
      <c r="M19">
        <f t="shared" si="2"/>
        <v>20.018420694218527</v>
      </c>
      <c r="N19">
        <f t="shared" si="2"/>
        <v>0</v>
      </c>
      <c r="O19">
        <f t="shared" si="2"/>
        <v>251.25192679012838</v>
      </c>
      <c r="P19">
        <f t="shared" si="2"/>
        <v>906058.32602694375</v>
      </c>
      <c r="Q19">
        <f>indonesia!R45</f>
        <v>908000</v>
      </c>
      <c r="R19" s="45">
        <f>proj_rukn!C19</f>
        <v>908000</v>
      </c>
    </row>
    <row r="20" spans="1:18" x14ac:dyDescent="0.25">
      <c r="A20" t="str">
        <f>indonesia!B46</f>
        <v>INDONESIA</v>
      </c>
      <c r="B20">
        <f>indonesia!C46</f>
        <v>2037</v>
      </c>
      <c r="C20">
        <f t="shared" si="2"/>
        <v>265631.92675607931</v>
      </c>
      <c r="D20">
        <f t="shared" si="2"/>
        <v>52284.327932636465</v>
      </c>
      <c r="E20">
        <f t="shared" si="2"/>
        <v>326098.81705656502</v>
      </c>
      <c r="F20">
        <f t="shared" si="2"/>
        <v>59642.997855355992</v>
      </c>
      <c r="G20">
        <f t="shared" si="2"/>
        <v>23791.41132936555</v>
      </c>
      <c r="H20">
        <f t="shared" si="2"/>
        <v>49539.016112595025</v>
      </c>
      <c r="I20">
        <f t="shared" si="2"/>
        <v>36312.669891023528</v>
      </c>
      <c r="J20">
        <f t="shared" si="2"/>
        <v>31756.279616171199</v>
      </c>
      <c r="K20">
        <f t="shared" si="2"/>
        <v>115219.89340324688</v>
      </c>
      <c r="L20">
        <f t="shared" si="2"/>
        <v>2136.3076515816533</v>
      </c>
      <c r="M20">
        <f t="shared" si="2"/>
        <v>20.565684798474127</v>
      </c>
      <c r="N20">
        <f t="shared" si="2"/>
        <v>3.5535819314058796E-15</v>
      </c>
      <c r="O20">
        <f t="shared" si="2"/>
        <v>266.07836933015545</v>
      </c>
      <c r="P20">
        <f t="shared" si="2"/>
        <v>962434.21328941919</v>
      </c>
      <c r="Q20">
        <f>indonesia!R46</f>
        <v>963000</v>
      </c>
      <c r="R20" s="45">
        <f>proj_rukn!C20</f>
        <v>963000</v>
      </c>
    </row>
    <row r="21" spans="1:18" x14ac:dyDescent="0.25">
      <c r="A21" t="str">
        <f>indonesia!B47</f>
        <v>INDONESIA</v>
      </c>
      <c r="B21">
        <f>indonesia!C47</f>
        <v>2038</v>
      </c>
      <c r="C21">
        <f t="shared" si="2"/>
        <v>281078.29430712049</v>
      </c>
      <c r="D21">
        <f t="shared" si="2"/>
        <v>55573.342687741002</v>
      </c>
      <c r="E21">
        <f t="shared" si="2"/>
        <v>348231.87710151018</v>
      </c>
      <c r="F21">
        <f t="shared" si="2"/>
        <v>61998.995426469512</v>
      </c>
      <c r="G21">
        <f t="shared" si="2"/>
        <v>32724.092575306342</v>
      </c>
      <c r="H21">
        <f t="shared" si="2"/>
        <v>50332.816818902102</v>
      </c>
      <c r="I21">
        <f t="shared" si="2"/>
        <v>37713.699412112466</v>
      </c>
      <c r="J21">
        <f t="shared" si="2"/>
        <v>39450.071216685232</v>
      </c>
      <c r="K21">
        <f t="shared" si="2"/>
        <v>116571.61460002679</v>
      </c>
      <c r="L21">
        <f t="shared" si="2"/>
        <v>2137.5126985091911</v>
      </c>
      <c r="M21">
        <f t="shared" si="2"/>
        <v>20.565684798474162</v>
      </c>
      <c r="N21">
        <f t="shared" si="2"/>
        <v>2.7053005300150117E-6</v>
      </c>
      <c r="O21">
        <f t="shared" si="2"/>
        <v>283.47884293899347</v>
      </c>
      <c r="P21">
        <f t="shared" si="2"/>
        <v>1025832.882531887</v>
      </c>
      <c r="Q21">
        <f>indonesia!R47</f>
        <v>1026000</v>
      </c>
      <c r="R21" s="45">
        <f>proj_rukn!C21</f>
        <v>1026000</v>
      </c>
    </row>
    <row r="22" spans="1:18" x14ac:dyDescent="0.25">
      <c r="A22" t="str">
        <f>sumatera!B28</f>
        <v>SUMATERA</v>
      </c>
      <c r="B22">
        <f>sumatera!C28</f>
        <v>2019</v>
      </c>
      <c r="C22">
        <f>sumatera!D28</f>
        <v>25836.883829066668</v>
      </c>
      <c r="D22">
        <f>sumatera!E28</f>
        <v>3747.7903350461529</v>
      </c>
      <c r="E22">
        <f>sumatera!F28</f>
        <v>3568.4796713538462</v>
      </c>
      <c r="F22">
        <f>sumatera!G28</f>
        <v>12465.922689969231</v>
      </c>
      <c r="G22">
        <f>sumatera!H28</f>
        <v>4393.1467384615389</v>
      </c>
      <c r="H22">
        <f>sumatera!I28</f>
        <v>8700.8474126769233</v>
      </c>
      <c r="I22">
        <f>sumatera!J28</f>
        <v>415.87347987692317</v>
      </c>
      <c r="J22">
        <f>sumatera!K28</f>
        <v>2.078748</v>
      </c>
      <c r="K22">
        <f>sumatera!L28</f>
        <v>0</v>
      </c>
      <c r="L22">
        <f>sumatera!M28</f>
        <v>91.412554153846145</v>
      </c>
      <c r="M22">
        <f>sumatera!N28</f>
        <v>0</v>
      </c>
      <c r="N22">
        <f>sumatera!O28</f>
        <v>0</v>
      </c>
      <c r="O22">
        <f>sumatera!P28</f>
        <v>0</v>
      </c>
      <c r="P22">
        <f>sumatera!Q28</f>
        <v>59222.435458605127</v>
      </c>
      <c r="Q22">
        <f>sumatera!R28</f>
        <v>51583</v>
      </c>
      <c r="R22" s="45">
        <f>proj_rukn!C22</f>
        <v>51583</v>
      </c>
    </row>
    <row r="23" spans="1:18" x14ac:dyDescent="0.25">
      <c r="A23" t="str">
        <f>sumatera!B29</f>
        <v>SUMATERA</v>
      </c>
      <c r="B23">
        <f>sumatera!C29</f>
        <v>2020</v>
      </c>
      <c r="C23">
        <f>sumatera!D29</f>
        <v>26779.406073097936</v>
      </c>
      <c r="D23">
        <f>sumatera!E29</f>
        <v>3747.7903350461529</v>
      </c>
      <c r="E23">
        <f>sumatera!F29</f>
        <v>7431.5079530407193</v>
      </c>
      <c r="F23">
        <f>sumatera!G29</f>
        <v>12465.922689969231</v>
      </c>
      <c r="G23">
        <f>sumatera!H29</f>
        <v>4393.1467384615389</v>
      </c>
      <c r="H23">
        <f>sumatera!I29</f>
        <v>8700.8474126769233</v>
      </c>
      <c r="I23">
        <f>sumatera!J29</f>
        <v>415.87347987692317</v>
      </c>
      <c r="J23">
        <f>sumatera!K29</f>
        <v>727.923549740721</v>
      </c>
      <c r="K23">
        <f>sumatera!L29</f>
        <v>0</v>
      </c>
      <c r="L23">
        <f>sumatera!M29</f>
        <v>91.412554153846145</v>
      </c>
      <c r="M23">
        <f>sumatera!N29</f>
        <v>0</v>
      </c>
      <c r="N23">
        <f>sumatera!O29</f>
        <v>0</v>
      </c>
      <c r="O23">
        <f>sumatera!P29</f>
        <v>16.077629744454352</v>
      </c>
      <c r="P23">
        <f>sumatera!Q29</f>
        <v>64753.830786063983</v>
      </c>
      <c r="Q23">
        <f>sumatera!R29</f>
        <v>57071</v>
      </c>
      <c r="R23" s="45">
        <f>proj_rukn!C23</f>
        <v>57071</v>
      </c>
    </row>
    <row r="24" spans="1:18" x14ac:dyDescent="0.25">
      <c r="A24" t="str">
        <f>sumatera!B30</f>
        <v>SUMATERA</v>
      </c>
      <c r="B24">
        <f>sumatera!C30</f>
        <v>2021</v>
      </c>
      <c r="C24">
        <f>sumatera!D30</f>
        <v>26779.406073097936</v>
      </c>
      <c r="D24">
        <f>sumatera!E30</f>
        <v>6106.034600560175</v>
      </c>
      <c r="E24">
        <f>sumatera!F30</f>
        <v>7431.5079530407193</v>
      </c>
      <c r="F24">
        <f>sumatera!G30</f>
        <v>12465.922689969231</v>
      </c>
      <c r="G24">
        <f>sumatera!H30</f>
        <v>4393.1467384615389</v>
      </c>
      <c r="H24">
        <f>sumatera!I30</f>
        <v>8700.8474126769233</v>
      </c>
      <c r="I24">
        <f>sumatera!J30</f>
        <v>415.87347987692317</v>
      </c>
      <c r="J24">
        <f>sumatera!K30</f>
        <v>766.37002611489493</v>
      </c>
      <c r="K24">
        <f>sumatera!L30</f>
        <v>0</v>
      </c>
      <c r="L24">
        <f>sumatera!M30</f>
        <v>91.412554153846145</v>
      </c>
      <c r="M24">
        <f>sumatera!N30</f>
        <v>0</v>
      </c>
      <c r="N24">
        <f>sumatera!O30</f>
        <v>0</v>
      </c>
      <c r="O24">
        <f>sumatera!P30</f>
        <v>16.674991283743836</v>
      </c>
      <c r="P24">
        <f>sumatera!Q30</f>
        <v>67150.521527952194</v>
      </c>
      <c r="Q24">
        <f>sumatera!R30</f>
        <v>62727</v>
      </c>
      <c r="R24" s="45">
        <f>proj_rukn!C24</f>
        <v>62727</v>
      </c>
    </row>
    <row r="25" spans="1:18" x14ac:dyDescent="0.25">
      <c r="A25" t="str">
        <f>sumatera!B31</f>
        <v>SUMATERA</v>
      </c>
      <c r="B25">
        <f>sumatera!C31</f>
        <v>2022</v>
      </c>
      <c r="C25">
        <f>sumatera!D31</f>
        <v>26779.406073097936</v>
      </c>
      <c r="D25">
        <f>sumatera!E31</f>
        <v>6106.034600560175</v>
      </c>
      <c r="E25">
        <f>sumatera!F31</f>
        <v>7947.3199170113639</v>
      </c>
      <c r="F25">
        <f>sumatera!G31</f>
        <v>12912.996528006237</v>
      </c>
      <c r="G25">
        <f>sumatera!H31</f>
        <v>4393.1467384615389</v>
      </c>
      <c r="H25">
        <f>sumatera!I31</f>
        <v>8700.8474126769233</v>
      </c>
      <c r="I25">
        <f>sumatera!J31</f>
        <v>415.87347987692317</v>
      </c>
      <c r="J25">
        <f>sumatera!K31</f>
        <v>806.96240622946743</v>
      </c>
      <c r="K25">
        <f>sumatera!L31</f>
        <v>0</v>
      </c>
      <c r="L25">
        <f>sumatera!M31</f>
        <v>91.412554153846145</v>
      </c>
      <c r="M25">
        <f>sumatera!N31</f>
        <v>0</v>
      </c>
      <c r="N25">
        <f>sumatera!O31</f>
        <v>0</v>
      </c>
      <c r="O25">
        <f>sumatera!P31</f>
        <v>16.929980223413043</v>
      </c>
      <c r="P25">
        <f>sumatera!Q31</f>
        <v>68153.999710074422</v>
      </c>
      <c r="Q25">
        <f>sumatera!R31</f>
        <v>68154</v>
      </c>
      <c r="R25" s="45">
        <f>proj_rukn!C25</f>
        <v>68154</v>
      </c>
    </row>
    <row r="26" spans="1:18" x14ac:dyDescent="0.25">
      <c r="A26" t="str">
        <f>sumatera!B32</f>
        <v>SUMATERA</v>
      </c>
      <c r="B26">
        <f>sumatera!C32</f>
        <v>2023</v>
      </c>
      <c r="C26">
        <f>sumatera!D32</f>
        <v>26779.406073097936</v>
      </c>
      <c r="D26">
        <f>sumatera!E32</f>
        <v>6106.034600560175</v>
      </c>
      <c r="E26">
        <f>sumatera!F32</f>
        <v>12496.835646430765</v>
      </c>
      <c r="F26">
        <f>sumatera!G32</f>
        <v>14415.611733462571</v>
      </c>
      <c r="G26">
        <f>sumatera!H32</f>
        <v>4393.1467384615389</v>
      </c>
      <c r="H26">
        <f>sumatera!I32</f>
        <v>8700.8474126769233</v>
      </c>
      <c r="I26">
        <f>sumatera!J32</f>
        <v>415.87347987692317</v>
      </c>
      <c r="J26">
        <f>sumatera!K32</f>
        <v>849.83160578242496</v>
      </c>
      <c r="K26">
        <f>sumatera!L32</f>
        <v>1.2542731521179467E-7</v>
      </c>
      <c r="L26">
        <f>sumatera!M32</f>
        <v>91.412554153846145</v>
      </c>
      <c r="M26">
        <f>sumatera!N32</f>
        <v>0</v>
      </c>
      <c r="N26">
        <f>sumatera!O32</f>
        <v>0</v>
      </c>
      <c r="O26">
        <f>sumatera!P32</f>
        <v>18.43819138744384</v>
      </c>
      <c r="P26">
        <f>sumatera!Q32</f>
        <v>74248.999844628546</v>
      </c>
      <c r="Q26">
        <f>sumatera!R32</f>
        <v>74249</v>
      </c>
      <c r="R26" s="45">
        <f>proj_rukn!C26</f>
        <v>74249</v>
      </c>
    </row>
    <row r="27" spans="1:18" x14ac:dyDescent="0.25">
      <c r="A27" t="str">
        <f>sumatera!B33</f>
        <v>SUMATERA</v>
      </c>
      <c r="B27">
        <f>sumatera!C33</f>
        <v>2024</v>
      </c>
      <c r="C27">
        <f>sumatera!D33</f>
        <v>26779.406073097936</v>
      </c>
      <c r="D27">
        <f>sumatera!E33</f>
        <v>6106.034600560175</v>
      </c>
      <c r="E27">
        <f>sumatera!F33</f>
        <v>16521.353112270153</v>
      </c>
      <c r="F27">
        <f>sumatera!G33</f>
        <v>15703.489712397168</v>
      </c>
      <c r="G27">
        <f>sumatera!H33</f>
        <v>4393.1467384615389</v>
      </c>
      <c r="H27">
        <f>sumatera!I33</f>
        <v>8700.8474126769233</v>
      </c>
      <c r="I27">
        <f>sumatera!J33</f>
        <v>415.87347987692317</v>
      </c>
      <c r="J27">
        <f>sumatera!K33</f>
        <v>1075.8124904503234</v>
      </c>
      <c r="K27">
        <f>sumatera!L33</f>
        <v>2745.6235204020859</v>
      </c>
      <c r="L27">
        <f>sumatera!M33</f>
        <v>91.412554153846145</v>
      </c>
      <c r="M27">
        <f>sumatera!N33</f>
        <v>0</v>
      </c>
      <c r="N27">
        <f>sumatera!O33</f>
        <v>0</v>
      </c>
      <c r="O27">
        <f>sumatera!P33</f>
        <v>21.068204837066556</v>
      </c>
      <c r="P27">
        <f>sumatera!Q33</f>
        <v>82532.999694347105</v>
      </c>
      <c r="Q27">
        <f>sumatera!R33</f>
        <v>82533</v>
      </c>
      <c r="R27" s="45">
        <f>proj_rukn!C27</f>
        <v>82533</v>
      </c>
    </row>
    <row r="28" spans="1:18" x14ac:dyDescent="0.25">
      <c r="A28" t="str">
        <f>sumatera!B34</f>
        <v>SUMATERA</v>
      </c>
      <c r="B28">
        <f>sumatera!C34</f>
        <v>2025</v>
      </c>
      <c r="C28">
        <f>sumatera!D34</f>
        <v>27292.199977255666</v>
      </c>
      <c r="D28">
        <f>sumatera!E34</f>
        <v>6106.034600560175</v>
      </c>
      <c r="E28">
        <f>sumatera!F34</f>
        <v>19688.383934462679</v>
      </c>
      <c r="F28">
        <f>sumatera!G34</f>
        <v>16963.36116316482</v>
      </c>
      <c r="G28">
        <f>sumatera!H34</f>
        <v>4393.1467384615389</v>
      </c>
      <c r="H28">
        <f>sumatera!I34</f>
        <v>8700.8474126769233</v>
      </c>
      <c r="I28">
        <f>sumatera!J34</f>
        <v>415.87347987692317</v>
      </c>
      <c r="J28">
        <f>sumatera!K34</f>
        <v>1356.6106688013087</v>
      </c>
      <c r="K28">
        <f>sumatera!L34</f>
        <v>5966.1291360251089</v>
      </c>
      <c r="L28">
        <f>sumatera!M34</f>
        <v>91.412554153846145</v>
      </c>
      <c r="M28">
        <f>sumatera!N34</f>
        <v>0</v>
      </c>
      <c r="N28">
        <f>sumatera!O34</f>
        <v>0</v>
      </c>
      <c r="O28">
        <f>sumatera!P34</f>
        <v>23.842327187675782</v>
      </c>
      <c r="P28">
        <f>sumatera!Q34</f>
        <v>90973.999665439012</v>
      </c>
      <c r="Q28">
        <f>sumatera!R34</f>
        <v>90974</v>
      </c>
      <c r="R28" s="45">
        <f>proj_rukn!C28</f>
        <v>90974</v>
      </c>
    </row>
    <row r="29" spans="1:18" x14ac:dyDescent="0.25">
      <c r="A29" t="str">
        <f>sumatera!B35</f>
        <v>SUMATERA</v>
      </c>
      <c r="B29">
        <f>sumatera!C35</f>
        <v>2026</v>
      </c>
      <c r="C29">
        <f>sumatera!D35</f>
        <v>30136.441940136516</v>
      </c>
      <c r="D29">
        <f>sumatera!E35</f>
        <v>6106.034600560175</v>
      </c>
      <c r="E29">
        <f>sumatera!F35</f>
        <v>20981.626561463203</v>
      </c>
      <c r="F29">
        <f>sumatera!G35</f>
        <v>16963.36116316482</v>
      </c>
      <c r="G29">
        <f>sumatera!H35</f>
        <v>4393.1467384615389</v>
      </c>
      <c r="H29">
        <f>sumatera!I35</f>
        <v>8700.8474126769233</v>
      </c>
      <c r="I29">
        <f>sumatera!J35</f>
        <v>415.87347987692317</v>
      </c>
      <c r="J29">
        <f>sumatera!K35</f>
        <v>1834.0952479742425</v>
      </c>
      <c r="K29">
        <f>sumatera!L35</f>
        <v>11506.160161700076</v>
      </c>
      <c r="L29">
        <f>sumatera!M35</f>
        <v>91.412554153846145</v>
      </c>
      <c r="M29">
        <f>sumatera!N35</f>
        <v>0</v>
      </c>
      <c r="N29">
        <f>sumatera!O35</f>
        <v>0</v>
      </c>
      <c r="O29">
        <f>sumatera!P35</f>
        <v>27.539232439003079</v>
      </c>
      <c r="P29">
        <f>sumatera!Q35</f>
        <v>101128.99986016827</v>
      </c>
      <c r="Q29">
        <f>sumatera!R35</f>
        <v>101129</v>
      </c>
      <c r="R29" s="45">
        <f>proj_rukn!C29</f>
        <v>101129</v>
      </c>
    </row>
    <row r="30" spans="1:18" x14ac:dyDescent="0.25">
      <c r="A30" t="str">
        <f>sumatera!B36</f>
        <v>SUMATERA</v>
      </c>
      <c r="B30">
        <f>sumatera!C36</f>
        <v>2027</v>
      </c>
      <c r="C30">
        <f>sumatera!D36</f>
        <v>33481.743972671633</v>
      </c>
      <c r="D30">
        <f>sumatera!E36</f>
        <v>6106.034600560175</v>
      </c>
      <c r="E30">
        <f>sumatera!F36</f>
        <v>21609.328166442676</v>
      </c>
      <c r="F30">
        <f>sumatera!G36</f>
        <v>16963.36116316482</v>
      </c>
      <c r="G30">
        <f>sumatera!H36</f>
        <v>4393.1467384615389</v>
      </c>
      <c r="H30">
        <f>sumatera!I36</f>
        <v>8700.8474126769233</v>
      </c>
      <c r="I30">
        <f>sumatera!J36</f>
        <v>2141.5519655803937</v>
      </c>
      <c r="J30">
        <f>sumatera!K36</f>
        <v>2498.5026341033508</v>
      </c>
      <c r="K30">
        <f>sumatera!L36</f>
        <v>17128.07060485004</v>
      </c>
      <c r="L30">
        <f>sumatera!M36</f>
        <v>91.412554153846145</v>
      </c>
      <c r="M30">
        <f>sumatera!N36</f>
        <v>0</v>
      </c>
      <c r="N30">
        <f>sumatera!O36</f>
        <v>0</v>
      </c>
      <c r="O30">
        <f>sumatera!P36</f>
        <v>31.739935662009003</v>
      </c>
      <c r="P30">
        <f>sumatera!Q36</f>
        <v>113113.99981266541</v>
      </c>
      <c r="Q30">
        <f>sumatera!R36</f>
        <v>113114</v>
      </c>
      <c r="R30" s="45">
        <f>proj_rukn!C30</f>
        <v>113114</v>
      </c>
    </row>
    <row r="31" spans="1:18" x14ac:dyDescent="0.25">
      <c r="A31" t="str">
        <f>sumatera!B37</f>
        <v>SUMATERA</v>
      </c>
      <c r="B31">
        <f>sumatera!C37</f>
        <v>2028</v>
      </c>
      <c r="C31">
        <f>sumatera!D37</f>
        <v>35382.01667049704</v>
      </c>
      <c r="D31">
        <f>sumatera!E37</f>
        <v>6106.034600560175</v>
      </c>
      <c r="E31">
        <f>sumatera!F37</f>
        <v>26322.71081201937</v>
      </c>
      <c r="F31">
        <f>sumatera!G37</f>
        <v>16963.36116316482</v>
      </c>
      <c r="G31">
        <f>sumatera!H37</f>
        <v>4393.1467384615389</v>
      </c>
      <c r="H31">
        <f>sumatera!I37</f>
        <v>8700.8474126769233</v>
      </c>
      <c r="I31">
        <f>sumatera!J37</f>
        <v>2141.5519655803937</v>
      </c>
      <c r="J31">
        <f>sumatera!K37</f>
        <v>2669.9137260271909</v>
      </c>
      <c r="K31">
        <f>sumatera!L37</f>
        <v>17576.015457349942</v>
      </c>
      <c r="L31">
        <f>sumatera!M37</f>
        <v>91.412554153846145</v>
      </c>
      <c r="M31">
        <f>sumatera!N37</f>
        <v>0</v>
      </c>
      <c r="N31">
        <f>sumatera!O37</f>
        <v>0</v>
      </c>
      <c r="O31">
        <f>sumatera!P37</f>
        <v>33.642950230306042</v>
      </c>
      <c r="P31">
        <f>sumatera!Q37</f>
        <v>120347.01110049126</v>
      </c>
      <c r="Q31">
        <f>sumatera!R37</f>
        <v>120347</v>
      </c>
      <c r="R31" s="45">
        <f>proj_rukn!C31</f>
        <v>120347</v>
      </c>
    </row>
    <row r="32" spans="1:18" x14ac:dyDescent="0.25">
      <c r="A32" t="str">
        <f>sumatera!B38</f>
        <v>SUMATERA</v>
      </c>
      <c r="B32">
        <f>sumatera!C38</f>
        <v>2029</v>
      </c>
      <c r="C32">
        <f>sumatera!D38</f>
        <v>37377.751572035435</v>
      </c>
      <c r="D32">
        <f>sumatera!E38</f>
        <v>6106.034600560175</v>
      </c>
      <c r="E32">
        <f>sumatera!F38</f>
        <v>31429.053444105841</v>
      </c>
      <c r="F32">
        <f>sumatera!G38</f>
        <v>16963.36116316482</v>
      </c>
      <c r="G32">
        <f>sumatera!H38</f>
        <v>4393.1467384615389</v>
      </c>
      <c r="H32">
        <f>sumatera!I38</f>
        <v>8700.8474126769233</v>
      </c>
      <c r="I32">
        <f>sumatera!J38</f>
        <v>2141.5521928328062</v>
      </c>
      <c r="J32">
        <f>sumatera!K38</f>
        <v>2858.2883874518643</v>
      </c>
      <c r="K32">
        <f>sumatera!L38</f>
        <v>17943.865231687229</v>
      </c>
      <c r="L32">
        <f>sumatera!M38</f>
        <v>91.412554153846145</v>
      </c>
      <c r="M32">
        <f>sumatera!N38</f>
        <v>0.68711837797748387</v>
      </c>
      <c r="N32">
        <f>sumatera!O38</f>
        <v>0</v>
      </c>
      <c r="O32">
        <f>sumatera!P38</f>
        <v>35.638342131113511</v>
      </c>
      <c r="P32">
        <f>sumatera!Q38</f>
        <v>128006.00041550846</v>
      </c>
      <c r="Q32">
        <f>sumatera!R38</f>
        <v>128006</v>
      </c>
      <c r="R32" s="45">
        <f>proj_rukn!C32</f>
        <v>128006</v>
      </c>
    </row>
    <row r="33" spans="1:18" x14ac:dyDescent="0.25">
      <c r="A33" t="str">
        <f>sumatera!B39</f>
        <v>SUMATERA</v>
      </c>
      <c r="B33">
        <f>sumatera!C39</f>
        <v>2030</v>
      </c>
      <c r="C33">
        <f>sumatera!D39</f>
        <v>39402.880287842156</v>
      </c>
      <c r="D33">
        <f>sumatera!E39</f>
        <v>6106.034600560175</v>
      </c>
      <c r="E33">
        <f>sumatera!F39</f>
        <v>34229.619450651473</v>
      </c>
      <c r="F33">
        <f>sumatera!G39</f>
        <v>16963.375524135121</v>
      </c>
      <c r="G33">
        <f>sumatera!H39</f>
        <v>4393.1467384615389</v>
      </c>
      <c r="H33">
        <f>sumatera!I39</f>
        <v>8700.847415310569</v>
      </c>
      <c r="I33">
        <f>sumatera!J39</f>
        <v>2141.5521932054985</v>
      </c>
      <c r="J33">
        <f>sumatera!K39</f>
        <v>5898.5801423685343</v>
      </c>
      <c r="K33">
        <f>sumatera!L39</f>
        <v>17943.864966950827</v>
      </c>
      <c r="L33">
        <f>sumatera!M39</f>
        <v>91.412554153846145</v>
      </c>
      <c r="M33">
        <f>sumatera!N39</f>
        <v>0.68711837797748387</v>
      </c>
      <c r="N33">
        <f>sumatera!O39</f>
        <v>0</v>
      </c>
      <c r="O33">
        <f>sumatera!P39</f>
        <v>38.179184528111641</v>
      </c>
      <c r="P33">
        <f>sumatera!Q39</f>
        <v>135872.00099201771</v>
      </c>
      <c r="Q33">
        <f>sumatera!R39</f>
        <v>135872</v>
      </c>
      <c r="R33" s="45">
        <f>proj_rukn!C33</f>
        <v>135872</v>
      </c>
    </row>
    <row r="34" spans="1:18" x14ac:dyDescent="0.25">
      <c r="A34" t="str">
        <f>sumatera!B40</f>
        <v>SUMATERA</v>
      </c>
      <c r="B34">
        <f>sumatera!C40</f>
        <v>2031</v>
      </c>
      <c r="C34">
        <f>sumatera!D40</f>
        <v>41765.472969407871</v>
      </c>
      <c r="D34">
        <f>sumatera!E40</f>
        <v>6106.034600560175</v>
      </c>
      <c r="E34">
        <f>sumatera!F40</f>
        <v>39629.626013263922</v>
      </c>
      <c r="F34">
        <f>sumatera!G40</f>
        <v>16963.375524135121</v>
      </c>
      <c r="G34">
        <f>sumatera!H40</f>
        <v>4393.1467384615389</v>
      </c>
      <c r="H34">
        <f>sumatera!I40</f>
        <v>8700.847415310569</v>
      </c>
      <c r="I34">
        <f>sumatera!J40</f>
        <v>2141.5521932054985</v>
      </c>
      <c r="J34">
        <f>sumatera!K40</f>
        <v>5898.5801423685343</v>
      </c>
      <c r="K34">
        <f>sumatera!L40</f>
        <v>19328.287003872381</v>
      </c>
      <c r="L34">
        <f>sumatera!M40</f>
        <v>91.412554153846145</v>
      </c>
      <c r="M34">
        <f>sumatera!N40</f>
        <v>0.68711837797748387</v>
      </c>
      <c r="N34">
        <f>sumatera!O40</f>
        <v>0</v>
      </c>
      <c r="O34">
        <f>sumatera!P40</f>
        <v>40.705488795189801</v>
      </c>
      <c r="P34">
        <f>sumatera!Q40</f>
        <v>145019.02227311744</v>
      </c>
      <c r="Q34">
        <f>sumatera!R40</f>
        <v>145019</v>
      </c>
      <c r="R34" s="45">
        <f>proj_rukn!C34</f>
        <v>145019</v>
      </c>
    </row>
    <row r="35" spans="1:18" x14ac:dyDescent="0.25">
      <c r="A35" t="str">
        <f>sumatera!B41</f>
        <v>SUMATERA</v>
      </c>
      <c r="B35">
        <f>sumatera!C41</f>
        <v>2032</v>
      </c>
      <c r="C35">
        <f>sumatera!D41</f>
        <v>44275.388432055457</v>
      </c>
      <c r="D35">
        <f>sumatera!E41</f>
        <v>6106.034600560175</v>
      </c>
      <c r="E35">
        <f>sumatera!F41</f>
        <v>45418.010514974791</v>
      </c>
      <c r="F35">
        <f>sumatera!G41</f>
        <v>16963.375524135121</v>
      </c>
      <c r="G35">
        <f>sumatera!H41</f>
        <v>4393.1467384615389</v>
      </c>
      <c r="H35">
        <f>sumatera!I41</f>
        <v>8700.847415310569</v>
      </c>
      <c r="I35">
        <f>sumatera!J41</f>
        <v>2141.5521932054985</v>
      </c>
      <c r="J35">
        <f>sumatera!K41</f>
        <v>5898.5801423685343</v>
      </c>
      <c r="K35">
        <f>sumatera!L41</f>
        <v>20819.954408027235</v>
      </c>
      <c r="L35">
        <f>sumatera!M41</f>
        <v>91.412554153846145</v>
      </c>
      <c r="M35">
        <f>sumatera!N41</f>
        <v>0.68711837797748387</v>
      </c>
      <c r="N35">
        <f>sumatera!O41</f>
        <v>0</v>
      </c>
      <c r="O35">
        <f>sumatera!P41</f>
        <v>43.411345697154239</v>
      </c>
      <c r="P35">
        <f>sumatera!Q41</f>
        <v>154808.98964163073</v>
      </c>
      <c r="Q35">
        <f>sumatera!R41</f>
        <v>154809</v>
      </c>
      <c r="R35" s="45">
        <f>proj_rukn!C35</f>
        <v>154809</v>
      </c>
    </row>
    <row r="36" spans="1:18" x14ac:dyDescent="0.25">
      <c r="A36" t="str">
        <f>sumatera!B42</f>
        <v>SUMATERA</v>
      </c>
      <c r="B36">
        <f>sumatera!C42</f>
        <v>2033</v>
      </c>
      <c r="C36">
        <f>sumatera!D42</f>
        <v>46666.311956402846</v>
      </c>
      <c r="D36">
        <f>sumatera!E42</f>
        <v>6106.034600560175</v>
      </c>
      <c r="E36">
        <f>sumatera!F42</f>
        <v>52289.863947221849</v>
      </c>
      <c r="F36">
        <f>sumatera!G42</f>
        <v>16963.375524135121</v>
      </c>
      <c r="G36">
        <f>sumatera!H42</f>
        <v>4393.1467384615389</v>
      </c>
      <c r="H36">
        <f>sumatera!I42</f>
        <v>8700.847415310569</v>
      </c>
      <c r="I36">
        <f>sumatera!J42</f>
        <v>2141.5521932054985</v>
      </c>
      <c r="J36">
        <f>sumatera!K42</f>
        <v>5898.5801423685343</v>
      </c>
      <c r="K36">
        <f>sumatera!L42</f>
        <v>21066.187690902443</v>
      </c>
      <c r="L36">
        <f>sumatera!M42</f>
        <v>91.412554153846145</v>
      </c>
      <c r="M36">
        <f>sumatera!N42</f>
        <v>0.68711837797748387</v>
      </c>
      <c r="N36">
        <f>sumatera!O42</f>
        <v>0</v>
      </c>
      <c r="O36">
        <f>sumatera!P42</f>
        <v>45.800069841434912</v>
      </c>
      <c r="P36">
        <f>sumatera!Q42</f>
        <v>164317.9998811004</v>
      </c>
      <c r="Q36">
        <f>sumatera!R42</f>
        <v>164318</v>
      </c>
      <c r="R36" s="45">
        <f>proj_rukn!C36</f>
        <v>164318</v>
      </c>
    </row>
    <row r="37" spans="1:18" x14ac:dyDescent="0.25">
      <c r="A37" t="str">
        <f>sumatera!B43</f>
        <v>SUMATERA</v>
      </c>
      <c r="B37">
        <f>sumatera!C43</f>
        <v>2034</v>
      </c>
      <c r="C37">
        <f>sumatera!D43</f>
        <v>52244.11046279229</v>
      </c>
      <c r="D37">
        <f>sumatera!E43</f>
        <v>6106.0352375640177</v>
      </c>
      <c r="E37">
        <f>sumatera!F43</f>
        <v>52289.865629710774</v>
      </c>
      <c r="F37">
        <f>sumatera!G43</f>
        <v>16963.380649480408</v>
      </c>
      <c r="G37">
        <f>sumatera!H43</f>
        <v>4393.1467384615389</v>
      </c>
      <c r="H37">
        <f>sumatera!I43</f>
        <v>8700.847415310569</v>
      </c>
      <c r="I37">
        <f>sumatera!J43</f>
        <v>7688.7649287748973</v>
      </c>
      <c r="J37">
        <f>sumatera!K43</f>
        <v>5898.5801423685343</v>
      </c>
      <c r="K37">
        <f>sumatera!L43</f>
        <v>21066.188233643599</v>
      </c>
      <c r="L37">
        <f>sumatera!M43</f>
        <v>91.412554153846145</v>
      </c>
      <c r="M37">
        <f>sumatera!N43</f>
        <v>0.68711837797748387</v>
      </c>
      <c r="N37">
        <f>sumatera!O43</f>
        <v>0</v>
      </c>
      <c r="O37">
        <f>sumatera!P43</f>
        <v>48.53738063584543</v>
      </c>
      <c r="P37">
        <f>sumatera!Q43</f>
        <v>175443.01911063847</v>
      </c>
      <c r="Q37">
        <f>sumatera!R43</f>
        <v>175443</v>
      </c>
      <c r="R37" s="45">
        <f>proj_rukn!C37</f>
        <v>175443</v>
      </c>
    </row>
    <row r="38" spans="1:18" x14ac:dyDescent="0.25">
      <c r="A38" t="str">
        <f>sumatera!B44</f>
        <v>SUMATERA</v>
      </c>
      <c r="B38">
        <f>sumatera!C44</f>
        <v>2035</v>
      </c>
      <c r="C38">
        <f>sumatera!D44</f>
        <v>52244.11046279229</v>
      </c>
      <c r="D38">
        <f>sumatera!E44</f>
        <v>6106.0352375640177</v>
      </c>
      <c r="E38">
        <f>sumatera!F44</f>
        <v>54190.361152061043</v>
      </c>
      <c r="F38">
        <f>sumatera!G44</f>
        <v>25117.895198007885</v>
      </c>
      <c r="G38">
        <f>sumatera!H44</f>
        <v>4393.1467384615389</v>
      </c>
      <c r="H38">
        <f>sumatera!I44</f>
        <v>8700.847415310569</v>
      </c>
      <c r="I38">
        <f>sumatera!J44</f>
        <v>7877.8394084016991</v>
      </c>
      <c r="J38">
        <f>sumatera!K44</f>
        <v>5898.5801423685343</v>
      </c>
      <c r="K38">
        <f>sumatera!L44</f>
        <v>21908.084640821795</v>
      </c>
      <c r="L38">
        <f>sumatera!M44</f>
        <v>91.412554153846145</v>
      </c>
      <c r="M38">
        <f>sumatera!N44</f>
        <v>0.68711837797748387</v>
      </c>
      <c r="N38">
        <f>sumatera!O44</f>
        <v>0</v>
      </c>
      <c r="O38">
        <f>sumatera!P44</f>
        <v>51.432732765655338</v>
      </c>
      <c r="P38">
        <f>sumatera!Q44</f>
        <v>186529.00006832118</v>
      </c>
      <c r="Q38">
        <f>sumatera!R44</f>
        <v>186529</v>
      </c>
      <c r="R38" s="45">
        <f>proj_rukn!C38</f>
        <v>186529</v>
      </c>
    </row>
    <row r="39" spans="1:18" x14ac:dyDescent="0.25">
      <c r="A39" t="str">
        <f>sumatera!B45</f>
        <v>SUMATERA</v>
      </c>
      <c r="B39">
        <f>sumatera!C45</f>
        <v>2036</v>
      </c>
      <c r="C39">
        <f>sumatera!D45</f>
        <v>55325.335997262715</v>
      </c>
      <c r="D39">
        <f>sumatera!E45</f>
        <v>6106.0352375640177</v>
      </c>
      <c r="E39">
        <f>sumatera!F45</f>
        <v>55152.165169055312</v>
      </c>
      <c r="F39">
        <f>sumatera!G45</f>
        <v>29650.48119659831</v>
      </c>
      <c r="G39">
        <f>sumatera!H45</f>
        <v>4393.1467384615389</v>
      </c>
      <c r="H39">
        <f>sumatera!I45</f>
        <v>8700.847415310569</v>
      </c>
      <c r="I39">
        <f>sumatera!J45</f>
        <v>11364.275587094735</v>
      </c>
      <c r="J39">
        <f>sumatera!K45</f>
        <v>5898.5801423685343</v>
      </c>
      <c r="K39">
        <f>sumatera!L45</f>
        <v>22329.0328444109</v>
      </c>
      <c r="L39">
        <f>sumatera!M45</f>
        <v>91.412554153846145</v>
      </c>
      <c r="M39">
        <f>sumatera!N45</f>
        <v>0.68711837797748387</v>
      </c>
      <c r="N39">
        <f>sumatera!O45</f>
        <v>0</v>
      </c>
      <c r="O39">
        <f>sumatera!P45</f>
        <v>54.587997972507829</v>
      </c>
      <c r="P39">
        <f>sumatera!Q45</f>
        <v>199012.00000065845</v>
      </c>
      <c r="Q39">
        <f>sumatera!R45</f>
        <v>199012</v>
      </c>
      <c r="R39" s="45">
        <f>proj_rukn!C39</f>
        <v>199012</v>
      </c>
    </row>
    <row r="40" spans="1:18" x14ac:dyDescent="0.25">
      <c r="A40" t="str">
        <f>sumatera!B46</f>
        <v>SUMATERA</v>
      </c>
      <c r="B40">
        <f>sumatera!C46</f>
        <v>2037</v>
      </c>
      <c r="C40">
        <f>sumatera!D46</f>
        <v>58475.015967807994</v>
      </c>
      <c r="D40">
        <f>sumatera!E46</f>
        <v>6106.0352375640177</v>
      </c>
      <c r="E40">
        <f>sumatera!F46</f>
        <v>59419.607543718274</v>
      </c>
      <c r="F40">
        <f>sumatera!G46</f>
        <v>31000.506979850205</v>
      </c>
      <c r="G40">
        <f>sumatera!H46</f>
        <v>4393.1467384615389</v>
      </c>
      <c r="H40">
        <f>sumatera!I46</f>
        <v>8700.847415310569</v>
      </c>
      <c r="I40">
        <f>sumatera!J46</f>
        <v>14518.203308582797</v>
      </c>
      <c r="J40">
        <f>sumatera!K46</f>
        <v>6621.0302924447087</v>
      </c>
      <c r="K40">
        <f>sumatera!L46</f>
        <v>22539.506946205449</v>
      </c>
      <c r="L40">
        <f>sumatera!M46</f>
        <v>91.412554153846145</v>
      </c>
      <c r="M40">
        <f>sumatera!N46</f>
        <v>0.68711837797748387</v>
      </c>
      <c r="N40">
        <f>sumatera!O46</f>
        <v>0</v>
      </c>
      <c r="O40">
        <f>sumatera!P46</f>
        <v>57.936497538134475</v>
      </c>
      <c r="P40">
        <f>sumatera!Q46</f>
        <v>211866.00010247738</v>
      </c>
      <c r="Q40">
        <f>sumatera!R46</f>
        <v>211866</v>
      </c>
      <c r="R40" s="45">
        <f>proj_rukn!C40</f>
        <v>211866</v>
      </c>
    </row>
    <row r="41" spans="1:18" x14ac:dyDescent="0.25">
      <c r="A41" t="str">
        <f>sumatera!B47</f>
        <v>SUMATERA</v>
      </c>
      <c r="B41">
        <f>sumatera!C47</f>
        <v>2038</v>
      </c>
      <c r="C41">
        <f>sumatera!D47</f>
        <v>62129.774592438291</v>
      </c>
      <c r="D41">
        <f>sumatera!E47</f>
        <v>6106.0352375640177</v>
      </c>
      <c r="E41">
        <f>sumatera!F47</f>
        <v>64215.01064773705</v>
      </c>
      <c r="F41">
        <f>sumatera!G47</f>
        <v>32514.929679029556</v>
      </c>
      <c r="G41">
        <f>sumatera!H47</f>
        <v>4393.1467384630469</v>
      </c>
      <c r="H41">
        <f>sumatera!I47</f>
        <v>8700.8474153132556</v>
      </c>
      <c r="I41">
        <f>sumatera!J47</f>
        <v>14518.203308587628</v>
      </c>
      <c r="J41">
        <f>sumatera!K47</f>
        <v>11541.447843672773</v>
      </c>
      <c r="K41">
        <f>sumatera!L47</f>
        <v>22539.506946205449</v>
      </c>
      <c r="L41">
        <f>sumatera!M47</f>
        <v>91.412554153846145</v>
      </c>
      <c r="M41">
        <f>sumatera!N47</f>
        <v>0.68711837797748387</v>
      </c>
      <c r="N41">
        <f>sumatera!O47</f>
        <v>2.7053005264614298E-6</v>
      </c>
      <c r="O41">
        <f>sumatera!P47</f>
        <v>62.57875449738254</v>
      </c>
      <c r="P41">
        <f>sumatera!Q47</f>
        <v>226751.00208424818</v>
      </c>
      <c r="Q41">
        <f>sumatera!R47</f>
        <v>226751</v>
      </c>
      <c r="R41" s="45">
        <f>proj_rukn!C41</f>
        <v>226751</v>
      </c>
    </row>
    <row r="42" spans="1:18" x14ac:dyDescent="0.25">
      <c r="A42" t="str">
        <f>Jawa!B28</f>
        <v>JAWA</v>
      </c>
      <c r="B42">
        <f>Jawa!C28</f>
        <v>2019</v>
      </c>
      <c r="C42">
        <f>Jawa!D28</f>
        <v>111748.58493333332</v>
      </c>
      <c r="D42">
        <f>Jawa!E28</f>
        <v>8659.4673168553854</v>
      </c>
      <c r="E42">
        <f>Jawa!F28</f>
        <v>27290.263987661539</v>
      </c>
      <c r="F42">
        <f>Jawa!G28</f>
        <v>165.55866313846153</v>
      </c>
      <c r="G42">
        <f>Jawa!H28</f>
        <v>7818.1140184615379</v>
      </c>
      <c r="H42">
        <f>Jawa!I28</f>
        <v>11539.290456000001</v>
      </c>
      <c r="I42">
        <f>Jawa!J28</f>
        <v>102.69577107692311</v>
      </c>
      <c r="J42">
        <f>Jawa!K28</f>
        <v>1.8395999999999999</v>
      </c>
      <c r="K42">
        <f>Jawa!L28</f>
        <v>0</v>
      </c>
      <c r="L42">
        <f>Jawa!M28</f>
        <v>19.980886153846154</v>
      </c>
      <c r="M42">
        <f>Jawa!N28</f>
        <v>0</v>
      </c>
      <c r="N42">
        <f>Jawa!O28</f>
        <v>0</v>
      </c>
      <c r="O42">
        <f>Jawa!P28</f>
        <v>0</v>
      </c>
      <c r="P42">
        <f>Jawa!Q28</f>
        <v>167345.79563268099</v>
      </c>
      <c r="Q42">
        <f>Jawa!R28</f>
        <v>187575</v>
      </c>
      <c r="R42" s="45">
        <f>proj_rukn!C42</f>
        <v>187575</v>
      </c>
    </row>
    <row r="43" spans="1:18" x14ac:dyDescent="0.25">
      <c r="A43" t="str">
        <f>Jawa!B29</f>
        <v>JAWA</v>
      </c>
      <c r="B43">
        <f>Jawa!C29</f>
        <v>2020</v>
      </c>
      <c r="C43">
        <f>Jawa!D29</f>
        <v>119242.17570670891</v>
      </c>
      <c r="D43">
        <f>Jawa!E29</f>
        <v>8659.4673168553854</v>
      </c>
      <c r="E43">
        <f>Jawa!F29</f>
        <v>30073.691688818199</v>
      </c>
      <c r="F43">
        <f>Jawa!G29</f>
        <v>165.55866313846153</v>
      </c>
      <c r="G43">
        <f>Jawa!H29</f>
        <v>7818.1140184615379</v>
      </c>
      <c r="H43">
        <f>Jawa!I29</f>
        <v>20859.5988236177</v>
      </c>
      <c r="I43">
        <f>Jawa!J29</f>
        <v>102.69577107692311</v>
      </c>
      <c r="J43">
        <f>Jawa!K29</f>
        <v>9587.7574364298071</v>
      </c>
      <c r="K43">
        <f>Jawa!L29</f>
        <v>69.210404574824992</v>
      </c>
      <c r="L43">
        <f>Jawa!M29</f>
        <v>19.980886153846154</v>
      </c>
      <c r="M43">
        <f>Jawa!N29</f>
        <v>16.769732491592507</v>
      </c>
      <c r="N43">
        <f>Jawa!O29</f>
        <v>0</v>
      </c>
      <c r="O43">
        <f>Jawa!P29</f>
        <v>50.30345167247085</v>
      </c>
      <c r="P43">
        <f>Jawa!Q29</f>
        <v>196615.02044832718</v>
      </c>
      <c r="Q43">
        <f>Jawa!R29</f>
        <v>203080</v>
      </c>
      <c r="R43" s="45">
        <f>proj_rukn!C43</f>
        <v>203080</v>
      </c>
    </row>
    <row r="44" spans="1:18" x14ac:dyDescent="0.25">
      <c r="A44" t="str">
        <f>Jawa!B30</f>
        <v>JAWA</v>
      </c>
      <c r="B44">
        <f>Jawa!C30</f>
        <v>2021</v>
      </c>
      <c r="C44">
        <f>Jawa!D30</f>
        <v>119242.17570670891</v>
      </c>
      <c r="D44">
        <f>Jawa!E30</f>
        <v>8949.3422338596429</v>
      </c>
      <c r="E44">
        <f>Jawa!F30</f>
        <v>51091.258019007139</v>
      </c>
      <c r="F44">
        <f>Jawa!G30</f>
        <v>207.09706185727944</v>
      </c>
      <c r="G44">
        <f>Jawa!H30</f>
        <v>7818.1140184615379</v>
      </c>
      <c r="H44">
        <f>Jawa!I30</f>
        <v>20859.5988236177</v>
      </c>
      <c r="I44">
        <f>Jawa!J30</f>
        <v>102.69577107692311</v>
      </c>
      <c r="J44">
        <f>Jawa!K30</f>
        <v>9587.7574364298071</v>
      </c>
      <c r="K44">
        <f>Jawa!L30</f>
        <v>69.210404574824992</v>
      </c>
      <c r="L44">
        <f>Jawa!M30</f>
        <v>19.980886153846154</v>
      </c>
      <c r="M44">
        <f>Jawa!N30</f>
        <v>16.769732491592507</v>
      </c>
      <c r="N44">
        <f>Jawa!O30</f>
        <v>0</v>
      </c>
      <c r="O44">
        <f>Jawa!P30</f>
        <v>55.55636754806158</v>
      </c>
      <c r="P44">
        <f>Jawa!Q30</f>
        <v>217964.00009423922</v>
      </c>
      <c r="Q44">
        <f>Jawa!R30</f>
        <v>217964</v>
      </c>
      <c r="R44" s="45">
        <f>proj_rukn!C44</f>
        <v>217964</v>
      </c>
    </row>
    <row r="45" spans="1:18" x14ac:dyDescent="0.25">
      <c r="A45" t="str">
        <f>Jawa!B31</f>
        <v>JAWA</v>
      </c>
      <c r="B45">
        <f>Jawa!C31</f>
        <v>2022</v>
      </c>
      <c r="C45">
        <f>Jawa!D31</f>
        <v>119242.17570670891</v>
      </c>
      <c r="D45">
        <f>Jawa!E31</f>
        <v>10325.067919229832</v>
      </c>
      <c r="E45">
        <f>Jawa!F31</f>
        <v>59651.086801753714</v>
      </c>
      <c r="F45">
        <f>Jawa!G31</f>
        <v>213.36345364944233</v>
      </c>
      <c r="G45">
        <f>Jawa!H31</f>
        <v>7818.1140184615379</v>
      </c>
      <c r="H45">
        <f>Jawa!I31</f>
        <v>20859.5988236177</v>
      </c>
      <c r="I45">
        <f>Jawa!J31</f>
        <v>102.69577107692311</v>
      </c>
      <c r="J45">
        <f>Jawa!K31</f>
        <v>9587.7574364298071</v>
      </c>
      <c r="K45">
        <f>Jawa!L31</f>
        <v>1305.3915272613935</v>
      </c>
      <c r="L45">
        <f>Jawa!M31</f>
        <v>19.980886153846154</v>
      </c>
      <c r="M45">
        <f>Jawa!N31</f>
        <v>16.769732491592507</v>
      </c>
      <c r="N45">
        <f>Jawa!O31</f>
        <v>0</v>
      </c>
      <c r="O45">
        <f>Jawa!P31</f>
        <v>58.552875353551109</v>
      </c>
      <c r="P45">
        <f>Jawa!Q31</f>
        <v>229142.0020768347</v>
      </c>
      <c r="Q45">
        <f>Jawa!R31</f>
        <v>229142</v>
      </c>
      <c r="R45" s="45">
        <f>proj_rukn!C45</f>
        <v>229142</v>
      </c>
    </row>
    <row r="46" spans="1:18" x14ac:dyDescent="0.25">
      <c r="A46" t="str">
        <f>Jawa!B32</f>
        <v>JAWA</v>
      </c>
      <c r="B46">
        <f>Jawa!C32</f>
        <v>2023</v>
      </c>
      <c r="C46">
        <f>Jawa!D32</f>
        <v>119242.17570670891</v>
      </c>
      <c r="D46">
        <f>Jawa!E32</f>
        <v>11701.60022969799</v>
      </c>
      <c r="E46">
        <f>Jawa!F32</f>
        <v>62853.654252260967</v>
      </c>
      <c r="F46">
        <f>Jawa!G32</f>
        <v>219.1676443839761</v>
      </c>
      <c r="G46">
        <f>Jawa!H32</f>
        <v>7818.1140184615379</v>
      </c>
      <c r="H46">
        <f>Jawa!I32</f>
        <v>20859.5988236177</v>
      </c>
      <c r="I46">
        <f>Jawa!J32</f>
        <v>102.69577107692311</v>
      </c>
      <c r="J46">
        <f>Jawa!K32</f>
        <v>9587.7574364298071</v>
      </c>
      <c r="K46">
        <f>Jawa!L32</f>
        <v>7757.4875895479172</v>
      </c>
      <c r="L46">
        <f>Jawa!M32</f>
        <v>19.980886153846154</v>
      </c>
      <c r="M46">
        <f>Jawa!N32</f>
        <v>16.769732491592507</v>
      </c>
      <c r="N46">
        <f>Jawa!O32</f>
        <v>0</v>
      </c>
      <c r="O46">
        <f>Jawa!P32</f>
        <v>62.553334631976277</v>
      </c>
      <c r="P46">
        <f>Jawa!Q32</f>
        <v>240179.00209083114</v>
      </c>
      <c r="Q46">
        <f>Jawa!R32</f>
        <v>240179</v>
      </c>
      <c r="R46" s="45">
        <f>proj_rukn!C46</f>
        <v>240179</v>
      </c>
    </row>
    <row r="47" spans="1:18" x14ac:dyDescent="0.25">
      <c r="A47" t="str">
        <f>Jawa!B33</f>
        <v>JAWA</v>
      </c>
      <c r="B47">
        <f>Jawa!C33</f>
        <v>2024</v>
      </c>
      <c r="C47">
        <f>Jawa!D33</f>
        <v>119242.17570670891</v>
      </c>
      <c r="D47">
        <f>Jawa!E33</f>
        <v>13136.344250115857</v>
      </c>
      <c r="E47">
        <f>Jawa!F33</f>
        <v>66634.775957017919</v>
      </c>
      <c r="F47">
        <f>Jawa!G33</f>
        <v>225.85003421571253</v>
      </c>
      <c r="G47">
        <f>Jawa!H33</f>
        <v>7818.1140184615379</v>
      </c>
      <c r="H47">
        <f>Jawa!I33</f>
        <v>20859.5988236177</v>
      </c>
      <c r="I47">
        <f>Jawa!J33</f>
        <v>102.69577107692311</v>
      </c>
      <c r="J47">
        <f>Jawa!K33</f>
        <v>9587.7574364298071</v>
      </c>
      <c r="K47">
        <f>Jawa!L33</f>
        <v>14909.041839150967</v>
      </c>
      <c r="L47">
        <f>Jawa!M33</f>
        <v>19.980886153846154</v>
      </c>
      <c r="M47">
        <f>Jawa!N33</f>
        <v>16.769732491592507</v>
      </c>
      <c r="N47">
        <f>Jawa!O33</f>
        <v>0</v>
      </c>
      <c r="O47">
        <f>Jawa!P33</f>
        <v>67.022070998590024</v>
      </c>
      <c r="P47">
        <f>Jawa!Q33</f>
        <v>252553.1044554408</v>
      </c>
      <c r="Q47">
        <f>Jawa!R33</f>
        <v>252553</v>
      </c>
      <c r="R47" s="45">
        <f>proj_rukn!C47</f>
        <v>252553</v>
      </c>
    </row>
    <row r="48" spans="1:18" x14ac:dyDescent="0.25">
      <c r="A48" t="str">
        <f>Jawa!B34</f>
        <v>JAWA</v>
      </c>
      <c r="B48">
        <f>Jawa!C34</f>
        <v>2025</v>
      </c>
      <c r="C48">
        <f>Jawa!D34</f>
        <v>119242.17570670891</v>
      </c>
      <c r="D48">
        <f>Jawa!E34</f>
        <v>14647.34418078132</v>
      </c>
      <c r="E48">
        <f>Jawa!F34</f>
        <v>69382.128415747327</v>
      </c>
      <c r="F48">
        <f>Jawa!G34</f>
        <v>231.61892884102267</v>
      </c>
      <c r="G48">
        <f>Jawa!H34</f>
        <v>7818.1140184615379</v>
      </c>
      <c r="H48">
        <f>Jawa!I34</f>
        <v>20859.5988236177</v>
      </c>
      <c r="I48">
        <f>Jawa!J34</f>
        <v>102.69577107692311</v>
      </c>
      <c r="J48">
        <f>Jawa!K34</f>
        <v>9587.7574364298071</v>
      </c>
      <c r="K48">
        <f>Jawa!L34</f>
        <v>22381.739612596284</v>
      </c>
      <c r="L48">
        <f>Jawa!M34</f>
        <v>19.980886153846154</v>
      </c>
      <c r="M48">
        <f>Jawa!N34</f>
        <v>16.769732491592507</v>
      </c>
      <c r="N48">
        <f>Jawa!O34</f>
        <v>0</v>
      </c>
      <c r="O48">
        <f>Jawa!P34</f>
        <v>71.397953125769291</v>
      </c>
      <c r="P48">
        <f>Jawa!Q34</f>
        <v>264289.92351290624</v>
      </c>
      <c r="Q48">
        <f>Jawa!R34</f>
        <v>264290</v>
      </c>
      <c r="R48" s="45">
        <f>proj_rukn!C48</f>
        <v>264290</v>
      </c>
    </row>
    <row r="49" spans="1:18" x14ac:dyDescent="0.25">
      <c r="A49" t="str">
        <f>Jawa!B35</f>
        <v>JAWA</v>
      </c>
      <c r="B49">
        <f>Jawa!C35</f>
        <v>2026</v>
      </c>
      <c r="C49">
        <f>Jawa!D35</f>
        <v>119242.17570670891</v>
      </c>
      <c r="D49">
        <f>Jawa!E35</f>
        <v>16270.234148164996</v>
      </c>
      <c r="E49">
        <f>Jawa!F35</f>
        <v>80407.947865023933</v>
      </c>
      <c r="F49">
        <f>Jawa!G35</f>
        <v>242.11277463501054</v>
      </c>
      <c r="G49">
        <f>Jawa!H35</f>
        <v>7818.1140184615379</v>
      </c>
      <c r="H49">
        <f>Jawa!I35</f>
        <v>20859.5988236177</v>
      </c>
      <c r="I49">
        <f>Jawa!J35</f>
        <v>102.69577107692311</v>
      </c>
      <c r="J49">
        <f>Jawa!K35</f>
        <v>9587.7574364298071</v>
      </c>
      <c r="K49">
        <f>Jawa!L35</f>
        <v>27334.625991990033</v>
      </c>
      <c r="L49">
        <f>Jawa!M35</f>
        <v>19.980886153846154</v>
      </c>
      <c r="M49">
        <f>Jawa!N35</f>
        <v>16.769732491592507</v>
      </c>
      <c r="N49">
        <f>Jawa!O35</f>
        <v>0</v>
      </c>
      <c r="O49">
        <f>Jawa!P35</f>
        <v>76.717675448334205</v>
      </c>
      <c r="P49">
        <f>Jawa!Q35</f>
        <v>281902.01315475424</v>
      </c>
      <c r="Q49">
        <f>Jawa!R35</f>
        <v>281902</v>
      </c>
      <c r="R49" s="45">
        <f>proj_rukn!C49</f>
        <v>281902</v>
      </c>
    </row>
    <row r="50" spans="1:18" x14ac:dyDescent="0.25">
      <c r="A50" t="str">
        <f>Jawa!B36</f>
        <v>JAWA</v>
      </c>
      <c r="B50">
        <f>Jawa!C36</f>
        <v>2027</v>
      </c>
      <c r="C50">
        <f>Jawa!D36</f>
        <v>119242.17570670891</v>
      </c>
      <c r="D50">
        <f>Jawa!E36</f>
        <v>17919.45202564057</v>
      </c>
      <c r="E50">
        <f>Jawa!F36</f>
        <v>92083.155037476201</v>
      </c>
      <c r="F50">
        <f>Jawa!G36</f>
        <v>252.96359546492025</v>
      </c>
      <c r="G50">
        <f>Jawa!H36</f>
        <v>7818.1140184615379</v>
      </c>
      <c r="H50">
        <f>Jawa!I36</f>
        <v>20859.5988236177</v>
      </c>
      <c r="I50">
        <f>Jawa!J36</f>
        <v>102.69577107692311</v>
      </c>
      <c r="J50">
        <f>Jawa!K36</f>
        <v>9587.7574364298071</v>
      </c>
      <c r="K50">
        <f>Jawa!L36</f>
        <v>32644.348790270367</v>
      </c>
      <c r="L50">
        <f>Jawa!M36</f>
        <v>19.980886153846154</v>
      </c>
      <c r="M50">
        <f>Jawa!N36</f>
        <v>16.769732491592507</v>
      </c>
      <c r="N50">
        <f>Jawa!O36</f>
        <v>0</v>
      </c>
      <c r="O50">
        <f>Jawa!P36</f>
        <v>82.362601836268837</v>
      </c>
      <c r="P50">
        <f>Jawa!Q36</f>
        <v>300547.01182379236</v>
      </c>
      <c r="Q50">
        <f>Jawa!R36</f>
        <v>300547</v>
      </c>
      <c r="R50" s="45">
        <f>proj_rukn!C50</f>
        <v>300547</v>
      </c>
    </row>
    <row r="51" spans="1:18" x14ac:dyDescent="0.25">
      <c r="A51" t="str">
        <f>Jawa!B37</f>
        <v>JAWA</v>
      </c>
      <c r="B51">
        <f>Jawa!C37</f>
        <v>2028</v>
      </c>
      <c r="C51">
        <f>Jawa!D37</f>
        <v>119242.17570670891</v>
      </c>
      <c r="D51">
        <f>Jawa!E37</f>
        <v>19667.919743348022</v>
      </c>
      <c r="E51">
        <f>Jawa!F37</f>
        <v>103595.62207145841</v>
      </c>
      <c r="F51">
        <f>Jawa!G37</f>
        <v>263.3437444583364</v>
      </c>
      <c r="G51">
        <f>Jawa!H37</f>
        <v>7818.1140184615379</v>
      </c>
      <c r="H51">
        <f>Jawa!I37</f>
        <v>20859.5988236177</v>
      </c>
      <c r="I51">
        <f>Jawa!J37</f>
        <v>102.69577107692311</v>
      </c>
      <c r="J51">
        <f>Jawa!K37</f>
        <v>9587.7574364298071</v>
      </c>
      <c r="K51">
        <f>Jawa!L37</f>
        <v>38090.955370802367</v>
      </c>
      <c r="L51">
        <f>Jawa!M37</f>
        <v>19.980886153846154</v>
      </c>
      <c r="M51">
        <f>Jawa!N37</f>
        <v>16.769732491592507</v>
      </c>
      <c r="N51">
        <f>Jawa!O37</f>
        <v>0</v>
      </c>
      <c r="O51">
        <f>Jawa!P37</f>
        <v>88.05272854413424</v>
      </c>
      <c r="P51">
        <f>Jawa!Q37</f>
        <v>319264.93330500741</v>
      </c>
      <c r="Q51">
        <f>Jawa!R37</f>
        <v>319265</v>
      </c>
      <c r="R51" s="45">
        <f>proj_rukn!C51</f>
        <v>319265</v>
      </c>
    </row>
    <row r="52" spans="1:18" x14ac:dyDescent="0.25">
      <c r="A52" t="str">
        <f>Jawa!B38</f>
        <v>JAWA</v>
      </c>
      <c r="B52">
        <f>Jawa!C38</f>
        <v>2029</v>
      </c>
      <c r="C52">
        <f>Jawa!D38</f>
        <v>119242.17570670891</v>
      </c>
      <c r="D52">
        <f>Jawa!E38</f>
        <v>21579.493014710231</v>
      </c>
      <c r="E52">
        <f>Jawa!F38</f>
        <v>115769.74499082789</v>
      </c>
      <c r="F52">
        <f>Jawa!G38</f>
        <v>274.21625241337699</v>
      </c>
      <c r="G52">
        <f>Jawa!H38</f>
        <v>7818.1140184615379</v>
      </c>
      <c r="H52">
        <f>Jawa!I38</f>
        <v>20859.5988236177</v>
      </c>
      <c r="I52">
        <f>Jawa!J38</f>
        <v>102.69577107692311</v>
      </c>
      <c r="J52">
        <f>Jawa!K38</f>
        <v>9587.7574364298071</v>
      </c>
      <c r="K52">
        <f>Jawa!L38</f>
        <v>43960.294463983497</v>
      </c>
      <c r="L52">
        <f>Jawa!M38</f>
        <v>19.980886153846154</v>
      </c>
      <c r="M52">
        <f>Jawa!N38</f>
        <v>16.769732491592507</v>
      </c>
      <c r="N52">
        <f>Jawa!O38</f>
        <v>0</v>
      </c>
      <c r="O52">
        <f>Jawa!P38</f>
        <v>94.134100964663403</v>
      </c>
      <c r="P52">
        <f>Jawa!Q38</f>
        <v>339230.84109687526</v>
      </c>
      <c r="Q52">
        <f>Jawa!R38</f>
        <v>339231</v>
      </c>
      <c r="R52" s="45">
        <f>proj_rukn!C52</f>
        <v>339231</v>
      </c>
    </row>
    <row r="53" spans="1:18" x14ac:dyDescent="0.25">
      <c r="A53" t="str">
        <f>Jawa!B39</f>
        <v>JAWA</v>
      </c>
      <c r="B53">
        <f>Jawa!C39</f>
        <v>2030</v>
      </c>
      <c r="C53">
        <f>Jawa!D39</f>
        <v>119242.17570670891</v>
      </c>
      <c r="D53">
        <f>Jawa!E39</f>
        <v>23599.782986657403</v>
      </c>
      <c r="E53">
        <f>Jawa!F39</f>
        <v>128288.74543191583</v>
      </c>
      <c r="F53">
        <f>Jawa!G39</f>
        <v>285.15945552117557</v>
      </c>
      <c r="G53">
        <f>Jawa!H39</f>
        <v>7818.1140184615379</v>
      </c>
      <c r="H53">
        <f>Jawa!I39</f>
        <v>20859.5988236177</v>
      </c>
      <c r="I53">
        <f>Jawa!J39</f>
        <v>102.69577107692311</v>
      </c>
      <c r="J53">
        <f>Jawa!K39</f>
        <v>9587.7574364298071</v>
      </c>
      <c r="K53">
        <f>Jawa!L39</f>
        <v>50147.173274303466</v>
      </c>
      <c r="L53">
        <f>Jawa!M39</f>
        <v>19.980886153846154</v>
      </c>
      <c r="M53">
        <f>Jawa!N39</f>
        <v>16.769732491592507</v>
      </c>
      <c r="N53">
        <f>Jawa!O39</f>
        <v>0</v>
      </c>
      <c r="O53">
        <f>Jawa!P39</f>
        <v>100.46845994052939</v>
      </c>
      <c r="P53">
        <f>Jawa!Q39</f>
        <v>359967.95352333813</v>
      </c>
      <c r="Q53">
        <f>Jawa!R39</f>
        <v>359968</v>
      </c>
      <c r="R53" s="45">
        <f>proj_rukn!C53</f>
        <v>359968</v>
      </c>
    </row>
    <row r="54" spans="1:18" x14ac:dyDescent="0.25">
      <c r="A54" t="str">
        <f>Jawa!B40</f>
        <v>JAWA</v>
      </c>
      <c r="B54">
        <f>Jawa!C40</f>
        <v>2031</v>
      </c>
      <c r="C54">
        <f>Jawa!D40</f>
        <v>119242.17570670891</v>
      </c>
      <c r="D54">
        <f>Jawa!E40</f>
        <v>25733.058313981903</v>
      </c>
      <c r="E54">
        <f>Jawa!F40</f>
        <v>143126.1252817715</v>
      </c>
      <c r="F54">
        <f>Jawa!G40</f>
        <v>298.20887300164799</v>
      </c>
      <c r="G54">
        <f>Jawa!H40</f>
        <v>7818.1140184615379</v>
      </c>
      <c r="H54">
        <f>Jawa!I40</f>
        <v>20859.5988236177</v>
      </c>
      <c r="I54">
        <f>Jawa!J40</f>
        <v>102.69577107692311</v>
      </c>
      <c r="J54">
        <f>Jawa!K40</f>
        <v>9587.7574364298071</v>
      </c>
      <c r="K54">
        <f>Jawa!L40</f>
        <v>57318.524985542455</v>
      </c>
      <c r="L54">
        <f>Jawa!M40</f>
        <v>19.980886153846154</v>
      </c>
      <c r="M54">
        <f>Jawa!N40</f>
        <v>16.769732491592507</v>
      </c>
      <c r="N54">
        <f>Jawa!O40</f>
        <v>0</v>
      </c>
      <c r="O54">
        <f>Jawa!P40</f>
        <v>107.83984197991582</v>
      </c>
      <c r="P54">
        <f>Jawa!Q40</f>
        <v>384123.00982923777</v>
      </c>
      <c r="Q54">
        <f>Jawa!R40</f>
        <v>384123</v>
      </c>
      <c r="R54" s="45">
        <f>proj_rukn!C54</f>
        <v>384123</v>
      </c>
    </row>
    <row r="55" spans="1:18" x14ac:dyDescent="0.25">
      <c r="A55" t="str">
        <f>Jawa!B41</f>
        <v>JAWA</v>
      </c>
      <c r="B55">
        <f>Jawa!C41</f>
        <v>2032</v>
      </c>
      <c r="C55">
        <f>Jawa!D41</f>
        <v>119242.17570670891</v>
      </c>
      <c r="D55">
        <f>Jawa!E41</f>
        <v>27987.333508644351</v>
      </c>
      <c r="E55">
        <f>Jawa!F41</f>
        <v>158950.64547656078</v>
      </c>
      <c r="F55">
        <f>Jawa!G41</f>
        <v>311.9077002301529</v>
      </c>
      <c r="G55">
        <f>Jawa!H41</f>
        <v>7818.1140184615379</v>
      </c>
      <c r="H55">
        <f>Jawa!I41</f>
        <v>20859.5988236177</v>
      </c>
      <c r="I55">
        <f>Jawa!J41</f>
        <v>1157.7621578999763</v>
      </c>
      <c r="J55">
        <f>Jawa!K41</f>
        <v>9587.7574364298071</v>
      </c>
      <c r="K55">
        <f>Jawa!L41</f>
        <v>64015.999295232774</v>
      </c>
      <c r="L55">
        <f>Jawa!M41</f>
        <v>19.980886153846154</v>
      </c>
      <c r="M55">
        <f>Jawa!N41</f>
        <v>16.769732491592507</v>
      </c>
      <c r="N55">
        <f>Jawa!O41</f>
        <v>0</v>
      </c>
      <c r="O55">
        <f>Jawa!P41</f>
        <v>115.53268001639918</v>
      </c>
      <c r="P55">
        <f>Jawa!Q41</f>
        <v>409968.04474243132</v>
      </c>
      <c r="Q55">
        <f>Jawa!R41</f>
        <v>409968</v>
      </c>
      <c r="R55" s="45">
        <f>proj_rukn!C55</f>
        <v>409968</v>
      </c>
    </row>
    <row r="56" spans="1:18" x14ac:dyDescent="0.25">
      <c r="A56" t="str">
        <f>Jawa!B42</f>
        <v>JAWA</v>
      </c>
      <c r="B56">
        <f>Jawa!C42</f>
        <v>2033</v>
      </c>
      <c r="C56">
        <f>Jawa!D42</f>
        <v>123560.46194855974</v>
      </c>
      <c r="D56">
        <f>Jawa!E42</f>
        <v>29704.554869569161</v>
      </c>
      <c r="E56">
        <f>Jawa!F42</f>
        <v>170278.16334168814</v>
      </c>
      <c r="F56">
        <f>Jawa!G42</f>
        <v>324.38699271085466</v>
      </c>
      <c r="G56">
        <f>Jawa!H42</f>
        <v>8004.7709549680721</v>
      </c>
      <c r="H56">
        <f>Jawa!I42</f>
        <v>21849.890589635328</v>
      </c>
      <c r="I56">
        <f>Jawa!J42</f>
        <v>3295.917880987517</v>
      </c>
      <c r="J56">
        <f>Jawa!K42</f>
        <v>10652.382768249308</v>
      </c>
      <c r="K56">
        <f>Jawa!L42</f>
        <v>67364.736450077937</v>
      </c>
      <c r="L56">
        <f>Jawa!M42</f>
        <v>19.980886153846154</v>
      </c>
      <c r="M56">
        <f>Jawa!N42</f>
        <v>16.769732491592507</v>
      </c>
      <c r="N56">
        <f>Jawa!O42</f>
        <v>0</v>
      </c>
      <c r="O56">
        <f>Jawa!P42</f>
        <v>122.58834433547359</v>
      </c>
      <c r="P56">
        <f>Jawa!Q42</f>
        <v>435072.01641509152</v>
      </c>
      <c r="Q56">
        <f>Jawa!R42</f>
        <v>435072</v>
      </c>
      <c r="R56" s="45">
        <f>proj_rukn!C56</f>
        <v>435072</v>
      </c>
    </row>
    <row r="57" spans="1:18" x14ac:dyDescent="0.25">
      <c r="A57" t="str">
        <f>Jawa!B43</f>
        <v>JAWA</v>
      </c>
      <c r="B57">
        <f>Jawa!C43</f>
        <v>2034</v>
      </c>
      <c r="C57">
        <f>Jawa!D43</f>
        <v>130958.71545821294</v>
      </c>
      <c r="D57">
        <f>Jawa!E43</f>
        <v>32222.336737956633</v>
      </c>
      <c r="E57">
        <f>Jawa!F43</f>
        <v>180687.45785477519</v>
      </c>
      <c r="F57">
        <f>Jawa!G43</f>
        <v>339.32330292083179</v>
      </c>
      <c r="G57">
        <f>Jawa!H43</f>
        <v>8004.7709549680721</v>
      </c>
      <c r="H57">
        <f>Jawa!I43</f>
        <v>21849.890589635328</v>
      </c>
      <c r="I57">
        <f>Jawa!J43</f>
        <v>9166.1074683481584</v>
      </c>
      <c r="J57">
        <f>Jawa!K43</f>
        <v>12088.258694583725</v>
      </c>
      <c r="K57">
        <f>Jawa!L43</f>
        <v>69039.105027500496</v>
      </c>
      <c r="L57">
        <f>Jawa!M43</f>
        <v>19.980886153846154</v>
      </c>
      <c r="M57">
        <f>Jawa!N43</f>
        <v>16.769732491592507</v>
      </c>
      <c r="N57">
        <f>Jawa!O43</f>
        <v>0</v>
      </c>
      <c r="O57">
        <f>Jawa!P43</f>
        <v>130.42204477022807</v>
      </c>
      <c r="P57">
        <f>Jawa!Q43</f>
        <v>464392.71670754679</v>
      </c>
      <c r="Q57">
        <f>Jawa!R43</f>
        <v>464393</v>
      </c>
      <c r="R57" s="45">
        <f>proj_rukn!C57</f>
        <v>464393</v>
      </c>
    </row>
    <row r="58" spans="1:18" x14ac:dyDescent="0.25">
      <c r="A58" t="str">
        <f>Jawa!B44</f>
        <v>JAWA</v>
      </c>
      <c r="B58">
        <f>Jawa!C44</f>
        <v>2035</v>
      </c>
      <c r="C58">
        <f>Jawa!D44</f>
        <v>138223.4089069347</v>
      </c>
      <c r="D58">
        <f>Jawa!E44</f>
        <v>33374.979878610866</v>
      </c>
      <c r="E58">
        <f>Jawa!F44</f>
        <v>192365.54280038603</v>
      </c>
      <c r="F58">
        <f>Jawa!G44</f>
        <v>353.49066318875322</v>
      </c>
      <c r="G58">
        <f>Jawa!H44</f>
        <v>8427.5150167647826</v>
      </c>
      <c r="H58">
        <f>Jawa!I44</f>
        <v>24091.166954529574</v>
      </c>
      <c r="I58">
        <f>Jawa!J44</f>
        <v>13246.640783743844</v>
      </c>
      <c r="J58">
        <f>Jawa!K44</f>
        <v>13659.282063227291</v>
      </c>
      <c r="K58">
        <f>Jawa!L44</f>
        <v>69876.208066324398</v>
      </c>
      <c r="L58">
        <f>Jawa!M44</f>
        <v>19.980886153846154</v>
      </c>
      <c r="M58">
        <f>Jawa!N44</f>
        <v>16.769732491592507</v>
      </c>
      <c r="N58">
        <f>Jawa!O44</f>
        <v>0</v>
      </c>
      <c r="O58">
        <f>Jawa!P44</f>
        <v>138.10155544015873</v>
      </c>
      <c r="P58">
        <f>Jawa!Q44</f>
        <v>493654.9857523556</v>
      </c>
      <c r="Q58">
        <f>Jawa!R44</f>
        <v>493655</v>
      </c>
      <c r="R58" s="45">
        <f>proj_rukn!C58</f>
        <v>493655</v>
      </c>
    </row>
    <row r="59" spans="1:18" x14ac:dyDescent="0.25">
      <c r="A59" t="str">
        <f>Jawa!B45</f>
        <v>JAWA</v>
      </c>
      <c r="B59">
        <f>Jawa!C45</f>
        <v>2036</v>
      </c>
      <c r="C59">
        <f>Jawa!D45</f>
        <v>146322.81877937686</v>
      </c>
      <c r="D59">
        <f>Jawa!E45</f>
        <v>34136.784298758292</v>
      </c>
      <c r="E59">
        <f>Jawa!F45</f>
        <v>205926.38063137225</v>
      </c>
      <c r="F59">
        <f>Jawa!G45</f>
        <v>369.35811358272838</v>
      </c>
      <c r="G59">
        <f>Jawa!H45</f>
        <v>11352.898903724152</v>
      </c>
      <c r="H59">
        <f>Jawa!I45</f>
        <v>27135.535825264786</v>
      </c>
      <c r="I59">
        <f>Jawa!J45</f>
        <v>15286.907292794998</v>
      </c>
      <c r="J59">
        <f>Jawa!K45</f>
        <v>15478.649325355686</v>
      </c>
      <c r="K59">
        <f>Jawa!L45</f>
        <v>70294.840835623734</v>
      </c>
      <c r="L59">
        <f>Jawa!M45</f>
        <v>19.980886153846154</v>
      </c>
      <c r="M59">
        <f>Jawa!N45</f>
        <v>16.769732491592507</v>
      </c>
      <c r="N59">
        <f>Jawa!O45</f>
        <v>0</v>
      </c>
      <c r="O59">
        <f>Jawa!P45</f>
        <v>146.58958271954339</v>
      </c>
      <c r="P59">
        <f>Jawa!Q45</f>
        <v>526340.92462449893</v>
      </c>
      <c r="Q59">
        <f>Jawa!R45</f>
        <v>526341</v>
      </c>
      <c r="R59" s="45">
        <f>proj_rukn!C59</f>
        <v>526341</v>
      </c>
    </row>
    <row r="60" spans="1:18" x14ac:dyDescent="0.25">
      <c r="A60" t="str">
        <f>Jawa!B46</f>
        <v>JAWA</v>
      </c>
      <c r="B60">
        <f>Jawa!C46</f>
        <v>2037</v>
      </c>
      <c r="C60">
        <f>Jawa!D46</f>
        <v>154583.51229393459</v>
      </c>
      <c r="D60">
        <f>Jawa!E46</f>
        <v>36083.730032101077</v>
      </c>
      <c r="E60">
        <f>Jawa!F46</f>
        <v>218705.77752278018</v>
      </c>
      <c r="F60">
        <f>Jawa!G46</f>
        <v>385.17709904012628</v>
      </c>
      <c r="G60">
        <f>Jawa!H46</f>
        <v>17317.888601618055</v>
      </c>
      <c r="H60">
        <f>Jawa!I46</f>
        <v>28657.628298048847</v>
      </c>
      <c r="I60">
        <f>Jawa!J46</f>
        <v>16307.040547320576</v>
      </c>
      <c r="J60">
        <f>Jawa!K46</f>
        <v>17503.216551997004</v>
      </c>
      <c r="K60">
        <f>Jawa!L46</f>
        <v>70504.157220273424</v>
      </c>
      <c r="L60">
        <f>Jawa!M46</f>
        <v>19.980886153846154</v>
      </c>
      <c r="M60">
        <f>Jawa!N46</f>
        <v>16.769732491592507</v>
      </c>
      <c r="N60">
        <f>Jawa!O46</f>
        <v>3.5535819314058796E-15</v>
      </c>
      <c r="O60">
        <f>Jawa!P46</f>
        <v>155.33711493011856</v>
      </c>
      <c r="P60">
        <f>Jawa!Q46</f>
        <v>560084.87878575933</v>
      </c>
      <c r="Q60">
        <f>Jawa!R46</f>
        <v>560085</v>
      </c>
      <c r="R60" s="45">
        <f>proj_rukn!C60</f>
        <v>560085</v>
      </c>
    </row>
    <row r="61" spans="1:18" x14ac:dyDescent="0.25">
      <c r="A61" t="str">
        <f>Jawa!B47</f>
        <v>JAWA</v>
      </c>
      <c r="B61">
        <f>Jawa!C47</f>
        <v>2038</v>
      </c>
      <c r="C61">
        <f>Jawa!D47</f>
        <v>164094.54424240813</v>
      </c>
      <c r="D61">
        <f>Jawa!E47</f>
        <v>38709.759582208368</v>
      </c>
      <c r="E61">
        <f>Jawa!F47</f>
        <v>233019.92337795632</v>
      </c>
      <c r="F61">
        <f>Jawa!G47</f>
        <v>403.62312038918947</v>
      </c>
      <c r="G61">
        <f>Jawa!H47</f>
        <v>25889.755177293599</v>
      </c>
      <c r="H61">
        <f>Jawa!I47</f>
        <v>29418.766497024426</v>
      </c>
      <c r="I61">
        <f>Jawa!J47</f>
        <v>16817.107174583369</v>
      </c>
      <c r="J61">
        <f>Jawa!K47</f>
        <v>19885.840308768067</v>
      </c>
      <c r="K61">
        <f>Jawa!L47</f>
        <v>70608.81541259824</v>
      </c>
      <c r="L61">
        <f>Jawa!M47</f>
        <v>19.980886153846154</v>
      </c>
      <c r="M61">
        <f>Jawa!N47</f>
        <v>16.769732491592507</v>
      </c>
      <c r="N61">
        <f>Jawa!O47</f>
        <v>3.5535819314058796E-15</v>
      </c>
      <c r="O61">
        <f>Jawa!P47</f>
        <v>165.37914794444927</v>
      </c>
      <c r="P61">
        <f>Jawa!Q47</f>
        <v>598884.88551187515</v>
      </c>
      <c r="Q61">
        <f>Jawa!R47</f>
        <v>598885</v>
      </c>
      <c r="R61" s="45">
        <f>proj_rukn!C61</f>
        <v>598885</v>
      </c>
    </row>
    <row r="62" spans="1:18" x14ac:dyDescent="0.25">
      <c r="A62" t="str">
        <f>bali_nt!B28</f>
        <v>BALI_NT</v>
      </c>
      <c r="B62">
        <f>bali_nt!C28</f>
        <v>2019</v>
      </c>
      <c r="C62">
        <f>bali_nt!D28</f>
        <v>2518.3558298666662</v>
      </c>
      <c r="D62">
        <f>bali_nt!E28</f>
        <v>1974.5776102799998</v>
      </c>
      <c r="E62">
        <f>bali_nt!F28</f>
        <v>0</v>
      </c>
      <c r="F62">
        <f>bali_nt!G28</f>
        <v>2908.6453329230771</v>
      </c>
      <c r="G62">
        <f>bali_nt!H28</f>
        <v>159.63280615384616</v>
      </c>
      <c r="H62">
        <f>bali_nt!I28</f>
        <v>32.406878769230765</v>
      </c>
      <c r="I62">
        <f>bali_nt!J28</f>
        <v>94.705033846153867</v>
      </c>
      <c r="J62">
        <f>bali_nt!K28</f>
        <v>7.5975479999999997</v>
      </c>
      <c r="K62">
        <f>bali_nt!L28</f>
        <v>0</v>
      </c>
      <c r="L62">
        <f>bali_nt!M28</f>
        <v>0</v>
      </c>
      <c r="M62">
        <f>bali_nt!N28</f>
        <v>0</v>
      </c>
      <c r="N62">
        <f>bali_nt!O28</f>
        <v>0</v>
      </c>
      <c r="O62">
        <f>bali_nt!P28</f>
        <v>0</v>
      </c>
      <c r="P62">
        <f>bali_nt!Q28</f>
        <v>7695.9210398389732</v>
      </c>
      <c r="Q62">
        <f>bali_nt!R28</f>
        <v>8627</v>
      </c>
      <c r="R62" s="45">
        <f>proj_rukn!C62</f>
        <v>8627</v>
      </c>
    </row>
    <row r="63" spans="1:18" x14ac:dyDescent="0.25">
      <c r="A63" t="str">
        <f>bali_nt!B29</f>
        <v>BALI_NT</v>
      </c>
      <c r="B63">
        <f>bali_nt!C29</f>
        <v>2020</v>
      </c>
      <c r="C63">
        <f>bali_nt!D29</f>
        <v>2899.8280035289549</v>
      </c>
      <c r="D63">
        <f>bali_nt!E29</f>
        <v>1974.5776102799998</v>
      </c>
      <c r="E63">
        <f>bali_nt!F29</f>
        <v>0</v>
      </c>
      <c r="F63">
        <f>bali_nt!G29</f>
        <v>2908.6453329230771</v>
      </c>
      <c r="G63">
        <f>bali_nt!H29</f>
        <v>1015.0304280337114</v>
      </c>
      <c r="H63">
        <f>bali_nt!I29</f>
        <v>32.406878769230765</v>
      </c>
      <c r="I63">
        <f>bali_nt!J29</f>
        <v>94.705033846153867</v>
      </c>
      <c r="J63">
        <f>bali_nt!K29</f>
        <v>61.126000649853744</v>
      </c>
      <c r="K63">
        <f>bali_nt!L29</f>
        <v>0</v>
      </c>
      <c r="L63">
        <f>bali_nt!M29</f>
        <v>-9.9999999996031138E-7</v>
      </c>
      <c r="M63">
        <f>bali_nt!N29</f>
        <v>-9.9999999999395786E-7</v>
      </c>
      <c r="N63">
        <f>bali_nt!O29</f>
        <v>0</v>
      </c>
      <c r="O63">
        <f>bali_nt!P29</f>
        <v>2.223255640652912</v>
      </c>
      <c r="P63">
        <f>bali_nt!Q29</f>
        <v>8986.3192860309809</v>
      </c>
      <c r="Q63">
        <f>bali_nt!R29</f>
        <v>9253</v>
      </c>
      <c r="R63" s="45">
        <f>proj_rukn!C63</f>
        <v>9253</v>
      </c>
    </row>
    <row r="64" spans="1:18" x14ac:dyDescent="0.25">
      <c r="A64" t="str">
        <f>bali_nt!B30</f>
        <v>BALI_NT</v>
      </c>
      <c r="B64">
        <f>bali_nt!C30</f>
        <v>2021</v>
      </c>
      <c r="C64">
        <f>bali_nt!D30</f>
        <v>3267.373482611843</v>
      </c>
      <c r="D64">
        <f>bali_nt!E30</f>
        <v>1974.5776102799998</v>
      </c>
      <c r="E64">
        <f>bali_nt!F30</f>
        <v>95.804535673096822</v>
      </c>
      <c r="F64">
        <f>bali_nt!G30</f>
        <v>2908.6453279258335</v>
      </c>
      <c r="G64">
        <f>bali_nt!H30</f>
        <v>1015.0304215445728</v>
      </c>
      <c r="H64">
        <f>bali_nt!I30</f>
        <v>805.69071378829699</v>
      </c>
      <c r="I64">
        <f>bali_nt!J30</f>
        <v>94.705033846153867</v>
      </c>
      <c r="J64">
        <f>bali_nt!K30</f>
        <v>107.92558243087917</v>
      </c>
      <c r="K64">
        <f>bali_nt!L30</f>
        <v>0</v>
      </c>
      <c r="L64">
        <f>bali_nt!M30</f>
        <v>0</v>
      </c>
      <c r="M64">
        <f>bali_nt!N30</f>
        <v>3.5267823192441815E-14</v>
      </c>
      <c r="N64">
        <f>bali_nt!O30</f>
        <v>0</v>
      </c>
      <c r="O64">
        <f>bali_nt!P30</f>
        <v>2.5483635997876508</v>
      </c>
      <c r="P64">
        <f>bali_nt!Q30</f>
        <v>10269.752708100676</v>
      </c>
      <c r="Q64">
        <f>bali_nt!R30</f>
        <v>11683</v>
      </c>
      <c r="R64" s="45">
        <f>proj_rukn!C64</f>
        <v>11683</v>
      </c>
    </row>
    <row r="65" spans="1:18" x14ac:dyDescent="0.25">
      <c r="A65" t="str">
        <f>bali_nt!B31</f>
        <v>BALI_NT</v>
      </c>
      <c r="B65">
        <f>bali_nt!C31</f>
        <v>2022</v>
      </c>
      <c r="C65">
        <f>bali_nt!D31</f>
        <v>3583.7292001363339</v>
      </c>
      <c r="D65">
        <f>bali_nt!E31</f>
        <v>1974.577607290616</v>
      </c>
      <c r="E65">
        <f>bali_nt!F31</f>
        <v>381.69349716883045</v>
      </c>
      <c r="F65">
        <f>bali_nt!G31</f>
        <v>2908.6453279258335</v>
      </c>
      <c r="G65">
        <f>bali_nt!H31</f>
        <v>1015.0304215445728</v>
      </c>
      <c r="H65">
        <f>bali_nt!I31</f>
        <v>1324.3215391272506</v>
      </c>
      <c r="I65">
        <f>bali_nt!J31</f>
        <v>94.705033846153867</v>
      </c>
      <c r="J65">
        <f>bali_nt!K31</f>
        <v>144.41233154325573</v>
      </c>
      <c r="K65">
        <f>bali_nt!L31</f>
        <v>0</v>
      </c>
      <c r="L65">
        <f>bali_nt!M31</f>
        <v>0</v>
      </c>
      <c r="M65">
        <f>bali_nt!N31</f>
        <v>0</v>
      </c>
      <c r="N65">
        <f>bali_nt!O31</f>
        <v>0</v>
      </c>
      <c r="O65">
        <f>bali_nt!P31</f>
        <v>2.8403981562024549</v>
      </c>
      <c r="P65">
        <f>bali_nt!Q31</f>
        <v>11427.114958582848</v>
      </c>
      <c r="Q65">
        <f>bali_nt!R31</f>
        <v>12115</v>
      </c>
      <c r="R65" s="45">
        <f>proj_rukn!C65</f>
        <v>12115</v>
      </c>
    </row>
    <row r="66" spans="1:18" x14ac:dyDescent="0.25">
      <c r="A66" t="str">
        <f>bali_nt!B32</f>
        <v>BALI_NT</v>
      </c>
      <c r="B66">
        <f>bali_nt!C32</f>
        <v>2023</v>
      </c>
      <c r="C66">
        <f>bali_nt!D32</f>
        <v>3848.3241401054202</v>
      </c>
      <c r="D66">
        <f>bali_nt!E32</f>
        <v>1974.577607290616</v>
      </c>
      <c r="E66">
        <f>bali_nt!F32</f>
        <v>863.47722842257758</v>
      </c>
      <c r="F66">
        <f>bali_nt!G32</f>
        <v>2908.6453279258335</v>
      </c>
      <c r="G66">
        <f>bali_nt!H32</f>
        <v>1015.0304150554346</v>
      </c>
      <c r="H66">
        <f>bali_nt!I32</f>
        <v>1578.2878896430705</v>
      </c>
      <c r="I66">
        <f>bali_nt!J32</f>
        <v>94.705033846153867</v>
      </c>
      <c r="J66">
        <f>bali_nt!K32</f>
        <v>167.9523619247492</v>
      </c>
      <c r="K66">
        <f>bali_nt!L32</f>
        <v>0</v>
      </c>
      <c r="L66">
        <f>bali_nt!M32</f>
        <v>0</v>
      </c>
      <c r="M66">
        <f>bali_nt!N32</f>
        <v>0</v>
      </c>
      <c r="N66">
        <f>bali_nt!O32</f>
        <v>0</v>
      </c>
      <c r="O66">
        <f>bali_nt!P32</f>
        <v>3.097012570146672</v>
      </c>
      <c r="P66">
        <f>bali_nt!Q32</f>
        <v>12451.000004213854</v>
      </c>
      <c r="Q66">
        <f>bali_nt!R32</f>
        <v>12451</v>
      </c>
      <c r="R66" s="45">
        <f>proj_rukn!C66</f>
        <v>12451</v>
      </c>
    </row>
    <row r="67" spans="1:18" x14ac:dyDescent="0.25">
      <c r="A67" t="str">
        <f>bali_nt!B33</f>
        <v>BALI_NT</v>
      </c>
      <c r="B67">
        <f>bali_nt!C33</f>
        <v>2024</v>
      </c>
      <c r="C67">
        <f>bali_nt!D33</f>
        <v>3926.7227387329035</v>
      </c>
      <c r="D67">
        <f>bali_nt!E33</f>
        <v>1974.5776043012324</v>
      </c>
      <c r="E67">
        <f>bali_nt!F33</f>
        <v>921.81144112257869</v>
      </c>
      <c r="F67">
        <f>bali_nt!G33</f>
        <v>2908.6453279258335</v>
      </c>
      <c r="G67">
        <f>bali_nt!H33</f>
        <v>1015.0304150554346</v>
      </c>
      <c r="H67">
        <f>bali_nt!I33</f>
        <v>1578.2878896430705</v>
      </c>
      <c r="I67">
        <f>bali_nt!J33</f>
        <v>94.705033846153867</v>
      </c>
      <c r="J67">
        <f>bali_nt!K33</f>
        <v>195.26130773574505</v>
      </c>
      <c r="K67">
        <f>bali_nt!L33</f>
        <v>0</v>
      </c>
      <c r="L67">
        <f>bali_nt!M33</f>
        <v>278.95823708626642</v>
      </c>
      <c r="M67">
        <f>bali_nt!N33</f>
        <v>0</v>
      </c>
      <c r="N67">
        <f>bali_nt!O33</f>
        <v>0</v>
      </c>
      <c r="O67">
        <f>bali_nt!P33</f>
        <v>3.2114507358944389</v>
      </c>
      <c r="P67">
        <f>bali_nt!Q33</f>
        <v>12893.99999544922</v>
      </c>
      <c r="Q67">
        <f>bali_nt!R33</f>
        <v>12894</v>
      </c>
      <c r="R67" s="45">
        <f>proj_rukn!C67</f>
        <v>12894</v>
      </c>
    </row>
    <row r="68" spans="1:18" x14ac:dyDescent="0.25">
      <c r="A68" t="str">
        <f>bali_nt!B34</f>
        <v>BALI_NT</v>
      </c>
      <c r="B68">
        <f>bali_nt!C34</f>
        <v>2025</v>
      </c>
      <c r="C68">
        <f>bali_nt!D34</f>
        <v>4042.2000000002458</v>
      </c>
      <c r="D68">
        <f>bali_nt!E34</f>
        <v>1974.5776013118486</v>
      </c>
      <c r="E68">
        <f>bali_nt!F34</f>
        <v>1126.6016689413041</v>
      </c>
      <c r="F68">
        <f>bali_nt!G34</f>
        <v>2908.6453279258335</v>
      </c>
      <c r="G68">
        <f>bali_nt!H34</f>
        <v>1015.0304150554346</v>
      </c>
      <c r="H68">
        <f>bali_nt!I34</f>
        <v>1578.287885203772</v>
      </c>
      <c r="I68">
        <f>bali_nt!J34</f>
        <v>94.705033846153867</v>
      </c>
      <c r="J68">
        <f>bali_nt!K34</f>
        <v>221.86412965842365</v>
      </c>
      <c r="K68">
        <f>bali_nt!L34</f>
        <v>0</v>
      </c>
      <c r="L68">
        <f>bali_nt!M34</f>
        <v>512.08793805745188</v>
      </c>
      <c r="M68">
        <f>bali_nt!N34</f>
        <v>0</v>
      </c>
      <c r="N68">
        <f>bali_nt!O34</f>
        <v>0</v>
      </c>
      <c r="O68">
        <f>bali_nt!P34</f>
        <v>3.3594571408534759</v>
      </c>
      <c r="P68">
        <f>bali_nt!Q34</f>
        <v>13474.000000000467</v>
      </c>
      <c r="Q68">
        <f>bali_nt!R34</f>
        <v>13474</v>
      </c>
      <c r="R68" s="45">
        <f>proj_rukn!C68</f>
        <v>13474</v>
      </c>
    </row>
    <row r="69" spans="1:18" x14ac:dyDescent="0.25">
      <c r="A69" t="str">
        <f>bali_nt!B35</f>
        <v>BALI_NT</v>
      </c>
      <c r="B69">
        <f>bali_nt!C35</f>
        <v>2026</v>
      </c>
      <c r="C69">
        <f>bali_nt!D35</f>
        <v>4219.9779993601369</v>
      </c>
      <c r="D69">
        <f>bali_nt!E35</f>
        <v>1974.5776013118486</v>
      </c>
      <c r="E69">
        <f>bali_nt!F35</f>
        <v>1423.3027671815346</v>
      </c>
      <c r="F69">
        <f>bali_nt!G35</f>
        <v>2908.6453279258335</v>
      </c>
      <c r="G69">
        <f>bali_nt!H35</f>
        <v>1015.030408566296</v>
      </c>
      <c r="H69">
        <f>bali_nt!I35</f>
        <v>1578.287885203772</v>
      </c>
      <c r="I69">
        <f>bali_nt!J35</f>
        <v>94.705033846153867</v>
      </c>
      <c r="J69">
        <f>bali_nt!K35</f>
        <v>247.42508880223099</v>
      </c>
      <c r="K69">
        <f>bali_nt!L35</f>
        <v>0</v>
      </c>
      <c r="L69">
        <f>bali_nt!M35</f>
        <v>699.0478925431363</v>
      </c>
      <c r="M69">
        <f>bali_nt!N35</f>
        <v>0</v>
      </c>
      <c r="N69">
        <f>bali_nt!O35</f>
        <v>0</v>
      </c>
      <c r="O69">
        <f>bali_nt!P35</f>
        <v>3.5335834269133541</v>
      </c>
      <c r="P69">
        <f>bali_nt!Q35</f>
        <v>14161.000004740941</v>
      </c>
      <c r="Q69">
        <f>bali_nt!R35</f>
        <v>14161</v>
      </c>
      <c r="R69" s="45">
        <f>proj_rukn!C69</f>
        <v>14161</v>
      </c>
    </row>
    <row r="70" spans="1:18" x14ac:dyDescent="0.25">
      <c r="A70" t="str">
        <f>bali_nt!B36</f>
        <v>BALI_NT</v>
      </c>
      <c r="B70">
        <f>bali_nt!C36</f>
        <v>2027</v>
      </c>
      <c r="C70">
        <f>bali_nt!D36</f>
        <v>4382.57599922595</v>
      </c>
      <c r="D70">
        <f>bali_nt!E36</f>
        <v>2250.816880823917</v>
      </c>
      <c r="E70">
        <f>bali_nt!F36</f>
        <v>1423.3027644140486</v>
      </c>
      <c r="F70">
        <f>bali_nt!G36</f>
        <v>2908.6453279258335</v>
      </c>
      <c r="G70">
        <f>bali_nt!H36</f>
        <v>1015.030408566296</v>
      </c>
      <c r="H70">
        <f>bali_nt!I36</f>
        <v>1578.2878807644734</v>
      </c>
      <c r="I70">
        <f>bali_nt!J36</f>
        <v>94.705033846153867</v>
      </c>
      <c r="J70">
        <f>bali_nt!K36</f>
        <v>274.53292299380348</v>
      </c>
      <c r="K70">
        <f>bali_nt!L36</f>
        <v>0</v>
      </c>
      <c r="L70">
        <f>bali_nt!M36</f>
        <v>878.1027830776012</v>
      </c>
      <c r="M70">
        <f>bali_nt!N36</f>
        <v>0</v>
      </c>
      <c r="N70">
        <f>bali_nt!O36</f>
        <v>0</v>
      </c>
      <c r="O70">
        <f>bali_nt!P36</f>
        <v>3.6976836413446681</v>
      </c>
      <c r="P70">
        <f>bali_nt!Q36</f>
        <v>14806.000001638078</v>
      </c>
      <c r="Q70">
        <f>bali_nt!R36</f>
        <v>14806</v>
      </c>
      <c r="R70" s="45">
        <f>proj_rukn!C70</f>
        <v>14806</v>
      </c>
    </row>
    <row r="71" spans="1:18" x14ac:dyDescent="0.25">
      <c r="A71" t="str">
        <f>bali_nt!B37</f>
        <v>BALI_NT</v>
      </c>
      <c r="B71">
        <f>bali_nt!C37</f>
        <v>2028</v>
      </c>
      <c r="C71">
        <f>bali_nt!D37</f>
        <v>4569.6420020503992</v>
      </c>
      <c r="D71">
        <f>bali_nt!E37</f>
        <v>2637.6080898181649</v>
      </c>
      <c r="E71">
        <f>bali_nt!F37</f>
        <v>1423.3027616465624</v>
      </c>
      <c r="F71">
        <f>bali_nt!G37</f>
        <v>2908.6453279258335</v>
      </c>
      <c r="G71">
        <f>bali_nt!H37</f>
        <v>1015.0304020771576</v>
      </c>
      <c r="H71">
        <f>bali_nt!I37</f>
        <v>1578.2878807644734</v>
      </c>
      <c r="I71">
        <f>bali_nt!J37</f>
        <v>94.705033846153867</v>
      </c>
      <c r="J71">
        <f>bali_nt!K37</f>
        <v>300.50429086024525</v>
      </c>
      <c r="K71">
        <f>bali_nt!L37</f>
        <v>0</v>
      </c>
      <c r="L71">
        <f>bali_nt!M37</f>
        <v>1015.2742119073205</v>
      </c>
      <c r="M71">
        <f>bali_nt!N37</f>
        <v>0</v>
      </c>
      <c r="N71">
        <f>bali_nt!O37</f>
        <v>0</v>
      </c>
      <c r="O71">
        <f>bali_nt!P37</f>
        <v>3.8841941494074348</v>
      </c>
      <c r="P71">
        <f>bali_nt!Q37</f>
        <v>15543.000000896311</v>
      </c>
      <c r="Q71">
        <f>bali_nt!R37</f>
        <v>15543</v>
      </c>
      <c r="R71" s="45">
        <f>proj_rukn!C71</f>
        <v>15543</v>
      </c>
    </row>
    <row r="72" spans="1:18" x14ac:dyDescent="0.25">
      <c r="A72" t="str">
        <f>bali_nt!B38</f>
        <v>BALI_NT</v>
      </c>
      <c r="B72">
        <f>bali_nt!C38</f>
        <v>2029</v>
      </c>
      <c r="C72">
        <f>bali_nt!D38</f>
        <v>4758.7239966287489</v>
      </c>
      <c r="D72">
        <f>bali_nt!E38</f>
        <v>2637.6080898181649</v>
      </c>
      <c r="E72">
        <f>bali_nt!F38</f>
        <v>1667.5617197371885</v>
      </c>
      <c r="F72">
        <f>bali_nt!G38</f>
        <v>2908.6453279258335</v>
      </c>
      <c r="G72">
        <f>bali_nt!H38</f>
        <v>1015.030395588019</v>
      </c>
      <c r="H72">
        <f>bali_nt!I38</f>
        <v>1578.2878763251749</v>
      </c>
      <c r="I72">
        <f>bali_nt!J38</f>
        <v>94.705033846153867</v>
      </c>
      <c r="J72">
        <f>bali_nt!K38</f>
        <v>340.79982359043089</v>
      </c>
      <c r="K72">
        <f>bali_nt!L38</f>
        <v>0</v>
      </c>
      <c r="L72">
        <f>bali_nt!M38</f>
        <v>1295.6377295773686</v>
      </c>
      <c r="M72">
        <f>bali_nt!N38</f>
        <v>0</v>
      </c>
      <c r="N72">
        <f>bali_nt!O38</f>
        <v>0</v>
      </c>
      <c r="O72">
        <f>bali_nt!P38</f>
        <v>4.077739875837386</v>
      </c>
      <c r="P72">
        <f>bali_nt!Q38</f>
        <v>16296.999993037083</v>
      </c>
      <c r="Q72">
        <f>bali_nt!R38</f>
        <v>16297</v>
      </c>
      <c r="R72" s="45">
        <f>proj_rukn!C72</f>
        <v>16297</v>
      </c>
    </row>
    <row r="73" spans="1:18" x14ac:dyDescent="0.25">
      <c r="A73" t="str">
        <f>bali_nt!B39</f>
        <v>BALI_NT</v>
      </c>
      <c r="B73">
        <f>bali_nt!C39</f>
        <v>2030</v>
      </c>
      <c r="C73">
        <f>bali_nt!D39</f>
        <v>4961.6099988157221</v>
      </c>
      <c r="D73">
        <f>bali_nt!E39</f>
        <v>3228.1448852786007</v>
      </c>
      <c r="E73">
        <f>bali_nt!F39</f>
        <v>1667.5617197371885</v>
      </c>
      <c r="F73">
        <f>bali_nt!G39</f>
        <v>2908.6453279258335</v>
      </c>
      <c r="G73">
        <f>bali_nt!H39</f>
        <v>1015.0303890988806</v>
      </c>
      <c r="H73">
        <f>bali_nt!I39</f>
        <v>1578.2878763251749</v>
      </c>
      <c r="I73">
        <f>bali_nt!J39</f>
        <v>94.705033846153867</v>
      </c>
      <c r="J73">
        <f>bali_nt!K39</f>
        <v>359.37705071050607</v>
      </c>
      <c r="K73">
        <f>bali_nt!L39</f>
        <v>0</v>
      </c>
      <c r="L73">
        <f>bali_nt!M39</f>
        <v>1295.6377270797577</v>
      </c>
      <c r="M73">
        <f>bali_nt!N39</f>
        <v>0</v>
      </c>
      <c r="N73">
        <f>bali_nt!O39</f>
        <v>0</v>
      </c>
      <c r="O73">
        <f>bali_nt!P39</f>
        <v>4.2812317409254304</v>
      </c>
      <c r="P73">
        <f>bali_nt!Q39</f>
        <v>17109.000008817817</v>
      </c>
      <c r="Q73">
        <f>bali_nt!R39</f>
        <v>17109</v>
      </c>
      <c r="R73" s="45">
        <f>proj_rukn!C73</f>
        <v>17109</v>
      </c>
    </row>
    <row r="74" spans="1:18" x14ac:dyDescent="0.25">
      <c r="A74" t="str">
        <f>bali_nt!B40</f>
        <v>BALI_NT</v>
      </c>
      <c r="B74">
        <f>bali_nt!C40</f>
        <v>2031</v>
      </c>
      <c r="C74">
        <f>bali_nt!D40</f>
        <v>5214.2399999994559</v>
      </c>
      <c r="D74">
        <f>bali_nt!E40</f>
        <v>3567.1910231496959</v>
      </c>
      <c r="E74">
        <f>bali_nt!F40</f>
        <v>1903.1576489251192</v>
      </c>
      <c r="F74">
        <f>bali_nt!G40</f>
        <v>2908.6453279258335</v>
      </c>
      <c r="G74">
        <f>bali_nt!H40</f>
        <v>1015.0303890988806</v>
      </c>
      <c r="H74">
        <f>bali_nt!I40</f>
        <v>1578.2878763251749</v>
      </c>
      <c r="I74">
        <f>bali_nt!J40</f>
        <v>94.705033846153867</v>
      </c>
      <c r="J74">
        <f>bali_nt!K40</f>
        <v>392.00586899195957</v>
      </c>
      <c r="K74">
        <f>bali_nt!L40</f>
        <v>0</v>
      </c>
      <c r="L74">
        <f>bali_nt!M40</f>
        <v>1431.7368317367582</v>
      </c>
      <c r="M74">
        <f>bali_nt!N40</f>
        <v>0</v>
      </c>
      <c r="N74">
        <f>bali_nt!O40</f>
        <v>0</v>
      </c>
      <c r="O74">
        <f>bali_nt!P40</f>
        <v>4.5327948880553706</v>
      </c>
      <c r="P74">
        <f>bali_nt!Q40</f>
        <v>18104.999999999032</v>
      </c>
      <c r="Q74">
        <f>bali_nt!R40</f>
        <v>18105</v>
      </c>
      <c r="R74" s="45">
        <f>proj_rukn!C74</f>
        <v>18105</v>
      </c>
    </row>
    <row r="75" spans="1:18" x14ac:dyDescent="0.25">
      <c r="A75" t="str">
        <f>bali_nt!B41</f>
        <v>BALI_NT</v>
      </c>
      <c r="B75">
        <f>bali_nt!C41</f>
        <v>2032</v>
      </c>
      <c r="C75">
        <f>bali_nt!D41</f>
        <v>5481.4759999407661</v>
      </c>
      <c r="D75">
        <f>bali_nt!E41</f>
        <v>4035.2226266133616</v>
      </c>
      <c r="E75">
        <f>bali_nt!F41</f>
        <v>1903.1576489251192</v>
      </c>
      <c r="F75">
        <f>bali_nt!G41</f>
        <v>2908.6453279258335</v>
      </c>
      <c r="G75">
        <f>bali_nt!H41</f>
        <v>1015.0303890988806</v>
      </c>
      <c r="H75">
        <f>bali_nt!I41</f>
        <v>1777.5805724249462</v>
      </c>
      <c r="I75">
        <f>bali_nt!J41</f>
        <v>94.705033846153867</v>
      </c>
      <c r="J75">
        <f>bali_nt!K41</f>
        <v>441.32256658971232</v>
      </c>
      <c r="K75">
        <f>bali_nt!L41</f>
        <v>0</v>
      </c>
      <c r="L75">
        <f>bali_nt!M41</f>
        <v>1508.8598350991485</v>
      </c>
      <c r="M75">
        <f>bali_nt!N41</f>
        <v>0</v>
      </c>
      <c r="N75">
        <f>bali_nt!O41</f>
        <v>0</v>
      </c>
      <c r="O75">
        <f>bali_nt!P41</f>
        <v>4.803674342711024</v>
      </c>
      <c r="P75">
        <f>bali_nt!Q41</f>
        <v>19166.000000463919</v>
      </c>
      <c r="Q75">
        <f>bali_nt!R41</f>
        <v>19166</v>
      </c>
      <c r="R75" s="45">
        <f>proj_rukn!C75</f>
        <v>19166</v>
      </c>
    </row>
    <row r="76" spans="1:18" x14ac:dyDescent="0.25">
      <c r="A76" t="str">
        <f>bali_nt!B42</f>
        <v>BALI_NT</v>
      </c>
      <c r="B76">
        <f>bali_nt!C42</f>
        <v>2033</v>
      </c>
      <c r="C76">
        <f>bali_nt!D42</f>
        <v>5709.82</v>
      </c>
      <c r="D76">
        <f>bali_nt!E42</f>
        <v>4035.2226266133616</v>
      </c>
      <c r="E76">
        <f>bali_nt!F42</f>
        <v>2312.47405045805</v>
      </c>
      <c r="F76">
        <f>bali_nt!G42</f>
        <v>2908.6453229285908</v>
      </c>
      <c r="G76">
        <f>bali_nt!H42</f>
        <v>1015.0303826097422</v>
      </c>
      <c r="H76">
        <f>bali_nt!I42</f>
        <v>1989.4269370280676</v>
      </c>
      <c r="I76">
        <f>bali_nt!J42</f>
        <v>94.705033846153867</v>
      </c>
      <c r="J76">
        <f>bali_nt!K42</f>
        <v>492.25430973569343</v>
      </c>
      <c r="K76">
        <f>bali_nt!L42</f>
        <v>0</v>
      </c>
      <c r="L76">
        <f>bali_nt!M42</f>
        <v>1547.4213367803436</v>
      </c>
      <c r="M76">
        <f>bali_nt!N42</f>
        <v>0</v>
      </c>
      <c r="N76">
        <f>bali_nt!O42</f>
        <v>0</v>
      </c>
      <c r="O76">
        <f>bali_nt!P42</f>
        <v>5.0448573043513996</v>
      </c>
      <c r="P76">
        <f>bali_nt!Q42</f>
        <v>20105</v>
      </c>
      <c r="Q76">
        <f>bali_nt!R42</f>
        <v>20105</v>
      </c>
      <c r="R76" s="45">
        <f>proj_rukn!C76</f>
        <v>20105</v>
      </c>
    </row>
    <row r="77" spans="1:18" x14ac:dyDescent="0.25">
      <c r="A77" t="str">
        <f>bali_nt!B43</f>
        <v>BALI_NT</v>
      </c>
      <c r="B77">
        <f>bali_nt!C43</f>
        <v>2034</v>
      </c>
      <c r="C77">
        <f>bali_nt!D43</f>
        <v>6004.6259972240487</v>
      </c>
      <c r="D77">
        <f>bali_nt!E43</f>
        <v>4556.6262140405288</v>
      </c>
      <c r="E77">
        <f>bali_nt!F43</f>
        <v>2312.47405045805</v>
      </c>
      <c r="F77">
        <f>bali_nt!G43</f>
        <v>2908.6453229285908</v>
      </c>
      <c r="G77">
        <f>bali_nt!H43</f>
        <v>1015.0303761206039</v>
      </c>
      <c r="H77">
        <f>bali_nt!I43</f>
        <v>2279.9290015081747</v>
      </c>
      <c r="I77">
        <f>bali_nt!J43</f>
        <v>94.705033846153867</v>
      </c>
      <c r="J77">
        <f>bali_nt!K43</f>
        <v>554.26189867396806</v>
      </c>
      <c r="K77">
        <f>bali_nt!L43</f>
        <v>0</v>
      </c>
      <c r="L77">
        <f>bali_nt!M43</f>
        <v>1566.702087620941</v>
      </c>
      <c r="M77">
        <f>bali_nt!N43</f>
        <v>0</v>
      </c>
      <c r="N77">
        <f>bali_nt!O43</f>
        <v>0</v>
      </c>
      <c r="O77">
        <f>bali_nt!P43</f>
        <v>5.3495122380546807</v>
      </c>
      <c r="P77">
        <f>bali_nt!Q43</f>
        <v>21292.999982421061</v>
      </c>
      <c r="Q77">
        <f>bali_nt!R43</f>
        <v>21293</v>
      </c>
      <c r="R77" s="45">
        <f>proj_rukn!C77</f>
        <v>21293</v>
      </c>
    </row>
    <row r="78" spans="1:18" x14ac:dyDescent="0.25">
      <c r="A78" t="str">
        <f>bali_nt!B44</f>
        <v>BALI_NT</v>
      </c>
      <c r="B78">
        <f>bali_nt!C44</f>
        <v>2035</v>
      </c>
      <c r="C78">
        <f>bali_nt!D44</f>
        <v>6284.8799966459128</v>
      </c>
      <c r="D78">
        <f>bali_nt!E44</f>
        <v>4556.6262110511443</v>
      </c>
      <c r="E78">
        <f>bali_nt!F44</f>
        <v>2814.9964660381015</v>
      </c>
      <c r="F78">
        <f>bali_nt!G44</f>
        <v>2908.6453229285908</v>
      </c>
      <c r="G78">
        <f>bali_nt!H44</f>
        <v>1047.5013077356809</v>
      </c>
      <c r="H78">
        <f>bali_nt!I44</f>
        <v>2541.2290601387031</v>
      </c>
      <c r="I78">
        <f>bali_nt!J44</f>
        <v>94.705033846153867</v>
      </c>
      <c r="J78">
        <f>bali_nt!K44</f>
        <v>621.07414288402788</v>
      </c>
      <c r="K78">
        <f>bali_nt!L44</f>
        <v>0</v>
      </c>
      <c r="L78">
        <f>bali_nt!M44</f>
        <v>1576.3424630412396</v>
      </c>
      <c r="M78">
        <f>bali_nt!N44</f>
        <v>-9.9999999998350272E-7</v>
      </c>
      <c r="N78">
        <f>bali_nt!O44</f>
        <v>0</v>
      </c>
      <c r="O78">
        <f>bali_nt!P44</f>
        <v>5.6465121828289506</v>
      </c>
      <c r="P78">
        <f>bali_nt!Q44</f>
        <v>22446.000003309553</v>
      </c>
      <c r="Q78">
        <f>bali_nt!R44</f>
        <v>22446</v>
      </c>
      <c r="R78" s="45">
        <f>proj_rukn!C78</f>
        <v>22446</v>
      </c>
    </row>
    <row r="79" spans="1:18" x14ac:dyDescent="0.25">
      <c r="A79" t="str">
        <f>bali_nt!B45</f>
        <v>BALI_NT</v>
      </c>
      <c r="B79">
        <f>bali_nt!C45</f>
        <v>2036</v>
      </c>
      <c r="C79">
        <f>bali_nt!D45</f>
        <v>6581.9280001824955</v>
      </c>
      <c r="D79">
        <f>bali_nt!E45</f>
        <v>5091.5550071652933</v>
      </c>
      <c r="E79">
        <f>bali_nt!F45</f>
        <v>2814.9964660381015</v>
      </c>
      <c r="F79">
        <f>bali_nt!G45</f>
        <v>2908.6453229285908</v>
      </c>
      <c r="G79">
        <f>bali_nt!H45</f>
        <v>1234.8637678815467</v>
      </c>
      <c r="H79">
        <f>bali_nt!I45</f>
        <v>2671.8790894539666</v>
      </c>
      <c r="I79">
        <f>bali_nt!J45</f>
        <v>94.705033846153867</v>
      </c>
      <c r="J79">
        <f>bali_nt!K45</f>
        <v>696.26465301953135</v>
      </c>
      <c r="K79">
        <f>bali_nt!L45</f>
        <v>0</v>
      </c>
      <c r="L79">
        <f>bali_nt!M45</f>
        <v>1581.162650751389</v>
      </c>
      <c r="M79">
        <f>bali_nt!N45</f>
        <v>0</v>
      </c>
      <c r="N79">
        <f>bali_nt!O45</f>
        <v>0</v>
      </c>
      <c r="O79">
        <f>bali_nt!P45</f>
        <v>5.9641263317278739</v>
      </c>
      <c r="P79">
        <f>bali_nt!Q45</f>
        <v>23675.999991267068</v>
      </c>
      <c r="Q79">
        <f>bali_nt!R45</f>
        <v>23676</v>
      </c>
      <c r="R79" s="45">
        <f>proj_rukn!C79</f>
        <v>23676</v>
      </c>
    </row>
    <row r="80" spans="1:18" x14ac:dyDescent="0.25">
      <c r="A80" t="str">
        <f>bali_nt!B46</f>
        <v>BALI_NT</v>
      </c>
      <c r="B80">
        <f>bali_nt!C46</f>
        <v>2037</v>
      </c>
      <c r="C80">
        <f>bali_nt!D46</f>
        <v>6894.2039999999988</v>
      </c>
      <c r="D80">
        <f>bali_nt!E46</f>
        <v>5091.5550071652933</v>
      </c>
      <c r="E80">
        <f>bali_nt!F46</f>
        <v>3380.2320749033629</v>
      </c>
      <c r="F80">
        <f>bali_nt!G46</f>
        <v>2908.6453179313476</v>
      </c>
      <c r="G80">
        <f>bali_nt!H46</f>
        <v>1508.26228907154</v>
      </c>
      <c r="H80">
        <f>bali_nt!I46</f>
        <v>2737.2041041115986</v>
      </c>
      <c r="I80">
        <f>bali_nt!J46</f>
        <v>94.705033846153867</v>
      </c>
      <c r="J80">
        <f>bali_nt!K46</f>
        <v>780.61942836424282</v>
      </c>
      <c r="K80">
        <f>bali_nt!L46</f>
        <v>0</v>
      </c>
      <c r="L80">
        <f>bali_nt!M46</f>
        <v>1583.5727446064636</v>
      </c>
      <c r="M80">
        <f>bali_nt!N46</f>
        <v>0</v>
      </c>
      <c r="N80">
        <f>bali_nt!O46</f>
        <v>0</v>
      </c>
      <c r="O80">
        <f>bali_nt!P46</f>
        <v>6.3015270134911407</v>
      </c>
      <c r="P80">
        <f>bali_nt!Q46</f>
        <v>24979</v>
      </c>
      <c r="Q80">
        <f>bali_nt!R46</f>
        <v>24979</v>
      </c>
      <c r="R80" s="45">
        <f>proj_rukn!C80</f>
        <v>24979</v>
      </c>
    </row>
    <row r="81" spans="1:18" x14ac:dyDescent="0.25">
      <c r="A81" t="str">
        <f>bali_nt!B47</f>
        <v>BALI_NT</v>
      </c>
      <c r="B81">
        <f>bali_nt!C47</f>
        <v>2038</v>
      </c>
      <c r="C81">
        <f>bali_nt!D47</f>
        <v>7262.0960000000023</v>
      </c>
      <c r="D81">
        <f>bali_nt!E47</f>
        <v>5754.5402121625302</v>
      </c>
      <c r="E81">
        <f>bali_nt!F47</f>
        <v>3380.2320749033629</v>
      </c>
      <c r="F81">
        <f>bali_nt!G47</f>
        <v>2908.6453129341048</v>
      </c>
      <c r="G81">
        <f>bali_nt!H47</f>
        <v>1869.0769593352832</v>
      </c>
      <c r="H81">
        <f>bali_nt!I47</f>
        <v>2769.8666114404145</v>
      </c>
      <c r="I81">
        <f>bali_nt!J47</f>
        <v>94.705033846153867</v>
      </c>
      <c r="J81">
        <f>bali_nt!K47</f>
        <v>880.06000384414835</v>
      </c>
      <c r="K81">
        <f>bali_nt!L47</f>
        <v>0</v>
      </c>
      <c r="L81">
        <f>bali_nt!M47</f>
        <v>1584.7777915340012</v>
      </c>
      <c r="M81">
        <f>bali_nt!N47</f>
        <v>3.5267823192441815E-14</v>
      </c>
      <c r="N81">
        <f>bali_nt!O47</f>
        <v>0</v>
      </c>
      <c r="O81">
        <f>bali_nt!P47</f>
        <v>6.6965548221978457</v>
      </c>
      <c r="P81">
        <f>bali_nt!Q47</f>
        <v>26504</v>
      </c>
      <c r="Q81">
        <f>bali_nt!R47</f>
        <v>26504</v>
      </c>
      <c r="R81" s="45">
        <f>proj_rukn!C81</f>
        <v>26504</v>
      </c>
    </row>
    <row r="82" spans="1:18" x14ac:dyDescent="0.25">
      <c r="A82" t="str">
        <f>kalimantan!B28</f>
        <v>KALIMANTAN</v>
      </c>
      <c r="B82">
        <f>kalimantan!C28</f>
        <v>2019</v>
      </c>
      <c r="C82">
        <f>kalimantan!D28</f>
        <v>11882.833906666667</v>
      </c>
      <c r="D82">
        <f>kalimantan!E28</f>
        <v>1599.4099568953845</v>
      </c>
      <c r="E82">
        <f>kalimantan!F28</f>
        <v>166.04916923076922</v>
      </c>
      <c r="F82">
        <f>kalimantan!G28</f>
        <v>8618.5952174769227</v>
      </c>
      <c r="G82">
        <f>kalimantan!H28</f>
        <v>0</v>
      </c>
      <c r="H82">
        <f>kalimantan!I28</f>
        <v>1173.1734044307691</v>
      </c>
      <c r="I82">
        <f>kalimantan!J28</f>
        <v>20.479963569230772</v>
      </c>
      <c r="J82">
        <f>kalimantan!K28</f>
        <v>1.1221559999999999</v>
      </c>
      <c r="K82">
        <f>kalimantan!L28</f>
        <v>0</v>
      </c>
      <c r="L82">
        <f>kalimantan!M28</f>
        <v>244.14145269230769</v>
      </c>
      <c r="M82">
        <f>kalimantan!N28</f>
        <v>0</v>
      </c>
      <c r="N82">
        <f>kalimantan!O28</f>
        <v>0</v>
      </c>
      <c r="O82">
        <f>kalimantan!P28</f>
        <v>0</v>
      </c>
      <c r="P82">
        <f>kalimantan!Q28</f>
        <v>23705.805226962057</v>
      </c>
      <c r="Q82">
        <f>kalimantan!R28</f>
        <v>12494</v>
      </c>
      <c r="R82" s="45">
        <f>proj_rukn!C82</f>
        <v>12494</v>
      </c>
    </row>
    <row r="83" spans="1:18" x14ac:dyDescent="0.25">
      <c r="A83" t="str">
        <f>kalimantan!B29</f>
        <v>KALIMANTAN</v>
      </c>
      <c r="B83">
        <f>kalimantan!C29</f>
        <v>2020</v>
      </c>
      <c r="C83">
        <f>kalimantan!D29</f>
        <v>12910.275225170089</v>
      </c>
      <c r="D83">
        <f>kalimantan!E29</f>
        <v>1599.4099568953845</v>
      </c>
      <c r="E83">
        <f>kalimantan!F29</f>
        <v>734.2028941945415</v>
      </c>
      <c r="F83">
        <f>kalimantan!G29</f>
        <v>8618.5952174769227</v>
      </c>
      <c r="G83">
        <f>kalimantan!H29</f>
        <v>0</v>
      </c>
      <c r="H83">
        <f>kalimantan!I29</f>
        <v>1173.2048098939088</v>
      </c>
      <c r="I83">
        <f>kalimantan!J29</f>
        <v>355.45631133861394</v>
      </c>
      <c r="J83">
        <f>kalimantan!K29</f>
        <v>1865.2859330837352</v>
      </c>
      <c r="K83">
        <f>kalimantan!L29</f>
        <v>102.0683670602934</v>
      </c>
      <c r="L83">
        <f>kalimantan!M29</f>
        <v>244.14145269230769</v>
      </c>
      <c r="M83">
        <f>kalimantan!N29</f>
        <v>0</v>
      </c>
      <c r="N83">
        <f>kalimantan!O29</f>
        <v>0</v>
      </c>
      <c r="O83">
        <f>kalimantan!P29</f>
        <v>7.1833880907263081</v>
      </c>
      <c r="P83">
        <f>kalimantan!Q29</f>
        <v>27602.640167805792</v>
      </c>
      <c r="Q83">
        <f>kalimantan!R29</f>
        <v>13329</v>
      </c>
      <c r="R83" s="45">
        <f>proj_rukn!C83</f>
        <v>13329</v>
      </c>
    </row>
    <row r="84" spans="1:18" x14ac:dyDescent="0.25">
      <c r="A84" t="str">
        <f>kalimantan!B30</f>
        <v>KALIMANTAN</v>
      </c>
      <c r="B84">
        <f>kalimantan!C30</f>
        <v>2021</v>
      </c>
      <c r="C84">
        <f>kalimantan!D30</f>
        <v>13497.909772534404</v>
      </c>
      <c r="D84">
        <f>kalimantan!E30</f>
        <v>1599.4099568953845</v>
      </c>
      <c r="E84">
        <f>kalimantan!F30</f>
        <v>2572.6359340209929</v>
      </c>
      <c r="F84">
        <f>kalimantan!G30</f>
        <v>8618.5952174769227</v>
      </c>
      <c r="G84">
        <f>kalimantan!H30</f>
        <v>0</v>
      </c>
      <c r="H84">
        <f>kalimantan!I30</f>
        <v>2233.1324169107502</v>
      </c>
      <c r="I84">
        <f>kalimantan!J30</f>
        <v>355.45630541954932</v>
      </c>
      <c r="J84">
        <f>kalimantan!K30</f>
        <v>1865.2848787454045</v>
      </c>
      <c r="K84">
        <f>kalimantan!L30</f>
        <v>102.06836147165909</v>
      </c>
      <c r="L84">
        <f>kalimantan!M30</f>
        <v>244.14145269230769</v>
      </c>
      <c r="M84">
        <f>kalimantan!N30</f>
        <v>0</v>
      </c>
      <c r="N84">
        <f>kalimantan!O30</f>
        <v>0</v>
      </c>
      <c r="O84">
        <f>kalimantan!P30</f>
        <v>8.0411166424797607</v>
      </c>
      <c r="P84">
        <f>kalimantan!Q30</f>
        <v>31088.634296167376</v>
      </c>
      <c r="Q84">
        <f>kalimantan!R30</f>
        <v>15921</v>
      </c>
      <c r="R84" s="45">
        <f>proj_rukn!C84</f>
        <v>15921</v>
      </c>
    </row>
    <row r="85" spans="1:18" x14ac:dyDescent="0.25">
      <c r="A85" t="str">
        <f>kalimantan!B31</f>
        <v>KALIMANTAN</v>
      </c>
      <c r="B85">
        <f>kalimantan!C31</f>
        <v>2022</v>
      </c>
      <c r="C85">
        <f>kalimantan!D31</f>
        <v>14047.60308698753</v>
      </c>
      <c r="D85">
        <f>kalimantan!E31</f>
        <v>1599.4099568953845</v>
      </c>
      <c r="E85">
        <f>kalimantan!F31</f>
        <v>4721.53719537299</v>
      </c>
      <c r="F85">
        <f>kalimantan!G31</f>
        <v>8618.5952174769227</v>
      </c>
      <c r="G85">
        <f>kalimantan!H31</f>
        <v>0</v>
      </c>
      <c r="H85">
        <f>kalimantan!I31</f>
        <v>2237.3695640310189</v>
      </c>
      <c r="I85">
        <f>kalimantan!J31</f>
        <v>355.45556685716679</v>
      </c>
      <c r="J85">
        <f>kalimantan!K31</f>
        <v>3137.4960580667644</v>
      </c>
      <c r="K85">
        <f>kalimantan!L31</f>
        <v>102.06788508117954</v>
      </c>
      <c r="L85">
        <f>kalimantan!M31</f>
        <v>244.14145269230769</v>
      </c>
      <c r="M85">
        <f>kalimantan!N31</f>
        <v>0</v>
      </c>
      <c r="N85">
        <f>kalimantan!O31</f>
        <v>0</v>
      </c>
      <c r="O85">
        <f>kalimantan!P31</f>
        <v>9.2725108277286346</v>
      </c>
      <c r="P85">
        <f>kalimantan!Q31</f>
        <v>35063.675983461268</v>
      </c>
      <c r="Q85">
        <f>kalimantan!R31</f>
        <v>16705</v>
      </c>
      <c r="R85" s="45">
        <f>proj_rukn!C85</f>
        <v>16705</v>
      </c>
    </row>
    <row r="86" spans="1:18" x14ac:dyDescent="0.25">
      <c r="A86" t="str">
        <f>kalimantan!B32</f>
        <v>KALIMANTAN</v>
      </c>
      <c r="B86">
        <f>kalimantan!C32</f>
        <v>2023</v>
      </c>
      <c r="C86">
        <f>kalimantan!D32</f>
        <v>14047.60308698753</v>
      </c>
      <c r="D86">
        <f>kalimantan!E32</f>
        <v>3281.8777470696227</v>
      </c>
      <c r="E86">
        <f>kalimantan!F32</f>
        <v>4721.5375092892036</v>
      </c>
      <c r="F86">
        <f>kalimantan!G32</f>
        <v>8618.5952174769282</v>
      </c>
      <c r="G86">
        <f>kalimantan!H32</f>
        <v>0.36816523402153095</v>
      </c>
      <c r="H86">
        <f>kalimantan!I32</f>
        <v>3018.7128856224617</v>
      </c>
      <c r="I86">
        <f>kalimantan!J32</f>
        <v>355.45520345571458</v>
      </c>
      <c r="J86">
        <f>kalimantan!K32</f>
        <v>3308.8225004023006</v>
      </c>
      <c r="K86">
        <f>kalimantan!L32</f>
        <v>228.97077343634228</v>
      </c>
      <c r="L86">
        <f>kalimantan!M32</f>
        <v>384.89274257085458</v>
      </c>
      <c r="M86">
        <f>kalimantan!N32</f>
        <v>0</v>
      </c>
      <c r="N86">
        <f>kalimantan!O32</f>
        <v>0</v>
      </c>
      <c r="O86">
        <f>kalimantan!P32</f>
        <v>10.046219630052583</v>
      </c>
      <c r="P86">
        <f>kalimantan!Q32</f>
        <v>37966.83583154498</v>
      </c>
      <c r="Q86">
        <f>kalimantan!R32</f>
        <v>19399</v>
      </c>
      <c r="R86" s="45">
        <f>proj_rukn!C86</f>
        <v>19399</v>
      </c>
    </row>
    <row r="87" spans="1:18" x14ac:dyDescent="0.25">
      <c r="A87" t="str">
        <f>kalimantan!B33</f>
        <v>KALIMANTAN</v>
      </c>
      <c r="B87">
        <f>kalimantan!C33</f>
        <v>2024</v>
      </c>
      <c r="C87">
        <f>kalimantan!D33</f>
        <v>14047.60308698753</v>
      </c>
      <c r="D87">
        <f>kalimantan!E33</f>
        <v>3758.2869079339894</v>
      </c>
      <c r="E87">
        <f>kalimantan!F33</f>
        <v>4754.8763823237095</v>
      </c>
      <c r="F87">
        <f>kalimantan!G33</f>
        <v>8618.5952174769282</v>
      </c>
      <c r="G87">
        <f>kalimantan!H33</f>
        <v>0.95490663895680861</v>
      </c>
      <c r="H87">
        <f>kalimantan!I33</f>
        <v>3065.3608492959206</v>
      </c>
      <c r="I87">
        <f>kalimantan!J33</f>
        <v>360.56422688894258</v>
      </c>
      <c r="J87">
        <f>kalimantan!K33</f>
        <v>3309.0331846320069</v>
      </c>
      <c r="K87">
        <f>kalimantan!L33</f>
        <v>1216.0789194690847</v>
      </c>
      <c r="L87">
        <f>kalimantan!M33</f>
        <v>391.22346841994289</v>
      </c>
      <c r="M87">
        <f>kalimantan!N33</f>
        <v>0</v>
      </c>
      <c r="N87">
        <f>kalimantan!O33</f>
        <v>0</v>
      </c>
      <c r="O87">
        <f>kalimantan!P33</f>
        <v>10.625614512689916</v>
      </c>
      <c r="P87">
        <f>kalimantan!Q33</f>
        <v>39522.577150067009</v>
      </c>
      <c r="Q87">
        <f>kalimantan!R33</f>
        <v>24370</v>
      </c>
      <c r="R87" s="45">
        <f>proj_rukn!C87</f>
        <v>24370</v>
      </c>
    </row>
    <row r="88" spans="1:18" x14ac:dyDescent="0.25">
      <c r="A88" t="str">
        <f>kalimantan!B34</f>
        <v>KALIMANTAN</v>
      </c>
      <c r="B88">
        <f>kalimantan!C34</f>
        <v>2025</v>
      </c>
      <c r="C88">
        <f>kalimantan!D34</f>
        <v>14047.60308698753</v>
      </c>
      <c r="D88">
        <f>kalimantan!E34</f>
        <v>3808.0535143890766</v>
      </c>
      <c r="E88">
        <f>kalimantan!F34</f>
        <v>5258.4257543212598</v>
      </c>
      <c r="F88">
        <f>kalimantan!G34</f>
        <v>8618.5952174769282</v>
      </c>
      <c r="G88">
        <f>kalimantan!H34</f>
        <v>0.95490663895680861</v>
      </c>
      <c r="H88">
        <f>kalimantan!I34</f>
        <v>4090.8453665428488</v>
      </c>
      <c r="I88">
        <f>kalimantan!J34</f>
        <v>360.56422688894258</v>
      </c>
      <c r="J88">
        <f>kalimantan!K34</f>
        <v>3309.0331846320069</v>
      </c>
      <c r="K88">
        <f>kalimantan!L34</f>
        <v>1278.6159922051024</v>
      </c>
      <c r="L88">
        <f>kalimantan!M34</f>
        <v>438.57830598797671</v>
      </c>
      <c r="M88">
        <f>kalimantan!N34</f>
        <v>0</v>
      </c>
      <c r="N88">
        <f>kalimantan!O34</f>
        <v>0</v>
      </c>
      <c r="O88">
        <f>kalimantan!P34</f>
        <v>11.05357024002932</v>
      </c>
      <c r="P88">
        <f>kalimantan!Q34</f>
        <v>41211.26955607062</v>
      </c>
      <c r="Q88">
        <f>kalimantan!R34</f>
        <v>29601</v>
      </c>
      <c r="R88" s="45">
        <f>proj_rukn!C88</f>
        <v>29601</v>
      </c>
    </row>
    <row r="89" spans="1:18" x14ac:dyDescent="0.25">
      <c r="A89" t="str">
        <f>kalimantan!B35</f>
        <v>KALIMANTAN</v>
      </c>
      <c r="B89">
        <f>kalimantan!C35</f>
        <v>2026</v>
      </c>
      <c r="C89">
        <f>kalimantan!D35</f>
        <v>14047.60308698753</v>
      </c>
      <c r="D89">
        <f>kalimantan!E35</f>
        <v>4127.9553002557541</v>
      </c>
      <c r="E89">
        <f>kalimantan!F35</f>
        <v>5261.2403226034548</v>
      </c>
      <c r="F89">
        <f>kalimantan!G35</f>
        <v>8618.5952174769282</v>
      </c>
      <c r="G89">
        <f>kalimantan!H35</f>
        <v>52.982623291339046</v>
      </c>
      <c r="H89">
        <f>kalimantan!I35</f>
        <v>4090.8453665428488</v>
      </c>
      <c r="I89">
        <f>kalimantan!J35</f>
        <v>360.56405617702706</v>
      </c>
      <c r="J89">
        <f>kalimantan!K35</f>
        <v>3309.0331851305145</v>
      </c>
      <c r="K89">
        <f>kalimantan!L35</f>
        <v>1495.2011627067077</v>
      </c>
      <c r="L89">
        <f>kalimantan!M35</f>
        <v>440.09266128288203</v>
      </c>
      <c r="M89">
        <f>kalimantan!N35</f>
        <v>0</v>
      </c>
      <c r="N89">
        <f>kalimantan!O35</f>
        <v>0</v>
      </c>
      <c r="O89">
        <f>kalimantan!P35</f>
        <v>11.24256794872219</v>
      </c>
      <c r="P89">
        <f>kalimantan!Q35</f>
        <v>41804.112982454993</v>
      </c>
      <c r="Q89">
        <f>kalimantan!R35</f>
        <v>35042</v>
      </c>
      <c r="R89" s="45">
        <f>proj_rukn!C89</f>
        <v>35042</v>
      </c>
    </row>
    <row r="90" spans="1:18" x14ac:dyDescent="0.25">
      <c r="A90" t="str">
        <f>kalimantan!B36</f>
        <v>KALIMANTAN</v>
      </c>
      <c r="B90">
        <f>kalimantan!C36</f>
        <v>2027</v>
      </c>
      <c r="C90">
        <f>kalimantan!D36</f>
        <v>14047.60308698753</v>
      </c>
      <c r="D90">
        <f>kalimantan!E36</f>
        <v>4127.9553002557541</v>
      </c>
      <c r="E90">
        <f>kalimantan!F36</f>
        <v>5617.398408877144</v>
      </c>
      <c r="F90">
        <f>kalimantan!G36</f>
        <v>8674.5476156873065</v>
      </c>
      <c r="G90">
        <f>kalimantan!H36</f>
        <v>52.982623291339046</v>
      </c>
      <c r="H90">
        <f>kalimantan!I36</f>
        <v>4090.8453665428488</v>
      </c>
      <c r="I90">
        <f>kalimantan!J36</f>
        <v>360.56405617702706</v>
      </c>
      <c r="J90">
        <f>kalimantan!K36</f>
        <v>3309.0331851305145</v>
      </c>
      <c r="K90">
        <f>kalimantan!L36</f>
        <v>1797.9724972762431</v>
      </c>
      <c r="L90">
        <f>kalimantan!M36</f>
        <v>440.09266128288203</v>
      </c>
      <c r="M90">
        <f>kalimantan!N36</f>
        <v>0</v>
      </c>
      <c r="N90">
        <f>kalimantan!O36</f>
        <v>0</v>
      </c>
      <c r="O90">
        <f>kalimantan!P36</f>
        <v>11.478755449159706</v>
      </c>
      <c r="P90">
        <f>kalimantan!Q36</f>
        <v>42518.99480150859</v>
      </c>
      <c r="Q90">
        <f>kalimantan!R36</f>
        <v>42519</v>
      </c>
      <c r="R90" s="45">
        <f>proj_rukn!C90</f>
        <v>42519</v>
      </c>
    </row>
    <row r="91" spans="1:18" x14ac:dyDescent="0.25">
      <c r="A91" t="str">
        <f>kalimantan!B37</f>
        <v>KALIMANTAN</v>
      </c>
      <c r="B91">
        <f>kalimantan!C37</f>
        <v>2028</v>
      </c>
      <c r="C91">
        <f>kalimantan!D37</f>
        <v>14047.60308698753</v>
      </c>
      <c r="D91">
        <f>kalimantan!E37</f>
        <v>4127.9553002557541</v>
      </c>
      <c r="E91">
        <f>kalimantan!F37</f>
        <v>6151.7620611221028</v>
      </c>
      <c r="F91">
        <f>kalimantan!G37</f>
        <v>9105.9429973493061</v>
      </c>
      <c r="G91">
        <f>kalimantan!H37</f>
        <v>52.982623291339046</v>
      </c>
      <c r="H91">
        <f>kalimantan!I37</f>
        <v>4090.8453665428488</v>
      </c>
      <c r="I91">
        <f>kalimantan!J37</f>
        <v>360.56405617702706</v>
      </c>
      <c r="J91">
        <f>kalimantan!K37</f>
        <v>3309.0331851305145</v>
      </c>
      <c r="K91">
        <f>kalimantan!L37</f>
        <v>2281.2137795423532</v>
      </c>
      <c r="L91">
        <f>kalimantan!M37</f>
        <v>440.09266128288203</v>
      </c>
      <c r="M91">
        <f>kalimantan!N37</f>
        <v>0</v>
      </c>
      <c r="N91">
        <f>kalimantan!O37</f>
        <v>0</v>
      </c>
      <c r="O91">
        <f>kalimantan!P37</f>
        <v>11.931509762238649</v>
      </c>
      <c r="P91">
        <f>kalimantan!Q37</f>
        <v>43967.995117681661</v>
      </c>
      <c r="Q91">
        <f>kalimantan!R37</f>
        <v>43968</v>
      </c>
      <c r="R91" s="45">
        <f>proj_rukn!C91</f>
        <v>43968</v>
      </c>
    </row>
    <row r="92" spans="1:18" x14ac:dyDescent="0.25">
      <c r="A92" t="str">
        <f>kalimantan!B38</f>
        <v>KALIMANTAN</v>
      </c>
      <c r="B92">
        <f>kalimantan!C38</f>
        <v>2029</v>
      </c>
      <c r="C92">
        <f>kalimantan!D38</f>
        <v>14047.60308698753</v>
      </c>
      <c r="D92">
        <f>kalimantan!E38</f>
        <v>4127.9553002557541</v>
      </c>
      <c r="E92">
        <f>kalimantan!F38</f>
        <v>6720.9124319959865</v>
      </c>
      <c r="F92">
        <f>kalimantan!G38</f>
        <v>9561.4256855762706</v>
      </c>
      <c r="G92">
        <f>kalimantan!H38</f>
        <v>52.982623291339046</v>
      </c>
      <c r="H92">
        <f>kalimantan!I38</f>
        <v>4090.8453665428488</v>
      </c>
      <c r="I92">
        <f>kalimantan!J38</f>
        <v>360.56405617702706</v>
      </c>
      <c r="J92">
        <f>kalimantan!K38</f>
        <v>3309.0331851305145</v>
      </c>
      <c r="K92">
        <f>kalimantan!L38</f>
        <v>2795.5805387025284</v>
      </c>
      <c r="L92">
        <f>kalimantan!M38</f>
        <v>440.09266128288203</v>
      </c>
      <c r="M92">
        <f>kalimantan!N38</f>
        <v>0</v>
      </c>
      <c r="N92">
        <f>kalimantan!O38</f>
        <v>0</v>
      </c>
      <c r="O92">
        <f>kalimantan!P38</f>
        <v>12.412606465807382</v>
      </c>
      <c r="P92">
        <f>kalimantan!Q38</f>
        <v>45506.99493594269</v>
      </c>
      <c r="Q92">
        <f>kalimantan!R38</f>
        <v>45507</v>
      </c>
      <c r="R92" s="45">
        <f>proj_rukn!C92</f>
        <v>45507</v>
      </c>
    </row>
    <row r="93" spans="1:18" x14ac:dyDescent="0.25">
      <c r="A93" t="str">
        <f>kalimantan!B39</f>
        <v>KALIMANTAN</v>
      </c>
      <c r="B93">
        <f>kalimantan!C39</f>
        <v>2030</v>
      </c>
      <c r="C93">
        <f>kalimantan!D39</f>
        <v>14047.60308698753</v>
      </c>
      <c r="D93">
        <f>kalimantan!E39</f>
        <v>4127.9553002557541</v>
      </c>
      <c r="E93">
        <f>kalimantan!F39</f>
        <v>7308.8385646748111</v>
      </c>
      <c r="F93">
        <f>kalimantan!G39</f>
        <v>10002.609016219467</v>
      </c>
      <c r="G93">
        <f>kalimantan!H39</f>
        <v>52.982623291339046</v>
      </c>
      <c r="H93">
        <f>kalimantan!I39</f>
        <v>4090.8453665428488</v>
      </c>
      <c r="I93">
        <f>kalimantan!J39</f>
        <v>360.56405617702706</v>
      </c>
      <c r="J93">
        <f>kalimantan!K39</f>
        <v>3309.0331851305145</v>
      </c>
      <c r="K93">
        <f>kalimantan!L39</f>
        <v>3324.4708918591955</v>
      </c>
      <c r="L93">
        <f>kalimantan!M39</f>
        <v>440.09266128288203</v>
      </c>
      <c r="M93">
        <f>kalimantan!N39</f>
        <v>0</v>
      </c>
      <c r="N93">
        <f>kalimantan!O39</f>
        <v>0</v>
      </c>
      <c r="O93">
        <f>kalimantan!P39</f>
        <v>12.901270201320875</v>
      </c>
      <c r="P93">
        <f>kalimantan!Q39</f>
        <v>47064.994752421364</v>
      </c>
      <c r="Q93">
        <f>kalimantan!R39</f>
        <v>47065</v>
      </c>
      <c r="R93" s="45">
        <f>proj_rukn!C93</f>
        <v>47065</v>
      </c>
    </row>
    <row r="94" spans="1:18" x14ac:dyDescent="0.25">
      <c r="A94" t="str">
        <f>kalimantan!B40</f>
        <v>KALIMANTAN</v>
      </c>
      <c r="B94">
        <f>kalimantan!C40</f>
        <v>2031</v>
      </c>
      <c r="C94">
        <f>kalimantan!D40</f>
        <v>14095.293106802992</v>
      </c>
      <c r="D94">
        <f>kalimantan!E40</f>
        <v>4127.9553002557541</v>
      </c>
      <c r="E94">
        <f>kalimantan!F40</f>
        <v>7990.0827887241849</v>
      </c>
      <c r="F94">
        <f>kalimantan!G40</f>
        <v>10532.31837573389</v>
      </c>
      <c r="G94">
        <f>kalimantan!H40</f>
        <v>52.982623291339046</v>
      </c>
      <c r="H94">
        <f>kalimantan!I40</f>
        <v>4090.8453665428488</v>
      </c>
      <c r="I94">
        <f>kalimantan!J40</f>
        <v>360.56405617702706</v>
      </c>
      <c r="J94">
        <f>kalimantan!K40</f>
        <v>3309.0331851305145</v>
      </c>
      <c r="K94">
        <f>kalimantan!L40</f>
        <v>3942.8272890666244</v>
      </c>
      <c r="L94">
        <f>kalimantan!M40</f>
        <v>440.09266128288203</v>
      </c>
      <c r="M94">
        <f>kalimantan!N40</f>
        <v>0</v>
      </c>
      <c r="N94">
        <f>kalimantan!O40</f>
        <v>0</v>
      </c>
      <c r="O94">
        <f>kalimantan!P40</f>
        <v>13.48623929465132</v>
      </c>
      <c r="P94">
        <f>kalimantan!Q40</f>
        <v>48941.994753008061</v>
      </c>
      <c r="Q94">
        <f>kalimantan!R40</f>
        <v>48942</v>
      </c>
      <c r="R94" s="45">
        <f>proj_rukn!C94</f>
        <v>48942</v>
      </c>
    </row>
    <row r="95" spans="1:18" x14ac:dyDescent="0.25">
      <c r="A95" t="str">
        <f>kalimantan!B41</f>
        <v>KALIMANTAN</v>
      </c>
      <c r="B95">
        <f>kalimantan!C41</f>
        <v>2032</v>
      </c>
      <c r="C95">
        <f>kalimantan!D41</f>
        <v>14574.557090495462</v>
      </c>
      <c r="D95">
        <f>kalimantan!E41</f>
        <v>4127.9553002557541</v>
      </c>
      <c r="E95">
        <f>kalimantan!F41</f>
        <v>8724.1555211768609</v>
      </c>
      <c r="F95">
        <f>kalimantan!G41</f>
        <v>10671.024000986637</v>
      </c>
      <c r="G95">
        <f>kalimantan!H41</f>
        <v>52.982623291339046</v>
      </c>
      <c r="H95">
        <f>kalimantan!I41</f>
        <v>4090.8453665428488</v>
      </c>
      <c r="I95">
        <f>kalimantan!J41</f>
        <v>360.56405617702706</v>
      </c>
      <c r="J95">
        <f>kalimantan!K41</f>
        <v>3309.0331851305145</v>
      </c>
      <c r="K95">
        <f>kalimantan!L41</f>
        <v>4608.7848569842427</v>
      </c>
      <c r="L95">
        <f>kalimantan!M41</f>
        <v>440.09266128288203</v>
      </c>
      <c r="M95">
        <f>kalimantan!N41</f>
        <v>0</v>
      </c>
      <c r="N95">
        <f>kalimantan!O41</f>
        <v>0</v>
      </c>
      <c r="O95">
        <f>kalimantan!P41</f>
        <v>14.115380231645329</v>
      </c>
      <c r="P95">
        <f>kalimantan!Q41</f>
        <v>50959.994662323566</v>
      </c>
      <c r="Q95">
        <f>kalimantan!R41</f>
        <v>50960</v>
      </c>
      <c r="R95" s="45">
        <f>proj_rukn!C95</f>
        <v>50960</v>
      </c>
    </row>
    <row r="96" spans="1:18" x14ac:dyDescent="0.25">
      <c r="A96" t="str">
        <f>kalimantan!B42</f>
        <v>KALIMANTAN</v>
      </c>
      <c r="B96">
        <f>kalimantan!C42</f>
        <v>2033</v>
      </c>
      <c r="C96">
        <f>kalimantan!D42</f>
        <v>15014.509064983831</v>
      </c>
      <c r="D96">
        <f>kalimantan!E42</f>
        <v>4127.9553002557541</v>
      </c>
      <c r="E96">
        <f>kalimantan!F42</f>
        <v>9448.5459907580971</v>
      </c>
      <c r="F96">
        <f>kalimantan!G42</f>
        <v>10763.924722831202</v>
      </c>
      <c r="G96">
        <f>kalimantan!H42</f>
        <v>52.982623291339046</v>
      </c>
      <c r="H96">
        <f>kalimantan!I42</f>
        <v>4090.8453665428488</v>
      </c>
      <c r="I96">
        <f>kalimantan!J42</f>
        <v>360.56405617702706</v>
      </c>
      <c r="J96">
        <f>kalimantan!K42</f>
        <v>3309.0331851305145</v>
      </c>
      <c r="K96">
        <f>kalimantan!L42</f>
        <v>5259.541737046562</v>
      </c>
      <c r="L96">
        <f>kalimantan!M42</f>
        <v>440.09266128288203</v>
      </c>
      <c r="M96">
        <f>kalimantan!N42</f>
        <v>0</v>
      </c>
      <c r="N96">
        <f>kalimantan!O42</f>
        <v>0</v>
      </c>
      <c r="O96">
        <f>kalimantan!P42</f>
        <v>14.71442879261312</v>
      </c>
      <c r="P96">
        <f>kalimantan!Q42</f>
        <v>52867.994708300066</v>
      </c>
      <c r="Q96">
        <f>kalimantan!R42</f>
        <v>52868</v>
      </c>
      <c r="R96" s="45">
        <f>proj_rukn!C96</f>
        <v>52868</v>
      </c>
    </row>
    <row r="97" spans="1:18" x14ac:dyDescent="0.25">
      <c r="A97" t="str">
        <f>kalimantan!B43</f>
        <v>KALIMANTAN</v>
      </c>
      <c r="B97">
        <f>kalimantan!C43</f>
        <v>2034</v>
      </c>
      <c r="C97">
        <f>kalimantan!D43</f>
        <v>15561.603145894518</v>
      </c>
      <c r="D97">
        <f>kalimantan!E43</f>
        <v>4127.9553002557541</v>
      </c>
      <c r="E97">
        <f>kalimantan!F43</f>
        <v>10296.879792616868</v>
      </c>
      <c r="F97">
        <f>kalimantan!G43</f>
        <v>10915.197430349002</v>
      </c>
      <c r="G97">
        <f>kalimantan!H43</f>
        <v>52.982623291339046</v>
      </c>
      <c r="H97">
        <f>kalimantan!I43</f>
        <v>4090.8453665428488</v>
      </c>
      <c r="I97">
        <f>kalimantan!J43</f>
        <v>360.56405617702706</v>
      </c>
      <c r="J97">
        <f>kalimantan!K43</f>
        <v>3309.0331851305145</v>
      </c>
      <c r="K97">
        <f>kalimantan!L43</f>
        <v>6027.8413104616675</v>
      </c>
      <c r="L97">
        <f>kalimantan!M43</f>
        <v>440.09266128288203</v>
      </c>
      <c r="M97">
        <f>kalimantan!N43</f>
        <v>0</v>
      </c>
      <c r="N97">
        <f>kalimantan!O43</f>
        <v>0</v>
      </c>
      <c r="O97">
        <f>kalimantan!P43</f>
        <v>15.437025995161097</v>
      </c>
      <c r="P97">
        <f>kalimantan!Q43</f>
        <v>55182.994872002433</v>
      </c>
      <c r="Q97">
        <f>kalimantan!R43</f>
        <v>55183</v>
      </c>
      <c r="R97" s="45">
        <f>proj_rukn!C97</f>
        <v>55183</v>
      </c>
    </row>
    <row r="98" spans="1:18" x14ac:dyDescent="0.25">
      <c r="A98" t="str">
        <f>kalimantan!B44</f>
        <v>KALIMANTAN</v>
      </c>
      <c r="B98">
        <f>kalimantan!C44</f>
        <v>2035</v>
      </c>
      <c r="C98">
        <f>kalimantan!D44</f>
        <v>16083.75708511694</v>
      </c>
      <c r="D98">
        <f>kalimantan!E44</f>
        <v>4127.9553002557541</v>
      </c>
      <c r="E98">
        <f>kalimantan!F44</f>
        <v>11151.61550779658</v>
      </c>
      <c r="F98">
        <f>kalimantan!G44</f>
        <v>11028.863676592911</v>
      </c>
      <c r="G98">
        <f>kalimantan!H44</f>
        <v>52.982623291339046</v>
      </c>
      <c r="H98">
        <f>kalimantan!I44</f>
        <v>4090.8453665428488</v>
      </c>
      <c r="I98">
        <f>kalimantan!J44</f>
        <v>360.56405617702706</v>
      </c>
      <c r="J98">
        <f>kalimantan!K44</f>
        <v>3309.0331851305145</v>
      </c>
      <c r="K98">
        <f>kalimantan!L44</f>
        <v>6796.2850306432701</v>
      </c>
      <c r="L98">
        <f>kalimantan!M44</f>
        <v>440.09266128288203</v>
      </c>
      <c r="M98">
        <f>kalimantan!N44</f>
        <v>0</v>
      </c>
      <c r="N98">
        <f>kalimantan!O44</f>
        <v>0</v>
      </c>
      <c r="O98">
        <f>kalimantan!P44</f>
        <v>16.145872969561967</v>
      </c>
      <c r="P98">
        <f>kalimantan!Q44</f>
        <v>57441.994492830076</v>
      </c>
      <c r="Q98">
        <f>kalimantan!R44</f>
        <v>57442</v>
      </c>
      <c r="R98" s="45">
        <f>proj_rukn!C98</f>
        <v>57442</v>
      </c>
    </row>
    <row r="99" spans="1:18" x14ac:dyDescent="0.25">
      <c r="A99" t="str">
        <f>kalimantan!B45</f>
        <v>KALIMANTAN</v>
      </c>
      <c r="B99">
        <f>kalimantan!C45</f>
        <v>2036</v>
      </c>
      <c r="C99">
        <f>kalimantan!D45</f>
        <v>16686.668871122431</v>
      </c>
      <c r="D99">
        <f>kalimantan!E45</f>
        <v>4127.9553002557541</v>
      </c>
      <c r="E99">
        <f>kalimantan!F45</f>
        <v>12114.537896218317</v>
      </c>
      <c r="F99">
        <f>kalimantan!G45</f>
        <v>11176.468648842902</v>
      </c>
      <c r="G99">
        <f>kalimantan!H45</f>
        <v>52.982623291339046</v>
      </c>
      <c r="H99">
        <f>kalimantan!I45</f>
        <v>4090.8453665428488</v>
      </c>
      <c r="I99">
        <f>kalimantan!J45</f>
        <v>742.82447435638096</v>
      </c>
      <c r="J99">
        <f>kalimantan!K45</f>
        <v>3309.0331851305145</v>
      </c>
      <c r="K99">
        <f>kalimantan!L45</f>
        <v>7282.585676552404</v>
      </c>
      <c r="L99">
        <f>kalimantan!M45</f>
        <v>440.09266128288203</v>
      </c>
      <c r="M99">
        <f>kalimantan!N45</f>
        <v>0</v>
      </c>
      <c r="N99">
        <f>kalimantan!O45</f>
        <v>0</v>
      </c>
      <c r="O99">
        <f>kalimantan!P45</f>
        <v>16.878011087653451</v>
      </c>
      <c r="P99">
        <f>kalimantan!Q45</f>
        <v>60023.994703595767</v>
      </c>
      <c r="Q99">
        <f>kalimantan!R45</f>
        <v>60024</v>
      </c>
      <c r="R99" s="45">
        <f>proj_rukn!C99</f>
        <v>60024</v>
      </c>
    </row>
    <row r="100" spans="1:18" x14ac:dyDescent="0.25">
      <c r="A100" t="str">
        <f>kalimantan!B46</f>
        <v>KALIMANTAN</v>
      </c>
      <c r="B100">
        <f>kalimantan!C46</f>
        <v>2037</v>
      </c>
      <c r="C100">
        <f>kalimantan!D46</f>
        <v>17289.188476548457</v>
      </c>
      <c r="D100">
        <f>kalimantan!E46</f>
        <v>4127.9553002557586</v>
      </c>
      <c r="E100">
        <f>kalimantan!F46</f>
        <v>13111.122351484304</v>
      </c>
      <c r="F100">
        <f>kalimantan!G46</f>
        <v>11300.616718957295</v>
      </c>
      <c r="G100">
        <f>kalimantan!H46</f>
        <v>52.982623291339046</v>
      </c>
      <c r="H100">
        <f>kalimantan!I46</f>
        <v>4090.8453665428488</v>
      </c>
      <c r="I100">
        <f>kalimantan!J46</f>
        <v>1394.4210820409892</v>
      </c>
      <c r="J100">
        <f>kalimantan!K46</f>
        <v>3309.0331851305145</v>
      </c>
      <c r="K100">
        <f>kalimantan!L46</f>
        <v>7525.735999506971</v>
      </c>
      <c r="L100">
        <f>kalimantan!M46</f>
        <v>440.09266128288203</v>
      </c>
      <c r="M100">
        <f>kalimantan!N46</f>
        <v>0</v>
      </c>
      <c r="N100">
        <f>kalimantan!O46</f>
        <v>0</v>
      </c>
      <c r="O100">
        <f>kalimantan!P46</f>
        <v>17.570588204639531</v>
      </c>
      <c r="P100">
        <f>kalimantan!Q46</f>
        <v>62641.993765041363</v>
      </c>
      <c r="Q100">
        <f>kalimantan!R46</f>
        <v>62642</v>
      </c>
      <c r="R100" s="45">
        <f>proj_rukn!C100</f>
        <v>62642</v>
      </c>
    </row>
    <row r="101" spans="1:18" x14ac:dyDescent="0.25">
      <c r="A101" t="str">
        <f>kalimantan!B47</f>
        <v>KALIMANTAN</v>
      </c>
      <c r="B101">
        <f>kalimantan!C47</f>
        <v>2038</v>
      </c>
      <c r="C101">
        <f>kalimantan!D47</f>
        <v>17983.16538200654</v>
      </c>
      <c r="D101">
        <f>kalimantan!E47</f>
        <v>4127.9553002557586</v>
      </c>
      <c r="E101">
        <f>kalimantan!F47</f>
        <v>14235.877143471609</v>
      </c>
      <c r="F101">
        <f>kalimantan!G47</f>
        <v>11459.348090335756</v>
      </c>
      <c r="G101">
        <f>kalimantan!H47</f>
        <v>52.982623291339046</v>
      </c>
      <c r="H101">
        <f>kalimantan!I47</f>
        <v>4090.8453665428488</v>
      </c>
      <c r="I101">
        <f>kalimantan!J47</f>
        <v>2285.3839758622994</v>
      </c>
      <c r="J101">
        <f>kalimantan!K47</f>
        <v>3309.0331851305145</v>
      </c>
      <c r="K101">
        <f>kalimantan!L47</f>
        <v>7647.3111609842545</v>
      </c>
      <c r="L101">
        <f>kalimantan!M47</f>
        <v>440.09266128288203</v>
      </c>
      <c r="M101">
        <f>kalimantan!N47</f>
        <v>0</v>
      </c>
      <c r="N101">
        <f>kalimantan!O47</f>
        <v>0</v>
      </c>
      <c r="O101">
        <f>kalimantan!P47</f>
        <v>18.330487160599649</v>
      </c>
      <c r="P101">
        <f>kalimantan!Q47</f>
        <v>65631.994889163805</v>
      </c>
      <c r="Q101">
        <f>kalimantan!R47</f>
        <v>65632</v>
      </c>
      <c r="R101" s="45">
        <f>proj_rukn!C101</f>
        <v>65632</v>
      </c>
    </row>
    <row r="102" spans="1:18" x14ac:dyDescent="0.25">
      <c r="A102" t="str">
        <f>sulawesi!B28</f>
        <v>SULAWESI</v>
      </c>
      <c r="B102">
        <f>sulawesi!C28</f>
        <v>2019</v>
      </c>
      <c r="C102">
        <f>sulawesi!D28</f>
        <v>13749.755373333333</v>
      </c>
      <c r="D102">
        <f>sulawesi!E28</f>
        <v>863.09485964307692</v>
      </c>
      <c r="E102">
        <f>sulawesi!F28</f>
        <v>871.75813846153835</v>
      </c>
      <c r="F102">
        <f>sulawesi!G28</f>
        <v>4477.1799899076923</v>
      </c>
      <c r="G102">
        <f>sulawesi!H28</f>
        <v>519.13107692307688</v>
      </c>
      <c r="H102">
        <f>sulawesi!I28</f>
        <v>3680.0452456615385</v>
      </c>
      <c r="I102">
        <f>sulawesi!J28</f>
        <v>370.23749169230769</v>
      </c>
      <c r="J102">
        <f>sulawesi!K28</f>
        <v>7.7999039999999997</v>
      </c>
      <c r="K102">
        <f>sulawesi!L28</f>
        <v>0</v>
      </c>
      <c r="L102">
        <f>sulawesi!M28</f>
        <v>1.2488053846153846</v>
      </c>
      <c r="M102">
        <f>sulawesi!N28</f>
        <v>0</v>
      </c>
      <c r="N102">
        <f>sulawesi!O28</f>
        <v>0</v>
      </c>
      <c r="O102">
        <f>sulawesi!P28</f>
        <v>0</v>
      </c>
      <c r="P102">
        <f>sulawesi!Q28</f>
        <v>24540.250885007179</v>
      </c>
      <c r="Q102">
        <f>sulawesi!R28</f>
        <v>20696</v>
      </c>
      <c r="R102" s="45">
        <f>proj_rukn!C102</f>
        <v>20696</v>
      </c>
    </row>
    <row r="103" spans="1:18" x14ac:dyDescent="0.25">
      <c r="A103" t="str">
        <f>sulawesi!B29</f>
        <v>SULAWESI</v>
      </c>
      <c r="B103">
        <f>sulawesi!C29</f>
        <v>2020</v>
      </c>
      <c r="C103">
        <f>sulawesi!D29</f>
        <v>14054.39577357634</v>
      </c>
      <c r="D103">
        <f>sulawesi!E29</f>
        <v>863.09485665369323</v>
      </c>
      <c r="E103">
        <f>sulawesi!F29</f>
        <v>2979.2139759075594</v>
      </c>
      <c r="F103">
        <f>sulawesi!G29</f>
        <v>4477.1799899076923</v>
      </c>
      <c r="G103">
        <f>sulawesi!H29</f>
        <v>519.13107692307688</v>
      </c>
      <c r="H103">
        <f>sulawesi!I29</f>
        <v>3680.0452456615385</v>
      </c>
      <c r="I103">
        <f>sulawesi!J29</f>
        <v>370.23749169230769</v>
      </c>
      <c r="J103">
        <f>sulawesi!K29</f>
        <v>244.61616211420795</v>
      </c>
      <c r="K103">
        <f>sulawesi!L29</f>
        <v>0</v>
      </c>
      <c r="L103">
        <f>sulawesi!M29</f>
        <v>1.2488053846153846</v>
      </c>
      <c r="M103">
        <f>sulawesi!N29</f>
        <v>0</v>
      </c>
      <c r="N103">
        <f>sulawesi!O29</f>
        <v>0</v>
      </c>
      <c r="O103">
        <f>sulawesi!P29</f>
        <v>6.7386033377882057</v>
      </c>
      <c r="P103">
        <f>sulawesi!Q29</f>
        <v>27189.163377821027</v>
      </c>
      <c r="Q103">
        <f>sulawesi!R29</f>
        <v>22221</v>
      </c>
      <c r="R103" s="45">
        <f>proj_rukn!C103</f>
        <v>22221</v>
      </c>
    </row>
    <row r="104" spans="1:18" x14ac:dyDescent="0.25">
      <c r="A104" t="str">
        <f>sulawesi!B30</f>
        <v>SULAWESI</v>
      </c>
      <c r="B104">
        <f>sulawesi!C30</f>
        <v>2021</v>
      </c>
      <c r="C104">
        <f>sulawesi!D30</f>
        <v>14368.587941852922</v>
      </c>
      <c r="D104">
        <f>sulawesi!E30</f>
        <v>863.09485366430977</v>
      </c>
      <c r="E104">
        <f>sulawesi!F30</f>
        <v>5254.1762822883966</v>
      </c>
      <c r="F104">
        <f>sulawesi!G30</f>
        <v>4477.1799899076923</v>
      </c>
      <c r="G104">
        <f>sulawesi!H30</f>
        <v>519.13107692307688</v>
      </c>
      <c r="H104">
        <f>sulawesi!I30</f>
        <v>3770.63744883356</v>
      </c>
      <c r="I104">
        <f>sulawesi!J30</f>
        <v>370.4245191566485</v>
      </c>
      <c r="J104">
        <f>sulawesi!K30</f>
        <v>719.01382205299342</v>
      </c>
      <c r="K104">
        <f>sulawesi!L30</f>
        <v>0.11208634481631272</v>
      </c>
      <c r="L104">
        <f>sulawesi!M30</f>
        <v>1.2488053846153846</v>
      </c>
      <c r="M104">
        <f>sulawesi!N30</f>
        <v>0</v>
      </c>
      <c r="N104">
        <f>sulawesi!O30</f>
        <v>0</v>
      </c>
      <c r="O104">
        <f>sulawesi!P30</f>
        <v>7.6092431778320302</v>
      </c>
      <c r="P104">
        <f>sulawesi!Q30</f>
        <v>30343.606826409025</v>
      </c>
      <c r="Q104">
        <f>sulawesi!R30</f>
        <v>32796</v>
      </c>
      <c r="R104" s="45">
        <f>proj_rukn!C104</f>
        <v>32796</v>
      </c>
    </row>
    <row r="105" spans="1:18" x14ac:dyDescent="0.25">
      <c r="A105" t="str">
        <f>sulawesi!B31</f>
        <v>SULAWESI</v>
      </c>
      <c r="B105">
        <f>sulawesi!C31</f>
        <v>2022</v>
      </c>
      <c r="C105">
        <f>sulawesi!D31</f>
        <v>14779.003692744538</v>
      </c>
      <c r="D105">
        <f>sulawesi!E31</f>
        <v>863.09485366430977</v>
      </c>
      <c r="E105">
        <f>sulawesi!F31</f>
        <v>7499.4523024696664</v>
      </c>
      <c r="F105">
        <f>sulawesi!G31</f>
        <v>4477.1799899076923</v>
      </c>
      <c r="G105">
        <f>sulawesi!H31</f>
        <v>519.13107692307688</v>
      </c>
      <c r="H105">
        <f>sulawesi!I31</f>
        <v>3770.63744883356</v>
      </c>
      <c r="I105">
        <f>sulawesi!J31</f>
        <v>370.4245191566485</v>
      </c>
      <c r="J105">
        <f>sulawesi!K31</f>
        <v>719.01382205299342</v>
      </c>
      <c r="K105">
        <f>sulawesi!L31</f>
        <v>1358.8438291122152</v>
      </c>
      <c r="L105">
        <f>sulawesi!M31</f>
        <v>1.2488053846153846</v>
      </c>
      <c r="M105">
        <f>sulawesi!N31</f>
        <v>0</v>
      </c>
      <c r="N105">
        <f>sulawesi!O31</f>
        <v>0</v>
      </c>
      <c r="O105">
        <f>sulawesi!P31</f>
        <v>8.8675561928256936</v>
      </c>
      <c r="P105">
        <f>sulawesi!Q31</f>
        <v>34358.030340249315</v>
      </c>
      <c r="Q105">
        <f>sulawesi!R31</f>
        <v>34358</v>
      </c>
      <c r="R105" s="45">
        <f>proj_rukn!C105</f>
        <v>34358</v>
      </c>
    </row>
    <row r="106" spans="1:18" x14ac:dyDescent="0.25">
      <c r="A106" t="str">
        <f>sulawesi!B32</f>
        <v>SULAWESI</v>
      </c>
      <c r="B106">
        <f>sulawesi!C32</f>
        <v>2023</v>
      </c>
      <c r="C106">
        <f>sulawesi!D32</f>
        <v>14779.003692744538</v>
      </c>
      <c r="D106">
        <f>sulawesi!E32</f>
        <v>863.09485366430977</v>
      </c>
      <c r="E106">
        <f>sulawesi!F32</f>
        <v>7716.4068702996265</v>
      </c>
      <c r="F106">
        <f>sulawesi!G32</f>
        <v>6146.3895746521239</v>
      </c>
      <c r="G106">
        <f>sulawesi!H32</f>
        <v>519.13107692307688</v>
      </c>
      <c r="H106">
        <f>sulawesi!I32</f>
        <v>3770.63744883356</v>
      </c>
      <c r="I106">
        <f>sulawesi!J32</f>
        <v>370.4245191566485</v>
      </c>
      <c r="J106">
        <f>sulawesi!K32</f>
        <v>719.01382205299342</v>
      </c>
      <c r="K106">
        <f>sulawesi!L32</f>
        <v>1639.6493455101556</v>
      </c>
      <c r="L106">
        <f>sulawesi!M32</f>
        <v>1.2488053846153846</v>
      </c>
      <c r="M106">
        <f>sulawesi!N32</f>
        <v>0</v>
      </c>
      <c r="N106">
        <f>sulawesi!O32</f>
        <v>0</v>
      </c>
      <c r="O106">
        <f>sulawesi!P32</f>
        <v>9.456655817428933</v>
      </c>
      <c r="P106">
        <f>sulawesi!Q32</f>
        <v>36525.000009221651</v>
      </c>
      <c r="Q106">
        <f>sulawesi!R32</f>
        <v>36525</v>
      </c>
      <c r="R106" s="45">
        <f>proj_rukn!C106</f>
        <v>36525</v>
      </c>
    </row>
    <row r="107" spans="1:18" x14ac:dyDescent="0.25">
      <c r="A107" t="str">
        <f>sulawesi!B33</f>
        <v>SULAWESI</v>
      </c>
      <c r="B107">
        <f>sulawesi!C33</f>
        <v>2024</v>
      </c>
      <c r="C107">
        <f>sulawesi!D33</f>
        <v>14779.003692744538</v>
      </c>
      <c r="D107">
        <f>sulawesi!E33</f>
        <v>863.09485366430977</v>
      </c>
      <c r="E107">
        <f>sulawesi!F33</f>
        <v>9088.3627436192382</v>
      </c>
      <c r="F107">
        <f>sulawesi!G33</f>
        <v>6536.0126824392773</v>
      </c>
      <c r="G107">
        <f>sulawesi!H33</f>
        <v>519.13107692307688</v>
      </c>
      <c r="H107">
        <f>sulawesi!I33</f>
        <v>3770.63744883356</v>
      </c>
      <c r="I107">
        <f>sulawesi!J33</f>
        <v>370.4245191566485</v>
      </c>
      <c r="J107">
        <f>sulawesi!K33</f>
        <v>719.01382205299342</v>
      </c>
      <c r="K107">
        <f>sulawesi!L33</f>
        <v>2986.070701999281</v>
      </c>
      <c r="L107">
        <f>sulawesi!M33</f>
        <v>1.2488053846153846</v>
      </c>
      <c r="M107">
        <f>sulawesi!N33</f>
        <v>0</v>
      </c>
      <c r="N107">
        <f>sulawesi!O33</f>
        <v>0</v>
      </c>
      <c r="O107">
        <f>sulawesi!P33</f>
        <v>10.489492067057661</v>
      </c>
      <c r="P107">
        <f>sulawesi!Q33</f>
        <v>39633.000346817542</v>
      </c>
      <c r="Q107">
        <f>sulawesi!R33</f>
        <v>39633</v>
      </c>
      <c r="R107" s="45">
        <f>proj_rukn!C107</f>
        <v>39633</v>
      </c>
    </row>
    <row r="108" spans="1:18" x14ac:dyDescent="0.25">
      <c r="A108" t="str">
        <f>sulawesi!B34</f>
        <v>SULAWESI</v>
      </c>
      <c r="B108">
        <f>sulawesi!C34</f>
        <v>2025</v>
      </c>
      <c r="C108">
        <f>sulawesi!D34</f>
        <v>14779.003692744538</v>
      </c>
      <c r="D108">
        <f>sulawesi!E34</f>
        <v>863.09485366430977</v>
      </c>
      <c r="E108">
        <f>sulawesi!F34</f>
        <v>10654.72926727029</v>
      </c>
      <c r="F108">
        <f>sulawesi!G34</f>
        <v>6985.652327429043</v>
      </c>
      <c r="G108">
        <f>sulawesi!H34</f>
        <v>519.13107692307688</v>
      </c>
      <c r="H108">
        <f>sulawesi!I34</f>
        <v>3770.63744883356</v>
      </c>
      <c r="I108">
        <f>sulawesi!J34</f>
        <v>370.4245191566485</v>
      </c>
      <c r="J108">
        <f>sulawesi!K34</f>
        <v>719.01382205299342</v>
      </c>
      <c r="K108">
        <f>sulawesi!L34</f>
        <v>4561.0643361269877</v>
      </c>
      <c r="L108">
        <f>sulawesi!M34</f>
        <v>1.2488053846153846</v>
      </c>
      <c r="M108">
        <f>sulawesi!N34</f>
        <v>0</v>
      </c>
      <c r="N108">
        <f>sulawesi!O34</f>
        <v>0</v>
      </c>
      <c r="O108">
        <f>sulawesi!P34</f>
        <v>11.686685913863704</v>
      </c>
      <c r="P108">
        <f>sulawesi!Q34</f>
        <v>43224.000149586063</v>
      </c>
      <c r="Q108">
        <f>sulawesi!R34</f>
        <v>43224</v>
      </c>
      <c r="R108" s="45">
        <f>proj_rukn!C108</f>
        <v>43224</v>
      </c>
    </row>
    <row r="109" spans="1:18" x14ac:dyDescent="0.25">
      <c r="A109" t="str">
        <f>sulawesi!B35</f>
        <v>SULAWESI</v>
      </c>
      <c r="B109">
        <f>sulawesi!C35</f>
        <v>2026</v>
      </c>
      <c r="C109">
        <f>sulawesi!D35</f>
        <v>14779.003692744538</v>
      </c>
      <c r="D109">
        <f>sulawesi!E35</f>
        <v>863.09485366430977</v>
      </c>
      <c r="E109">
        <f>sulawesi!F35</f>
        <v>12435.137217056017</v>
      </c>
      <c r="F109">
        <f>sulawesi!G35</f>
        <v>7309.0506189035932</v>
      </c>
      <c r="G109">
        <f>sulawesi!H35</f>
        <v>519.13107692307688</v>
      </c>
      <c r="H109">
        <f>sulawesi!I35</f>
        <v>3770.63744883356</v>
      </c>
      <c r="I109">
        <f>sulawesi!J35</f>
        <v>370.4245191566485</v>
      </c>
      <c r="J109">
        <f>sulawesi!K35</f>
        <v>732.62365292979462</v>
      </c>
      <c r="K109">
        <f>sulawesi!L35</f>
        <v>5367.6481017783726</v>
      </c>
      <c r="L109">
        <f>sulawesi!M35</f>
        <v>1.2488053846153846</v>
      </c>
      <c r="M109">
        <f>sulawesi!N35</f>
        <v>0</v>
      </c>
      <c r="N109">
        <f>sulawesi!O35</f>
        <v>0</v>
      </c>
      <c r="O109">
        <f>sulawesi!P35</f>
        <v>12.569461125512738</v>
      </c>
      <c r="P109">
        <f>sulawesi!Q35</f>
        <v>46147.999987374533</v>
      </c>
      <c r="Q109">
        <f>sulawesi!R35</f>
        <v>46148</v>
      </c>
      <c r="R109" s="45">
        <f>proj_rukn!C109</f>
        <v>46148</v>
      </c>
    </row>
    <row r="110" spans="1:18" x14ac:dyDescent="0.25">
      <c r="A110" t="str">
        <f>sulawesi!B36</f>
        <v>SULAWESI</v>
      </c>
      <c r="B110">
        <f>sulawesi!C36</f>
        <v>2027</v>
      </c>
      <c r="C110">
        <f>sulawesi!D36</f>
        <v>14779.003692744538</v>
      </c>
      <c r="D110">
        <f>sulawesi!E36</f>
        <v>863.09485366430977</v>
      </c>
      <c r="E110">
        <f>sulawesi!F36</f>
        <v>14666.417015573283</v>
      </c>
      <c r="F110">
        <f>sulawesi!G36</f>
        <v>7732.509259200302</v>
      </c>
      <c r="G110">
        <f>sulawesi!H36</f>
        <v>519.13107692307688</v>
      </c>
      <c r="H110">
        <f>sulawesi!I36</f>
        <v>3770.63744883356</v>
      </c>
      <c r="I110">
        <f>sulawesi!J36</f>
        <v>370.4245191566485</v>
      </c>
      <c r="J110">
        <f>sulawesi!K36</f>
        <v>841.82678971288942</v>
      </c>
      <c r="K110">
        <f>sulawesi!L36</f>
        <v>6273.70650845203</v>
      </c>
      <c r="L110">
        <f>sulawesi!M36</f>
        <v>1.2488053846153846</v>
      </c>
      <c r="M110">
        <f>sulawesi!N36</f>
        <v>0</v>
      </c>
      <c r="N110">
        <f>sulawesi!O36</f>
        <v>0</v>
      </c>
      <c r="O110">
        <f>sulawesi!P36</f>
        <v>13.674633528021499</v>
      </c>
      <c r="P110">
        <f>sulawesi!Q36</f>
        <v>49817.999969645258</v>
      </c>
      <c r="Q110">
        <f>sulawesi!R36</f>
        <v>49818</v>
      </c>
      <c r="R110" s="45">
        <f>proj_rukn!C110</f>
        <v>49818</v>
      </c>
    </row>
    <row r="111" spans="1:18" x14ac:dyDescent="0.25">
      <c r="A111" t="str">
        <f>sulawesi!B37</f>
        <v>SULAWESI</v>
      </c>
      <c r="B111">
        <f>sulawesi!C37</f>
        <v>2028</v>
      </c>
      <c r="C111">
        <f>sulawesi!D37</f>
        <v>15138.06001591691</v>
      </c>
      <c r="D111">
        <f>sulawesi!E37</f>
        <v>863.09485366430977</v>
      </c>
      <c r="E111">
        <f>sulawesi!F37</f>
        <v>15319.652704592389</v>
      </c>
      <c r="F111">
        <f>sulawesi!G37</f>
        <v>7832.1884727081579</v>
      </c>
      <c r="G111">
        <f>sulawesi!H37</f>
        <v>519.13107692307688</v>
      </c>
      <c r="H111">
        <f>sulawesi!I37</f>
        <v>3770.63744883356</v>
      </c>
      <c r="I111">
        <f>sulawesi!J37</f>
        <v>370.4245191566485</v>
      </c>
      <c r="J111">
        <f>sulawesi!K37</f>
        <v>925.95058833246458</v>
      </c>
      <c r="K111">
        <f>sulawesi!L37</f>
        <v>6749.6115917967991</v>
      </c>
      <c r="L111">
        <f>sulawesi!M37</f>
        <v>1.2488053846153846</v>
      </c>
      <c r="M111">
        <f>sulawesi!N37</f>
        <v>0</v>
      </c>
      <c r="N111">
        <f>sulawesi!O37</f>
        <v>0</v>
      </c>
      <c r="O111">
        <f>sulawesi!P37</f>
        <v>14.197547646572694</v>
      </c>
      <c r="P111">
        <f>sulawesi!Q37</f>
        <v>51490.000077308934</v>
      </c>
      <c r="Q111">
        <f>sulawesi!R37</f>
        <v>51490</v>
      </c>
      <c r="R111" s="45">
        <f>proj_rukn!C111</f>
        <v>51490</v>
      </c>
    </row>
    <row r="112" spans="1:18" x14ac:dyDescent="0.25">
      <c r="A112" t="str">
        <f>sulawesi!B38</f>
        <v>SULAWESI</v>
      </c>
      <c r="B112">
        <f>sulawesi!C38</f>
        <v>2029</v>
      </c>
      <c r="C112">
        <f>sulawesi!D38</f>
        <v>15560.679943832432</v>
      </c>
      <c r="D112">
        <f>sulawesi!E38</f>
        <v>863.09485366430977</v>
      </c>
      <c r="E112">
        <f>sulawesi!F38</f>
        <v>15983.54481487022</v>
      </c>
      <c r="F112">
        <f>sulawesi!G38</f>
        <v>7943.8682267862896</v>
      </c>
      <c r="G112">
        <f>sulawesi!H38</f>
        <v>519.13107692307688</v>
      </c>
      <c r="H112">
        <f>sulawesi!I38</f>
        <v>3770.63744883356</v>
      </c>
      <c r="I112">
        <f>sulawesi!J38</f>
        <v>370.4245191566485</v>
      </c>
      <c r="J112">
        <f>sulawesi!K38</f>
        <v>1019.6750786976436</v>
      </c>
      <c r="K112">
        <f>sulawesi!L38</f>
        <v>7257.6950482801794</v>
      </c>
      <c r="L112">
        <f>sulawesi!M38</f>
        <v>1.2488053846153846</v>
      </c>
      <c r="M112">
        <f>sulawesi!N38</f>
        <v>0</v>
      </c>
      <c r="N112">
        <f>sulawesi!O38</f>
        <v>0</v>
      </c>
      <c r="O112">
        <f>sulawesi!P38</f>
        <v>14.760275535130704</v>
      </c>
      <c r="P112">
        <f>sulawesi!Q38</f>
        <v>53289.999816428972</v>
      </c>
      <c r="Q112">
        <f>sulawesi!R38</f>
        <v>53290</v>
      </c>
      <c r="R112" s="45">
        <f>proj_rukn!C112</f>
        <v>53290</v>
      </c>
    </row>
    <row r="113" spans="1:18" x14ac:dyDescent="0.25">
      <c r="A113" t="str">
        <f>sulawesi!B39</f>
        <v>SULAWESI</v>
      </c>
      <c r="B113">
        <f>sulawesi!C39</f>
        <v>2030</v>
      </c>
      <c r="C113">
        <f>sulawesi!D39</f>
        <v>16003.359990748841</v>
      </c>
      <c r="D113">
        <f>sulawesi!E39</f>
        <v>863.09485366430977</v>
      </c>
      <c r="E113">
        <f>sulawesi!F39</f>
        <v>16680.600924101942</v>
      </c>
      <c r="F113">
        <f>sulawesi!G39</f>
        <v>8061.6801842831437</v>
      </c>
      <c r="G113">
        <f>sulawesi!H39</f>
        <v>519.13107692307688</v>
      </c>
      <c r="H113">
        <f>sulawesi!I39</f>
        <v>3770.63744883356</v>
      </c>
      <c r="I113">
        <f>sulawesi!J39</f>
        <v>370.4245191566485</v>
      </c>
      <c r="J113">
        <f>sulawesi!K39</f>
        <v>1123.3238696237843</v>
      </c>
      <c r="K113">
        <f>sulawesi!L39</f>
        <v>7790.498259672263</v>
      </c>
      <c r="L113">
        <f>sulawesi!M39</f>
        <v>1.2488053846153846</v>
      </c>
      <c r="M113">
        <f>sulawesi!N39</f>
        <v>0</v>
      </c>
      <c r="N113">
        <f>sulawesi!O39</f>
        <v>0</v>
      </c>
      <c r="O113">
        <f>sulawesi!P39</f>
        <v>15.353030883764335</v>
      </c>
      <c r="P113">
        <f>sulawesi!Q39</f>
        <v>55183.99993239218</v>
      </c>
      <c r="Q113">
        <f>sulawesi!R39</f>
        <v>55184</v>
      </c>
      <c r="R113" s="45">
        <f>proj_rukn!C113</f>
        <v>55184</v>
      </c>
    </row>
    <row r="114" spans="1:18" x14ac:dyDescent="0.25">
      <c r="A114" t="str">
        <f>sulawesi!B40</f>
        <v>SULAWESI</v>
      </c>
      <c r="B114">
        <f>sulawesi!C40</f>
        <v>2031</v>
      </c>
      <c r="C114">
        <f>sulawesi!D40</f>
        <v>16549.34403811345</v>
      </c>
      <c r="D114">
        <f>sulawesi!E40</f>
        <v>863.09485366430977</v>
      </c>
      <c r="E114">
        <f>sulawesi!F40</f>
        <v>17504.060774577996</v>
      </c>
      <c r="F114">
        <f>sulawesi!G40</f>
        <v>8226.7208437713016</v>
      </c>
      <c r="G114">
        <f>sulawesi!H40</f>
        <v>519.13107692307688</v>
      </c>
      <c r="H114">
        <f>sulawesi!I40</f>
        <v>3770.63744883356</v>
      </c>
      <c r="I114">
        <f>sulawesi!J40</f>
        <v>370.4245191566485</v>
      </c>
      <c r="J114">
        <f>sulawesi!K40</f>
        <v>1244.1774810214179</v>
      </c>
      <c r="K114">
        <f>sulawesi!L40</f>
        <v>8414.1602766261149</v>
      </c>
      <c r="L114">
        <f>sulawesi!M40</f>
        <v>1.2488053846153846</v>
      </c>
      <c r="M114">
        <f>sulawesi!N40</f>
        <v>0</v>
      </c>
      <c r="N114">
        <f>sulawesi!O40</f>
        <v>0</v>
      </c>
      <c r="O114">
        <f>sulawesi!P40</f>
        <v>16.062034196325243</v>
      </c>
      <c r="P114">
        <f>sulawesi!Q40</f>
        <v>57463.000118072487</v>
      </c>
      <c r="Q114">
        <f>sulawesi!R40</f>
        <v>57463</v>
      </c>
      <c r="R114" s="45">
        <f>proj_rukn!C114</f>
        <v>57463</v>
      </c>
    </row>
    <row r="115" spans="1:18" x14ac:dyDescent="0.25">
      <c r="A115" t="str">
        <f>sulawesi!B41</f>
        <v>SULAWESI</v>
      </c>
      <c r="B115">
        <f>sulawesi!C41</f>
        <v>2032</v>
      </c>
      <c r="C115">
        <f>sulawesi!D41</f>
        <v>17148.84604011663</v>
      </c>
      <c r="D115">
        <f>sulawesi!E41</f>
        <v>863.09485366430977</v>
      </c>
      <c r="E115">
        <f>sulawesi!F41</f>
        <v>18402.241391558571</v>
      </c>
      <c r="F115">
        <f>sulawesi!G41</f>
        <v>8412.6613838303383</v>
      </c>
      <c r="G115">
        <f>sulawesi!H41</f>
        <v>519.13107692307688</v>
      </c>
      <c r="H115">
        <f>sulawesi!I41</f>
        <v>3770.63744883356</v>
      </c>
      <c r="I115">
        <f>sulawesi!J41</f>
        <v>370.4245191566485</v>
      </c>
      <c r="J115">
        <f>sulawesi!K41</f>
        <v>1380.6815444103911</v>
      </c>
      <c r="K115">
        <f>sulawesi!L41</f>
        <v>9092.033026662255</v>
      </c>
      <c r="L115">
        <f>sulawesi!M41</f>
        <v>1.2488053846153846</v>
      </c>
      <c r="M115">
        <f>sulawesi!N41</f>
        <v>0</v>
      </c>
      <c r="N115">
        <f>sulawesi!O41</f>
        <v>0</v>
      </c>
      <c r="O115">
        <f>sulawesi!P41</f>
        <v>16.838833856546866</v>
      </c>
      <c r="P115">
        <f>sulawesi!Q41</f>
        <v>59961.000090540401</v>
      </c>
      <c r="Q115">
        <f>sulawesi!R41</f>
        <v>59961</v>
      </c>
      <c r="R115" s="45">
        <f>proj_rukn!C115</f>
        <v>59961</v>
      </c>
    </row>
    <row r="116" spans="1:18" x14ac:dyDescent="0.25">
      <c r="A116" t="str">
        <f>sulawesi!B42</f>
        <v>SULAWESI</v>
      </c>
      <c r="B116">
        <f>sulawesi!C42</f>
        <v>2033</v>
      </c>
      <c r="C116">
        <f>sulawesi!D42</f>
        <v>17728.699998699536</v>
      </c>
      <c r="D116">
        <f>sulawesi!E42</f>
        <v>863.09485366430977</v>
      </c>
      <c r="E116">
        <f>sulawesi!F42</f>
        <v>19294.176425285696</v>
      </c>
      <c r="F116">
        <f>sulawesi!G42</f>
        <v>8583.1986987166147</v>
      </c>
      <c r="G116">
        <f>sulawesi!H42</f>
        <v>519.13107692307688</v>
      </c>
      <c r="H116">
        <f>sulawesi!I42</f>
        <v>3770.63744883356</v>
      </c>
      <c r="I116">
        <f>sulawesi!J42</f>
        <v>370.4245191566485</v>
      </c>
      <c r="J116">
        <f>sulawesi!K42</f>
        <v>1528.4245339814527</v>
      </c>
      <c r="K116">
        <f>sulawesi!L42</f>
        <v>9765.9636134959437</v>
      </c>
      <c r="L116">
        <f>sulawesi!M42</f>
        <v>1.2488053846153846</v>
      </c>
      <c r="M116">
        <f>sulawesi!N42</f>
        <v>0</v>
      </c>
      <c r="N116">
        <f>sulawesi!O42</f>
        <v>0</v>
      </c>
      <c r="O116">
        <f>sulawesi!P42</f>
        <v>17.608720800023242</v>
      </c>
      <c r="P116">
        <f>sulawesi!Q42</f>
        <v>62424.999974141458</v>
      </c>
      <c r="Q116">
        <f>sulawesi!R42</f>
        <v>62425</v>
      </c>
      <c r="R116" s="45">
        <f>proj_rukn!C116</f>
        <v>62425</v>
      </c>
    </row>
    <row r="117" spans="1:18" x14ac:dyDescent="0.25">
      <c r="A117" t="str">
        <f>sulawesi!B43</f>
        <v>SULAWESI</v>
      </c>
      <c r="B117">
        <f>sulawesi!C43</f>
        <v>2034</v>
      </c>
      <c r="C117">
        <f>sulawesi!D43</f>
        <v>18441.953949767958</v>
      </c>
      <c r="D117">
        <f>sulawesi!E43</f>
        <v>863.09485366430977</v>
      </c>
      <c r="E117">
        <f>sulawesi!F43</f>
        <v>20355.206902851434</v>
      </c>
      <c r="F117">
        <f>sulawesi!G43</f>
        <v>8812.0005665844437</v>
      </c>
      <c r="G117">
        <f>sulawesi!H43</f>
        <v>519.13107692307688</v>
      </c>
      <c r="H117">
        <f>sulawesi!I43</f>
        <v>3770.63744883356</v>
      </c>
      <c r="I117">
        <f>sulawesi!J43</f>
        <v>370.4245191566485</v>
      </c>
      <c r="J117">
        <f>sulawesi!K43</f>
        <v>1702.2996035356746</v>
      </c>
      <c r="K117">
        <f>sulawesi!L43</f>
        <v>10561.002119510835</v>
      </c>
      <c r="L117">
        <f>sulawesi!M43</f>
        <v>1.2488053846153846</v>
      </c>
      <c r="M117">
        <f>sulawesi!N43</f>
        <v>0</v>
      </c>
      <c r="N117">
        <f>sulawesi!O43</f>
        <v>0</v>
      </c>
      <c r="O117">
        <f>sulawesi!P43</f>
        <v>18.532921024315904</v>
      </c>
      <c r="P117">
        <f>sulawesi!Q43</f>
        <v>65396.999846212559</v>
      </c>
      <c r="Q117">
        <f>sulawesi!R43</f>
        <v>65397</v>
      </c>
      <c r="R117" s="45">
        <f>proj_rukn!C117</f>
        <v>65397</v>
      </c>
    </row>
    <row r="118" spans="1:18" x14ac:dyDescent="0.25">
      <c r="A118" t="str">
        <f>sulawesi!B44</f>
        <v>SULAWESI</v>
      </c>
      <c r="B118">
        <f>sulawesi!C44</f>
        <v>2035</v>
      </c>
      <c r="C118">
        <f>sulawesi!D44</f>
        <v>19164.879939984985</v>
      </c>
      <c r="D118">
        <f>sulawesi!E44</f>
        <v>863.09485366430977</v>
      </c>
      <c r="E118">
        <f>sulawesi!F44</f>
        <v>21446.788031807893</v>
      </c>
      <c r="F118">
        <f>sulawesi!G44</f>
        <v>9038.3850497493404</v>
      </c>
      <c r="G118">
        <f>sulawesi!H44</f>
        <v>519.13107692307688</v>
      </c>
      <c r="H118">
        <f>sulawesi!I44</f>
        <v>3770.63744883356</v>
      </c>
      <c r="I118">
        <f>sulawesi!J44</f>
        <v>370.4245191566485</v>
      </c>
      <c r="J118">
        <f>sulawesi!K44</f>
        <v>1893.880448609315</v>
      </c>
      <c r="K118">
        <f>sulawesi!L44</f>
        <v>11377.529625387811</v>
      </c>
      <c r="L118">
        <f>sulawesi!M44</f>
        <v>1.2488053846153846</v>
      </c>
      <c r="M118">
        <f>sulawesi!N44</f>
        <v>0</v>
      </c>
      <c r="N118">
        <f>sulawesi!O44</f>
        <v>0</v>
      </c>
      <c r="O118">
        <f>sulawesi!P44</f>
        <v>19.483871971131848</v>
      </c>
      <c r="P118">
        <f>sulawesi!Q44</f>
        <v>68445.999799501558</v>
      </c>
      <c r="Q118">
        <f>sulawesi!R44</f>
        <v>68446</v>
      </c>
      <c r="R118" s="45">
        <f>proj_rukn!C118</f>
        <v>68446</v>
      </c>
    </row>
    <row r="119" spans="1:18" x14ac:dyDescent="0.25">
      <c r="A119" t="str">
        <f>sulawesi!B45</f>
        <v>SULAWESI</v>
      </c>
      <c r="B119">
        <f>sulawesi!C45</f>
        <v>2036</v>
      </c>
      <c r="C119">
        <f>sulawesi!D45</f>
        <v>19987.921991096024</v>
      </c>
      <c r="D119">
        <f>sulawesi!E45</f>
        <v>863.09485366430977</v>
      </c>
      <c r="E119">
        <f>sulawesi!F45</f>
        <v>22675.897207099602</v>
      </c>
      <c r="F119">
        <f>sulawesi!G45</f>
        <v>9304.4711355858835</v>
      </c>
      <c r="G119">
        <f>sulawesi!H45</f>
        <v>519.13107692307688</v>
      </c>
      <c r="H119">
        <f>sulawesi!I45</f>
        <v>3770.63744883356</v>
      </c>
      <c r="I119">
        <f>sulawesi!J45</f>
        <v>370.4245191566485</v>
      </c>
      <c r="J119">
        <f>sulawesi!K45</f>
        <v>2114.4092316040324</v>
      </c>
      <c r="K119">
        <f>sulawesi!L45</f>
        <v>12291.763738313071</v>
      </c>
      <c r="L119">
        <f>sulawesi!M45</f>
        <v>1.2488053846153846</v>
      </c>
      <c r="M119">
        <f>sulawesi!N45</f>
        <v>0</v>
      </c>
      <c r="N119">
        <f>sulawesi!O45</f>
        <v>0</v>
      </c>
      <c r="O119">
        <f>sulawesi!P45</f>
        <v>20.559447886122655</v>
      </c>
      <c r="P119">
        <f>sulawesi!Q45</f>
        <v>71899.000007660827</v>
      </c>
      <c r="Q119">
        <f>sulawesi!R45</f>
        <v>71899</v>
      </c>
      <c r="R119" s="45">
        <f>proj_rukn!C119</f>
        <v>71899</v>
      </c>
    </row>
    <row r="120" spans="1:18" x14ac:dyDescent="0.25">
      <c r="A120" t="str">
        <f>sulawesi!B46</f>
        <v>SULAWESI</v>
      </c>
      <c r="B120">
        <f>sulawesi!C46</f>
        <v>2037</v>
      </c>
      <c r="C120">
        <f>sulawesi!D46</f>
        <v>20860.080004782376</v>
      </c>
      <c r="D120">
        <f>sulawesi!E46</f>
        <v>863.09485366430977</v>
      </c>
      <c r="E120">
        <f>sulawesi!F46</f>
        <v>23985.939253289966</v>
      </c>
      <c r="F120">
        <f>sulawesi!G46</f>
        <v>9585.2138373000907</v>
      </c>
      <c r="G120">
        <f>sulawesi!H46</f>
        <v>519.13107692307688</v>
      </c>
      <c r="H120">
        <f>sulawesi!I46</f>
        <v>3770.63744883356</v>
      </c>
      <c r="I120">
        <f>sulawesi!J46</f>
        <v>370.4245191566485</v>
      </c>
      <c r="J120">
        <f>sulawesi!K46</f>
        <v>2361.9529353524122</v>
      </c>
      <c r="K120">
        <f>sulawesi!L46</f>
        <v>13262.277272497699</v>
      </c>
      <c r="L120">
        <f>sulawesi!M46</f>
        <v>1.2488053846153846</v>
      </c>
      <c r="M120">
        <f>sulawesi!N46</f>
        <v>0</v>
      </c>
      <c r="N120">
        <f>sulawesi!O46</f>
        <v>0</v>
      </c>
      <c r="O120">
        <f>sulawesi!P46</f>
        <v>21.707709543846647</v>
      </c>
      <c r="P120">
        <f>sulawesi!Q46</f>
        <v>75580.000007184761</v>
      </c>
      <c r="Q120">
        <f>sulawesi!R46</f>
        <v>75580</v>
      </c>
      <c r="R120" s="45">
        <f>proj_rukn!C120</f>
        <v>75580</v>
      </c>
    </row>
    <row r="121" spans="1:18" x14ac:dyDescent="0.25">
      <c r="A121" t="str">
        <f>sulawesi!B47</f>
        <v>SULAWESI</v>
      </c>
      <c r="B121">
        <f>sulawesi!C47</f>
        <v>2038</v>
      </c>
      <c r="C121">
        <f>sulawesi!D47</f>
        <v>21894.244003049258</v>
      </c>
      <c r="D121">
        <f>sulawesi!E47</f>
        <v>863.09485366430977</v>
      </c>
      <c r="E121">
        <f>sulawesi!F47</f>
        <v>25515.022287795891</v>
      </c>
      <c r="F121">
        <f>sulawesi!G47</f>
        <v>9931.1692947240263</v>
      </c>
      <c r="G121">
        <f>sulawesi!H47</f>
        <v>519.13107692307688</v>
      </c>
      <c r="H121">
        <f>sulawesi!I47</f>
        <v>3770.63744883356</v>
      </c>
      <c r="I121">
        <f>sulawesi!J47</f>
        <v>370.4245191566485</v>
      </c>
      <c r="J121">
        <f>sulawesi!K47</f>
        <v>2653.2626523874201</v>
      </c>
      <c r="K121">
        <f>sulawesi!L47</f>
        <v>14387.765115475502</v>
      </c>
      <c r="L121">
        <f>sulawesi!M47</f>
        <v>1.2488053846153846</v>
      </c>
      <c r="M121">
        <f>sulawesi!N47</f>
        <v>0</v>
      </c>
      <c r="N121">
        <f>sulawesi!O47</f>
        <v>0</v>
      </c>
      <c r="O121">
        <f>sulawesi!P47</f>
        <v>23.054248601997209</v>
      </c>
      <c r="P121">
        <f>sulawesi!Q47</f>
        <v>79906.000057394311</v>
      </c>
      <c r="Q121">
        <f>sulawesi!R47</f>
        <v>79906</v>
      </c>
      <c r="R121" s="45">
        <f>proj_rukn!C121</f>
        <v>79906</v>
      </c>
    </row>
    <row r="122" spans="1:18" x14ac:dyDescent="0.25">
      <c r="A122" t="str">
        <f>maluku_papua!B28</f>
        <v>MALUKU_PAPUA</v>
      </c>
      <c r="B122">
        <f>maluku_papua!C28</f>
        <v>2019</v>
      </c>
      <c r="C122">
        <f>maluku_papua!D28</f>
        <v>1352.91192</v>
      </c>
      <c r="D122">
        <f>maluku_papua!E28</f>
        <v>11.957534769230767</v>
      </c>
      <c r="E122">
        <f>maluku_papua!F28</f>
        <v>0</v>
      </c>
      <c r="F122">
        <f>maluku_papua!G28</f>
        <v>4462.8379022769232</v>
      </c>
      <c r="G122">
        <f>maluku_papua!H28</f>
        <v>0</v>
      </c>
      <c r="H122">
        <f>maluku_papua!I28</f>
        <v>132.24670116923076</v>
      </c>
      <c r="I122">
        <f>maluku_papua!J28</f>
        <v>0</v>
      </c>
      <c r="J122">
        <f>maluku_papua!K28</f>
        <v>11.791836000000002</v>
      </c>
      <c r="K122">
        <f>maluku_papua!L28</f>
        <v>0</v>
      </c>
      <c r="L122">
        <f>maluku_papua!M28</f>
        <v>0</v>
      </c>
      <c r="M122">
        <f>maluku_papua!N28</f>
        <v>0</v>
      </c>
      <c r="N122">
        <f>maluku_papua!O28</f>
        <v>0</v>
      </c>
      <c r="O122">
        <f>maluku_papua!P28</f>
        <v>0</v>
      </c>
      <c r="P122">
        <f>maluku_papua!Q28</f>
        <v>5971.7458942153853</v>
      </c>
      <c r="Q122">
        <f>maluku_papua!R28</f>
        <v>7765</v>
      </c>
      <c r="R122" s="45">
        <f>proj_rukn!C122</f>
        <v>7765</v>
      </c>
    </row>
    <row r="123" spans="1:18" x14ac:dyDescent="0.25">
      <c r="A123" t="str">
        <f>maluku_papua!B29</f>
        <v>MALUKU_PAPUA</v>
      </c>
      <c r="B123">
        <f>maluku_papua!C29</f>
        <v>2020</v>
      </c>
      <c r="C123">
        <f>maluku_papua!D29</f>
        <v>1352.91192</v>
      </c>
      <c r="D123">
        <f>maluku_papua!E29</f>
        <v>11.957531779847084</v>
      </c>
      <c r="E123">
        <f>maluku_papua!F29</f>
        <v>679.88586475070099</v>
      </c>
      <c r="F123">
        <f>maluku_papua!G29</f>
        <v>4462.8379022769232</v>
      </c>
      <c r="G123">
        <f>maluku_papua!H29</f>
        <v>0</v>
      </c>
      <c r="H123">
        <f>maluku_papua!I29</f>
        <v>132.24670116923076</v>
      </c>
      <c r="I123">
        <f>maluku_papua!J29</f>
        <v>0</v>
      </c>
      <c r="J123">
        <f>maluku_papua!K29</f>
        <v>11.791834160400001</v>
      </c>
      <c r="K123">
        <f>maluku_papua!L29</f>
        <v>0</v>
      </c>
      <c r="L123">
        <f>maluku_papua!M29</f>
        <v>0</v>
      </c>
      <c r="M123">
        <f>maluku_papua!N29</f>
        <v>-9.9999999999918511E-7</v>
      </c>
      <c r="N123">
        <f>maluku_papua!O29</f>
        <v>0</v>
      </c>
      <c r="O123">
        <f>maluku_papua!P29</f>
        <v>1.6389819238479777</v>
      </c>
      <c r="P123">
        <f>maluku_papua!Q29</f>
        <v>6651.6317531371014</v>
      </c>
      <c r="Q123">
        <f>maluku_papua!R29</f>
        <v>9798</v>
      </c>
      <c r="R123" s="45">
        <f>proj_rukn!C123</f>
        <v>9798</v>
      </c>
    </row>
    <row r="124" spans="1:18" x14ac:dyDescent="0.25">
      <c r="A124" t="str">
        <f>maluku_papua!B30</f>
        <v>MALUKU_PAPUA</v>
      </c>
      <c r="B124">
        <f>maluku_papua!C30</f>
        <v>2021</v>
      </c>
      <c r="C124">
        <f>maluku_papua!D30</f>
        <v>1352.91192</v>
      </c>
      <c r="D124">
        <f>maluku_papua!E30</f>
        <v>11.957528790463392</v>
      </c>
      <c r="E124">
        <f>maluku_papua!F30</f>
        <v>1405.3240818153029</v>
      </c>
      <c r="F124">
        <f>maluku_papua!G30</f>
        <v>4462.8379022769232</v>
      </c>
      <c r="G124">
        <f>maluku_papua!H30</f>
        <v>-2.1832167652023721E-14</v>
      </c>
      <c r="H124">
        <f>maluku_papua!I30</f>
        <v>132.24894493911538</v>
      </c>
      <c r="I124">
        <f>maluku_papua!J30</f>
        <v>446.95332908982277</v>
      </c>
      <c r="J124">
        <f>maluku_papua!K30</f>
        <v>626.48923510315547</v>
      </c>
      <c r="K124">
        <f>maluku_papua!L30</f>
        <v>114.27578487423514</v>
      </c>
      <c r="L124">
        <f>maluku_papua!M30</f>
        <v>0</v>
      </c>
      <c r="M124">
        <f>maluku_papua!N30</f>
        <v>0.72813189352989238</v>
      </c>
      <c r="N124">
        <f>maluku_papua!O30</f>
        <v>0</v>
      </c>
      <c r="O124">
        <f>maluku_papua!P30</f>
        <v>2.2522977783779417</v>
      </c>
      <c r="P124">
        <f>maluku_papua!Q30</f>
        <v>8553.7268587825474</v>
      </c>
      <c r="Q124">
        <f>maluku_papua!R30</f>
        <v>13786</v>
      </c>
      <c r="R124" s="45">
        <f>proj_rukn!C124</f>
        <v>13786</v>
      </c>
    </row>
    <row r="125" spans="1:18" x14ac:dyDescent="0.25">
      <c r="A125" t="str">
        <f>maluku_papua!B31</f>
        <v>MALUKU_PAPUA</v>
      </c>
      <c r="B125">
        <f>maluku_papua!C31</f>
        <v>2022</v>
      </c>
      <c r="C125">
        <f>maluku_papua!D31</f>
        <v>1446.8110852999639</v>
      </c>
      <c r="D125">
        <f>maluku_papua!E31</f>
        <v>11.95752580107971</v>
      </c>
      <c r="E125">
        <f>maluku_papua!F31</f>
        <v>1951.8922900079785</v>
      </c>
      <c r="F125">
        <f>maluku_papua!G31</f>
        <v>4462.8379022769232</v>
      </c>
      <c r="G125">
        <f>maluku_papua!H31</f>
        <v>0</v>
      </c>
      <c r="H125">
        <f>maluku_papua!I31</f>
        <v>219.10088702831135</v>
      </c>
      <c r="I125">
        <f>maluku_papua!J31</f>
        <v>633.19440066564994</v>
      </c>
      <c r="J125">
        <f>maluku_papua!K31</f>
        <v>641.41050908794716</v>
      </c>
      <c r="K125">
        <f>maluku_papua!L31</f>
        <v>155.96914288189063</v>
      </c>
      <c r="L125">
        <f>maluku_papua!M31</f>
        <v>0</v>
      </c>
      <c r="M125">
        <f>maluku_papua!N31</f>
        <v>0.83769469948186648</v>
      </c>
      <c r="N125">
        <f>maluku_papua!O31</f>
        <v>0</v>
      </c>
      <c r="O125">
        <f>maluku_papua!P31</f>
        <v>2.5023317607012863</v>
      </c>
      <c r="P125">
        <f>maluku_papua!Q31</f>
        <v>9524.0114377492264</v>
      </c>
      <c r="Q125">
        <f>maluku_papua!R31</f>
        <v>15018</v>
      </c>
      <c r="R125" s="45">
        <f>proj_rukn!C125</f>
        <v>15018</v>
      </c>
    </row>
    <row r="126" spans="1:18" x14ac:dyDescent="0.25">
      <c r="A126" t="str">
        <f>maluku_papua!B32</f>
        <v>MALUKU_PAPUA</v>
      </c>
      <c r="B126">
        <f>maluku_papua!C32</f>
        <v>2023</v>
      </c>
      <c r="C126">
        <f>maluku_papua!D32</f>
        <v>1700.1090107728662</v>
      </c>
      <c r="D126">
        <f>maluku_papua!E32</f>
        <v>11.95752580107971</v>
      </c>
      <c r="E126">
        <f>maluku_papua!F32</f>
        <v>2164.1716796087644</v>
      </c>
      <c r="F126">
        <f>maluku_papua!G32</f>
        <v>4462.8379022769232</v>
      </c>
      <c r="G126">
        <f>maluku_papua!H32</f>
        <v>-2.1832171774409277E-14</v>
      </c>
      <c r="H126">
        <f>maluku_papua!I32</f>
        <v>221.4910782935371</v>
      </c>
      <c r="I126">
        <f>maluku_papua!J32</f>
        <v>633.21492864578624</v>
      </c>
      <c r="J126">
        <f>maluku_papua!K32</f>
        <v>653.17276426389981</v>
      </c>
      <c r="K126">
        <f>maluku_papua!L32</f>
        <v>475.38508473974741</v>
      </c>
      <c r="L126">
        <f>maluku_papua!M32</f>
        <v>0</v>
      </c>
      <c r="M126">
        <f>maluku_papua!N32</f>
        <v>0.85398797743155919</v>
      </c>
      <c r="N126">
        <f>maluku_papua!O32</f>
        <v>0</v>
      </c>
      <c r="O126">
        <f>maluku_papua!P32</f>
        <v>2.7649213497590015</v>
      </c>
      <c r="P126">
        <f>maluku_papua!Q32</f>
        <v>10323.193962380035</v>
      </c>
      <c r="Q126">
        <f>maluku_papua!R32</f>
        <v>15788</v>
      </c>
      <c r="R126" s="45">
        <f>proj_rukn!C126</f>
        <v>15788</v>
      </c>
    </row>
    <row r="127" spans="1:18" x14ac:dyDescent="0.25">
      <c r="A127" t="str">
        <f>maluku_papua!B33</f>
        <v>MALUKU_PAPUA</v>
      </c>
      <c r="B127">
        <f>maluku_papua!C33</f>
        <v>2024</v>
      </c>
      <c r="C127">
        <f>maluku_papua!D33</f>
        <v>1965.5144984204978</v>
      </c>
      <c r="D127">
        <f>maluku_papua!E33</f>
        <v>11.957522811696016</v>
      </c>
      <c r="E127">
        <f>maluku_papua!F33</f>
        <v>2402.4555627483333</v>
      </c>
      <c r="F127">
        <f>maluku_papua!G33</f>
        <v>4462.8379022769232</v>
      </c>
      <c r="G127">
        <f>maluku_papua!H33</f>
        <v>-9.9999999494995479E-7</v>
      </c>
      <c r="H127">
        <f>maluku_papua!I33</f>
        <v>280.44314625060116</v>
      </c>
      <c r="I127">
        <f>maluku_papua!J33</f>
        <v>931.64535865247694</v>
      </c>
      <c r="J127">
        <f>maluku_papua!K33</f>
        <v>653.17276426389981</v>
      </c>
      <c r="K127">
        <f>maluku_papua!L33</f>
        <v>500.10053041079567</v>
      </c>
      <c r="L127">
        <f>maluku_papua!M33</f>
        <v>0</v>
      </c>
      <c r="M127">
        <f>maluku_papua!N33</f>
        <v>0.85398797743155919</v>
      </c>
      <c r="N127">
        <f>maluku_papua!O33</f>
        <v>0</v>
      </c>
      <c r="O127">
        <f>maluku_papua!P33</f>
        <v>2.9877908800361563</v>
      </c>
      <c r="P127">
        <f>maluku_papua!Q33</f>
        <v>11208.981272812653</v>
      </c>
      <c r="Q127">
        <f>maluku_papua!R33</f>
        <v>17243</v>
      </c>
      <c r="R127" s="45">
        <f>proj_rukn!C127</f>
        <v>17243</v>
      </c>
    </row>
    <row r="128" spans="1:18" x14ac:dyDescent="0.25">
      <c r="A128" t="str">
        <f>maluku_papua!B34</f>
        <v>MALUKU_PAPUA</v>
      </c>
      <c r="B128">
        <f>maluku_papua!C34</f>
        <v>2025</v>
      </c>
      <c r="C128">
        <f>maluku_papua!D34</f>
        <v>2243.0508368023193</v>
      </c>
      <c r="D128">
        <f>maluku_papua!E34</f>
        <v>11.95751982231233</v>
      </c>
      <c r="E128">
        <f>maluku_papua!F34</f>
        <v>2670.395013757427</v>
      </c>
      <c r="F128">
        <f>maluku_papua!G34</f>
        <v>4462.8379022769232</v>
      </c>
      <c r="G128">
        <f>maluku_papua!H34</f>
        <v>-9.9999999494995479E-7</v>
      </c>
      <c r="H128">
        <f>maluku_papua!I34</f>
        <v>543.03501866956913</v>
      </c>
      <c r="I128">
        <f>maluku_papua!J34</f>
        <v>969.6791587096609</v>
      </c>
      <c r="J128">
        <f>maluku_papua!K34</f>
        <v>696.94285221268274</v>
      </c>
      <c r="K128">
        <f>maluku_papua!L34</f>
        <v>593.77084722817551</v>
      </c>
      <c r="L128">
        <f>maluku_papua!M34</f>
        <v>0</v>
      </c>
      <c r="M128">
        <f>maluku_papua!N34</f>
        <v>0.85403305108910432</v>
      </c>
      <c r="N128">
        <f>maluku_papua!O34</f>
        <v>0</v>
      </c>
      <c r="O128">
        <f>maluku_papua!P34</f>
        <v>3.2571598537184228</v>
      </c>
      <c r="P128">
        <f>maluku_papua!Q34</f>
        <v>12192.523181530159</v>
      </c>
      <c r="Q128">
        <f>maluku_papua!R34</f>
        <v>18758</v>
      </c>
      <c r="R128" s="45">
        <f>proj_rukn!C128</f>
        <v>18758</v>
      </c>
    </row>
    <row r="129" spans="1:18" x14ac:dyDescent="0.25">
      <c r="A129" t="str">
        <f>maluku_papua!B35</f>
        <v>MALUKU_PAPUA</v>
      </c>
      <c r="B129">
        <f>maluku_papua!C35</f>
        <v>2026</v>
      </c>
      <c r="C129">
        <f>maluku_papua!D35</f>
        <v>2563.0610137735753</v>
      </c>
      <c r="D129">
        <f>maluku_papua!E35</f>
        <v>11.95751982231233</v>
      </c>
      <c r="E129">
        <f>maluku_papua!F35</f>
        <v>2898.4388218028198</v>
      </c>
      <c r="F129">
        <f>maluku_papua!G35</f>
        <v>4462.8379022769232</v>
      </c>
      <c r="G129">
        <f>maluku_papua!H35</f>
        <v>0</v>
      </c>
      <c r="H129">
        <f>maluku_papua!I35</f>
        <v>608.84564012110798</v>
      </c>
      <c r="I129">
        <f>maluku_papua!J35</f>
        <v>1081.675619049885</v>
      </c>
      <c r="J129">
        <f>maluku_papua!K35</f>
        <v>706.24983862901661</v>
      </c>
      <c r="K129">
        <f>maluku_papua!L35</f>
        <v>624.04990815647659</v>
      </c>
      <c r="L129">
        <f>maluku_papua!M35</f>
        <v>0</v>
      </c>
      <c r="M129">
        <f>maluku_papua!N35</f>
        <v>1.0152669484241608</v>
      </c>
      <c r="N129">
        <f>maluku_papua!O35</f>
        <v>0</v>
      </c>
      <c r="O129">
        <f>maluku_papua!P35</f>
        <v>3.4534526427537644</v>
      </c>
      <c r="P129">
        <f>maluku_papua!Q35</f>
        <v>12958.131530580542</v>
      </c>
      <c r="Q129">
        <f>maluku_papua!R35</f>
        <v>20342</v>
      </c>
      <c r="R129" s="45">
        <f>proj_rukn!C129</f>
        <v>20342</v>
      </c>
    </row>
    <row r="130" spans="1:18" x14ac:dyDescent="0.25">
      <c r="A130" t="str">
        <f>maluku_papua!B36</f>
        <v>MALUKU_PAPUA</v>
      </c>
      <c r="B130">
        <f>maluku_papua!C36</f>
        <v>2027</v>
      </c>
      <c r="C130">
        <f>maluku_papua!D36</f>
        <v>2902.3799895809152</v>
      </c>
      <c r="D130">
        <f>maluku_papua!E36</f>
        <v>11.957516832928636</v>
      </c>
      <c r="E130">
        <f>maluku_papua!F36</f>
        <v>3146.9261393789852</v>
      </c>
      <c r="F130">
        <f>maluku_papua!G36</f>
        <v>4462.8379022769232</v>
      </c>
      <c r="G130">
        <f>maluku_papua!H36</f>
        <v>-9.9999999617183413E-7</v>
      </c>
      <c r="H130">
        <f>maluku_papua!I36</f>
        <v>674.22646041888015</v>
      </c>
      <c r="I130">
        <f>maluku_papua!J36</f>
        <v>1214.1415645290285</v>
      </c>
      <c r="J130">
        <f>maluku_papua!K36</f>
        <v>712.86103401425055</v>
      </c>
      <c r="K130">
        <f>maluku_papua!L36</f>
        <v>655.72171607453856</v>
      </c>
      <c r="L130">
        <f>maluku_papua!M36</f>
        <v>0</v>
      </c>
      <c r="M130">
        <f>maluku_papua!N36</f>
        <v>1.162582654931857</v>
      </c>
      <c r="N130">
        <f>maluku_papua!O36</f>
        <v>0</v>
      </c>
      <c r="O130">
        <f>maluku_papua!P36</f>
        <v>3.6638709635170352</v>
      </c>
      <c r="P130">
        <f>maluku_papua!Q36</f>
        <v>13782.214904761384</v>
      </c>
      <c r="Q130">
        <f>maluku_papua!R36</f>
        <v>22547</v>
      </c>
      <c r="R130" s="45">
        <f>proj_rukn!C130</f>
        <v>22547</v>
      </c>
    </row>
    <row r="131" spans="1:18" x14ac:dyDescent="0.25">
      <c r="A131" t="str">
        <f>maluku_papua!B37</f>
        <v>MALUKU_PAPUA</v>
      </c>
      <c r="B131">
        <f>maluku_papua!C37</f>
        <v>2028</v>
      </c>
      <c r="C131">
        <f>maluku_papua!D37</f>
        <v>3262.0833780909111</v>
      </c>
      <c r="D131">
        <f>maluku_papua!E37</f>
        <v>11.957513843544945</v>
      </c>
      <c r="E131">
        <f>maluku_papua!F37</f>
        <v>3417.7549724992177</v>
      </c>
      <c r="F131">
        <f>maluku_papua!G37</f>
        <v>4462.8379022769232</v>
      </c>
      <c r="G131">
        <f>maluku_papua!H37</f>
        <v>-2.1832171430877143E-14</v>
      </c>
      <c r="H131">
        <f>maluku_papua!I37</f>
        <v>674.22646041888015</v>
      </c>
      <c r="I131">
        <f>maluku_papua!J37</f>
        <v>1214.1415586099638</v>
      </c>
      <c r="J131">
        <f>maluku_papua!K37</f>
        <v>737.83196999895995</v>
      </c>
      <c r="K131">
        <f>maluku_papua!L37</f>
        <v>887.2554334963379</v>
      </c>
      <c r="L131">
        <f>maluku_papua!M37</f>
        <v>0</v>
      </c>
      <c r="M131">
        <f>maluku_papua!N37</f>
        <v>1.3397516498447688</v>
      </c>
      <c r="N131">
        <f>maluku_papua!O37</f>
        <v>0</v>
      </c>
      <c r="O131">
        <f>maluku_papua!P37</f>
        <v>3.9332829980578783</v>
      </c>
      <c r="P131">
        <f>maluku_papua!Q37</f>
        <v>14669.428940884583</v>
      </c>
      <c r="Q131">
        <f>maluku_papua!R37</f>
        <v>22887</v>
      </c>
      <c r="R131" s="45">
        <f>proj_rukn!C131</f>
        <v>22887</v>
      </c>
    </row>
    <row r="132" spans="1:18" x14ac:dyDescent="0.25">
      <c r="A132" t="str">
        <f>maluku_papua!B38</f>
        <v>MALUKU_PAPUA</v>
      </c>
      <c r="B132">
        <f>maluku_papua!C38</f>
        <v>2029</v>
      </c>
      <c r="C132">
        <f>maluku_papua!D38</f>
        <v>3643.3018075174073</v>
      </c>
      <c r="D132">
        <f>maluku_papua!E38</f>
        <v>11.957510854161255</v>
      </c>
      <c r="E132">
        <f>maluku_papua!F38</f>
        <v>3712.9918083434882</v>
      </c>
      <c r="F132">
        <f>maluku_papua!G38</f>
        <v>4462.8379022769232</v>
      </c>
      <c r="G132">
        <f>maluku_papua!H38</f>
        <v>-2.1832171430877143E-14</v>
      </c>
      <c r="H132">
        <f>maluku_papua!I38</f>
        <v>735.01420864492309</v>
      </c>
      <c r="I132">
        <f>maluku_papua!J38</f>
        <v>1396.6936013401139</v>
      </c>
      <c r="J132">
        <f>maluku_papua!K38</f>
        <v>744.36798454936229</v>
      </c>
      <c r="K132">
        <f>maluku_papua!L38</f>
        <v>915.95835646371631</v>
      </c>
      <c r="L132">
        <f>maluku_papua!M38</f>
        <v>0</v>
      </c>
      <c r="M132">
        <f>maluku_papua!N38</f>
        <v>1.6642333080786911</v>
      </c>
      <c r="N132">
        <f>maluku_papua!O38</f>
        <v>0</v>
      </c>
      <c r="O132">
        <f>maluku_papua!P38</f>
        <v>4.1754306675713631</v>
      </c>
      <c r="P132">
        <f>maluku_papua!Q38</f>
        <v>15624.787413298174</v>
      </c>
      <c r="Q132">
        <f>maluku_papua!R38</f>
        <v>23247</v>
      </c>
      <c r="R132" s="45">
        <f>proj_rukn!C132</f>
        <v>23247</v>
      </c>
    </row>
    <row r="133" spans="1:18" x14ac:dyDescent="0.25">
      <c r="A133" t="str">
        <f>maluku_papua!B39</f>
        <v>MALUKU_PAPUA</v>
      </c>
      <c r="B133">
        <f>maluku_papua!C39</f>
        <v>2030</v>
      </c>
      <c r="C133">
        <f>maluku_papua!D39</f>
        <v>4047.2180268957618</v>
      </c>
      <c r="D133">
        <f>maluku_papua!E39</f>
        <v>11.957510854161255</v>
      </c>
      <c r="E133">
        <f>maluku_papua!F39</f>
        <v>4034.8988311922567</v>
      </c>
      <c r="F133">
        <f>maluku_papua!G39</f>
        <v>4462.8379022769232</v>
      </c>
      <c r="G133">
        <f>maluku_papua!H39</f>
        <v>0</v>
      </c>
      <c r="H133">
        <f>maluku_papua!I39</f>
        <v>821.55888263965653</v>
      </c>
      <c r="I133">
        <f>maluku_papua!J39</f>
        <v>1556.7632924832726</v>
      </c>
      <c r="J133">
        <f>maluku_papua!K39</f>
        <v>759.31020527181158</v>
      </c>
      <c r="K133">
        <f>maluku_papua!L39</f>
        <v>957.52091776691384</v>
      </c>
      <c r="L133">
        <f>maluku_papua!M39</f>
        <v>0</v>
      </c>
      <c r="M133">
        <f>maluku_papua!N39</f>
        <v>1.6642333080786911</v>
      </c>
      <c r="N133">
        <f>maluku_papua!O39</f>
        <v>0</v>
      </c>
      <c r="O133">
        <f>maluku_papua!P39</f>
        <v>4.4398537109339999</v>
      </c>
      <c r="P133">
        <f>maluku_papua!Q39</f>
        <v>16653.729802688835</v>
      </c>
      <c r="Q133">
        <f>maluku_papua!R39</f>
        <v>23609</v>
      </c>
      <c r="R133" s="45">
        <f>proj_rukn!C133</f>
        <v>23609</v>
      </c>
    </row>
    <row r="134" spans="1:18" x14ac:dyDescent="0.25">
      <c r="A134" t="str">
        <f>maluku_papua!B40</f>
        <v>MALUKU_PAPUA</v>
      </c>
      <c r="B134">
        <f>maluku_papua!C40</f>
        <v>2031</v>
      </c>
      <c r="C134">
        <f>maluku_papua!D40</f>
        <v>4475.0700466413655</v>
      </c>
      <c r="D134">
        <f>maluku_papua!E40</f>
        <v>11.957510854161255</v>
      </c>
      <c r="E134">
        <f>maluku_papua!F40</f>
        <v>4385.9479033572015</v>
      </c>
      <c r="F134">
        <f>maluku_papua!G40</f>
        <v>4462.8379022769232</v>
      </c>
      <c r="G134">
        <f>maluku_papua!H40</f>
        <v>-9.9999999617183413E-7</v>
      </c>
      <c r="H134">
        <f>maluku_papua!I40</f>
        <v>937.1086298206834</v>
      </c>
      <c r="I134">
        <f>maluku_papua!J40</f>
        <v>1683.2388831853418</v>
      </c>
      <c r="J134">
        <f>maluku_papua!K40</f>
        <v>762.15443537155204</v>
      </c>
      <c r="K134">
        <f>maluku_papua!L40</f>
        <v>1042.1586539113734</v>
      </c>
      <c r="L134">
        <f>maluku_papua!M40</f>
        <v>0</v>
      </c>
      <c r="M134">
        <f>maluku_papua!N40</f>
        <v>1.6642333080786911</v>
      </c>
      <c r="N134">
        <f>maluku_papua!O40</f>
        <v>0</v>
      </c>
      <c r="O134">
        <f>maluku_papua!P40</f>
        <v>4.72999784875004</v>
      </c>
      <c r="P134">
        <f>maluku_papua!Q40</f>
        <v>17762.138197726679</v>
      </c>
      <c r="Q134">
        <f>maluku_papua!R40</f>
        <v>24061</v>
      </c>
      <c r="R134" s="45">
        <f>proj_rukn!C134</f>
        <v>24061</v>
      </c>
    </row>
    <row r="135" spans="1:18" x14ac:dyDescent="0.25">
      <c r="A135" t="str">
        <f>maluku_papua!B41</f>
        <v>MALUKU_PAPUA</v>
      </c>
      <c r="B135">
        <f>maluku_papua!C41</f>
        <v>2032</v>
      </c>
      <c r="C135">
        <f>maluku_papua!D41</f>
        <v>4928.1521115237465</v>
      </c>
      <c r="D135">
        <f>maluku_papua!E41</f>
        <v>11.957510854161255</v>
      </c>
      <c r="E135">
        <f>maluku_papua!F41</f>
        <v>4768.8412018446679</v>
      </c>
      <c r="F135">
        <f>maluku_papua!G41</f>
        <v>4462.8379022769232</v>
      </c>
      <c r="G135">
        <f>maluku_papua!H41</f>
        <v>-9.9999999617183413E-7</v>
      </c>
      <c r="H135">
        <f>maluku_papua!I41</f>
        <v>1041.4791222541533</v>
      </c>
      <c r="I135">
        <f>maluku_papua!J41</f>
        <v>1868.7605540495856</v>
      </c>
      <c r="J135">
        <f>maluku_papua!K41</f>
        <v>780.08372595655032</v>
      </c>
      <c r="K135">
        <f>maluku_papua!L41</f>
        <v>1092.2623782936359</v>
      </c>
      <c r="L135">
        <f>maluku_papua!M41</f>
        <v>0</v>
      </c>
      <c r="M135">
        <f>maluku_papua!N41</f>
        <v>2.0042099243875882</v>
      </c>
      <c r="N135">
        <f>maluku_papua!O41</f>
        <v>0</v>
      </c>
      <c r="O135">
        <f>maluku_papua!P41</f>
        <v>5.0374558085886898</v>
      </c>
      <c r="P135">
        <f>maluku_papua!Q41</f>
        <v>18956.378715977808</v>
      </c>
      <c r="Q135">
        <f>maluku_papua!R41</f>
        <v>24553</v>
      </c>
      <c r="R135" s="45">
        <f>proj_rukn!C135</f>
        <v>24553</v>
      </c>
    </row>
    <row r="136" spans="1:18" x14ac:dyDescent="0.25">
      <c r="A136" t="str">
        <f>maluku_papua!B42</f>
        <v>MALUKU_PAPUA</v>
      </c>
      <c r="B136">
        <f>maluku_papua!C42</f>
        <v>2033</v>
      </c>
      <c r="C136">
        <f>maluku_papua!D42</f>
        <v>5407.8159382532876</v>
      </c>
      <c r="D136">
        <f>maluku_papua!E42</f>
        <v>11.957507864777568</v>
      </c>
      <c r="E136">
        <f>maluku_papua!F42</f>
        <v>5186.5328012289647</v>
      </c>
      <c r="F136">
        <f>maluku_papua!G42</f>
        <v>4462.8379022769232</v>
      </c>
      <c r="G136">
        <f>maluku_papua!H42</f>
        <v>0</v>
      </c>
      <c r="H136">
        <f>maluku_papua!I42</f>
        <v>1042.1124752568251</v>
      </c>
      <c r="I136">
        <f>maluku_papua!J42</f>
        <v>2004.3548539470544</v>
      </c>
      <c r="J136">
        <f>maluku_papua!K42</f>
        <v>923.08187750921945</v>
      </c>
      <c r="K136">
        <f>maluku_papua!L42</f>
        <v>1202.6448747257853</v>
      </c>
      <c r="L136">
        <f>maluku_papua!M42</f>
        <v>0</v>
      </c>
      <c r="M136">
        <f>maluku_papua!N42</f>
        <v>2.0042099243875882</v>
      </c>
      <c r="N136">
        <f>maluku_papua!O42</f>
        <v>0</v>
      </c>
      <c r="O136">
        <f>maluku_papua!P42</f>
        <v>5.4045688807025334</v>
      </c>
      <c r="P136">
        <f>maluku_papua!Q42</f>
        <v>20243.342440987224</v>
      </c>
      <c r="Q136">
        <f>maluku_papua!R42</f>
        <v>25000</v>
      </c>
      <c r="R136" s="45">
        <f>proj_rukn!C136</f>
        <v>25000</v>
      </c>
    </row>
    <row r="137" spans="1:18" x14ac:dyDescent="0.25">
      <c r="A137" t="str">
        <f>maluku_papua!B43</f>
        <v>MALUKU_PAPUA</v>
      </c>
      <c r="B137">
        <f>maluku_papua!C43</f>
        <v>2034</v>
      </c>
      <c r="C137">
        <f>maluku_papua!D43</f>
        <v>5915.4715711200452</v>
      </c>
      <c r="D137">
        <f>maluku_papua!E43</f>
        <v>11.957507864777568</v>
      </c>
      <c r="E137">
        <f>maluku_papua!F43</f>
        <v>5642.2527793093195</v>
      </c>
      <c r="F137">
        <f>maluku_papua!G43</f>
        <v>4462.8379022769232</v>
      </c>
      <c r="G137">
        <f>maluku_papua!H43</f>
        <v>-2.1832172633239601E-14</v>
      </c>
      <c r="H137">
        <f>maluku_papua!I43</f>
        <v>1156.3768586430376</v>
      </c>
      <c r="I137">
        <f>maluku_papua!J43</f>
        <v>2250.8055483179046</v>
      </c>
      <c r="J137">
        <f>maluku_papua!K43</f>
        <v>939.95032508351551</v>
      </c>
      <c r="K137">
        <f>maluku_papua!L43</f>
        <v>1248.8197863040191</v>
      </c>
      <c r="L137">
        <f>maluku_papua!M43</f>
        <v>0</v>
      </c>
      <c r="M137">
        <f>maluku_papua!N43</f>
        <v>2.0184934819337776</v>
      </c>
      <c r="N137">
        <f>maluku_papua!O43</f>
        <v>0</v>
      </c>
      <c r="O137">
        <f>maluku_papua!P43</f>
        <v>5.7584333575728657</v>
      </c>
      <c r="P137">
        <f>maluku_papua!Q43</f>
        <v>21630.490772401474</v>
      </c>
      <c r="Q137">
        <f>maluku_papua!R43</f>
        <v>25570</v>
      </c>
      <c r="R137" s="45">
        <f>proj_rukn!C137</f>
        <v>25570</v>
      </c>
    </row>
    <row r="138" spans="1:18" x14ac:dyDescent="0.25">
      <c r="A138" t="str">
        <f>maluku_papua!B44</f>
        <v>MALUKU_PAPUA</v>
      </c>
      <c r="B138">
        <f>maluku_papua!C44</f>
        <v>2035</v>
      </c>
      <c r="C138">
        <f>maluku_papua!D44</f>
        <v>6467.3082873519043</v>
      </c>
      <c r="D138">
        <f>maluku_papua!E44</f>
        <v>11.957504875393882</v>
      </c>
      <c r="E138">
        <f>maluku_papua!F44</f>
        <v>6103.8732566082763</v>
      </c>
      <c r="F138">
        <f>maluku_papua!G44</f>
        <v>4462.8379022769232</v>
      </c>
      <c r="G138">
        <f>maluku_papua!H44</f>
        <v>-9.9999998342293033E-7</v>
      </c>
      <c r="H138">
        <f>maluku_papua!I44</f>
        <v>1453.2578842406376</v>
      </c>
      <c r="I138">
        <f>maluku_papua!J44</f>
        <v>2251.9893553219172</v>
      </c>
      <c r="J138">
        <f>maluku_papua!K44</f>
        <v>1094.6472220671171</v>
      </c>
      <c r="K138">
        <f>maluku_papua!L44</f>
        <v>1249.0967248665029</v>
      </c>
      <c r="L138">
        <f>maluku_papua!M44</f>
        <v>0</v>
      </c>
      <c r="M138">
        <f>maluku_papua!N44</f>
        <v>2.5615698246485357</v>
      </c>
      <c r="N138">
        <f>maluku_papua!O44</f>
        <v>0</v>
      </c>
      <c r="O138">
        <f>maluku_papua!P44</f>
        <v>6.1503663269172</v>
      </c>
      <c r="P138">
        <f>maluku_papua!Q44</f>
        <v>23097.529706433317</v>
      </c>
      <c r="Q138">
        <f>maluku_papua!R44</f>
        <v>26114</v>
      </c>
      <c r="R138" s="45">
        <f>proj_rukn!C138</f>
        <v>26114</v>
      </c>
    </row>
    <row r="139" spans="1:18" x14ac:dyDescent="0.25">
      <c r="A139" t="str">
        <f>maluku_papua!B45</f>
        <v>MALUKU_PAPUA</v>
      </c>
      <c r="B139">
        <f>maluku_papua!C45</f>
        <v>2036</v>
      </c>
      <c r="C139">
        <f>maluku_papua!D45</f>
        <v>6979.5810613726553</v>
      </c>
      <c r="D139">
        <f>maluku_papua!E45</f>
        <v>11.957504875393882</v>
      </c>
      <c r="E139">
        <f>maluku_papua!F45</f>
        <v>6781.8361453846046</v>
      </c>
      <c r="F139">
        <f>maluku_papua!G45</f>
        <v>4462.8379022769232</v>
      </c>
      <c r="G139">
        <f>maluku_papua!H45</f>
        <v>-2.1832173663835991E-14</v>
      </c>
      <c r="H139">
        <f>maluku_papua!I45</f>
        <v>1453.398733478871</v>
      </c>
      <c r="I139">
        <f>maluku_papua!J45</f>
        <v>2929.3240710390619</v>
      </c>
      <c r="J139">
        <f>maluku_papua!K45</f>
        <v>1158.3585677736535</v>
      </c>
      <c r="K139">
        <f>maluku_papua!L45</f>
        <v>1326.551143236891</v>
      </c>
      <c r="L139">
        <f>maluku_papua!M45</f>
        <v>0</v>
      </c>
      <c r="M139">
        <f>maluku_papua!N45</f>
        <v>2.5615698246485357</v>
      </c>
      <c r="N139">
        <f>maluku_papua!O45</f>
        <v>0</v>
      </c>
      <c r="O139">
        <f>maluku_papua!P45</f>
        <v>6.6727607925731984</v>
      </c>
      <c r="P139">
        <f>maluku_papua!Q45</f>
        <v>25106.406699262705</v>
      </c>
      <c r="Q139">
        <f>maluku_papua!R45</f>
        <v>26747</v>
      </c>
      <c r="R139" s="45">
        <f>proj_rukn!C139</f>
        <v>26747</v>
      </c>
    </row>
    <row r="140" spans="1:18" x14ac:dyDescent="0.25">
      <c r="A140" t="str">
        <f>maluku_papua!B46</f>
        <v>MALUKU_PAPUA</v>
      </c>
      <c r="B140">
        <f>maluku_papua!C46</f>
        <v>2037</v>
      </c>
      <c r="C140">
        <f>maluku_papua!D46</f>
        <v>7529.926013005871</v>
      </c>
      <c r="D140">
        <f>maluku_papua!E46</f>
        <v>11.957501886010196</v>
      </c>
      <c r="E140">
        <f>maluku_papua!F46</f>
        <v>7496.1383103889284</v>
      </c>
      <c r="F140">
        <f>maluku_papua!G46</f>
        <v>4462.8379022769232</v>
      </c>
      <c r="G140">
        <f>maluku_papua!H46</f>
        <v>0</v>
      </c>
      <c r="H140">
        <f>maluku_papua!I46</f>
        <v>1581.8534797476073</v>
      </c>
      <c r="I140">
        <f>maluku_papua!J46</f>
        <v>3627.8754000763647</v>
      </c>
      <c r="J140">
        <f>maluku_papua!K46</f>
        <v>1180.4272228823133</v>
      </c>
      <c r="K140">
        <f>maluku_papua!L46</f>
        <v>1388.2159647633446</v>
      </c>
      <c r="L140">
        <f>maluku_papua!M46</f>
        <v>0</v>
      </c>
      <c r="M140">
        <f>maluku_papua!N46</f>
        <v>3.1088339289041369</v>
      </c>
      <c r="N140">
        <f>maluku_papua!O46</f>
        <v>0</v>
      </c>
      <c r="O140">
        <f>maluku_papua!P46</f>
        <v>7.224932099925085</v>
      </c>
      <c r="P140">
        <f>maluku_papua!Q46</f>
        <v>27282.34062895627</v>
      </c>
      <c r="Q140">
        <f>maluku_papua!R46</f>
        <v>27382</v>
      </c>
      <c r="R140" s="45">
        <f>proj_rukn!C140</f>
        <v>27382</v>
      </c>
    </row>
    <row r="141" spans="1:18" x14ac:dyDescent="0.25">
      <c r="A141" t="str">
        <f>maluku_papua!B47</f>
        <v>MALUKU_PAPUA</v>
      </c>
      <c r="B141">
        <f>maluku_papua!C47</f>
        <v>2038</v>
      </c>
      <c r="C141">
        <f>maluku_papua!D47</f>
        <v>7714.4700872182639</v>
      </c>
      <c r="D141">
        <f>maluku_papua!E47</f>
        <v>11.957501886010196</v>
      </c>
      <c r="E141">
        <f>maluku_papua!F47</f>
        <v>7865.8115696458844</v>
      </c>
      <c r="F141">
        <f>maluku_papua!G47</f>
        <v>4781.2799290568819</v>
      </c>
      <c r="G141">
        <f>maluku_papua!H47</f>
        <v>0</v>
      </c>
      <c r="H141">
        <f>maluku_papua!I47</f>
        <v>1581.8534797476073</v>
      </c>
      <c r="I141">
        <f>maluku_papua!J47</f>
        <v>3627.8754000763647</v>
      </c>
      <c r="J141">
        <f>maluku_papua!K47</f>
        <v>1180.4272228823133</v>
      </c>
      <c r="K141">
        <f>maluku_papua!L47</f>
        <v>1388.2159647633446</v>
      </c>
      <c r="L141">
        <f>maluku_papua!M47</f>
        <v>0</v>
      </c>
      <c r="M141">
        <f>maluku_papua!N47</f>
        <v>3.1088339289041369</v>
      </c>
      <c r="N141">
        <f>maluku_papua!O47</f>
        <v>0</v>
      </c>
      <c r="O141">
        <f>maluku_papua!P47</f>
        <v>7.4396499123669635</v>
      </c>
      <c r="P141">
        <f>maluku_papua!Q47</f>
        <v>28154.999989205578</v>
      </c>
      <c r="Q141">
        <f>maluku_papua!R47</f>
        <v>28155</v>
      </c>
      <c r="R141" s="45">
        <f>proj_rukn!C141</f>
        <v>28155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4E250-DBEA-48BE-8895-877849AC87E6}">
  <sheetPr codeName="Sheet18"/>
  <dimension ref="A1:P141"/>
  <sheetViews>
    <sheetView workbookViewId="0">
      <selection activeCell="P4" sqref="P4"/>
    </sheetView>
  </sheetViews>
  <sheetFormatPr defaultRowHeight="15" x14ac:dyDescent="0.25"/>
  <cols>
    <col min="1" max="1" width="16.28515625" customWidth="1"/>
    <col min="3" max="3" width="15.42578125" bestFit="1" customWidth="1"/>
    <col min="4" max="5" width="14.42578125" bestFit="1" customWidth="1"/>
    <col min="6" max="6" width="12.7109375" bestFit="1" customWidth="1"/>
    <col min="7" max="7" width="12.85546875" bestFit="1" customWidth="1"/>
    <col min="8" max="11" width="9.28515625" bestFit="1" customWidth="1"/>
    <col min="12" max="12" width="12.85546875" bestFit="1" customWidth="1"/>
    <col min="13" max="13" width="9.28515625" bestFit="1" customWidth="1"/>
    <col min="14" max="14" width="12" bestFit="1" customWidth="1"/>
    <col min="15" max="15" width="9.28515625" bestFit="1" customWidth="1"/>
  </cols>
  <sheetData>
    <row r="1" spans="1:16" x14ac:dyDescent="0.25">
      <c r="A1" t="str">
        <f>indonesia!U51</f>
        <v>region</v>
      </c>
      <c r="B1" t="str">
        <f>indonesia!V51</f>
        <v>year</v>
      </c>
      <c r="C1" t="str">
        <f>indonesia!W51</f>
        <v>coal</v>
      </c>
      <c r="D1" t="str">
        <f>indonesia!X51</f>
        <v>ocgt</v>
      </c>
      <c r="E1" t="str">
        <f>indonesia!Y51</f>
        <v>ccgt</v>
      </c>
      <c r="F1" t="str">
        <f>indonesia!Z51</f>
        <v>reciprocating</v>
      </c>
      <c r="G1" t="str">
        <f>indonesia!AA51</f>
        <v>geothermal</v>
      </c>
      <c r="H1" t="str">
        <f>indonesia!AB51</f>
        <v>lhydro</v>
      </c>
      <c r="I1" t="str">
        <f>indonesia!AC51</f>
        <v>mhydro</v>
      </c>
      <c r="J1" t="str">
        <f>indonesia!AD51</f>
        <v>solar</v>
      </c>
      <c r="K1" t="str">
        <f>indonesia!AE51</f>
        <v>wind</v>
      </c>
      <c r="L1" t="str">
        <f>indonesia!AF51</f>
        <v>biomass</v>
      </c>
      <c r="M1" t="str">
        <f>indonesia!AG51</f>
        <v>ocean</v>
      </c>
      <c r="N1" t="str">
        <f>indonesia!AH51</f>
        <v>waste</v>
      </c>
      <c r="O1" t="str">
        <f>indonesia!AI51</f>
        <v>storage</v>
      </c>
      <c r="P1" t="str">
        <f>indonesia!AJ51</f>
        <v>total</v>
      </c>
    </row>
    <row r="2" spans="1:16" x14ac:dyDescent="0.25">
      <c r="A2" t="str">
        <f>indonesia!U52</f>
        <v>INDONESIA</v>
      </c>
      <c r="B2">
        <f>indonesia!V52</f>
        <v>2019</v>
      </c>
      <c r="C2">
        <f>SUM(C22,C42,C62,C82,C102,C122)</f>
        <v>155130339.42625189</v>
      </c>
      <c r="D2">
        <f t="shared" ref="D2:P2" si="0">SUM(D22,D42,D62,D82,D102,D122)</f>
        <v>10565590.358331738</v>
      </c>
      <c r="E2">
        <f t="shared" si="0"/>
        <v>12224216.458486581</v>
      </c>
      <c r="F2">
        <f t="shared" si="0"/>
        <v>19471556.899112798</v>
      </c>
      <c r="G2">
        <f t="shared" si="0"/>
        <v>810.78254985599995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465540.57697349472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78098478.383421645</v>
      </c>
    </row>
    <row r="3" spans="1:16" x14ac:dyDescent="0.25">
      <c r="A3" t="str">
        <f>indonesia!U53</f>
        <v>INDONESIA</v>
      </c>
      <c r="B3">
        <f>indonesia!V53</f>
        <v>2020</v>
      </c>
      <c r="C3">
        <f t="shared" ref="C3:P18" si="1">SUM(C23,C43,C63,C83,C103,C123)</f>
        <v>164553570.17613599</v>
      </c>
      <c r="D3">
        <f t="shared" si="1"/>
        <v>10565590.354584225</v>
      </c>
      <c r="E3">
        <f t="shared" si="1"/>
        <v>16057421.470864579</v>
      </c>
      <c r="F3">
        <f t="shared" si="1"/>
        <v>19471556.899112798</v>
      </c>
      <c r="G3">
        <f t="shared" si="1"/>
        <v>864.58706027224343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465540.57566866896</v>
      </c>
      <c r="M3">
        <f t="shared" si="1"/>
        <v>0</v>
      </c>
      <c r="N3">
        <f t="shared" si="1"/>
        <v>0</v>
      </c>
      <c r="O3">
        <f t="shared" si="1"/>
        <v>0</v>
      </c>
      <c r="P3">
        <f t="shared" si="1"/>
        <v>83344408.357513636</v>
      </c>
    </row>
    <row r="4" spans="1:16" x14ac:dyDescent="0.25">
      <c r="A4" t="str">
        <f>indonesia!U54</f>
        <v>INDONESIA</v>
      </c>
      <c r="B4">
        <f>indonesia!V54</f>
        <v>2021</v>
      </c>
      <c r="C4">
        <f t="shared" si="1"/>
        <v>165732090.33888152</v>
      </c>
      <c r="D4">
        <f t="shared" si="1"/>
        <v>12225441.35395013</v>
      </c>
      <c r="E4">
        <f t="shared" si="1"/>
        <v>26003492.594596889</v>
      </c>
      <c r="F4">
        <f t="shared" si="1"/>
        <v>19495993.394334063</v>
      </c>
      <c r="G4">
        <f t="shared" si="1"/>
        <v>864.58705986407665</v>
      </c>
      <c r="H4">
        <f t="shared" si="1"/>
        <v>0</v>
      </c>
      <c r="I4">
        <f t="shared" si="1"/>
        <v>0</v>
      </c>
      <c r="J4">
        <f t="shared" si="1"/>
        <v>0</v>
      </c>
      <c r="K4">
        <f t="shared" si="1"/>
        <v>0</v>
      </c>
      <c r="L4">
        <f t="shared" si="1"/>
        <v>465540.57697349472</v>
      </c>
      <c r="M4">
        <f t="shared" si="1"/>
        <v>0</v>
      </c>
      <c r="N4">
        <f t="shared" si="1"/>
        <v>0</v>
      </c>
      <c r="O4">
        <f t="shared" si="1"/>
        <v>0</v>
      </c>
      <c r="P4">
        <f t="shared" si="1"/>
        <v>87884277.771295771</v>
      </c>
    </row>
    <row r="5" spans="1:16" x14ac:dyDescent="0.25">
      <c r="A5" t="str">
        <f>indonesia!U55</f>
        <v>INDONESIA</v>
      </c>
      <c r="B5">
        <f>indonesia!V55</f>
        <v>2022</v>
      </c>
      <c r="C5">
        <f t="shared" si="1"/>
        <v>167004374.0315052</v>
      </c>
      <c r="D5">
        <f t="shared" si="1"/>
        <v>13087751.35269241</v>
      </c>
      <c r="E5">
        <f t="shared" si="1"/>
        <v>31484778.268741839</v>
      </c>
      <c r="F5">
        <f t="shared" si="1"/>
        <v>19762687.538409133</v>
      </c>
      <c r="G5">
        <f t="shared" si="1"/>
        <v>864.58705986407665</v>
      </c>
      <c r="H5">
        <f t="shared" si="1"/>
        <v>0</v>
      </c>
      <c r="I5">
        <f t="shared" si="1"/>
        <v>0</v>
      </c>
      <c r="J5">
        <f t="shared" si="1"/>
        <v>0</v>
      </c>
      <c r="K5">
        <f t="shared" si="1"/>
        <v>0</v>
      </c>
      <c r="L5">
        <f t="shared" si="1"/>
        <v>465540.57697349472</v>
      </c>
      <c r="M5">
        <f t="shared" si="1"/>
        <v>0</v>
      </c>
      <c r="N5">
        <f t="shared" si="1"/>
        <v>0</v>
      </c>
      <c r="O5">
        <f t="shared" si="1"/>
        <v>0</v>
      </c>
      <c r="P5">
        <f t="shared" si="1"/>
        <v>91618272.706047162</v>
      </c>
    </row>
    <row r="6" spans="1:16" x14ac:dyDescent="0.25">
      <c r="A6" t="str">
        <f>indonesia!U56</f>
        <v>INDONESIA</v>
      </c>
      <c r="B6">
        <f>indonesia!V56</f>
        <v>2023</v>
      </c>
      <c r="C6">
        <f t="shared" si="1"/>
        <v>167485200.05448127</v>
      </c>
      <c r="D6">
        <f t="shared" si="1"/>
        <v>15005144.05128946</v>
      </c>
      <c r="E6">
        <f t="shared" si="1"/>
        <v>34804874.669368945</v>
      </c>
      <c r="F6">
        <f t="shared" si="1"/>
        <v>21632045.220558833</v>
      </c>
      <c r="G6">
        <f t="shared" si="1"/>
        <v>864.6102170491298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649196.4922983743</v>
      </c>
      <c r="M6">
        <f t="shared" si="1"/>
        <v>0</v>
      </c>
      <c r="N6">
        <f t="shared" si="1"/>
        <v>0</v>
      </c>
      <c r="O6">
        <f t="shared" si="1"/>
        <v>0</v>
      </c>
      <c r="P6">
        <f t="shared" si="1"/>
        <v>97297063.399038985</v>
      </c>
    </row>
    <row r="7" spans="1:16" x14ac:dyDescent="0.25">
      <c r="A7" t="str">
        <f>indonesia!U57</f>
        <v>INDONESIA</v>
      </c>
      <c r="B7">
        <f>indonesia!V57</f>
        <v>2024</v>
      </c>
      <c r="C7">
        <f t="shared" si="1"/>
        <v>167804397.25242975</v>
      </c>
      <c r="D7">
        <f t="shared" si="1"/>
        <v>16203062.006067526</v>
      </c>
      <c r="E7">
        <f t="shared" si="1"/>
        <v>38448603.231619239</v>
      </c>
      <c r="F7">
        <f t="shared" si="1"/>
        <v>22622828.392204687</v>
      </c>
      <c r="G7">
        <f t="shared" si="1"/>
        <v>864.64712302060025</v>
      </c>
      <c r="H7">
        <f t="shared" si="1"/>
        <v>0</v>
      </c>
      <c r="I7">
        <f t="shared" si="1"/>
        <v>0</v>
      </c>
      <c r="J7">
        <f t="shared" si="1"/>
        <v>0</v>
      </c>
      <c r="K7">
        <f t="shared" si="1"/>
        <v>0</v>
      </c>
      <c r="L7">
        <f t="shared" si="1"/>
        <v>1021448.8934322429</v>
      </c>
      <c r="M7">
        <f t="shared" si="1"/>
        <v>0</v>
      </c>
      <c r="N7">
        <f t="shared" si="1"/>
        <v>0</v>
      </c>
      <c r="O7">
        <f t="shared" si="1"/>
        <v>0</v>
      </c>
      <c r="P7">
        <f t="shared" si="1"/>
        <v>101469215.05130878</v>
      </c>
    </row>
    <row r="8" spans="1:16" x14ac:dyDescent="0.25">
      <c r="A8" t="str">
        <f>indonesia!U58</f>
        <v>INDONESIA</v>
      </c>
      <c r="B8">
        <f>indonesia!V58</f>
        <v>2025</v>
      </c>
      <c r="C8">
        <f t="shared" si="1"/>
        <v>168645373.92675728</v>
      </c>
      <c r="D8">
        <f t="shared" si="1"/>
        <v>17181356.302428432</v>
      </c>
      <c r="E8">
        <f t="shared" si="1"/>
        <v>41689723.296041287</v>
      </c>
      <c r="F8">
        <f t="shared" si="1"/>
        <v>23631905.237329584</v>
      </c>
      <c r="G8">
        <f t="shared" si="1"/>
        <v>864.64712302060025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1387432.3576288882</v>
      </c>
      <c r="M8">
        <f t="shared" si="1"/>
        <v>0</v>
      </c>
      <c r="N8">
        <f t="shared" si="1"/>
        <v>0</v>
      </c>
      <c r="O8">
        <f t="shared" si="1"/>
        <v>0</v>
      </c>
      <c r="P8">
        <f t="shared" si="1"/>
        <v>105901328.75581543</v>
      </c>
    </row>
    <row r="9" spans="1:16" x14ac:dyDescent="0.25">
      <c r="A9" t="str">
        <f>indonesia!U59</f>
        <v>INDONESIA</v>
      </c>
      <c r="B9">
        <f>indonesia!V59</f>
        <v>2026</v>
      </c>
      <c r="C9">
        <f t="shared" si="1"/>
        <v>171748206.90193656</v>
      </c>
      <c r="D9">
        <f t="shared" si="1"/>
        <v>18399105.43613866</v>
      </c>
      <c r="E9">
        <f t="shared" si="1"/>
        <v>47295469.664888695</v>
      </c>
      <c r="F9">
        <f t="shared" si="1"/>
        <v>23828329.626569826</v>
      </c>
      <c r="G9">
        <f t="shared" si="1"/>
        <v>867.91966605276832</v>
      </c>
      <c r="H9">
        <f t="shared" si="1"/>
        <v>0</v>
      </c>
      <c r="I9">
        <f t="shared" si="1"/>
        <v>0</v>
      </c>
      <c r="J9">
        <f t="shared" si="1"/>
        <v>0</v>
      </c>
      <c r="K9">
        <f t="shared" si="1"/>
        <v>0</v>
      </c>
      <c r="L9">
        <f t="shared" si="1"/>
        <v>1633358.5008837576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111022120.30147745</v>
      </c>
    </row>
    <row r="10" spans="1:16" x14ac:dyDescent="0.25">
      <c r="A10" t="str">
        <f>indonesia!U60</f>
        <v>INDONESIA</v>
      </c>
      <c r="B10">
        <f>indonesia!V60</f>
        <v>2027</v>
      </c>
      <c r="C10">
        <f t="shared" si="1"/>
        <v>175320071.15933663</v>
      </c>
      <c r="D10">
        <f t="shared" si="1"/>
        <v>19605989.178235441</v>
      </c>
      <c r="E10">
        <f t="shared" si="1"/>
        <v>53097362.905868925</v>
      </c>
      <c r="F10">
        <f t="shared" si="1"/>
        <v>24116744.283697877</v>
      </c>
      <c r="G10">
        <f t="shared" si="1"/>
        <v>867.91966598986835</v>
      </c>
      <c r="H10">
        <f t="shared" si="1"/>
        <v>0</v>
      </c>
      <c r="I10">
        <f t="shared" si="1"/>
        <v>0</v>
      </c>
      <c r="J10">
        <f t="shared" si="1"/>
        <v>0</v>
      </c>
      <c r="K10">
        <f t="shared" si="1"/>
        <v>0</v>
      </c>
      <c r="L10">
        <f t="shared" si="1"/>
        <v>1866993.942824496</v>
      </c>
      <c r="M10">
        <f t="shared" si="1"/>
        <v>0</v>
      </c>
      <c r="N10">
        <f t="shared" si="1"/>
        <v>0</v>
      </c>
      <c r="O10">
        <f t="shared" si="1"/>
        <v>0</v>
      </c>
      <c r="P10">
        <f t="shared" si="1"/>
        <v>116610725.69308287</v>
      </c>
    </row>
    <row r="11" spans="1:16" x14ac:dyDescent="0.25">
      <c r="A11" t="str">
        <f>indonesia!U61</f>
        <v>INDONESIA</v>
      </c>
      <c r="B11">
        <f>indonesia!V61</f>
        <v>2028</v>
      </c>
      <c r="C11">
        <f t="shared" si="1"/>
        <v>177925330.33495727</v>
      </c>
      <c r="D11">
        <f t="shared" si="1"/>
        <v>20944377.453894667</v>
      </c>
      <c r="E11">
        <f t="shared" si="1"/>
        <v>59874786.602569811</v>
      </c>
      <c r="F11">
        <f t="shared" si="1"/>
        <v>24435275.047235943</v>
      </c>
      <c r="G11">
        <f t="shared" si="1"/>
        <v>867.91966564460154</v>
      </c>
      <c r="H11">
        <f t="shared" si="1"/>
        <v>0</v>
      </c>
      <c r="I11">
        <f t="shared" si="1"/>
        <v>0</v>
      </c>
      <c r="J11">
        <f t="shared" si="1"/>
        <v>0</v>
      </c>
      <c r="K11">
        <f t="shared" si="1"/>
        <v>0</v>
      </c>
      <c r="L11">
        <f t="shared" si="1"/>
        <v>2045978.7630693545</v>
      </c>
      <c r="M11">
        <f t="shared" si="1"/>
        <v>0</v>
      </c>
      <c r="N11">
        <f t="shared" si="1"/>
        <v>0</v>
      </c>
      <c r="O11">
        <f t="shared" si="1"/>
        <v>0</v>
      </c>
      <c r="P11">
        <f t="shared" si="1"/>
        <v>122315398.13680905</v>
      </c>
    </row>
    <row r="12" spans="1:16" x14ac:dyDescent="0.25">
      <c r="A12" t="str">
        <f>indonesia!U62</f>
        <v>INDONESIA</v>
      </c>
      <c r="B12">
        <f>indonesia!V62</f>
        <v>2029</v>
      </c>
      <c r="C12">
        <f t="shared" si="1"/>
        <v>180700080.31793055</v>
      </c>
      <c r="D12">
        <f t="shared" si="1"/>
        <v>22142558.724579044</v>
      </c>
      <c r="E12">
        <f t="shared" si="1"/>
        <v>67176768.663361549</v>
      </c>
      <c r="F12">
        <f t="shared" si="1"/>
        <v>24775325.468887679</v>
      </c>
      <c r="G12">
        <f t="shared" si="1"/>
        <v>867.91966523643464</v>
      </c>
      <c r="H12">
        <f t="shared" si="1"/>
        <v>0</v>
      </c>
      <c r="I12">
        <f t="shared" si="1"/>
        <v>0</v>
      </c>
      <c r="J12">
        <f t="shared" si="1"/>
        <v>0</v>
      </c>
      <c r="K12">
        <f t="shared" si="1"/>
        <v>0</v>
      </c>
      <c r="L12">
        <f t="shared" si="1"/>
        <v>2411804.3161127861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128426515.24456678</v>
      </c>
    </row>
    <row r="13" spans="1:16" x14ac:dyDescent="0.25">
      <c r="A13" t="str">
        <f>indonesia!U63</f>
        <v>INDONESIA</v>
      </c>
      <c r="B13">
        <f>indonesia!V63</f>
        <v>2030</v>
      </c>
      <c r="C13">
        <f t="shared" si="1"/>
        <v>183554633.9725987</v>
      </c>
      <c r="D13">
        <f t="shared" si="1"/>
        <v>23779034.702490203</v>
      </c>
      <c r="E13">
        <f t="shared" si="1"/>
        <v>73663760.273183078</v>
      </c>
      <c r="F13">
        <f t="shared" si="1"/>
        <v>25110621.297679976</v>
      </c>
      <c r="G13">
        <f t="shared" si="1"/>
        <v>867.91966482826786</v>
      </c>
      <c r="H13">
        <f t="shared" si="1"/>
        <v>0</v>
      </c>
      <c r="I13">
        <f t="shared" si="1"/>
        <v>0</v>
      </c>
      <c r="J13">
        <f t="shared" si="1"/>
        <v>0</v>
      </c>
      <c r="K13">
        <f t="shared" si="1"/>
        <v>0</v>
      </c>
      <c r="L13">
        <f t="shared" si="1"/>
        <v>2411804.3128538392</v>
      </c>
      <c r="M13">
        <f t="shared" si="1"/>
        <v>0</v>
      </c>
      <c r="N13">
        <f t="shared" si="1"/>
        <v>0</v>
      </c>
      <c r="O13">
        <f t="shared" si="1"/>
        <v>0</v>
      </c>
      <c r="P13">
        <f t="shared" si="1"/>
        <v>133669678.53055908</v>
      </c>
    </row>
    <row r="14" spans="1:16" x14ac:dyDescent="0.25">
      <c r="A14" t="str">
        <f>indonesia!U64</f>
        <v>INDONESIA</v>
      </c>
      <c r="B14">
        <f>indonesia!V64</f>
        <v>2031</v>
      </c>
      <c r="C14">
        <f t="shared" si="1"/>
        <v>186931091.85446903</v>
      </c>
      <c r="D14">
        <f t="shared" si="1"/>
        <v>25328695.039198034</v>
      </c>
      <c r="E14">
        <f t="shared" si="1"/>
        <v>82221152.454511166</v>
      </c>
      <c r="F14">
        <f t="shared" si="1"/>
        <v>25527010.473996393</v>
      </c>
      <c r="G14">
        <f t="shared" si="1"/>
        <v>867.91966476536788</v>
      </c>
      <c r="H14">
        <f t="shared" si="1"/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 t="shared" si="1"/>
        <v>2589389.9368452528</v>
      </c>
      <c r="M14">
        <f t="shared" si="1"/>
        <v>0</v>
      </c>
      <c r="N14">
        <f t="shared" si="1"/>
        <v>0</v>
      </c>
      <c r="O14">
        <f t="shared" si="1"/>
        <v>0</v>
      </c>
      <c r="P14">
        <f t="shared" si="1"/>
        <v>140717225.14025351</v>
      </c>
    </row>
    <row r="15" spans="1:16" x14ac:dyDescent="0.25">
      <c r="A15" t="str">
        <f>indonesia!U65</f>
        <v>INDONESIA</v>
      </c>
      <c r="B15">
        <f>indonesia!V65</f>
        <v>2032</v>
      </c>
      <c r="C15">
        <f t="shared" si="1"/>
        <v>190931685.87144536</v>
      </c>
      <c r="D15">
        <f t="shared" si="1"/>
        <v>27035047.117111329</v>
      </c>
      <c r="E15">
        <f t="shared" si="1"/>
        <v>91276501.869183272</v>
      </c>
      <c r="F15">
        <f t="shared" si="1"/>
        <v>25726054.419912294</v>
      </c>
      <c r="G15">
        <f t="shared" si="1"/>
        <v>867.91966476536788</v>
      </c>
      <c r="H15">
        <f t="shared" si="1"/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2690022.0219035535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148294259.75987086</v>
      </c>
    </row>
    <row r="16" spans="1:16" x14ac:dyDescent="0.25">
      <c r="A16" t="str">
        <f>indonesia!U66</f>
        <v>INDONESIA</v>
      </c>
      <c r="B16">
        <f>indonesia!V66</f>
        <v>2033</v>
      </c>
      <c r="C16">
        <f t="shared" si="1"/>
        <v>198764851.2585144</v>
      </c>
      <c r="D16">
        <f t="shared" si="1"/>
        <v>28111407.883784346</v>
      </c>
      <c r="E16">
        <f t="shared" si="1"/>
        <v>99187730.015661627</v>
      </c>
      <c r="F16">
        <f t="shared" si="1"/>
        <v>25888372.982825942</v>
      </c>
      <c r="G16">
        <f t="shared" si="1"/>
        <v>879.66038572636216</v>
      </c>
      <c r="H16">
        <f t="shared" si="1"/>
        <v>0</v>
      </c>
      <c r="I16">
        <f t="shared" si="1"/>
        <v>0</v>
      </c>
      <c r="J16">
        <f t="shared" si="1"/>
        <v>0</v>
      </c>
      <c r="K16">
        <f t="shared" si="1"/>
        <v>0</v>
      </c>
      <c r="L16">
        <f t="shared" si="1"/>
        <v>2740338.0644327039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155894159.7897549</v>
      </c>
    </row>
    <row r="17" spans="1:16" x14ac:dyDescent="0.25">
      <c r="A17" t="str">
        <f>indonesia!U67</f>
        <v>INDONESIA</v>
      </c>
      <c r="B17">
        <f>indonesia!V67</f>
        <v>2034</v>
      </c>
      <c r="C17">
        <f t="shared" si="1"/>
        <v>212727345.30562386</v>
      </c>
      <c r="D17">
        <f t="shared" si="1"/>
        <v>30016381.088206314</v>
      </c>
      <c r="E17">
        <f t="shared" si="1"/>
        <v>104083456.57696006</v>
      </c>
      <c r="F17">
        <f t="shared" si="1"/>
        <v>26120755.749679722</v>
      </c>
      <c r="G17">
        <f t="shared" si="1"/>
        <v>879.66038531819538</v>
      </c>
      <c r="H17">
        <f t="shared" si="1"/>
        <v>0</v>
      </c>
      <c r="I17">
        <f t="shared" si="1"/>
        <v>0</v>
      </c>
      <c r="J17">
        <f t="shared" si="1"/>
        <v>0</v>
      </c>
      <c r="K17">
        <f t="shared" si="1"/>
        <v>0</v>
      </c>
      <c r="L17">
        <f t="shared" si="1"/>
        <v>2765496.0856972793</v>
      </c>
      <c r="M17">
        <f t="shared" si="1"/>
        <v>0</v>
      </c>
      <c r="N17">
        <f t="shared" si="1"/>
        <v>0</v>
      </c>
      <c r="O17">
        <f t="shared" si="1"/>
        <v>0</v>
      </c>
      <c r="P17">
        <f t="shared" si="1"/>
        <v>164471639.17284358</v>
      </c>
    </row>
    <row r="18" spans="1:16" x14ac:dyDescent="0.25">
      <c r="A18" t="str">
        <f>indonesia!U68</f>
        <v>INDONESIA</v>
      </c>
      <c r="B18">
        <f>indonesia!V68</f>
        <v>2035</v>
      </c>
      <c r="C18">
        <f t="shared" si="1"/>
        <v>221400589.63691732</v>
      </c>
      <c r="D18">
        <f t="shared" si="1"/>
        <v>30738862.113967188</v>
      </c>
      <c r="E18">
        <f t="shared" si="1"/>
        <v>110402810.56820205</v>
      </c>
      <c r="F18">
        <f t="shared" si="1"/>
        <v>31126332.177266061</v>
      </c>
      <c r="G18">
        <f t="shared" si="1"/>
        <v>908.2934083408968</v>
      </c>
      <c r="H18">
        <f t="shared" si="1"/>
        <v>0</v>
      </c>
      <c r="I18">
        <f t="shared" si="1"/>
        <v>0</v>
      </c>
      <c r="J18">
        <f t="shared" si="1"/>
        <v>0</v>
      </c>
      <c r="K18">
        <f t="shared" si="1"/>
        <v>0</v>
      </c>
      <c r="L18">
        <f t="shared" si="1"/>
        <v>2778075.0963295666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173254180.45629317</v>
      </c>
    </row>
    <row r="19" spans="1:16" x14ac:dyDescent="0.25">
      <c r="A19" t="str">
        <f>indonesia!U69</f>
        <v>INDONESIA</v>
      </c>
      <c r="B19">
        <f>indonesia!V69</f>
        <v>2036</v>
      </c>
      <c r="C19">
        <f t="shared" ref="C19:P21" si="2">SUM(C39,C59,C79,C99,C119,C139)</f>
        <v>233856290.59502777</v>
      </c>
      <c r="D19">
        <f t="shared" si="2"/>
        <v>31551659.341520753</v>
      </c>
      <c r="E19">
        <f t="shared" si="2"/>
        <v>117068463.8904874</v>
      </c>
      <c r="F19">
        <f t="shared" si="2"/>
        <v>34045497.067151889</v>
      </c>
      <c r="G19">
        <f t="shared" si="2"/>
        <v>1104.0851536367161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2784364.6016457109</v>
      </c>
      <c r="M19">
        <f t="shared" si="2"/>
        <v>0</v>
      </c>
      <c r="N19">
        <f t="shared" si="2"/>
        <v>0</v>
      </c>
      <c r="O19">
        <f t="shared" si="2"/>
        <v>0</v>
      </c>
      <c r="P19">
        <f t="shared" si="2"/>
        <v>182911950.4500258</v>
      </c>
    </row>
    <row r="20" spans="1:16" x14ac:dyDescent="0.25">
      <c r="A20" t="str">
        <f>indonesia!U70</f>
        <v>INDONESIA</v>
      </c>
      <c r="B20">
        <f>indonesia!V70</f>
        <v>2037</v>
      </c>
      <c r="C20">
        <f t="shared" si="2"/>
        <v>246620008.57763386</v>
      </c>
      <c r="D20">
        <f t="shared" si="2"/>
        <v>32772012.203608062</v>
      </c>
      <c r="E20">
        <f t="shared" si="2"/>
        <v>124975974.07056974</v>
      </c>
      <c r="F20">
        <f t="shared" si="2"/>
        <v>35087197.686159983</v>
      </c>
      <c r="G20">
        <f t="shared" si="2"/>
        <v>1496.479772617093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2787509.3543037828</v>
      </c>
      <c r="M20">
        <f t="shared" si="2"/>
        <v>0</v>
      </c>
      <c r="N20">
        <f t="shared" si="2"/>
        <v>1.2392745099296813E-12</v>
      </c>
      <c r="O20">
        <f t="shared" si="2"/>
        <v>0</v>
      </c>
      <c r="P20">
        <f t="shared" si="2"/>
        <v>192052753.31750154</v>
      </c>
    </row>
    <row r="21" spans="1:16" x14ac:dyDescent="0.25">
      <c r="A21" t="str">
        <f>indonesia!U71</f>
        <v>INDONESIA</v>
      </c>
      <c r="B21">
        <f>indonesia!V71</f>
        <v>2038</v>
      </c>
      <c r="C21">
        <f t="shared" si="2"/>
        <v>260960842.31871155</v>
      </c>
      <c r="D21">
        <f t="shared" si="2"/>
        <v>34833578.94748985</v>
      </c>
      <c r="E21">
        <f t="shared" si="2"/>
        <v>133458374.47682333</v>
      </c>
      <c r="F21">
        <f t="shared" si="2"/>
        <v>36473200.326842979</v>
      </c>
      <c r="G21">
        <f t="shared" si="2"/>
        <v>2058.3454229867689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2789081.7306328183</v>
      </c>
      <c r="M21">
        <f t="shared" si="2"/>
        <v>0</v>
      </c>
      <c r="N21">
        <f t="shared" si="2"/>
        <v>9.4344524855811886E-4</v>
      </c>
      <c r="O21">
        <f t="shared" si="2"/>
        <v>0</v>
      </c>
      <c r="P21">
        <f t="shared" si="2"/>
        <v>202354531.146916</v>
      </c>
    </row>
    <row r="22" spans="1:16" x14ac:dyDescent="0.25">
      <c r="A22" t="str">
        <f>sumatera!U52</f>
        <v>SUMATERA</v>
      </c>
      <c r="B22">
        <f>sumatera!V52</f>
        <v>2019</v>
      </c>
      <c r="C22">
        <f>sumatera!W52</f>
        <v>23987675.68852837</v>
      </c>
      <c r="D22">
        <f>sumatera!X52</f>
        <v>2349128.9924380886</v>
      </c>
      <c r="E22">
        <f>sumatera!Y52</f>
        <v>1367604.5405620558</v>
      </c>
      <c r="F22">
        <f>sumatera!Z52</f>
        <v>7333539.7195172906</v>
      </c>
      <c r="G22">
        <f>sumatera!AA52</f>
        <v>276.3289298492308</v>
      </c>
      <c r="H22">
        <f>sumatera!AB52</f>
        <v>0</v>
      </c>
      <c r="I22">
        <f>sumatera!AC52</f>
        <v>0</v>
      </c>
      <c r="J22">
        <f>sumatera!AD52</f>
        <v>0</v>
      </c>
      <c r="K22">
        <f>sumatera!AE52</f>
        <v>0</v>
      </c>
      <c r="L22">
        <f>sumatera!AF52</f>
        <v>119277.45969359402</v>
      </c>
      <c r="M22">
        <f>sumatera!AG52</f>
        <v>0</v>
      </c>
      <c r="N22">
        <f>sumatera!AH52</f>
        <v>0</v>
      </c>
      <c r="O22">
        <f>sumatera!AI52</f>
        <v>0</v>
      </c>
      <c r="P22">
        <f>sumatera!AJ52</f>
        <v>35157502.729669251</v>
      </c>
    </row>
    <row r="23" spans="1:16" x14ac:dyDescent="0.25">
      <c r="A23" t="str">
        <f>sumatera!U53</f>
        <v>SUMATERA</v>
      </c>
      <c r="B23">
        <f>sumatera!V53</f>
        <v>2020</v>
      </c>
      <c r="C23">
        <f>sumatera!W53</f>
        <v>24862739.340500627</v>
      </c>
      <c r="D23">
        <f>sumatera!X53</f>
        <v>2349128.9924380886</v>
      </c>
      <c r="E23">
        <f>sumatera!Y53</f>
        <v>2848093.573683057</v>
      </c>
      <c r="F23">
        <f>sumatera!Z53</f>
        <v>7333539.7195172906</v>
      </c>
      <c r="G23">
        <f>sumatera!AA53</f>
        <v>276.3289298492308</v>
      </c>
      <c r="H23">
        <f>sumatera!AB53</f>
        <v>0</v>
      </c>
      <c r="I23">
        <f>sumatera!AC53</f>
        <v>0</v>
      </c>
      <c r="J23">
        <f>sumatera!AD53</f>
        <v>0</v>
      </c>
      <c r="K23">
        <f>sumatera!AE53</f>
        <v>0</v>
      </c>
      <c r="L23">
        <f>sumatera!AF53</f>
        <v>119277.45969359402</v>
      </c>
      <c r="M23">
        <f>sumatera!AG53</f>
        <v>0</v>
      </c>
      <c r="N23">
        <f>sumatera!AH53</f>
        <v>0</v>
      </c>
      <c r="O23">
        <f>sumatera!AI53</f>
        <v>0</v>
      </c>
      <c r="P23">
        <f>sumatera!AJ53</f>
        <v>37513055.414762504</v>
      </c>
    </row>
    <row r="24" spans="1:16" x14ac:dyDescent="0.25">
      <c r="A24" t="str">
        <f>sumatera!U54</f>
        <v>SUMATERA</v>
      </c>
      <c r="B24">
        <f>sumatera!V54</f>
        <v>2021</v>
      </c>
      <c r="C24">
        <f>sumatera!W54</f>
        <v>24862739.340500627</v>
      </c>
      <c r="D24">
        <f>sumatera!X54</f>
        <v>3827285.3139286907</v>
      </c>
      <c r="E24">
        <f>sumatera!Y54</f>
        <v>2848093.573683057</v>
      </c>
      <c r="F24">
        <f>sumatera!Z54</f>
        <v>7333539.7195172906</v>
      </c>
      <c r="G24">
        <f>sumatera!AA54</f>
        <v>276.3289298492308</v>
      </c>
      <c r="H24">
        <f>sumatera!AB54</f>
        <v>0</v>
      </c>
      <c r="I24">
        <f>sumatera!AC54</f>
        <v>0</v>
      </c>
      <c r="J24">
        <f>sumatera!AD54</f>
        <v>0</v>
      </c>
      <c r="K24">
        <f>sumatera!AE54</f>
        <v>0</v>
      </c>
      <c r="L24">
        <f>sumatera!AF54</f>
        <v>119277.45969359402</v>
      </c>
      <c r="M24">
        <f>sumatera!AG54</f>
        <v>0</v>
      </c>
      <c r="N24">
        <f>sumatera!AH54</f>
        <v>0</v>
      </c>
      <c r="O24">
        <f>sumatera!AI54</f>
        <v>0</v>
      </c>
      <c r="P24">
        <f>sumatera!AJ54</f>
        <v>38991211.736253105</v>
      </c>
    </row>
    <row r="25" spans="1:16" x14ac:dyDescent="0.25">
      <c r="A25" t="str">
        <f>sumatera!U55</f>
        <v>SUMATERA</v>
      </c>
      <c r="B25">
        <f>sumatera!V55</f>
        <v>2022</v>
      </c>
      <c r="C25">
        <f>sumatera!W55</f>
        <v>24862739.340500627</v>
      </c>
      <c r="D25">
        <f>sumatera!X55</f>
        <v>3827285.3139286907</v>
      </c>
      <c r="E25">
        <f>sumatera!Y55</f>
        <v>3045776.2982521034</v>
      </c>
      <c r="F25">
        <f>sumatera!Z55</f>
        <v>7596547.4270365741</v>
      </c>
      <c r="G25">
        <f>sumatera!AA55</f>
        <v>276.3289298492308</v>
      </c>
      <c r="H25">
        <f>sumatera!AB55</f>
        <v>0</v>
      </c>
      <c r="I25">
        <f>sumatera!AC55</f>
        <v>0</v>
      </c>
      <c r="J25">
        <f>sumatera!AD55</f>
        <v>0</v>
      </c>
      <c r="K25">
        <f>sumatera!AE55</f>
        <v>0</v>
      </c>
      <c r="L25">
        <f>sumatera!AF55</f>
        <v>119277.45969359402</v>
      </c>
      <c r="M25">
        <f>sumatera!AG55</f>
        <v>0</v>
      </c>
      <c r="N25">
        <f>sumatera!AH55</f>
        <v>0</v>
      </c>
      <c r="O25">
        <f>sumatera!AI55</f>
        <v>0</v>
      </c>
      <c r="P25">
        <f>sumatera!AJ55</f>
        <v>39451902.168341435</v>
      </c>
    </row>
    <row r="26" spans="1:16" x14ac:dyDescent="0.25">
      <c r="A26" t="str">
        <f>sumatera!U56</f>
        <v>SUMATERA</v>
      </c>
      <c r="B26">
        <f>sumatera!V56</f>
        <v>2023</v>
      </c>
      <c r="C26">
        <f>sumatera!W56</f>
        <v>24862739.340500627</v>
      </c>
      <c r="D26">
        <f>sumatera!X56</f>
        <v>3827285.3139286907</v>
      </c>
      <c r="E26">
        <f>sumatera!Y56</f>
        <v>4789358.7036275361</v>
      </c>
      <c r="F26">
        <f>sumatera!Z56</f>
        <v>8480516.3530777656</v>
      </c>
      <c r="G26">
        <f>sumatera!AA56</f>
        <v>276.3289298492308</v>
      </c>
      <c r="H26">
        <f>sumatera!AB56</f>
        <v>0</v>
      </c>
      <c r="I26">
        <f>sumatera!AC56</f>
        <v>0</v>
      </c>
      <c r="J26">
        <f>sumatera!AD56</f>
        <v>0</v>
      </c>
      <c r="K26">
        <f>sumatera!AE56</f>
        <v>0</v>
      </c>
      <c r="L26">
        <f>sumatera!AF56</f>
        <v>119277.45969359402</v>
      </c>
      <c r="M26">
        <f>sumatera!AG56</f>
        <v>0</v>
      </c>
      <c r="N26">
        <f>sumatera!AH56</f>
        <v>0</v>
      </c>
      <c r="O26">
        <f>sumatera!AI56</f>
        <v>0</v>
      </c>
      <c r="P26">
        <f>sumatera!AJ56</f>
        <v>42079453.499758057</v>
      </c>
    </row>
    <row r="27" spans="1:16" x14ac:dyDescent="0.25">
      <c r="A27" t="str">
        <f>sumatera!U57</f>
        <v>SUMATERA</v>
      </c>
      <c r="B27">
        <f>sumatera!V57</f>
        <v>2024</v>
      </c>
      <c r="C27">
        <f>sumatera!W57</f>
        <v>24862739.340500627</v>
      </c>
      <c r="D27">
        <f>sumatera!X57</f>
        <v>3827285.3139286907</v>
      </c>
      <c r="E27">
        <f>sumatera!Y57</f>
        <v>6331737.7744784849</v>
      </c>
      <c r="F27">
        <f>sumatera!Z57</f>
        <v>9238158.1696765702</v>
      </c>
      <c r="G27">
        <f>sumatera!AA57</f>
        <v>276.3289298492308</v>
      </c>
      <c r="H27">
        <f>sumatera!AB57</f>
        <v>0</v>
      </c>
      <c r="I27">
        <f>sumatera!AC57</f>
        <v>0</v>
      </c>
      <c r="J27">
        <f>sumatera!AD57</f>
        <v>0</v>
      </c>
      <c r="K27">
        <f>sumatera!AE57</f>
        <v>0</v>
      </c>
      <c r="L27">
        <f>sumatera!AF57</f>
        <v>119277.45969359402</v>
      </c>
      <c r="M27">
        <f>sumatera!AG57</f>
        <v>0</v>
      </c>
      <c r="N27">
        <f>sumatera!AH57</f>
        <v>0</v>
      </c>
      <c r="O27">
        <f>sumatera!AI57</f>
        <v>0</v>
      </c>
      <c r="P27">
        <f>sumatera!AJ57</f>
        <v>44379474.387207821</v>
      </c>
    </row>
    <row r="28" spans="1:16" x14ac:dyDescent="0.25">
      <c r="A28" t="str">
        <f>sumatera!U58</f>
        <v>SUMATERA</v>
      </c>
      <c r="B28">
        <f>sumatera!V58</f>
        <v>2025</v>
      </c>
      <c r="C28">
        <f>sumatera!W58</f>
        <v>25338831.347159397</v>
      </c>
      <c r="D28">
        <f>sumatera!X58</f>
        <v>3827285.3139286907</v>
      </c>
      <c r="E28">
        <f>sumatera!Y58</f>
        <v>7545488.7640945306</v>
      </c>
      <c r="F28">
        <f>sumatera!Z58</f>
        <v>9979324.1110573001</v>
      </c>
      <c r="G28">
        <f>sumatera!AA58</f>
        <v>276.3289298492308</v>
      </c>
      <c r="H28">
        <f>sumatera!AB58</f>
        <v>0</v>
      </c>
      <c r="I28">
        <f>sumatera!AC58</f>
        <v>0</v>
      </c>
      <c r="J28">
        <f>sumatera!AD58</f>
        <v>0</v>
      </c>
      <c r="K28">
        <f>sumatera!AE58</f>
        <v>0</v>
      </c>
      <c r="L28">
        <f>sumatera!AF58</f>
        <v>119277.45969359402</v>
      </c>
      <c r="M28">
        <f>sumatera!AG58</f>
        <v>0</v>
      </c>
      <c r="N28">
        <f>sumatera!AH58</f>
        <v>0</v>
      </c>
      <c r="O28">
        <f>sumatera!AI58</f>
        <v>0</v>
      </c>
      <c r="P28">
        <f>sumatera!AJ58</f>
        <v>46810483.324863367</v>
      </c>
    </row>
    <row r="29" spans="1:16" x14ac:dyDescent="0.25">
      <c r="A29" t="str">
        <f>sumatera!U59</f>
        <v>SUMATERA</v>
      </c>
      <c r="B29">
        <f>sumatera!V59</f>
        <v>2026</v>
      </c>
      <c r="C29">
        <f>sumatera!W59</f>
        <v>27979504.047345232</v>
      </c>
      <c r="D29">
        <f>sumatera!X59</f>
        <v>3827285.3139286907</v>
      </c>
      <c r="E29">
        <f>sumatera!Y59</f>
        <v>8041118.4584240802</v>
      </c>
      <c r="F29">
        <f>sumatera!Z59</f>
        <v>9979324.1110573001</v>
      </c>
      <c r="G29">
        <f>sumatera!AA59</f>
        <v>276.3289298492308</v>
      </c>
      <c r="H29">
        <f>sumatera!AB59</f>
        <v>0</v>
      </c>
      <c r="I29">
        <f>sumatera!AC59</f>
        <v>0</v>
      </c>
      <c r="J29">
        <f>sumatera!AD59</f>
        <v>0</v>
      </c>
      <c r="K29">
        <f>sumatera!AE59</f>
        <v>0</v>
      </c>
      <c r="L29">
        <f>sumatera!AF59</f>
        <v>119277.45969359402</v>
      </c>
      <c r="M29">
        <f>sumatera!AG59</f>
        <v>0</v>
      </c>
      <c r="N29">
        <f>sumatera!AH59</f>
        <v>0</v>
      </c>
      <c r="O29">
        <f>sumatera!AI59</f>
        <v>0</v>
      </c>
      <c r="P29">
        <f>sumatera!AJ59</f>
        <v>49946785.719378747</v>
      </c>
    </row>
    <row r="30" spans="1:16" x14ac:dyDescent="0.25">
      <c r="A30" t="str">
        <f>sumatera!U60</f>
        <v>SUMATERA</v>
      </c>
      <c r="B30">
        <f>sumatera!V60</f>
        <v>2027</v>
      </c>
      <c r="C30">
        <f>sumatera!W60</f>
        <v>31085374.738544833</v>
      </c>
      <c r="D30">
        <f>sumatera!X60</f>
        <v>3827285.3139286907</v>
      </c>
      <c r="E30">
        <f>sumatera!Y60</f>
        <v>8281682.4083827268</v>
      </c>
      <c r="F30">
        <f>sumatera!Z60</f>
        <v>9979324.1110573001</v>
      </c>
      <c r="G30">
        <f>sumatera!AA60</f>
        <v>276.3289298492308</v>
      </c>
      <c r="H30">
        <f>sumatera!AB60</f>
        <v>0</v>
      </c>
      <c r="I30">
        <f>sumatera!AC60</f>
        <v>0</v>
      </c>
      <c r="J30">
        <f>sumatera!AD60</f>
        <v>0</v>
      </c>
      <c r="K30">
        <f>sumatera!AE60</f>
        <v>0</v>
      </c>
      <c r="L30">
        <f>sumatera!AF60</f>
        <v>119277.45969359402</v>
      </c>
      <c r="M30">
        <f>sumatera!AG60</f>
        <v>0</v>
      </c>
      <c r="N30">
        <f>sumatera!AH60</f>
        <v>0</v>
      </c>
      <c r="O30">
        <f>sumatera!AI60</f>
        <v>0</v>
      </c>
      <c r="P30">
        <f>sumatera!AJ60</f>
        <v>53293220.360537</v>
      </c>
    </row>
    <row r="31" spans="1:16" x14ac:dyDescent="0.25">
      <c r="A31" t="str">
        <f>sumatera!U61</f>
        <v>SUMATERA</v>
      </c>
      <c r="B31">
        <f>sumatera!V61</f>
        <v>2028</v>
      </c>
      <c r="C31">
        <f>sumatera!W61</f>
        <v>32849640.33252174</v>
      </c>
      <c r="D31">
        <f>sumatera!X61</f>
        <v>3827285.3139286907</v>
      </c>
      <c r="E31">
        <f>sumatera!Y61</f>
        <v>10088066.107088659</v>
      </c>
      <c r="F31">
        <f>sumatera!Z61</f>
        <v>9979324.1110573001</v>
      </c>
      <c r="G31">
        <f>sumatera!AA61</f>
        <v>276.3289298492308</v>
      </c>
      <c r="H31">
        <f>sumatera!AB61</f>
        <v>0</v>
      </c>
      <c r="I31">
        <f>sumatera!AC61</f>
        <v>0</v>
      </c>
      <c r="J31">
        <f>sumatera!AD61</f>
        <v>0</v>
      </c>
      <c r="K31">
        <f>sumatera!AE61</f>
        <v>0</v>
      </c>
      <c r="L31">
        <f>sumatera!AF61</f>
        <v>119277.45969359402</v>
      </c>
      <c r="M31">
        <f>sumatera!AG61</f>
        <v>0</v>
      </c>
      <c r="N31">
        <f>sumatera!AH61</f>
        <v>0</v>
      </c>
      <c r="O31">
        <f>sumatera!AI61</f>
        <v>0</v>
      </c>
      <c r="P31">
        <f>sumatera!AJ61</f>
        <v>56863869.653219827</v>
      </c>
    </row>
    <row r="32" spans="1:16" x14ac:dyDescent="0.25">
      <c r="A32" t="str">
        <f>sumatera!U62</f>
        <v>SUMATERA</v>
      </c>
      <c r="B32">
        <f>sumatera!V62</f>
        <v>2029</v>
      </c>
      <c r="C32">
        <f>sumatera!W62</f>
        <v>34702535.669865891</v>
      </c>
      <c r="D32">
        <f>sumatera!X62</f>
        <v>3827285.3139286907</v>
      </c>
      <c r="E32">
        <f>sumatera!Y62</f>
        <v>12045050.036510231</v>
      </c>
      <c r="F32">
        <f>sumatera!Z62</f>
        <v>9979324.1110573001</v>
      </c>
      <c r="G32">
        <f>sumatera!AA62</f>
        <v>276.3289298492308</v>
      </c>
      <c r="H32">
        <f>sumatera!AB62</f>
        <v>0</v>
      </c>
      <c r="I32">
        <f>sumatera!AC62</f>
        <v>0</v>
      </c>
      <c r="J32">
        <f>sumatera!AD62</f>
        <v>0</v>
      </c>
      <c r="K32">
        <f>sumatera!AE62</f>
        <v>0</v>
      </c>
      <c r="L32">
        <f>sumatera!AF62</f>
        <v>119277.45969359402</v>
      </c>
      <c r="M32">
        <f>sumatera!AG62</f>
        <v>0</v>
      </c>
      <c r="N32">
        <f>sumatera!AH62</f>
        <v>0</v>
      </c>
      <c r="O32">
        <f>sumatera!AI62</f>
        <v>0</v>
      </c>
      <c r="P32">
        <f>sumatera!AJ62</f>
        <v>60673748.919985555</v>
      </c>
    </row>
    <row r="33" spans="1:16" x14ac:dyDescent="0.25">
      <c r="A33" t="str">
        <f>sumatera!U63</f>
        <v>SUMATERA</v>
      </c>
      <c r="B33">
        <f>sumatera!V63</f>
        <v>2030</v>
      </c>
      <c r="C33">
        <f>sumatera!W63</f>
        <v>36582721.035240605</v>
      </c>
      <c r="D33">
        <f>sumatera!X63</f>
        <v>3827285.3139286907</v>
      </c>
      <c r="E33">
        <f>sumatera!Y63</f>
        <v>13118354.956093101</v>
      </c>
      <c r="F33">
        <f>sumatera!Z63</f>
        <v>9979332.5594288111</v>
      </c>
      <c r="G33">
        <f>sumatera!AA63</f>
        <v>276.3289298492308</v>
      </c>
      <c r="H33">
        <f>sumatera!AB63</f>
        <v>0</v>
      </c>
      <c r="I33">
        <f>sumatera!AC63</f>
        <v>0</v>
      </c>
      <c r="J33">
        <f>sumatera!AD63</f>
        <v>0</v>
      </c>
      <c r="K33">
        <f>sumatera!AE63</f>
        <v>0</v>
      </c>
      <c r="L33">
        <f>sumatera!AF63</f>
        <v>119277.45969359402</v>
      </c>
      <c r="M33">
        <f>sumatera!AG63</f>
        <v>0</v>
      </c>
      <c r="N33">
        <f>sumatera!AH63</f>
        <v>0</v>
      </c>
      <c r="O33">
        <f>sumatera!AI63</f>
        <v>0</v>
      </c>
      <c r="P33">
        <f>sumatera!AJ63</f>
        <v>63627247.653314658</v>
      </c>
    </row>
    <row r="34" spans="1:16" x14ac:dyDescent="0.25">
      <c r="A34" t="str">
        <f>sumatera!U64</f>
        <v>SUMATERA</v>
      </c>
      <c r="B34">
        <f>sumatera!V64</f>
        <v>2031</v>
      </c>
      <c r="C34">
        <f>sumatera!W64</f>
        <v>38776217.255776733</v>
      </c>
      <c r="D34">
        <f>sumatera!X64</f>
        <v>3827285.3139286907</v>
      </c>
      <c r="E34">
        <f>sumatera!Y64</f>
        <v>15187884.328329055</v>
      </c>
      <c r="F34">
        <f>sumatera!Z64</f>
        <v>9979332.5594288111</v>
      </c>
      <c r="G34">
        <f>sumatera!AA64</f>
        <v>276.3289298492308</v>
      </c>
      <c r="H34">
        <f>sumatera!AB64</f>
        <v>0</v>
      </c>
      <c r="I34">
        <f>sumatera!AC64</f>
        <v>0</v>
      </c>
      <c r="J34">
        <f>sumatera!AD64</f>
        <v>0</v>
      </c>
      <c r="K34">
        <f>sumatera!AE64</f>
        <v>0</v>
      </c>
      <c r="L34">
        <f>sumatera!AF64</f>
        <v>119277.45969359402</v>
      </c>
      <c r="M34">
        <f>sumatera!AG64</f>
        <v>0</v>
      </c>
      <c r="N34">
        <f>sumatera!AH64</f>
        <v>0</v>
      </c>
      <c r="O34">
        <f>sumatera!AI64</f>
        <v>0</v>
      </c>
      <c r="P34">
        <f>sumatera!AJ64</f>
        <v>67890273.246086746</v>
      </c>
    </row>
    <row r="35" spans="1:16" x14ac:dyDescent="0.25">
      <c r="A35" t="str">
        <f>sumatera!U65</f>
        <v>SUMATERA</v>
      </c>
      <c r="B35">
        <f>sumatera!V65</f>
        <v>2032</v>
      </c>
      <c r="C35">
        <f>sumatera!W65</f>
        <v>41106492.010345995</v>
      </c>
      <c r="D35">
        <f>sumatera!X65</f>
        <v>3827285.3139286907</v>
      </c>
      <c r="E35">
        <f>sumatera!Y65</f>
        <v>17406257.881247595</v>
      </c>
      <c r="F35">
        <f>sumatera!Z65</f>
        <v>9979332.5594288111</v>
      </c>
      <c r="G35">
        <f>sumatera!AA65</f>
        <v>276.3289298492308</v>
      </c>
      <c r="H35">
        <f>sumatera!AB65</f>
        <v>0</v>
      </c>
      <c r="I35">
        <f>sumatera!AC65</f>
        <v>0</v>
      </c>
      <c r="J35">
        <f>sumatera!AD65</f>
        <v>0</v>
      </c>
      <c r="K35">
        <f>sumatera!AE65</f>
        <v>0</v>
      </c>
      <c r="L35">
        <f>sumatera!AF65</f>
        <v>119277.45969359402</v>
      </c>
      <c r="M35">
        <f>sumatera!AG65</f>
        <v>0</v>
      </c>
      <c r="N35">
        <f>sumatera!AH65</f>
        <v>0</v>
      </c>
      <c r="O35">
        <f>sumatera!AI65</f>
        <v>0</v>
      </c>
      <c r="P35">
        <f>sumatera!AJ65</f>
        <v>72438921.553574547</v>
      </c>
    </row>
    <row r="36" spans="1:16" x14ac:dyDescent="0.25">
      <c r="A36" t="str">
        <f>sumatera!U66</f>
        <v>SUMATERA</v>
      </c>
      <c r="B36">
        <f>sumatera!V66</f>
        <v>2033</v>
      </c>
      <c r="C36">
        <f>sumatera!W66</f>
        <v>43326291.36686112</v>
      </c>
      <c r="D36">
        <f>sumatera!X66</f>
        <v>3827285.3139286907</v>
      </c>
      <c r="E36">
        <f>sumatera!Y66</f>
        <v>20039866.25835586</v>
      </c>
      <c r="F36">
        <f>sumatera!Z66</f>
        <v>9979332.5594288111</v>
      </c>
      <c r="G36">
        <f>sumatera!AA66</f>
        <v>276.3289298492308</v>
      </c>
      <c r="H36">
        <f>sumatera!AB66</f>
        <v>0</v>
      </c>
      <c r="I36">
        <f>sumatera!AC66</f>
        <v>0</v>
      </c>
      <c r="J36">
        <f>sumatera!AD66</f>
        <v>0</v>
      </c>
      <c r="K36">
        <f>sumatera!AE66</f>
        <v>0</v>
      </c>
      <c r="L36">
        <f>sumatera!AF66</f>
        <v>119277.45969359402</v>
      </c>
      <c r="M36">
        <f>sumatera!AG66</f>
        <v>0</v>
      </c>
      <c r="N36">
        <f>sumatera!AH66</f>
        <v>0</v>
      </c>
      <c r="O36">
        <f>sumatera!AI66</f>
        <v>0</v>
      </c>
      <c r="P36">
        <f>sumatera!AJ66</f>
        <v>77292329.287197933</v>
      </c>
    </row>
    <row r="37" spans="1:16" x14ac:dyDescent="0.25">
      <c r="A37" t="str">
        <f>sumatera!U67</f>
        <v>SUMATERA</v>
      </c>
      <c r="B37">
        <f>sumatera!V67</f>
        <v>2034</v>
      </c>
      <c r="C37">
        <f>sumatera!W67</f>
        <v>48504873.370496713</v>
      </c>
      <c r="D37">
        <f>sumatera!X67</f>
        <v>3827285.7132050805</v>
      </c>
      <c r="E37">
        <f>sumatera!Y67</f>
        <v>20039866.903162528</v>
      </c>
      <c r="F37">
        <f>sumatera!Z67</f>
        <v>9979335.5746025909</v>
      </c>
      <c r="G37">
        <f>sumatera!AA67</f>
        <v>276.3289298492308</v>
      </c>
      <c r="H37">
        <f>sumatera!AB67</f>
        <v>0</v>
      </c>
      <c r="I37">
        <f>sumatera!AC67</f>
        <v>0</v>
      </c>
      <c r="J37">
        <f>sumatera!AD67</f>
        <v>0</v>
      </c>
      <c r="K37">
        <f>sumatera!AE67</f>
        <v>0</v>
      </c>
      <c r="L37">
        <f>sumatera!AF67</f>
        <v>119277.45969359402</v>
      </c>
      <c r="M37">
        <f>sumatera!AG67</f>
        <v>0</v>
      </c>
      <c r="N37">
        <f>sumatera!AH67</f>
        <v>0</v>
      </c>
      <c r="O37">
        <f>sumatera!AI67</f>
        <v>0</v>
      </c>
      <c r="P37">
        <f>sumatera!AJ67</f>
        <v>82470915.350090355</v>
      </c>
    </row>
    <row r="38" spans="1:16" x14ac:dyDescent="0.25">
      <c r="A38" t="str">
        <f>sumatera!U68</f>
        <v>SUMATERA</v>
      </c>
      <c r="B38">
        <f>sumatera!V68</f>
        <v>2035</v>
      </c>
      <c r="C38">
        <f>sumatera!W68</f>
        <v>48504873.370496713</v>
      </c>
      <c r="D38">
        <f>sumatera!X68</f>
        <v>3827285.7132050805</v>
      </c>
      <c r="E38">
        <f>sumatera!Y68</f>
        <v>20768223.667122461</v>
      </c>
      <c r="F38">
        <f>sumatera!Z68</f>
        <v>14776530.120268065</v>
      </c>
      <c r="G38">
        <f>sumatera!AA68</f>
        <v>276.3289298492308</v>
      </c>
      <c r="H38">
        <f>sumatera!AB68</f>
        <v>0</v>
      </c>
      <c r="I38">
        <f>sumatera!AC68</f>
        <v>0</v>
      </c>
      <c r="J38">
        <f>sumatera!AD68</f>
        <v>0</v>
      </c>
      <c r="K38">
        <f>sumatera!AE68</f>
        <v>0</v>
      </c>
      <c r="L38">
        <f>sumatera!AF68</f>
        <v>119277.45969359402</v>
      </c>
      <c r="M38">
        <f>sumatera!AG68</f>
        <v>0</v>
      </c>
      <c r="N38">
        <f>sumatera!AH68</f>
        <v>0</v>
      </c>
      <c r="O38">
        <f>sumatera!AI68</f>
        <v>0</v>
      </c>
      <c r="P38">
        <f>sumatera!AJ68</f>
        <v>87996466.659715757</v>
      </c>
    </row>
    <row r="39" spans="1:16" x14ac:dyDescent="0.25">
      <c r="A39" t="str">
        <f>sumatera!U69</f>
        <v>SUMATERA</v>
      </c>
      <c r="B39">
        <f>sumatera!V69</f>
        <v>2036</v>
      </c>
      <c r="C39">
        <f>sumatera!W69</f>
        <v>51365568.156024143</v>
      </c>
      <c r="D39">
        <f>sumatera!X69</f>
        <v>3827285.7132050805</v>
      </c>
      <c r="E39">
        <f>sumatera!Y69</f>
        <v>21136830.934618294</v>
      </c>
      <c r="F39">
        <f>sumatera!Z69</f>
        <v>17442991.342551872</v>
      </c>
      <c r="G39">
        <f>sumatera!AA69</f>
        <v>276.3289298492308</v>
      </c>
      <c r="H39">
        <f>sumatera!AB69</f>
        <v>0</v>
      </c>
      <c r="I39">
        <f>sumatera!AC69</f>
        <v>0</v>
      </c>
      <c r="J39">
        <f>sumatera!AD69</f>
        <v>0</v>
      </c>
      <c r="K39">
        <f>sumatera!AE69</f>
        <v>0</v>
      </c>
      <c r="L39">
        <f>sumatera!AF69</f>
        <v>119277.45969359402</v>
      </c>
      <c r="M39">
        <f>sumatera!AG69</f>
        <v>0</v>
      </c>
      <c r="N39">
        <f>sumatera!AH69</f>
        <v>0</v>
      </c>
      <c r="O39">
        <f>sumatera!AI69</f>
        <v>0</v>
      </c>
      <c r="P39">
        <f>sumatera!AJ69</f>
        <v>93892229.935022846</v>
      </c>
    </row>
    <row r="40" spans="1:16" x14ac:dyDescent="0.25">
      <c r="A40" t="str">
        <f>sumatera!U70</f>
        <v>SUMATERA</v>
      </c>
      <c r="B40">
        <f>sumatera!V70</f>
        <v>2037</v>
      </c>
      <c r="C40">
        <f>sumatera!W70</f>
        <v>54289817.928401709</v>
      </c>
      <c r="D40">
        <f>sumatera!X70</f>
        <v>3827285.7132050805</v>
      </c>
      <c r="E40">
        <f>sumatera!Y70</f>
        <v>22772309.935669128</v>
      </c>
      <c r="F40">
        <f>sumatera!Z70</f>
        <v>18237193.901807003</v>
      </c>
      <c r="G40">
        <f>sumatera!AA70</f>
        <v>276.3289298492308</v>
      </c>
      <c r="H40">
        <f>sumatera!AB70</f>
        <v>0</v>
      </c>
      <c r="I40">
        <f>sumatera!AC70</f>
        <v>0</v>
      </c>
      <c r="J40">
        <f>sumatera!AD70</f>
        <v>0</v>
      </c>
      <c r="K40">
        <f>sumatera!AE70</f>
        <v>0</v>
      </c>
      <c r="L40">
        <f>sumatera!AF70</f>
        <v>119277.45969359402</v>
      </c>
      <c r="M40">
        <f>sumatera!AG70</f>
        <v>0</v>
      </c>
      <c r="N40">
        <f>sumatera!AH70</f>
        <v>0</v>
      </c>
      <c r="O40">
        <f>sumatera!AI70</f>
        <v>0</v>
      </c>
      <c r="P40">
        <f>sumatera!AJ70</f>
        <v>99246161.267706364</v>
      </c>
    </row>
    <row r="41" spans="1:16" x14ac:dyDescent="0.25">
      <c r="A41" t="str">
        <f>sumatera!U71</f>
        <v>SUMATERA</v>
      </c>
      <c r="B41">
        <f>sumatera!V71</f>
        <v>2038</v>
      </c>
      <c r="C41">
        <f>sumatera!W71</f>
        <v>57682996.656436063</v>
      </c>
      <c r="D41">
        <f>sumatera!X71</f>
        <v>3827285.7132050805</v>
      </c>
      <c r="E41">
        <f>sumatera!Y71</f>
        <v>24610127.623556733</v>
      </c>
      <c r="F41">
        <f>sumatera!Z71</f>
        <v>19128109.022394668</v>
      </c>
      <c r="G41">
        <f>sumatera!AA71</f>
        <v>276.32892984932562</v>
      </c>
      <c r="H41">
        <f>sumatera!AB71</f>
        <v>0</v>
      </c>
      <c r="I41">
        <f>sumatera!AC71</f>
        <v>0</v>
      </c>
      <c r="J41">
        <f>sumatera!AD71</f>
        <v>0</v>
      </c>
      <c r="K41">
        <f>sumatera!AE71</f>
        <v>0</v>
      </c>
      <c r="L41">
        <f>sumatera!AF71</f>
        <v>119277.45969359402</v>
      </c>
      <c r="M41">
        <f>sumatera!AG71</f>
        <v>0</v>
      </c>
      <c r="N41">
        <f>sumatera!AH71</f>
        <v>9.4344524731884434E-4</v>
      </c>
      <c r="O41">
        <f>sumatera!AI71</f>
        <v>0</v>
      </c>
      <c r="P41">
        <f>sumatera!AJ71</f>
        <v>105368072.80515945</v>
      </c>
    </row>
    <row r="42" spans="1:16" x14ac:dyDescent="0.25">
      <c r="A42" t="str">
        <f>Jawa!AO52</f>
        <v>JAWA</v>
      </c>
      <c r="B42">
        <f>Jawa!AP52</f>
        <v>2019</v>
      </c>
      <c r="C42" s="47">
        <f>Jawa!W52</f>
        <v>103750468.97169103</v>
      </c>
      <c r="D42" s="47">
        <f>Jawa!X52</f>
        <v>5427786.4860453941</v>
      </c>
      <c r="E42" s="47">
        <f>Jawa!Y52</f>
        <v>10458876.714997053</v>
      </c>
      <c r="F42" s="47">
        <f>Jawa!Z52</f>
        <v>97396.002063533393</v>
      </c>
      <c r="G42" s="47">
        <f>Jawa!AA52</f>
        <v>491.75937176123068</v>
      </c>
      <c r="H42" s="47">
        <f>Jawa!AB52</f>
        <v>0</v>
      </c>
      <c r="I42" s="47">
        <f>Jawa!AC52</f>
        <v>0</v>
      </c>
      <c r="J42" s="47">
        <f>Jawa!AD52</f>
        <v>0</v>
      </c>
      <c r="K42" s="47">
        <f>Jawa!AE52</f>
        <v>0</v>
      </c>
      <c r="L42" s="47">
        <f>Jawa!AF52</f>
        <v>26071.575889310174</v>
      </c>
      <c r="M42" s="47">
        <f>Jawa!AG52</f>
        <v>0</v>
      </c>
      <c r="N42" s="47">
        <f>Jawa!AH52</f>
        <v>0</v>
      </c>
      <c r="O42" s="47">
        <f>Jawa!AI52</f>
        <v>0</v>
      </c>
      <c r="P42">
        <f>Jawa!BD52</f>
        <v>1515.3917733758119</v>
      </c>
    </row>
    <row r="43" spans="1:16" x14ac:dyDescent="0.25">
      <c r="A43" t="str">
        <f>Jawa!AO53</f>
        <v>JAWA</v>
      </c>
      <c r="B43">
        <f>Jawa!AP53</f>
        <v>2020</v>
      </c>
      <c r="C43" s="47">
        <f>Jawa!W53</f>
        <v>110707725.36543839</v>
      </c>
      <c r="D43" s="47">
        <f>Jawa!X53</f>
        <v>5427786.4860453941</v>
      </c>
      <c r="E43" s="47">
        <f>Jawa!Y53</f>
        <v>11525613.452489479</v>
      </c>
      <c r="F43" s="47">
        <f>Jawa!Z53</f>
        <v>97396.002063533393</v>
      </c>
      <c r="G43" s="47">
        <f>Jawa!AA53</f>
        <v>491.75937176123068</v>
      </c>
      <c r="H43" s="47">
        <f>Jawa!AB53</f>
        <v>0</v>
      </c>
      <c r="I43" s="47">
        <f>Jawa!AC53</f>
        <v>0</v>
      </c>
      <c r="J43" s="47">
        <f>Jawa!AD53</f>
        <v>0</v>
      </c>
      <c r="K43" s="47">
        <f>Jawa!AE53</f>
        <v>0</v>
      </c>
      <c r="L43" s="47">
        <f>Jawa!AF53</f>
        <v>26071.575889310174</v>
      </c>
      <c r="M43" s="47">
        <f>Jawa!AG53</f>
        <v>0</v>
      </c>
      <c r="N43" s="47">
        <f>Jawa!AH53</f>
        <v>0</v>
      </c>
      <c r="O43" s="47">
        <f>Jawa!AI53</f>
        <v>0</v>
      </c>
      <c r="P43">
        <f>Jawa!BD53</f>
        <v>14948.935385011491</v>
      </c>
    </row>
    <row r="44" spans="1:16" x14ac:dyDescent="0.25">
      <c r="A44" t="str">
        <f>Jawa!AO54</f>
        <v>JAWA</v>
      </c>
      <c r="B44">
        <f>Jawa!AP54</f>
        <v>2021</v>
      </c>
      <c r="C44" s="47">
        <f>Jawa!W54</f>
        <v>110707725.36543839</v>
      </c>
      <c r="D44" s="47">
        <f>Jawa!X54</f>
        <v>5609481.1676682113</v>
      </c>
      <c r="E44" s="47">
        <f>Jawa!Y54</f>
        <v>19580505.673250116</v>
      </c>
      <c r="F44" s="47">
        <f>Jawa!Z54</f>
        <v>121832.50022461325</v>
      </c>
      <c r="G44" s="47">
        <f>Jawa!AA54</f>
        <v>491.75937176123068</v>
      </c>
      <c r="H44" s="47">
        <f>Jawa!AB54</f>
        <v>0</v>
      </c>
      <c r="I44" s="47">
        <f>Jawa!AC54</f>
        <v>0</v>
      </c>
      <c r="J44" s="47">
        <f>Jawa!AD54</f>
        <v>0</v>
      </c>
      <c r="K44" s="47">
        <f>Jawa!AE54</f>
        <v>0</v>
      </c>
      <c r="L44" s="47">
        <f>Jawa!AF54</f>
        <v>26071.575889310174</v>
      </c>
      <c r="M44" s="47">
        <f>Jawa!AG54</f>
        <v>0</v>
      </c>
      <c r="N44" s="47">
        <f>Jawa!AH54</f>
        <v>0</v>
      </c>
      <c r="O44" s="47">
        <f>Jawa!AI54</f>
        <v>0</v>
      </c>
      <c r="P44">
        <f>Jawa!BD54</f>
        <v>6962.9673422303385</v>
      </c>
    </row>
    <row r="45" spans="1:16" x14ac:dyDescent="0.25">
      <c r="A45" t="str">
        <f>Jawa!AO55</f>
        <v>JAWA</v>
      </c>
      <c r="B45">
        <f>Jawa!AP55</f>
        <v>2022</v>
      </c>
      <c r="C45" s="47">
        <f>Jawa!W55</f>
        <v>110707725.36543839</v>
      </c>
      <c r="D45" s="47">
        <f>Jawa!X55</f>
        <v>6471791.1701580053</v>
      </c>
      <c r="E45" s="47">
        <f>Jawa!Y55</f>
        <v>22861023.369257249</v>
      </c>
      <c r="F45" s="47">
        <f>Jawa!Z55</f>
        <v>125518.93678039756</v>
      </c>
      <c r="G45" s="47">
        <f>Jawa!AA55</f>
        <v>491.75937176123068</v>
      </c>
      <c r="H45" s="47">
        <f>Jawa!AB55</f>
        <v>0</v>
      </c>
      <c r="I45" s="47">
        <f>Jawa!AC55</f>
        <v>0</v>
      </c>
      <c r="J45" s="47">
        <f>Jawa!AD55</f>
        <v>0</v>
      </c>
      <c r="K45" s="47">
        <f>Jawa!AE55</f>
        <v>0</v>
      </c>
      <c r="L45" s="47">
        <f>Jawa!AF55</f>
        <v>26071.575889310174</v>
      </c>
      <c r="M45" s="47">
        <f>Jawa!AG55</f>
        <v>0</v>
      </c>
      <c r="N45" s="47">
        <f>Jawa!AH55</f>
        <v>0</v>
      </c>
      <c r="O45" s="47">
        <f>Jawa!AI55</f>
        <v>0</v>
      </c>
      <c r="P45">
        <f>Jawa!BD55</f>
        <v>4898.5275603373739</v>
      </c>
    </row>
    <row r="46" spans="1:16" x14ac:dyDescent="0.25">
      <c r="A46" t="str">
        <f>Jawa!AO56</f>
        <v>JAWA</v>
      </c>
      <c r="B46">
        <f>Jawa!AP56</f>
        <v>2023</v>
      </c>
      <c r="C46" s="47">
        <f>Jawa!W56</f>
        <v>110707725.36543839</v>
      </c>
      <c r="D46" s="47">
        <f>Jawa!X56</f>
        <v>7334606.7682746248</v>
      </c>
      <c r="E46" s="47">
        <f>Jawa!Y56</f>
        <v>24088393.619375072</v>
      </c>
      <c r="F46" s="47">
        <f>Jawa!Z56</f>
        <v>128933.46648268815</v>
      </c>
      <c r="G46" s="47">
        <f>Jawa!AA56</f>
        <v>491.75937176123068</v>
      </c>
      <c r="H46" s="47">
        <f>Jawa!AB56</f>
        <v>0</v>
      </c>
      <c r="I46" s="47">
        <f>Jawa!AC56</f>
        <v>0</v>
      </c>
      <c r="J46" s="47">
        <f>Jawa!AD56</f>
        <v>0</v>
      </c>
      <c r="K46" s="47">
        <f>Jawa!AE56</f>
        <v>0</v>
      </c>
      <c r="L46" s="47">
        <f>Jawa!AF56</f>
        <v>26071.575889310174</v>
      </c>
      <c r="M46" s="47">
        <f>Jawa!AG56</f>
        <v>0</v>
      </c>
      <c r="N46" s="47">
        <f>Jawa!AH56</f>
        <v>0</v>
      </c>
      <c r="O46" s="47">
        <f>Jawa!AI56</f>
        <v>0</v>
      </c>
      <c r="P46">
        <f>Jawa!BD56</f>
        <v>5960.8556569104903</v>
      </c>
    </row>
    <row r="47" spans="1:16" x14ac:dyDescent="0.25">
      <c r="A47" t="str">
        <f>Jawa!AO57</f>
        <v>JAWA</v>
      </c>
      <c r="B47">
        <f>Jawa!AP57</f>
        <v>2024</v>
      </c>
      <c r="C47" s="47">
        <f>Jawa!W57</f>
        <v>110707725.36543839</v>
      </c>
      <c r="D47" s="47">
        <f>Jawa!X57</f>
        <v>8233909.6838015942</v>
      </c>
      <c r="E47" s="47">
        <f>Jawa!Y57</f>
        <v>25537492.30791587</v>
      </c>
      <c r="F47" s="47">
        <f>Jawa!Z57</f>
        <v>132864.62925909218</v>
      </c>
      <c r="G47" s="47">
        <f>Jawa!AA57</f>
        <v>491.75937176123068</v>
      </c>
      <c r="H47" s="47">
        <f>Jawa!AB57</f>
        <v>0</v>
      </c>
      <c r="I47" s="47">
        <f>Jawa!AC57</f>
        <v>0</v>
      </c>
      <c r="J47" s="47">
        <f>Jawa!AD57</f>
        <v>0</v>
      </c>
      <c r="K47" s="47">
        <f>Jawa!AE57</f>
        <v>0</v>
      </c>
      <c r="L47" s="47">
        <f>Jawa!AF57</f>
        <v>26071.575889310174</v>
      </c>
      <c r="M47" s="47">
        <f>Jawa!AG57</f>
        <v>0</v>
      </c>
      <c r="N47" s="47">
        <f>Jawa!AH57</f>
        <v>0</v>
      </c>
      <c r="O47" s="47">
        <f>Jawa!AI57</f>
        <v>0</v>
      </c>
      <c r="P47">
        <f>Jawa!BD57</f>
        <v>6565.9501083196892</v>
      </c>
    </row>
    <row r="48" spans="1:16" x14ac:dyDescent="0.25">
      <c r="A48" t="str">
        <f>Jawa!AO58</f>
        <v>JAWA</v>
      </c>
      <c r="B48">
        <f>Jawa!AP58</f>
        <v>2025</v>
      </c>
      <c r="C48" s="47">
        <f>Jawa!W58</f>
        <v>110707725.36543839</v>
      </c>
      <c r="D48" s="47">
        <f>Jawa!X58</f>
        <v>9181010.0889405776</v>
      </c>
      <c r="E48" s="47">
        <f>Jawa!Y58</f>
        <v>26590403.36335624</v>
      </c>
      <c r="F48" s="47">
        <f>Jawa!Z58</f>
        <v>136258.39472071049</v>
      </c>
      <c r="G48" s="47">
        <f>Jawa!AA58</f>
        <v>491.75937176123068</v>
      </c>
      <c r="H48" s="47">
        <f>Jawa!AB58</f>
        <v>0</v>
      </c>
      <c r="I48" s="47">
        <f>Jawa!AC58</f>
        <v>0</v>
      </c>
      <c r="J48" s="47">
        <f>Jawa!AD58</f>
        <v>0</v>
      </c>
      <c r="K48" s="47">
        <f>Jawa!AE58</f>
        <v>0</v>
      </c>
      <c r="L48" s="47">
        <f>Jawa!AF58</f>
        <v>26071.575889310174</v>
      </c>
      <c r="M48" s="47">
        <f>Jawa!AG58</f>
        <v>0</v>
      </c>
      <c r="N48" s="47">
        <f>Jawa!AH58</f>
        <v>0</v>
      </c>
      <c r="O48" s="47">
        <f>Jawa!AI58</f>
        <v>0</v>
      </c>
      <c r="P48">
        <f>Jawa!BD58</f>
        <v>6633.5362239159285</v>
      </c>
    </row>
    <row r="49" spans="1:16" x14ac:dyDescent="0.25">
      <c r="A49" t="str">
        <f>Jawa!AO59</f>
        <v>JAWA</v>
      </c>
      <c r="B49">
        <f>Jawa!AP59</f>
        <v>2026</v>
      </c>
      <c r="C49" s="47">
        <f>Jawa!W59</f>
        <v>110707725.36543839</v>
      </c>
      <c r="D49" s="47">
        <f>Jawa!X59</f>
        <v>10198243.587375047</v>
      </c>
      <c r="E49" s="47">
        <f>Jawa!Y59</f>
        <v>30816001.413779572</v>
      </c>
      <c r="F49" s="47">
        <f>Jawa!Z59</f>
        <v>142431.78732506404</v>
      </c>
      <c r="G49" s="47">
        <f>Jawa!AA59</f>
        <v>491.75937176123068</v>
      </c>
      <c r="H49" s="47">
        <f>Jawa!AB59</f>
        <v>0</v>
      </c>
      <c r="I49" s="47">
        <f>Jawa!AC59</f>
        <v>0</v>
      </c>
      <c r="J49" s="47">
        <f>Jawa!AD59</f>
        <v>0</v>
      </c>
      <c r="K49" s="47">
        <f>Jawa!AE59</f>
        <v>0</v>
      </c>
      <c r="L49" s="47">
        <f>Jawa!AF59</f>
        <v>26071.575889310174</v>
      </c>
      <c r="M49" s="47">
        <f>Jawa!AG59</f>
        <v>0</v>
      </c>
      <c r="N49" s="47">
        <f>Jawa!AH59</f>
        <v>0</v>
      </c>
      <c r="O49" s="47">
        <f>Jawa!AI59</f>
        <v>0</v>
      </c>
      <c r="P49">
        <f>Jawa!BD59</f>
        <v>7747.740573008954</v>
      </c>
    </row>
    <row r="50" spans="1:16" x14ac:dyDescent="0.25">
      <c r="A50" t="str">
        <f>Jawa!AO60</f>
        <v>JAWA</v>
      </c>
      <c r="B50">
        <f>Jawa!AP60</f>
        <v>2027</v>
      </c>
      <c r="C50" s="47">
        <f>Jawa!W60</f>
        <v>110707725.36543839</v>
      </c>
      <c r="D50" s="47">
        <f>Jawa!X60</f>
        <v>11231979.518277215</v>
      </c>
      <c r="E50" s="47">
        <f>Jawa!Y60</f>
        <v>35290474.52601973</v>
      </c>
      <c r="F50" s="47">
        <f>Jawa!Z60</f>
        <v>148815.18368685435</v>
      </c>
      <c r="G50" s="47">
        <f>Jawa!AA60</f>
        <v>491.75937176123068</v>
      </c>
      <c r="H50" s="47">
        <f>Jawa!AB60</f>
        <v>0</v>
      </c>
      <c r="I50" s="47">
        <f>Jawa!AC60</f>
        <v>0</v>
      </c>
      <c r="J50" s="47">
        <f>Jawa!AD60</f>
        <v>0</v>
      </c>
      <c r="K50" s="47">
        <f>Jawa!AE60</f>
        <v>0</v>
      </c>
      <c r="L50" s="47">
        <f>Jawa!AF60</f>
        <v>26071.575889310174</v>
      </c>
      <c r="M50" s="47">
        <f>Jawa!AG60</f>
        <v>0</v>
      </c>
      <c r="N50" s="47">
        <f>Jawa!AH60</f>
        <v>0</v>
      </c>
      <c r="O50" s="47">
        <f>Jawa!AI60</f>
        <v>0</v>
      </c>
      <c r="P50">
        <f>Jawa!BD60</f>
        <v>8254.2321367278946</v>
      </c>
    </row>
    <row r="51" spans="1:16" x14ac:dyDescent="0.25">
      <c r="A51" t="str">
        <f>Jawa!AO61</f>
        <v>JAWA</v>
      </c>
      <c r="B51">
        <f>Jawa!AP61</f>
        <v>2028</v>
      </c>
      <c r="C51" s="47">
        <f>Jawa!W61</f>
        <v>110707725.36543839</v>
      </c>
      <c r="D51" s="47">
        <f>Jawa!X61</f>
        <v>12327925.620064162</v>
      </c>
      <c r="E51" s="47">
        <f>Jawa!Y61</f>
        <v>39702578.177648991</v>
      </c>
      <c r="F51" s="47">
        <f>Jawa!Z61</f>
        <v>154921.6899464333</v>
      </c>
      <c r="G51" s="47">
        <f>Jawa!AA61</f>
        <v>491.75937176123068</v>
      </c>
      <c r="H51" s="47">
        <f>Jawa!AB61</f>
        <v>0</v>
      </c>
      <c r="I51" s="47">
        <f>Jawa!AC61</f>
        <v>0</v>
      </c>
      <c r="J51" s="47">
        <f>Jawa!AD61</f>
        <v>0</v>
      </c>
      <c r="K51" s="47">
        <f>Jawa!AE61</f>
        <v>0</v>
      </c>
      <c r="L51" s="47">
        <f>Jawa!AF61</f>
        <v>26071.575889310174</v>
      </c>
      <c r="M51" s="47">
        <f>Jawa!AG61</f>
        <v>0</v>
      </c>
      <c r="N51" s="47">
        <f>Jawa!AH61</f>
        <v>0</v>
      </c>
      <c r="O51" s="47">
        <f>Jawa!AI61</f>
        <v>0</v>
      </c>
      <c r="P51">
        <f>Jawa!BD61</f>
        <v>8496.2037754047251</v>
      </c>
    </row>
    <row r="52" spans="1:16" x14ac:dyDescent="0.25">
      <c r="A52" t="str">
        <f>Jawa!AO62</f>
        <v>JAWA</v>
      </c>
      <c r="B52">
        <f>Jawa!AP62</f>
        <v>2029</v>
      </c>
      <c r="C52" s="47">
        <f>Jawa!W62</f>
        <v>110707725.36543839</v>
      </c>
      <c r="D52" s="47">
        <f>Jawa!X62</f>
        <v>13526106.892622296</v>
      </c>
      <c r="E52" s="47">
        <f>Jawa!Y62</f>
        <v>44368258.611684822</v>
      </c>
      <c r="F52" s="47">
        <f>Jawa!Z62</f>
        <v>161317.84456106258</v>
      </c>
      <c r="G52" s="47">
        <f>Jawa!AA62</f>
        <v>491.75937176123068</v>
      </c>
      <c r="H52" s="47">
        <f>Jawa!AB62</f>
        <v>0</v>
      </c>
      <c r="I52" s="47">
        <f>Jawa!AC62</f>
        <v>0</v>
      </c>
      <c r="J52" s="47">
        <f>Jawa!AD62</f>
        <v>0</v>
      </c>
      <c r="K52" s="47">
        <f>Jawa!AE62</f>
        <v>0</v>
      </c>
      <c r="L52" s="47">
        <f>Jawa!AF62</f>
        <v>26071.575889310174</v>
      </c>
      <c r="M52" s="47">
        <f>Jawa!AG62</f>
        <v>0</v>
      </c>
      <c r="N52" s="47">
        <f>Jawa!AH62</f>
        <v>0</v>
      </c>
      <c r="O52" s="47">
        <f>Jawa!AI62</f>
        <v>0</v>
      </c>
      <c r="P52">
        <f>Jawa!BD62</f>
        <v>9081.8835975923394</v>
      </c>
    </row>
    <row r="53" spans="1:16" x14ac:dyDescent="0.25">
      <c r="A53" t="str">
        <f>Jawa!AO63</f>
        <v>JAWA</v>
      </c>
      <c r="B53">
        <f>Jawa!AP63</f>
        <v>2030</v>
      </c>
      <c r="C53" s="47">
        <f>Jawa!W63</f>
        <v>110707725.36543839</v>
      </c>
      <c r="D53" s="47">
        <f>Jawa!X63</f>
        <v>14792432.199524663</v>
      </c>
      <c r="E53" s="47">
        <f>Jawa!Y63</f>
        <v>49166111.877872743</v>
      </c>
      <c r="F53" s="47">
        <f>Jawa!Z63</f>
        <v>167755.58821194861</v>
      </c>
      <c r="G53" s="47">
        <f>Jawa!AA63</f>
        <v>491.75937176123068</v>
      </c>
      <c r="H53" s="47">
        <f>Jawa!AB63</f>
        <v>0</v>
      </c>
      <c r="I53" s="47">
        <f>Jawa!AC63</f>
        <v>0</v>
      </c>
      <c r="J53" s="47">
        <f>Jawa!AD63</f>
        <v>0</v>
      </c>
      <c r="K53" s="47">
        <f>Jawa!AE63</f>
        <v>0</v>
      </c>
      <c r="L53" s="47">
        <f>Jawa!AF63</f>
        <v>26071.575889310174</v>
      </c>
      <c r="M53" s="47">
        <f>Jawa!AG63</f>
        <v>0</v>
      </c>
      <c r="N53" s="47">
        <f>Jawa!AH63</f>
        <v>0</v>
      </c>
      <c r="O53" s="47">
        <f>Jawa!AI63</f>
        <v>0</v>
      </c>
      <c r="P53">
        <f>Jawa!BD63</f>
        <v>9544.4183972602968</v>
      </c>
    </row>
    <row r="54" spans="1:16" x14ac:dyDescent="0.25">
      <c r="A54" t="str">
        <f>Jawa!AO64</f>
        <v>JAWA</v>
      </c>
      <c r="B54">
        <f>Jawa!AP64</f>
        <v>2031</v>
      </c>
      <c r="C54" s="47">
        <f>Jawa!W64</f>
        <v>110707725.36543839</v>
      </c>
      <c r="D54" s="47">
        <f>Jawa!X64</f>
        <v>16129577.149552695</v>
      </c>
      <c r="E54" s="47">
        <f>Jawa!Y64</f>
        <v>54852474.116559148</v>
      </c>
      <c r="F54" s="47">
        <f>Jawa!Z64</f>
        <v>175432.39030591736</v>
      </c>
      <c r="G54" s="47">
        <f>Jawa!AA64</f>
        <v>491.75937176123068</v>
      </c>
      <c r="H54" s="47">
        <f>Jawa!AB64</f>
        <v>0</v>
      </c>
      <c r="I54" s="47">
        <f>Jawa!AC64</f>
        <v>0</v>
      </c>
      <c r="J54" s="47">
        <f>Jawa!AD64</f>
        <v>0</v>
      </c>
      <c r="K54" s="47">
        <f>Jawa!AE64</f>
        <v>0</v>
      </c>
      <c r="L54" s="47">
        <f>Jawa!AF64</f>
        <v>26071.575889310174</v>
      </c>
      <c r="M54" s="47">
        <f>Jawa!AG64</f>
        <v>0</v>
      </c>
      <c r="N54" s="47">
        <f>Jawa!AH64</f>
        <v>0</v>
      </c>
      <c r="O54" s="47">
        <f>Jawa!AI64</f>
        <v>0</v>
      </c>
      <c r="P54">
        <f>Jawa!BD64</f>
        <v>10789.818686039536</v>
      </c>
    </row>
    <row r="55" spans="1:16" x14ac:dyDescent="0.25">
      <c r="A55" t="str">
        <f>Jawa!AO65</f>
        <v>JAWA</v>
      </c>
      <c r="B55">
        <f>Jawa!AP65</f>
        <v>2032</v>
      </c>
      <c r="C55" s="47">
        <f>Jawa!W65</f>
        <v>110707725.36543839</v>
      </c>
      <c r="D55" s="47">
        <f>Jawa!X65</f>
        <v>17542565.268764112</v>
      </c>
      <c r="E55" s="47">
        <f>Jawa!Y65</f>
        <v>60917153.661839873</v>
      </c>
      <c r="F55" s="47">
        <f>Jawa!Z65</f>
        <v>183491.23168409162</v>
      </c>
      <c r="G55" s="47">
        <f>Jawa!AA65</f>
        <v>491.75937176123068</v>
      </c>
      <c r="H55" s="47">
        <f>Jawa!AB65</f>
        <v>0</v>
      </c>
      <c r="I55" s="47">
        <f>Jawa!AC65</f>
        <v>0</v>
      </c>
      <c r="J55" s="47">
        <f>Jawa!AD65</f>
        <v>0</v>
      </c>
      <c r="K55" s="47">
        <f>Jawa!AE65</f>
        <v>0</v>
      </c>
      <c r="L55" s="47">
        <f>Jawa!AF65</f>
        <v>26071.575889310174</v>
      </c>
      <c r="M55" s="47">
        <f>Jawa!AG65</f>
        <v>0</v>
      </c>
      <c r="N55" s="47">
        <f>Jawa!AH65</f>
        <v>0</v>
      </c>
      <c r="O55" s="47">
        <f>Jawa!AI65</f>
        <v>0</v>
      </c>
      <c r="P55">
        <f>Jawa!BD65</f>
        <v>11579.403637824156</v>
      </c>
    </row>
    <row r="56" spans="1:16" x14ac:dyDescent="0.25">
      <c r="A56" t="str">
        <f>Jawa!AO66</f>
        <v>JAWA</v>
      </c>
      <c r="B56">
        <f>Jawa!AP66</f>
        <v>2033</v>
      </c>
      <c r="C56" s="47">
        <f>Jawa!W66</f>
        <v>114716941.43751042</v>
      </c>
      <c r="D56" s="47">
        <f>Jawa!X66</f>
        <v>18618926.037310883</v>
      </c>
      <c r="E56" s="47">
        <f>Jawa!Y66</f>
        <v>65258376.3371448</v>
      </c>
      <c r="F56" s="47">
        <f>Jawa!Z66</f>
        <v>190832.63667710827</v>
      </c>
      <c r="G56" s="47">
        <f>Jawa!AA66</f>
        <v>503.50009306749172</v>
      </c>
      <c r="H56" s="47">
        <f>Jawa!AB66</f>
        <v>0</v>
      </c>
      <c r="I56" s="47">
        <f>Jawa!AC66</f>
        <v>0</v>
      </c>
      <c r="J56" s="47">
        <f>Jawa!AD66</f>
        <v>0</v>
      </c>
      <c r="K56" s="47">
        <f>Jawa!AE66</f>
        <v>0</v>
      </c>
      <c r="L56" s="47">
        <f>Jawa!AF66</f>
        <v>26071.575889310174</v>
      </c>
      <c r="M56" s="47">
        <f>Jawa!AG66</f>
        <v>0</v>
      </c>
      <c r="N56" s="47">
        <f>Jawa!AH66</f>
        <v>0</v>
      </c>
      <c r="O56" s="47">
        <f>Jawa!AI66</f>
        <v>0</v>
      </c>
      <c r="P56">
        <f>Jawa!BD66</f>
        <v>12231.448775713585</v>
      </c>
    </row>
    <row r="57" spans="1:16" x14ac:dyDescent="0.25">
      <c r="A57" t="str">
        <f>Jawa!AO67</f>
        <v>JAWA</v>
      </c>
      <c r="B57">
        <f>Jawa!AP67</f>
        <v>2034</v>
      </c>
      <c r="C57" s="47">
        <f>Jawa!W67</f>
        <v>121585684.08562444</v>
      </c>
      <c r="D57" s="47">
        <f>Jawa!X67</f>
        <v>20197081.124684822</v>
      </c>
      <c r="E57" s="47">
        <f>Jawa!Y67</f>
        <v>69247693.848023221</v>
      </c>
      <c r="F57" s="47">
        <f>Jawa!Z67</f>
        <v>199619.47315220028</v>
      </c>
      <c r="G57" s="47">
        <f>Jawa!AA67</f>
        <v>503.50009306749172</v>
      </c>
      <c r="H57" s="47">
        <f>Jawa!AB67</f>
        <v>0</v>
      </c>
      <c r="I57" s="47">
        <f>Jawa!AC67</f>
        <v>0</v>
      </c>
      <c r="J57" s="47">
        <f>Jawa!AD67</f>
        <v>0</v>
      </c>
      <c r="K57" s="47">
        <f>Jawa!AE67</f>
        <v>0</v>
      </c>
      <c r="L57" s="47">
        <f>Jawa!AF67</f>
        <v>26071.575889310174</v>
      </c>
      <c r="M57" s="47">
        <f>Jawa!AG67</f>
        <v>0</v>
      </c>
      <c r="N57" s="47">
        <f>Jawa!AH67</f>
        <v>0</v>
      </c>
      <c r="O57" s="47">
        <f>Jawa!AI67</f>
        <v>0</v>
      </c>
      <c r="P57">
        <f>Jawa!BD67</f>
        <v>13978.313758068656</v>
      </c>
    </row>
    <row r="58" spans="1:16" x14ac:dyDescent="0.25">
      <c r="A58" t="str">
        <f>Jawa!AO68</f>
        <v>JAWA</v>
      </c>
      <c r="B58">
        <f>Jawa!AP68</f>
        <v>2035</v>
      </c>
      <c r="C58" s="47">
        <f>Jawa!W68</f>
        <v>128330425.88875423</v>
      </c>
      <c r="D58" s="47">
        <f>Jawa!X68</f>
        <v>20919562.154193211</v>
      </c>
      <c r="E58" s="47">
        <f>Jawa!Y68</f>
        <v>73723269.854493082</v>
      </c>
      <c r="F58" s="47">
        <f>Jawa!Z68</f>
        <v>207953.94640616281</v>
      </c>
      <c r="G58" s="47">
        <f>Jawa!AA68</f>
        <v>530.09069455450481</v>
      </c>
      <c r="H58" s="47">
        <f>Jawa!AB68</f>
        <v>0</v>
      </c>
      <c r="I58" s="47">
        <f>Jawa!AC68</f>
        <v>0</v>
      </c>
      <c r="J58" s="47">
        <f>Jawa!AD68</f>
        <v>0</v>
      </c>
      <c r="K58" s="47">
        <f>Jawa!AE68</f>
        <v>0</v>
      </c>
      <c r="L58" s="47">
        <f>Jawa!AF68</f>
        <v>26071.575889310174</v>
      </c>
      <c r="M58" s="47">
        <f>Jawa!AG68</f>
        <v>0</v>
      </c>
      <c r="N58" s="47">
        <f>Jawa!AH68</f>
        <v>0</v>
      </c>
      <c r="O58" s="47">
        <f>Jawa!AI68</f>
        <v>0</v>
      </c>
      <c r="P58">
        <f>Jawa!BD68</f>
        <v>14416.080633194779</v>
      </c>
    </row>
    <row r="59" spans="1:16" x14ac:dyDescent="0.25">
      <c r="A59" t="str">
        <f>Jawa!AO69</f>
        <v>JAWA</v>
      </c>
      <c r="B59">
        <f>Jawa!AP69</f>
        <v>2036</v>
      </c>
      <c r="C59" s="47">
        <f>Jawa!W69</f>
        <v>135850141.44632602</v>
      </c>
      <c r="D59" s="47">
        <f>Jawa!X69</f>
        <v>21397064.01260861</v>
      </c>
      <c r="E59" s="47">
        <f>Jawa!Y69</f>
        <v>78920402.835342124</v>
      </c>
      <c r="F59" s="47">
        <f>Jawa!Z69</f>
        <v>217288.56050619413</v>
      </c>
      <c r="G59" s="47">
        <f>Jawa!AA69</f>
        <v>714.09734104424911</v>
      </c>
      <c r="H59" s="47">
        <f>Jawa!AB69</f>
        <v>0</v>
      </c>
      <c r="I59" s="47">
        <f>Jawa!AC69</f>
        <v>0</v>
      </c>
      <c r="J59" s="47">
        <f>Jawa!AD69</f>
        <v>0</v>
      </c>
      <c r="K59" s="47">
        <f>Jawa!AE69</f>
        <v>0</v>
      </c>
      <c r="L59" s="47">
        <f>Jawa!AF69</f>
        <v>26071.575889310174</v>
      </c>
      <c r="M59" s="47">
        <f>Jawa!AG69</f>
        <v>0</v>
      </c>
      <c r="N59" s="47">
        <f>Jawa!AH69</f>
        <v>0</v>
      </c>
      <c r="O59" s="47">
        <f>Jawa!AI69</f>
        <v>0</v>
      </c>
      <c r="P59">
        <f>Jawa!BD69</f>
        <v>16253.397051881921</v>
      </c>
    </row>
    <row r="60" spans="1:16" x14ac:dyDescent="0.25">
      <c r="A60" t="str">
        <f>Jawa!AO70</f>
        <v>JAWA</v>
      </c>
      <c r="B60">
        <f>Jawa!AP70</f>
        <v>2037</v>
      </c>
      <c r="C60" s="47">
        <f>Jawa!W70</f>
        <v>143519597.18644184</v>
      </c>
      <c r="D60" s="47">
        <f>Jawa!X70</f>
        <v>22617416.876569673</v>
      </c>
      <c r="E60" s="47">
        <f>Jawa!Y70</f>
        <v>83818051.925130412</v>
      </c>
      <c r="F60" s="47">
        <f>Jawa!Z70</f>
        <v>226594.66331618838</v>
      </c>
      <c r="G60" s="47">
        <f>Jawa!AA70</f>
        <v>1089.2951930417755</v>
      </c>
      <c r="H60" s="47">
        <f>Jawa!AB70</f>
        <v>0</v>
      </c>
      <c r="I60" s="47">
        <f>Jawa!AC70</f>
        <v>0</v>
      </c>
      <c r="J60" s="47">
        <f>Jawa!AD70</f>
        <v>0</v>
      </c>
      <c r="K60" s="47">
        <f>Jawa!AE70</f>
        <v>0</v>
      </c>
      <c r="L60" s="47">
        <f>Jawa!AF70</f>
        <v>26071.575889310174</v>
      </c>
      <c r="M60" s="47">
        <f>Jawa!AG70</f>
        <v>0</v>
      </c>
      <c r="N60" s="47">
        <f>Jawa!AH70</f>
        <v>1.2392745099296813E-12</v>
      </c>
      <c r="O60" s="47">
        <f>Jawa!AI70</f>
        <v>0</v>
      </c>
      <c r="P60">
        <f>Jawa!BD70</f>
        <v>17376.467993954033</v>
      </c>
    </row>
    <row r="61" spans="1:16" x14ac:dyDescent="0.25">
      <c r="A61" t="str">
        <f>Jawa!AO71</f>
        <v>JAWA</v>
      </c>
      <c r="B61">
        <f>Jawa!AP71</f>
        <v>2038</v>
      </c>
      <c r="C61" s="47">
        <f>Jawa!W71</f>
        <v>152349901.62069979</v>
      </c>
      <c r="D61" s="47">
        <f>Jawa!X71</f>
        <v>24263422.015509825</v>
      </c>
      <c r="E61" s="47">
        <f>Jawa!Y71</f>
        <v>89303886.977787286</v>
      </c>
      <c r="F61" s="47">
        <f>Jawa!Z71</f>
        <v>237446.21707556376</v>
      </c>
      <c r="G61" s="47">
        <f>Jawa!AA71</f>
        <v>1628.4656006517673</v>
      </c>
      <c r="H61" s="47">
        <f>Jawa!AB71</f>
        <v>0</v>
      </c>
      <c r="I61" s="47">
        <f>Jawa!AC71</f>
        <v>0</v>
      </c>
      <c r="J61" s="47">
        <f>Jawa!AD71</f>
        <v>0</v>
      </c>
      <c r="K61" s="47">
        <f>Jawa!AE71</f>
        <v>0</v>
      </c>
      <c r="L61" s="47">
        <f>Jawa!AF71</f>
        <v>26071.575889310174</v>
      </c>
      <c r="M61" s="47">
        <f>Jawa!AG71</f>
        <v>0</v>
      </c>
      <c r="N61" s="47">
        <f>Jawa!AH71</f>
        <v>1.2392745099296813E-12</v>
      </c>
      <c r="O61" s="47">
        <f>Jawa!AI71</f>
        <v>0</v>
      </c>
      <c r="P61">
        <f>Jawa!BD71</f>
        <v>19751.872611453244</v>
      </c>
    </row>
    <row r="62" spans="1:16" x14ac:dyDescent="0.25">
      <c r="A62" t="str">
        <f>bali_nt!U52</f>
        <v>BALI_NT</v>
      </c>
      <c r="B62">
        <f>bali_nt!V52</f>
        <v>2019</v>
      </c>
      <c r="C62">
        <f>bali_nt!W52</f>
        <v>2338111.0243331748</v>
      </c>
      <c r="D62">
        <f>bali_nt!X52</f>
        <v>1237672.6277220473</v>
      </c>
      <c r="E62">
        <f>bali_nt!Y52</f>
        <v>0</v>
      </c>
      <c r="F62">
        <f>bali_nt!Z52</f>
        <v>1711118.1105064782</v>
      </c>
      <c r="G62">
        <f>bali_nt!AA52</f>
        <v>10.040903507076925</v>
      </c>
      <c r="H62">
        <f>bali_nt!AB52</f>
        <v>0</v>
      </c>
      <c r="I62">
        <f>bali_nt!AC52</f>
        <v>0</v>
      </c>
      <c r="J62">
        <f>bali_nt!AD52</f>
        <v>0</v>
      </c>
      <c r="K62">
        <f>bali_nt!AE52</f>
        <v>0</v>
      </c>
      <c r="L62">
        <f>bali_nt!AF52</f>
        <v>0</v>
      </c>
      <c r="M62">
        <f>bali_nt!AG52</f>
        <v>0</v>
      </c>
      <c r="N62">
        <f>bali_nt!AH52</f>
        <v>0</v>
      </c>
      <c r="O62">
        <f>bali_nt!AI52</f>
        <v>0</v>
      </c>
      <c r="P62">
        <f>bali_nt!AJ52</f>
        <v>5286911.8034652071</v>
      </c>
    </row>
    <row r="63" spans="1:16" x14ac:dyDescent="0.25">
      <c r="A63" t="str">
        <f>bali_nt!U53</f>
        <v>BALI_NT</v>
      </c>
      <c r="B63">
        <f>bali_nt!V53</f>
        <v>2020</v>
      </c>
      <c r="C63">
        <f>bali_nt!W53</f>
        <v>2692280.3137315516</v>
      </c>
      <c r="D63">
        <f>bali_nt!X53</f>
        <v>1237672.6277220473</v>
      </c>
      <c r="E63">
        <f>bali_nt!Y53</f>
        <v>0</v>
      </c>
      <c r="F63">
        <f>bali_nt!Z53</f>
        <v>1711118.1105064782</v>
      </c>
      <c r="G63">
        <f>bali_nt!AA53</f>
        <v>63.845413923320443</v>
      </c>
      <c r="H63">
        <f>bali_nt!AB53</f>
        <v>0</v>
      </c>
      <c r="I63">
        <f>bali_nt!AC53</f>
        <v>0</v>
      </c>
      <c r="J63">
        <f>bali_nt!AD53</f>
        <v>0</v>
      </c>
      <c r="K63">
        <f>bali_nt!AE53</f>
        <v>0</v>
      </c>
      <c r="L63">
        <f>bali_nt!AF53</f>
        <v>-1.3048258063998262E-3</v>
      </c>
      <c r="M63">
        <f>bali_nt!AG53</f>
        <v>0</v>
      </c>
      <c r="N63">
        <f>bali_nt!AH53</f>
        <v>0</v>
      </c>
      <c r="O63">
        <f>bali_nt!AI53</f>
        <v>0</v>
      </c>
      <c r="P63">
        <f>bali_nt!AJ53</f>
        <v>5641134.8960691746</v>
      </c>
    </row>
    <row r="64" spans="1:16" x14ac:dyDescent="0.25">
      <c r="A64" t="str">
        <f>bali_nt!U54</f>
        <v>BALI_NT</v>
      </c>
      <c r="B64">
        <f>bali_nt!V54</f>
        <v>2021</v>
      </c>
      <c r="C64">
        <f>bali_nt!W54</f>
        <v>3033519.6756977346</v>
      </c>
      <c r="D64">
        <f>bali_nt!X54</f>
        <v>1237672.6277220473</v>
      </c>
      <c r="E64">
        <f>bali_nt!Y54</f>
        <v>36716.677705847193</v>
      </c>
      <c r="F64">
        <f>bali_nt!Z54</f>
        <v>1711118.1075666645</v>
      </c>
      <c r="G64">
        <f>bali_nt!AA54</f>
        <v>63.845413515153631</v>
      </c>
      <c r="H64">
        <f>bali_nt!AB54</f>
        <v>0</v>
      </c>
      <c r="I64">
        <f>bali_nt!AC54</f>
        <v>0</v>
      </c>
      <c r="J64">
        <f>bali_nt!AD54</f>
        <v>0</v>
      </c>
      <c r="K64">
        <f>bali_nt!AE54</f>
        <v>0</v>
      </c>
      <c r="L64">
        <f>bali_nt!AF54</f>
        <v>0</v>
      </c>
      <c r="M64">
        <f>bali_nt!AG54</f>
        <v>0</v>
      </c>
      <c r="N64">
        <f>bali_nt!AH54</f>
        <v>0</v>
      </c>
      <c r="O64">
        <f>bali_nt!AI54</f>
        <v>0</v>
      </c>
      <c r="P64">
        <f>bali_nt!AJ54</f>
        <v>6019090.9341058079</v>
      </c>
    </row>
    <row r="65" spans="1:16" x14ac:dyDescent="0.25">
      <c r="A65" t="str">
        <f>bali_nt!U55</f>
        <v>BALI_NT</v>
      </c>
      <c r="B65">
        <f>bali_nt!V55</f>
        <v>2022</v>
      </c>
      <c r="C65">
        <f>bali_nt!W55</f>
        <v>3327233.0509017482</v>
      </c>
      <c r="D65">
        <f>bali_nt!X55</f>
        <v>1237672.6258482903</v>
      </c>
      <c r="E65">
        <f>bali_nt!Y55</f>
        <v>146282.39696068066</v>
      </c>
      <c r="F65">
        <f>bali_nt!Z55</f>
        <v>1711118.1075666645</v>
      </c>
      <c r="G65">
        <f>bali_nt!AA55</f>
        <v>63.845413515153631</v>
      </c>
      <c r="H65">
        <f>bali_nt!AB55</f>
        <v>0</v>
      </c>
      <c r="I65">
        <f>bali_nt!AC55</f>
        <v>0</v>
      </c>
      <c r="J65">
        <f>bali_nt!AD55</f>
        <v>0</v>
      </c>
      <c r="K65">
        <f>bali_nt!AE55</f>
        <v>0</v>
      </c>
      <c r="L65">
        <f>bali_nt!AF55</f>
        <v>0</v>
      </c>
      <c r="M65">
        <f>bali_nt!AG55</f>
        <v>0</v>
      </c>
      <c r="N65">
        <f>bali_nt!AH55</f>
        <v>0</v>
      </c>
      <c r="O65">
        <f>bali_nt!AI55</f>
        <v>0</v>
      </c>
      <c r="P65">
        <f>bali_nt!AJ55</f>
        <v>6422370.0266908985</v>
      </c>
    </row>
    <row r="66" spans="1:16" x14ac:dyDescent="0.25">
      <c r="A66" t="str">
        <f>bali_nt!U56</f>
        <v>BALI_NT</v>
      </c>
      <c r="B66">
        <f>bali_nt!V56</f>
        <v>2023</v>
      </c>
      <c r="C66">
        <f>bali_nt!W56</f>
        <v>3572890.2923398064</v>
      </c>
      <c r="D66">
        <f>bali_nt!X56</f>
        <v>1237672.6258482903</v>
      </c>
      <c r="E66">
        <f>bali_nt!Y56</f>
        <v>330923.94717625959</v>
      </c>
      <c r="F66">
        <f>bali_nt!Z56</f>
        <v>1711118.1075666645</v>
      </c>
      <c r="G66">
        <f>bali_nt!AA56</f>
        <v>63.845413106986832</v>
      </c>
      <c r="H66">
        <f>bali_nt!AB56</f>
        <v>0</v>
      </c>
      <c r="I66">
        <f>bali_nt!AC56</f>
        <v>0</v>
      </c>
      <c r="J66">
        <f>bali_nt!AD56</f>
        <v>0</v>
      </c>
      <c r="K66">
        <f>bali_nt!AE56</f>
        <v>0</v>
      </c>
      <c r="L66">
        <f>bali_nt!AF56</f>
        <v>0</v>
      </c>
      <c r="M66">
        <f>bali_nt!AG56</f>
        <v>0</v>
      </c>
      <c r="N66">
        <f>bali_nt!AH56</f>
        <v>0</v>
      </c>
      <c r="O66">
        <f>bali_nt!AI56</f>
        <v>0</v>
      </c>
      <c r="P66">
        <f>bali_nt!AJ56</f>
        <v>6852668.8183441292</v>
      </c>
    </row>
    <row r="67" spans="1:16" x14ac:dyDescent="0.25">
      <c r="A67" t="str">
        <f>bali_nt!U57</f>
        <v>BALI_NT</v>
      </c>
      <c r="B67">
        <f>bali_nt!V57</f>
        <v>2024</v>
      </c>
      <c r="C67">
        <f>bali_nt!W57</f>
        <v>3645677.7140255235</v>
      </c>
      <c r="D67">
        <f>bali_nt!X57</f>
        <v>1237672.6239745335</v>
      </c>
      <c r="E67">
        <f>bali_nt!Y57</f>
        <v>353280.28418976633</v>
      </c>
      <c r="F67">
        <f>bali_nt!Z57</f>
        <v>1711118.1075666645</v>
      </c>
      <c r="G67">
        <f>bali_nt!AA57</f>
        <v>63.845413106986832</v>
      </c>
      <c r="H67">
        <f>bali_nt!AB57</f>
        <v>0</v>
      </c>
      <c r="I67">
        <f>bali_nt!AC57</f>
        <v>0</v>
      </c>
      <c r="J67">
        <f>bali_nt!AD57</f>
        <v>0</v>
      </c>
      <c r="K67">
        <f>bali_nt!AE57</f>
        <v>0</v>
      </c>
      <c r="L67">
        <f>bali_nt!AF57</f>
        <v>363991.90667240781</v>
      </c>
      <c r="M67">
        <f>bali_nt!AG57</f>
        <v>0</v>
      </c>
      <c r="N67">
        <f>bali_nt!AH57</f>
        <v>0</v>
      </c>
      <c r="O67">
        <f>bali_nt!AI57</f>
        <v>0</v>
      </c>
      <c r="P67">
        <f>bali_nt!AJ57</f>
        <v>7311804.4818420028</v>
      </c>
    </row>
    <row r="68" spans="1:16" x14ac:dyDescent="0.25">
      <c r="A68" t="str">
        <f>bali_nt!U58</f>
        <v>BALI_NT</v>
      </c>
      <c r="B68">
        <f>bali_nt!V58</f>
        <v>2025</v>
      </c>
      <c r="C68">
        <f>bali_nt!W58</f>
        <v>3752889.9889657455</v>
      </c>
      <c r="D68">
        <f>bali_nt!X58</f>
        <v>1237672.6221007763</v>
      </c>
      <c r="E68">
        <f>bali_nt!Y58</f>
        <v>431765.26132888789</v>
      </c>
      <c r="F68">
        <f>bali_nt!Z58</f>
        <v>1711118.1075666645</v>
      </c>
      <c r="G68">
        <f>bali_nt!AA58</f>
        <v>63.845413106986832</v>
      </c>
      <c r="H68">
        <f>bali_nt!AB58</f>
        <v>0</v>
      </c>
      <c r="I68">
        <f>bali_nt!AC58</f>
        <v>0</v>
      </c>
      <c r="J68">
        <f>bali_nt!AD58</f>
        <v>0</v>
      </c>
      <c r="K68">
        <f>bali_nt!AE58</f>
        <v>0</v>
      </c>
      <c r="L68">
        <f>bali_nt!AF58</f>
        <v>668185.5567499582</v>
      </c>
      <c r="M68">
        <f>bali_nt!AG58</f>
        <v>0</v>
      </c>
      <c r="N68">
        <f>bali_nt!AH58</f>
        <v>0</v>
      </c>
      <c r="O68">
        <f>bali_nt!AI58</f>
        <v>0</v>
      </c>
      <c r="P68">
        <f>bali_nt!AJ58</f>
        <v>7801695.3821251411</v>
      </c>
    </row>
    <row r="69" spans="1:16" x14ac:dyDescent="0.25">
      <c r="A69" t="str">
        <f>bali_nt!U59</f>
        <v>BALI_NT</v>
      </c>
      <c r="B69">
        <f>bali_nt!V59</f>
        <v>2026</v>
      </c>
      <c r="C69">
        <f>bali_nt!W59</f>
        <v>3917943.9877921408</v>
      </c>
      <c r="D69">
        <f>bali_nt!X59</f>
        <v>1237672.6221007763</v>
      </c>
      <c r="E69">
        <f>bali_nt!Y59</f>
        <v>545474.68565332086</v>
      </c>
      <c r="F69">
        <f>bali_nt!Z59</f>
        <v>1711118.1075666645</v>
      </c>
      <c r="G69">
        <f>bali_nt!AA59</f>
        <v>63.84541269882002</v>
      </c>
      <c r="H69">
        <f>bali_nt!AB59</f>
        <v>0</v>
      </c>
      <c r="I69">
        <f>bali_nt!AC59</f>
        <v>0</v>
      </c>
      <c r="J69">
        <f>bali_nt!AD59</f>
        <v>0</v>
      </c>
      <c r="K69">
        <f>bali_nt!AE59</f>
        <v>0</v>
      </c>
      <c r="L69">
        <f>bali_nt!AF59</f>
        <v>912135.73013589834</v>
      </c>
      <c r="M69">
        <f>bali_nt!AG59</f>
        <v>0</v>
      </c>
      <c r="N69">
        <f>bali_nt!AH59</f>
        <v>0</v>
      </c>
      <c r="O69">
        <f>bali_nt!AI59</f>
        <v>0</v>
      </c>
      <c r="P69">
        <f>bali_nt!AJ59</f>
        <v>8324408.9786614981</v>
      </c>
    </row>
    <row r="70" spans="1:16" x14ac:dyDescent="0.25">
      <c r="A70" t="str">
        <f>bali_nt!U60</f>
        <v>BALI_NT</v>
      </c>
      <c r="B70">
        <f>bali_nt!V60</f>
        <v>2027</v>
      </c>
      <c r="C70">
        <f>bali_nt!W60</f>
        <v>4068904.4563296265</v>
      </c>
      <c r="D70">
        <f>bali_nt!X60</f>
        <v>1410820.435169145</v>
      </c>
      <c r="E70">
        <f>bali_nt!Y60</f>
        <v>545474.68459269381</v>
      </c>
      <c r="F70">
        <f>bali_nt!Z60</f>
        <v>1711118.1075666645</v>
      </c>
      <c r="G70">
        <f>bali_nt!AA60</f>
        <v>63.84541269882002</v>
      </c>
      <c r="H70">
        <f>bali_nt!AB60</f>
        <v>0</v>
      </c>
      <c r="I70">
        <f>bali_nt!AC60</f>
        <v>0</v>
      </c>
      <c r="J70">
        <f>bali_nt!AD60</f>
        <v>0</v>
      </c>
      <c r="K70">
        <f>bali_nt!AE60</f>
        <v>0</v>
      </c>
      <c r="L70">
        <f>bali_nt!AF60</f>
        <v>1145771.1720766367</v>
      </c>
      <c r="M70">
        <f>bali_nt!AG60</f>
        <v>0</v>
      </c>
      <c r="N70">
        <f>bali_nt!AH60</f>
        <v>0</v>
      </c>
      <c r="O70">
        <f>bali_nt!AI60</f>
        <v>0</v>
      </c>
      <c r="P70">
        <f>bali_nt!AJ60</f>
        <v>8882152.701147465</v>
      </c>
    </row>
    <row r="71" spans="1:16" x14ac:dyDescent="0.25">
      <c r="A71" t="str">
        <f>bali_nt!U61</f>
        <v>BALI_NT</v>
      </c>
      <c r="B71">
        <f>bali_nt!V61</f>
        <v>2028</v>
      </c>
      <c r="C71">
        <f>bali_nt!W61</f>
        <v>4242581.6937933024</v>
      </c>
      <c r="D71">
        <f>bali_nt!X61</f>
        <v>1653262.610915184</v>
      </c>
      <c r="E71">
        <f>bali_nt!Y61</f>
        <v>545474.68353206664</v>
      </c>
      <c r="F71">
        <f>bali_nt!Z61</f>
        <v>1711118.1075666645</v>
      </c>
      <c r="G71">
        <f>bali_nt!AA61</f>
        <v>63.845412290653215</v>
      </c>
      <c r="H71">
        <f>bali_nt!AB61</f>
        <v>0</v>
      </c>
      <c r="I71">
        <f>bali_nt!AC61</f>
        <v>0</v>
      </c>
      <c r="J71">
        <f>bali_nt!AD61</f>
        <v>0</v>
      </c>
      <c r="K71">
        <f>bali_nt!AE61</f>
        <v>0</v>
      </c>
      <c r="L71">
        <f>bali_nt!AF61</f>
        <v>1324755.992321495</v>
      </c>
      <c r="M71">
        <f>bali_nt!AG61</f>
        <v>0</v>
      </c>
      <c r="N71">
        <f>bali_nt!AH61</f>
        <v>0</v>
      </c>
      <c r="O71">
        <f>bali_nt!AI61</f>
        <v>0</v>
      </c>
      <c r="P71">
        <f>bali_nt!AJ61</f>
        <v>9477256.9335410036</v>
      </c>
    </row>
    <row r="72" spans="1:16" x14ac:dyDescent="0.25">
      <c r="A72" t="str">
        <f>bali_nt!U62</f>
        <v>BALI_NT</v>
      </c>
      <c r="B72">
        <f>bali_nt!V62</f>
        <v>2029</v>
      </c>
      <c r="C72">
        <f>bali_nt!W62</f>
        <v>4418130.6336148642</v>
      </c>
      <c r="D72">
        <f>bali_nt!X62</f>
        <v>1653262.610915184</v>
      </c>
      <c r="E72">
        <f>bali_nt!Y62</f>
        <v>639085.88239619276</v>
      </c>
      <c r="F72">
        <f>bali_nt!Z62</f>
        <v>1711118.1075666645</v>
      </c>
      <c r="G72">
        <f>bali_nt!AA62</f>
        <v>63.845411882486395</v>
      </c>
      <c r="H72">
        <f>bali_nt!AB62</f>
        <v>0</v>
      </c>
      <c r="I72">
        <f>bali_nt!AC62</f>
        <v>0</v>
      </c>
      <c r="J72">
        <f>bali_nt!AD62</f>
        <v>0</v>
      </c>
      <c r="K72">
        <f>bali_nt!AE62</f>
        <v>0</v>
      </c>
      <c r="L72">
        <f>bali_nt!AF62</f>
        <v>1690581.5453649268</v>
      </c>
      <c r="M72">
        <f>bali_nt!AG62</f>
        <v>0</v>
      </c>
      <c r="N72">
        <f>bali_nt!AH62</f>
        <v>0</v>
      </c>
      <c r="O72">
        <f>bali_nt!AI62</f>
        <v>0</v>
      </c>
      <c r="P72">
        <f>bali_nt!AJ62</f>
        <v>10112242.625269715</v>
      </c>
    </row>
    <row r="73" spans="1:16" x14ac:dyDescent="0.25">
      <c r="A73" t="str">
        <f>bali_nt!U63</f>
        <v>BALI_NT</v>
      </c>
      <c r="B73">
        <f>bali_nt!V63</f>
        <v>2030</v>
      </c>
      <c r="C73">
        <f>bali_nt!W63</f>
        <v>4606495.5949004842</v>
      </c>
      <c r="D73">
        <f>bali_nt!X63</f>
        <v>2023413.2819239739</v>
      </c>
      <c r="E73">
        <f>bali_nt!Y63</f>
        <v>639085.88239619276</v>
      </c>
      <c r="F73">
        <f>bali_nt!Z63</f>
        <v>1711118.1075666645</v>
      </c>
      <c r="G73">
        <f>bali_nt!AA63</f>
        <v>63.84541147431959</v>
      </c>
      <c r="H73">
        <f>bali_nt!AB63</f>
        <v>0</v>
      </c>
      <c r="I73">
        <f>bali_nt!AC63</f>
        <v>0</v>
      </c>
      <c r="J73">
        <f>bali_nt!AD63</f>
        <v>0</v>
      </c>
      <c r="K73">
        <f>bali_nt!AE63</f>
        <v>0</v>
      </c>
      <c r="L73">
        <f>bali_nt!AF63</f>
        <v>1690581.5421059798</v>
      </c>
      <c r="M73">
        <f>bali_nt!AG63</f>
        <v>0</v>
      </c>
      <c r="N73">
        <f>bali_nt!AH63</f>
        <v>0</v>
      </c>
      <c r="O73">
        <f>bali_nt!AI63</f>
        <v>0</v>
      </c>
      <c r="P73">
        <f>bali_nt!AJ63</f>
        <v>10670758.254304769</v>
      </c>
    </row>
    <row r="74" spans="1:16" x14ac:dyDescent="0.25">
      <c r="A74" t="str">
        <f>bali_nt!U64</f>
        <v>BALI_NT</v>
      </c>
      <c r="B74">
        <f>bali_nt!V64</f>
        <v>2031</v>
      </c>
      <c r="C74">
        <f>bali_nt!W64</f>
        <v>4841044.257102943</v>
      </c>
      <c r="D74">
        <f>bali_nt!X64</f>
        <v>2235928.6686037742</v>
      </c>
      <c r="E74">
        <f>bali_nt!Y64</f>
        <v>729377.01256062801</v>
      </c>
      <c r="F74">
        <f>bali_nt!Z64</f>
        <v>1711118.1075666645</v>
      </c>
      <c r="G74">
        <f>bali_nt!AA64</f>
        <v>63.84541147431959</v>
      </c>
      <c r="H74">
        <f>bali_nt!AB64</f>
        <v>0</v>
      </c>
      <c r="I74">
        <f>bali_nt!AC64</f>
        <v>0</v>
      </c>
      <c r="J74">
        <f>bali_nt!AD64</f>
        <v>0</v>
      </c>
      <c r="K74">
        <f>bali_nt!AE64</f>
        <v>0</v>
      </c>
      <c r="L74">
        <f>bali_nt!AF64</f>
        <v>1868167.1660973933</v>
      </c>
      <c r="M74">
        <f>bali_nt!AG64</f>
        <v>0</v>
      </c>
      <c r="N74">
        <f>bali_nt!AH64</f>
        <v>0</v>
      </c>
      <c r="O74">
        <f>bali_nt!AI64</f>
        <v>0</v>
      </c>
      <c r="P74">
        <f>bali_nt!AJ64</f>
        <v>11385699.057342878</v>
      </c>
    </row>
    <row r="75" spans="1:16" x14ac:dyDescent="0.25">
      <c r="A75" t="str">
        <f>bali_nt!U65</f>
        <v>BALI_NT</v>
      </c>
      <c r="B75">
        <f>bali_nt!V65</f>
        <v>2032</v>
      </c>
      <c r="C75">
        <f>bali_nt!W65</f>
        <v>5089153.5314760404</v>
      </c>
      <c r="D75">
        <f>bali_nt!X65</f>
        <v>2529292.6273056543</v>
      </c>
      <c r="E75">
        <f>bali_nt!Y65</f>
        <v>729377.01256062801</v>
      </c>
      <c r="F75">
        <f>bali_nt!Z65</f>
        <v>1711118.1075666645</v>
      </c>
      <c r="G75">
        <f>bali_nt!AA65</f>
        <v>63.84541147431959</v>
      </c>
      <c r="H75">
        <f>bali_nt!AB65</f>
        <v>0</v>
      </c>
      <c r="I75">
        <f>bali_nt!AC65</f>
        <v>0</v>
      </c>
      <c r="J75">
        <f>bali_nt!AD65</f>
        <v>0</v>
      </c>
      <c r="K75">
        <f>bali_nt!AE65</f>
        <v>0</v>
      </c>
      <c r="L75">
        <f>bali_nt!AF65</f>
        <v>1968799.2511556942</v>
      </c>
      <c r="M75">
        <f>bali_nt!AG65</f>
        <v>0</v>
      </c>
      <c r="N75">
        <f>bali_nt!AH65</f>
        <v>0</v>
      </c>
      <c r="O75">
        <f>bali_nt!AI65</f>
        <v>0</v>
      </c>
      <c r="P75">
        <f>bali_nt!AJ65</f>
        <v>12027804.375476155</v>
      </c>
    </row>
    <row r="76" spans="1:16" x14ac:dyDescent="0.25">
      <c r="A76" t="str">
        <f>bali_nt!U66</f>
        <v>BALI_NT</v>
      </c>
      <c r="B76">
        <f>bali_nt!V66</f>
        <v>2033</v>
      </c>
      <c r="C76">
        <f>bali_nt!W66</f>
        <v>5301154.4002758618</v>
      </c>
      <c r="D76">
        <f>bali_nt!X66</f>
        <v>2529292.6273056543</v>
      </c>
      <c r="E76">
        <f>bali_nt!Y66</f>
        <v>886245.76923497429</v>
      </c>
      <c r="F76">
        <f>bali_nt!Z66</f>
        <v>1711118.1046268519</v>
      </c>
      <c r="G76">
        <f>bali_nt!AA66</f>
        <v>63.845411066152778</v>
      </c>
      <c r="H76">
        <f>bali_nt!AB66</f>
        <v>0</v>
      </c>
      <c r="I76">
        <f>bali_nt!AC66</f>
        <v>0</v>
      </c>
      <c r="J76">
        <f>bali_nt!AD66</f>
        <v>0</v>
      </c>
      <c r="K76">
        <f>bali_nt!AE66</f>
        <v>0</v>
      </c>
      <c r="L76">
        <f>bali_nt!AF66</f>
        <v>2019115.2936848446</v>
      </c>
      <c r="M76">
        <f>bali_nt!AG66</f>
        <v>0</v>
      </c>
      <c r="N76">
        <f>bali_nt!AH66</f>
        <v>0</v>
      </c>
      <c r="O76">
        <f>bali_nt!AI66</f>
        <v>0</v>
      </c>
      <c r="P76">
        <f>bali_nt!AJ66</f>
        <v>12446990.040539252</v>
      </c>
    </row>
    <row r="77" spans="1:16" x14ac:dyDescent="0.25">
      <c r="A77" t="str">
        <f>bali_nt!U67</f>
        <v>BALI_NT</v>
      </c>
      <c r="B77">
        <f>bali_nt!V67</f>
        <v>2034</v>
      </c>
      <c r="C77">
        <f>bali_nt!W67</f>
        <v>5574860.4206779022</v>
      </c>
      <c r="D77">
        <f>bali_nt!X67</f>
        <v>2856110.3450772921</v>
      </c>
      <c r="E77">
        <f>bali_nt!Y67</f>
        <v>886245.76923497429</v>
      </c>
      <c r="F77">
        <f>bali_nt!Z67</f>
        <v>1711118.1046268519</v>
      </c>
      <c r="G77">
        <f>bali_nt!AA67</f>
        <v>63.845410657985987</v>
      </c>
      <c r="H77">
        <f>bali_nt!AB67</f>
        <v>0</v>
      </c>
      <c r="I77">
        <f>bali_nt!AC67</f>
        <v>0</v>
      </c>
      <c r="J77">
        <f>bali_nt!AD67</f>
        <v>0</v>
      </c>
      <c r="K77">
        <f>bali_nt!AE67</f>
        <v>0</v>
      </c>
      <c r="L77">
        <f>bali_nt!AF67</f>
        <v>2044273.3149494198</v>
      </c>
      <c r="M77">
        <f>bali_nt!AG67</f>
        <v>0</v>
      </c>
      <c r="N77">
        <f>bali_nt!AH67</f>
        <v>0</v>
      </c>
      <c r="O77">
        <f>bali_nt!AI67</f>
        <v>0</v>
      </c>
      <c r="P77">
        <f>bali_nt!AJ67</f>
        <v>13072671.799977098</v>
      </c>
    </row>
    <row r="78" spans="1:16" x14ac:dyDescent="0.25">
      <c r="A78" t="str">
        <f>bali_nt!U68</f>
        <v>BALI_NT</v>
      </c>
      <c r="B78">
        <f>bali_nt!V68</f>
        <v>2035</v>
      </c>
      <c r="C78">
        <f>bali_nt!W68</f>
        <v>5835055.9648859724</v>
      </c>
      <c r="D78">
        <f>bali_nt!X68</f>
        <v>2856110.3432035348</v>
      </c>
      <c r="E78">
        <f>bali_nt!Y68</f>
        <v>1078835.3313385337</v>
      </c>
      <c r="F78">
        <f>bali_nt!Z68</f>
        <v>1711118.1046268519</v>
      </c>
      <c r="G78">
        <f>bali_nt!AA68</f>
        <v>65.887832256574328</v>
      </c>
      <c r="H78">
        <f>bali_nt!AB68</f>
        <v>0</v>
      </c>
      <c r="I78">
        <f>bali_nt!AC68</f>
        <v>0</v>
      </c>
      <c r="J78">
        <f>bali_nt!AD68</f>
        <v>0</v>
      </c>
      <c r="K78">
        <f>bali_nt!AE68</f>
        <v>0</v>
      </c>
      <c r="L78">
        <f>bali_nt!AF68</f>
        <v>2056852.3255817073</v>
      </c>
      <c r="M78">
        <f>bali_nt!AG68</f>
        <v>0</v>
      </c>
      <c r="N78">
        <f>bali_nt!AH68</f>
        <v>0</v>
      </c>
      <c r="O78">
        <f>bali_nt!AI68</f>
        <v>0</v>
      </c>
      <c r="P78">
        <f>bali_nt!AJ68</f>
        <v>13538037.957468856</v>
      </c>
    </row>
    <row r="79" spans="1:16" x14ac:dyDescent="0.25">
      <c r="A79" t="str">
        <f>bali_nt!U69</f>
        <v>BALI_NT</v>
      </c>
      <c r="B79">
        <f>bali_nt!V69</f>
        <v>2036</v>
      </c>
      <c r="C79">
        <f>bali_nt!W69</f>
        <v>6110843.5257970197</v>
      </c>
      <c r="D79">
        <f>bali_nt!X69</f>
        <v>3191405.7123417011</v>
      </c>
      <c r="E79">
        <f>bali_nt!Y69</f>
        <v>1078835.3313385337</v>
      </c>
      <c r="F79">
        <f>bali_nt!Z69</f>
        <v>1711118.1046268519</v>
      </c>
      <c r="G79">
        <f>bali_nt!AA69</f>
        <v>77.672930999749283</v>
      </c>
      <c r="H79">
        <f>bali_nt!AB69</f>
        <v>0</v>
      </c>
      <c r="I79">
        <f>bali_nt!AC69</f>
        <v>0</v>
      </c>
      <c r="J79">
        <f>bali_nt!AD69</f>
        <v>0</v>
      </c>
      <c r="K79">
        <f>bali_nt!AE69</f>
        <v>0</v>
      </c>
      <c r="L79">
        <f>bali_nt!AF69</f>
        <v>2063141.8308978514</v>
      </c>
      <c r="M79">
        <f>bali_nt!AG69</f>
        <v>0</v>
      </c>
      <c r="N79">
        <f>bali_nt!AH69</f>
        <v>0</v>
      </c>
      <c r="O79">
        <f>bali_nt!AI69</f>
        <v>0</v>
      </c>
      <c r="P79">
        <f>bali_nt!AJ69</f>
        <v>14155422.177932957</v>
      </c>
    </row>
    <row r="80" spans="1:16" x14ac:dyDescent="0.25">
      <c r="A80" t="str">
        <f>bali_nt!U70</f>
        <v>BALI_NT</v>
      </c>
      <c r="B80">
        <f>bali_nt!V70</f>
        <v>2037</v>
      </c>
      <c r="C80">
        <f>bali_nt!W70</f>
        <v>6400769.1785379304</v>
      </c>
      <c r="D80">
        <f>bali_nt!X70</f>
        <v>3191405.7123417011</v>
      </c>
      <c r="E80">
        <f>bali_nt!Y70</f>
        <v>1295459.4559978214</v>
      </c>
      <c r="F80">
        <f>bali_nt!Z70</f>
        <v>1711118.101687039</v>
      </c>
      <c r="G80">
        <f>bali_nt!AA70</f>
        <v>94.86969798259986</v>
      </c>
      <c r="H80">
        <f>bali_nt!AB70</f>
        <v>0</v>
      </c>
      <c r="I80">
        <f>bali_nt!AC70</f>
        <v>0</v>
      </c>
      <c r="J80">
        <f>bali_nt!AD70</f>
        <v>0</v>
      </c>
      <c r="K80">
        <f>bali_nt!AE70</f>
        <v>0</v>
      </c>
      <c r="L80">
        <f>bali_nt!AF70</f>
        <v>2066286.5835559233</v>
      </c>
      <c r="M80">
        <f>bali_nt!AG70</f>
        <v>0</v>
      </c>
      <c r="N80">
        <f>bali_nt!AH70</f>
        <v>0</v>
      </c>
      <c r="O80">
        <f>bali_nt!AI70</f>
        <v>0</v>
      </c>
      <c r="P80">
        <f>bali_nt!AJ70</f>
        <v>14665133.901818397</v>
      </c>
    </row>
    <row r="81" spans="1:16" x14ac:dyDescent="0.25">
      <c r="A81" t="str">
        <f>bali_nt!U71</f>
        <v>BALI_NT</v>
      </c>
      <c r="B81">
        <f>bali_nt!V71</f>
        <v>2038</v>
      </c>
      <c r="C81">
        <f>bali_nt!W71</f>
        <v>6742330.2600827608</v>
      </c>
      <c r="D81">
        <f>bali_nt!X71</f>
        <v>3606967.3172833328</v>
      </c>
      <c r="E81">
        <f>bali_nt!Y71</f>
        <v>1295459.4559978214</v>
      </c>
      <c r="F81">
        <f>bali_nt!Z71</f>
        <v>1711118.0987472259</v>
      </c>
      <c r="G81">
        <f>bali_nt!AA71</f>
        <v>117.56494074218931</v>
      </c>
      <c r="H81">
        <f>bali_nt!AB71</f>
        <v>0</v>
      </c>
      <c r="I81">
        <f>bali_nt!AC71</f>
        <v>0</v>
      </c>
      <c r="J81">
        <f>bali_nt!AD71</f>
        <v>0</v>
      </c>
      <c r="K81">
        <f>bali_nt!AE71</f>
        <v>0</v>
      </c>
      <c r="L81">
        <f>bali_nt!AF71</f>
        <v>2067858.959884959</v>
      </c>
      <c r="M81">
        <f>bali_nt!AG71</f>
        <v>0</v>
      </c>
      <c r="N81">
        <f>bali_nt!AH71</f>
        <v>0</v>
      </c>
      <c r="O81">
        <f>bali_nt!AI71</f>
        <v>0</v>
      </c>
      <c r="P81">
        <f>bali_nt!AJ71</f>
        <v>15423851.656936839</v>
      </c>
    </row>
    <row r="82" spans="1:16" x14ac:dyDescent="0.25">
      <c r="A82" t="str">
        <f>kalimantan!U52</f>
        <v>KALIMANTAN</v>
      </c>
      <c r="B82">
        <f>kalimantan!V52</f>
        <v>2019</v>
      </c>
      <c r="C82">
        <f>kalimantan!W52</f>
        <v>11032350.801264001</v>
      </c>
      <c r="D82">
        <f>kalimantan!X52</f>
        <v>1002516.1400846698</v>
      </c>
      <c r="E82">
        <f>kalimantan!Y52</f>
        <v>63637.632468395605</v>
      </c>
      <c r="F82">
        <f>kalimantan!Z52</f>
        <v>5070207.1499823155</v>
      </c>
      <c r="G82">
        <f>kalimantan!AA52</f>
        <v>0</v>
      </c>
      <c r="H82">
        <f>kalimantan!AB52</f>
        <v>0</v>
      </c>
      <c r="I82">
        <f>kalimantan!AC52</f>
        <v>0</v>
      </c>
      <c r="J82">
        <f>kalimantan!AD52</f>
        <v>0</v>
      </c>
      <c r="K82">
        <f>kalimantan!AE52</f>
        <v>0</v>
      </c>
      <c r="L82">
        <f>kalimantan!AF52</f>
        <v>318562.06789750868</v>
      </c>
      <c r="M82">
        <f>kalimantan!AG52</f>
        <v>0</v>
      </c>
      <c r="N82">
        <f>kalimantan!AH52</f>
        <v>0</v>
      </c>
      <c r="O82">
        <f>kalimantan!AI52</f>
        <v>0</v>
      </c>
      <c r="P82">
        <f>kalimantan!AJ52</f>
        <v>17487273.791696891</v>
      </c>
    </row>
    <row r="83" spans="1:16" x14ac:dyDescent="0.25">
      <c r="A83" t="str">
        <f>kalimantan!U53</f>
        <v>KALIMANTAN</v>
      </c>
      <c r="B83">
        <f>kalimantan!V53</f>
        <v>2020</v>
      </c>
      <c r="C83">
        <f>kalimantan!W53</f>
        <v>11986255.664571365</v>
      </c>
      <c r="D83">
        <f>kalimantan!X53</f>
        <v>1002516.1400846698</v>
      </c>
      <c r="E83">
        <f>kalimantan!Y53</f>
        <v>281380.11261622573</v>
      </c>
      <c r="F83">
        <f>kalimantan!Z53</f>
        <v>5070207.1499823155</v>
      </c>
      <c r="G83">
        <f>kalimantan!AA53</f>
        <v>0</v>
      </c>
      <c r="H83">
        <f>kalimantan!AB53</f>
        <v>0</v>
      </c>
      <c r="I83">
        <f>kalimantan!AC53</f>
        <v>0</v>
      </c>
      <c r="J83">
        <f>kalimantan!AD53</f>
        <v>0</v>
      </c>
      <c r="K83">
        <f>kalimantan!AE53</f>
        <v>0</v>
      </c>
      <c r="L83">
        <f>kalimantan!AF53</f>
        <v>318562.06789750868</v>
      </c>
      <c r="M83">
        <f>kalimantan!AG53</f>
        <v>0</v>
      </c>
      <c r="N83">
        <f>kalimantan!AH53</f>
        <v>0</v>
      </c>
      <c r="O83">
        <f>kalimantan!AI53</f>
        <v>0</v>
      </c>
      <c r="P83">
        <f>kalimantan!AJ53</f>
        <v>18658921.135152087</v>
      </c>
    </row>
    <row r="84" spans="1:16" x14ac:dyDescent="0.25">
      <c r="A84" t="str">
        <f>kalimantan!U54</f>
        <v>KALIMANTAN</v>
      </c>
      <c r="B84">
        <f>kalimantan!V54</f>
        <v>2021</v>
      </c>
      <c r="C84">
        <f>kalimantan!W54</f>
        <v>12531831.788952595</v>
      </c>
      <c r="D84">
        <f>kalimantan!X54</f>
        <v>1002516.1400846698</v>
      </c>
      <c r="E84">
        <f>kalimantan!Y54</f>
        <v>985951.69613097108</v>
      </c>
      <c r="F84">
        <f>kalimantan!Z54</f>
        <v>5070207.1499823155</v>
      </c>
      <c r="G84">
        <f>kalimantan!AA54</f>
        <v>0</v>
      </c>
      <c r="H84">
        <f>kalimantan!AB54</f>
        <v>0</v>
      </c>
      <c r="I84">
        <f>kalimantan!AC54</f>
        <v>0</v>
      </c>
      <c r="J84">
        <f>kalimantan!AD54</f>
        <v>0</v>
      </c>
      <c r="K84">
        <f>kalimantan!AE54</f>
        <v>0</v>
      </c>
      <c r="L84">
        <f>kalimantan!AF54</f>
        <v>318562.06789750868</v>
      </c>
      <c r="M84">
        <f>kalimantan!AG54</f>
        <v>0</v>
      </c>
      <c r="N84">
        <f>kalimantan!AH54</f>
        <v>0</v>
      </c>
      <c r="O84">
        <f>kalimantan!AI54</f>
        <v>0</v>
      </c>
      <c r="P84">
        <f>kalimantan!AJ54</f>
        <v>19909068.843048058</v>
      </c>
    </row>
    <row r="85" spans="1:16" x14ac:dyDescent="0.25">
      <c r="A85" t="str">
        <f>kalimantan!U55</f>
        <v>KALIMANTAN</v>
      </c>
      <c r="B85">
        <f>kalimantan!V55</f>
        <v>2022</v>
      </c>
      <c r="C85">
        <f>kalimantan!W55</f>
        <v>13042182.226044385</v>
      </c>
      <c r="D85">
        <f>kalimantan!X55</f>
        <v>1002516.1400846698</v>
      </c>
      <c r="E85">
        <f>kalimantan!Y55</f>
        <v>1809508.8949672896</v>
      </c>
      <c r="F85">
        <f>kalimantan!Z55</f>
        <v>5070207.1499823155</v>
      </c>
      <c r="G85">
        <f>kalimantan!AA55</f>
        <v>0</v>
      </c>
      <c r="H85">
        <f>kalimantan!AB55</f>
        <v>0</v>
      </c>
      <c r="I85">
        <f>kalimantan!AC55</f>
        <v>0</v>
      </c>
      <c r="J85">
        <f>kalimantan!AD55</f>
        <v>0</v>
      </c>
      <c r="K85">
        <f>kalimantan!AE55</f>
        <v>0</v>
      </c>
      <c r="L85">
        <f>kalimantan!AF55</f>
        <v>318562.06789750868</v>
      </c>
      <c r="M85">
        <f>kalimantan!AG55</f>
        <v>0</v>
      </c>
      <c r="N85">
        <f>kalimantan!AH55</f>
        <v>0</v>
      </c>
      <c r="O85">
        <f>kalimantan!AI55</f>
        <v>0</v>
      </c>
      <c r="P85">
        <f>kalimantan!AJ55</f>
        <v>21242976.478976168</v>
      </c>
    </row>
    <row r="86" spans="1:16" x14ac:dyDescent="0.25">
      <c r="A86" t="str">
        <f>kalimantan!U56</f>
        <v>KALIMANTAN</v>
      </c>
      <c r="B86">
        <f>kalimantan!V56</f>
        <v>2023</v>
      </c>
      <c r="C86">
        <f>kalimantan!W56</f>
        <v>13042182.226044385</v>
      </c>
      <c r="D86">
        <f>kalimantan!X56</f>
        <v>2057093.2405650984</v>
      </c>
      <c r="E86">
        <f>kalimantan!Y56</f>
        <v>1809509.0152743331</v>
      </c>
      <c r="F86">
        <f>kalimantan!Z56</f>
        <v>5070207.1499823183</v>
      </c>
      <c r="G86">
        <f>kalimantan!AA56</f>
        <v>2.3157593219954298E-2</v>
      </c>
      <c r="H86">
        <f>kalimantan!AB56</f>
        <v>0</v>
      </c>
      <c r="I86">
        <f>kalimantan!AC56</f>
        <v>0</v>
      </c>
      <c r="J86">
        <f>kalimantan!AD56</f>
        <v>0</v>
      </c>
      <c r="K86">
        <f>kalimantan!AE56</f>
        <v>0</v>
      </c>
      <c r="L86">
        <f>kalimantan!AF56</f>
        <v>502217.98322238831</v>
      </c>
      <c r="M86">
        <f>kalimantan!AG56</f>
        <v>0</v>
      </c>
      <c r="N86">
        <f>kalimantan!AH56</f>
        <v>0</v>
      </c>
      <c r="O86">
        <f>kalimantan!AI56</f>
        <v>0</v>
      </c>
      <c r="P86">
        <f>kalimantan!AJ56</f>
        <v>22481209.638246115</v>
      </c>
    </row>
    <row r="87" spans="1:16" x14ac:dyDescent="0.25">
      <c r="A87" t="str">
        <f>kalimantan!U57</f>
        <v>KALIMANTAN</v>
      </c>
      <c r="B87">
        <f>kalimantan!V57</f>
        <v>2024</v>
      </c>
      <c r="C87">
        <f>kalimantan!W57</f>
        <v>13042182.226044385</v>
      </c>
      <c r="D87">
        <f>kalimantan!X57</f>
        <v>2355708.2835637089</v>
      </c>
      <c r="E87">
        <f>kalimantan!Y57</f>
        <v>1822285.9954839232</v>
      </c>
      <c r="F87">
        <f>kalimantan!Z57</f>
        <v>5070207.1499823183</v>
      </c>
      <c r="G87">
        <f>kalimantan!AA57</f>
        <v>6.0063627590383264E-2</v>
      </c>
      <c r="H87">
        <f>kalimantan!AB57</f>
        <v>0</v>
      </c>
      <c r="I87">
        <f>kalimantan!AC57</f>
        <v>0</v>
      </c>
      <c r="J87">
        <f>kalimantan!AD57</f>
        <v>0</v>
      </c>
      <c r="K87">
        <f>kalimantan!AE57</f>
        <v>0</v>
      </c>
      <c r="L87">
        <f>kalimantan!AF57</f>
        <v>510478.47768384911</v>
      </c>
      <c r="M87">
        <f>kalimantan!AG57</f>
        <v>0</v>
      </c>
      <c r="N87">
        <f>kalimantan!AH57</f>
        <v>0</v>
      </c>
      <c r="O87">
        <f>kalimantan!AI57</f>
        <v>0</v>
      </c>
      <c r="P87">
        <f>kalimantan!AJ57</f>
        <v>22800862.192821812</v>
      </c>
    </row>
    <row r="88" spans="1:16" x14ac:dyDescent="0.25">
      <c r="A88" t="str">
        <f>kalimantan!U58</f>
        <v>KALIMANTAN</v>
      </c>
      <c r="B88">
        <f>kalimantan!V58</f>
        <v>2025</v>
      </c>
      <c r="C88">
        <f>kalimantan!W58</f>
        <v>13042182.226044385</v>
      </c>
      <c r="D88">
        <f>kalimantan!X58</f>
        <v>2386902.1785331462</v>
      </c>
      <c r="E88">
        <f>kalimantan!Y58</f>
        <v>2015269.1342332468</v>
      </c>
      <c r="F88">
        <f>kalimantan!Z58</f>
        <v>5070207.1499823183</v>
      </c>
      <c r="G88">
        <f>kalimantan!AA58</f>
        <v>6.0063627590383264E-2</v>
      </c>
      <c r="H88">
        <f>kalimantan!AB58</f>
        <v>0</v>
      </c>
      <c r="I88">
        <f>kalimantan!AC58</f>
        <v>0</v>
      </c>
      <c r="J88">
        <f>kalimantan!AD58</f>
        <v>0</v>
      </c>
      <c r="K88">
        <f>kalimantan!AE58</f>
        <v>0</v>
      </c>
      <c r="L88">
        <f>kalimantan!AF58</f>
        <v>572268.29180294392</v>
      </c>
      <c r="M88">
        <f>kalimantan!AG58</f>
        <v>0</v>
      </c>
      <c r="N88">
        <f>kalimantan!AH58</f>
        <v>0</v>
      </c>
      <c r="O88">
        <f>kalimantan!AI58</f>
        <v>0</v>
      </c>
      <c r="P88">
        <f>kalimantan!AJ58</f>
        <v>23086829.040659666</v>
      </c>
    </row>
    <row r="89" spans="1:16" x14ac:dyDescent="0.25">
      <c r="A89" t="str">
        <f>kalimantan!U59</f>
        <v>KALIMANTAN</v>
      </c>
      <c r="B89">
        <f>kalimantan!V59</f>
        <v>2026</v>
      </c>
      <c r="C89">
        <f>kalimantan!W59</f>
        <v>13042182.226044385</v>
      </c>
      <c r="D89">
        <f>kalimantan!X59</f>
        <v>2587417.8138089059</v>
      </c>
      <c r="E89">
        <f>kalimantan!Y59</f>
        <v>2016347.805464963</v>
      </c>
      <c r="F89">
        <f>kalimantan!Z59</f>
        <v>5070207.1499823183</v>
      </c>
      <c r="G89">
        <f>kalimantan!AA59</f>
        <v>3.3326070050252259</v>
      </c>
      <c r="H89">
        <f>kalimantan!AB59</f>
        <v>0</v>
      </c>
      <c r="I89">
        <f>kalimantan!AC59</f>
        <v>0</v>
      </c>
      <c r="J89">
        <f>kalimantan!AD59</f>
        <v>0</v>
      </c>
      <c r="K89">
        <f>kalimantan!AE59</f>
        <v>0</v>
      </c>
      <c r="L89">
        <f>kalimantan!AF59</f>
        <v>574244.26167187316</v>
      </c>
      <c r="M89">
        <f>kalimantan!AG59</f>
        <v>0</v>
      </c>
      <c r="N89">
        <f>kalimantan!AH59</f>
        <v>0</v>
      </c>
      <c r="O89">
        <f>kalimantan!AI59</f>
        <v>0</v>
      </c>
      <c r="P89">
        <f>kalimantan!AJ59</f>
        <v>23290402.589579452</v>
      </c>
    </row>
    <row r="90" spans="1:16" x14ac:dyDescent="0.25">
      <c r="A90" t="str">
        <f>kalimantan!U60</f>
        <v>KALIMANTAN</v>
      </c>
      <c r="B90">
        <f>kalimantan!V60</f>
        <v>2027</v>
      </c>
      <c r="C90">
        <f>kalimantan!W60</f>
        <v>13042182.226044385</v>
      </c>
      <c r="D90">
        <f>kalimantan!X60</f>
        <v>2587417.8138089059</v>
      </c>
      <c r="E90">
        <f>kalimantan!Y60</f>
        <v>2152843.8656375562</v>
      </c>
      <c r="F90">
        <f>kalimantan!Z60</f>
        <v>5103123.2160355942</v>
      </c>
      <c r="G90">
        <f>kalimantan!AA60</f>
        <v>3.3326070050252259</v>
      </c>
      <c r="H90">
        <f>kalimantan!AB60</f>
        <v>0</v>
      </c>
      <c r="I90">
        <f>kalimantan!AC60</f>
        <v>0</v>
      </c>
      <c r="J90">
        <f>kalimantan!AD60</f>
        <v>0</v>
      </c>
      <c r="K90">
        <f>kalimantan!AE60</f>
        <v>0</v>
      </c>
      <c r="L90">
        <f>kalimantan!AF60</f>
        <v>574244.26167187316</v>
      </c>
      <c r="M90">
        <f>kalimantan!AG60</f>
        <v>0</v>
      </c>
      <c r="N90">
        <f>kalimantan!AH60</f>
        <v>0</v>
      </c>
      <c r="O90">
        <f>kalimantan!AI60</f>
        <v>0</v>
      </c>
      <c r="P90">
        <f>kalimantan!AJ60</f>
        <v>23459814.715805318</v>
      </c>
    </row>
    <row r="91" spans="1:16" x14ac:dyDescent="0.25">
      <c r="A91" t="str">
        <f>kalimantan!U61</f>
        <v>KALIMANTAN</v>
      </c>
      <c r="B91">
        <f>kalimantan!V61</f>
        <v>2028</v>
      </c>
      <c r="C91">
        <f>kalimantan!W61</f>
        <v>13042182.226044385</v>
      </c>
      <c r="D91">
        <f>kalimantan!X61</f>
        <v>2587417.8138089059</v>
      </c>
      <c r="E91">
        <f>kalimantan!Y61</f>
        <v>2357636.4452304984</v>
      </c>
      <c r="F91">
        <f>kalimantan!Z61</f>
        <v>5356907.492171065</v>
      </c>
      <c r="G91">
        <f>kalimantan!AA61</f>
        <v>3.3326070050252259</v>
      </c>
      <c r="H91">
        <f>kalimantan!AB61</f>
        <v>0</v>
      </c>
      <c r="I91">
        <f>kalimantan!AC61</f>
        <v>0</v>
      </c>
      <c r="J91">
        <f>kalimantan!AD61</f>
        <v>0</v>
      </c>
      <c r="K91">
        <f>kalimantan!AE61</f>
        <v>0</v>
      </c>
      <c r="L91">
        <f>kalimantan!AF61</f>
        <v>574244.26167187316</v>
      </c>
      <c r="M91">
        <f>kalimantan!AG61</f>
        <v>0</v>
      </c>
      <c r="N91">
        <f>kalimantan!AH61</f>
        <v>0</v>
      </c>
      <c r="O91">
        <f>kalimantan!AI61</f>
        <v>0</v>
      </c>
      <c r="P91">
        <f>kalimantan!AJ61</f>
        <v>23918391.571533732</v>
      </c>
    </row>
    <row r="92" spans="1:16" x14ac:dyDescent="0.25">
      <c r="A92" t="str">
        <f>kalimantan!U62</f>
        <v>KALIMANTAN</v>
      </c>
      <c r="B92">
        <f>kalimantan!V62</f>
        <v>2029</v>
      </c>
      <c r="C92">
        <f>kalimantan!W62</f>
        <v>13042182.226044385</v>
      </c>
      <c r="D92">
        <f>kalimantan!X62</f>
        <v>2587417.8138089059</v>
      </c>
      <c r="E92">
        <f>kalimantan!Y62</f>
        <v>2575760.8856520387</v>
      </c>
      <c r="F92">
        <f>kalimantan!Z62</f>
        <v>5624862.0165764466</v>
      </c>
      <c r="G92">
        <f>kalimantan!AA62</f>
        <v>3.3326070050252259</v>
      </c>
      <c r="H92">
        <f>kalimantan!AB62</f>
        <v>0</v>
      </c>
      <c r="I92">
        <f>kalimantan!AC62</f>
        <v>0</v>
      </c>
      <c r="J92">
        <f>kalimantan!AD62</f>
        <v>0</v>
      </c>
      <c r="K92">
        <f>kalimantan!AE62</f>
        <v>0</v>
      </c>
      <c r="L92">
        <f>kalimantan!AF62</f>
        <v>574244.26167187316</v>
      </c>
      <c r="M92">
        <f>kalimantan!AG62</f>
        <v>0</v>
      </c>
      <c r="N92">
        <f>kalimantan!AH62</f>
        <v>0</v>
      </c>
      <c r="O92">
        <f>kalimantan!AI62</f>
        <v>0</v>
      </c>
      <c r="P92">
        <f>kalimantan!AJ62</f>
        <v>24404470.536360655</v>
      </c>
    </row>
    <row r="93" spans="1:16" x14ac:dyDescent="0.25">
      <c r="A93" t="str">
        <f>kalimantan!U63</f>
        <v>KALIMANTAN</v>
      </c>
      <c r="B93">
        <f>kalimantan!V63</f>
        <v>2030</v>
      </c>
      <c r="C93">
        <f>kalimantan!W63</f>
        <v>13042182.226044385</v>
      </c>
      <c r="D93">
        <f>kalimantan!X63</f>
        <v>2587417.8138089059</v>
      </c>
      <c r="E93">
        <f>kalimantan!Y63</f>
        <v>2801081.0563177727</v>
      </c>
      <c r="F93">
        <f>kalimantan!Z63</f>
        <v>5884404.4154286571</v>
      </c>
      <c r="G93">
        <f>kalimantan!AA63</f>
        <v>3.3326070050252259</v>
      </c>
      <c r="H93">
        <f>kalimantan!AB63</f>
        <v>0</v>
      </c>
      <c r="I93">
        <f>kalimantan!AC63</f>
        <v>0</v>
      </c>
      <c r="J93">
        <f>kalimantan!AD63</f>
        <v>0</v>
      </c>
      <c r="K93">
        <f>kalimantan!AE63</f>
        <v>0</v>
      </c>
      <c r="L93">
        <f>kalimantan!AF63</f>
        <v>574244.26167187316</v>
      </c>
      <c r="M93">
        <f>kalimantan!AG63</f>
        <v>0</v>
      </c>
      <c r="N93">
        <f>kalimantan!AH63</f>
        <v>0</v>
      </c>
      <c r="O93">
        <f>kalimantan!AI63</f>
        <v>0</v>
      </c>
      <c r="P93">
        <f>kalimantan!AJ63</f>
        <v>24889333.105878599</v>
      </c>
    </row>
    <row r="94" spans="1:16" x14ac:dyDescent="0.25">
      <c r="A94" t="str">
        <f>kalimantan!U64</f>
        <v>KALIMANTAN</v>
      </c>
      <c r="B94">
        <f>kalimantan!V64</f>
        <v>2031</v>
      </c>
      <c r="C94">
        <f>kalimantan!W64</f>
        <v>13086458.956027811</v>
      </c>
      <c r="D94">
        <f>kalimantan!X64</f>
        <v>2587417.8138089059</v>
      </c>
      <c r="E94">
        <f>kalimantan!Y64</f>
        <v>3062164.9855665918</v>
      </c>
      <c r="F94">
        <f>kalimantan!Z64</f>
        <v>6196025.5223784773</v>
      </c>
      <c r="G94">
        <f>kalimantan!AA64</f>
        <v>3.3326070050252259</v>
      </c>
      <c r="H94">
        <f>kalimantan!AB64</f>
        <v>0</v>
      </c>
      <c r="I94">
        <f>kalimantan!AC64</f>
        <v>0</v>
      </c>
      <c r="J94">
        <f>kalimantan!AD64</f>
        <v>0</v>
      </c>
      <c r="K94">
        <f>kalimantan!AE64</f>
        <v>0</v>
      </c>
      <c r="L94">
        <f>kalimantan!AF64</f>
        <v>574244.26167187316</v>
      </c>
      <c r="M94">
        <f>kalimantan!AG64</f>
        <v>0</v>
      </c>
      <c r="N94">
        <f>kalimantan!AH64</f>
        <v>0</v>
      </c>
      <c r="O94">
        <f>kalimantan!AI64</f>
        <v>0</v>
      </c>
      <c r="P94">
        <f>kalimantan!AJ64</f>
        <v>25506314.872060668</v>
      </c>
    </row>
    <row r="95" spans="1:16" x14ac:dyDescent="0.25">
      <c r="A95" t="str">
        <f>kalimantan!U65</f>
        <v>KALIMANTAN</v>
      </c>
      <c r="B95">
        <f>kalimantan!V65</f>
        <v>2032</v>
      </c>
      <c r="C95">
        <f>kalimantan!W65</f>
        <v>13531420.859563313</v>
      </c>
      <c r="D95">
        <f>kalimantan!X65</f>
        <v>2587417.8138089059</v>
      </c>
      <c r="E95">
        <f>kalimantan!Y65</f>
        <v>3343495.2142530843</v>
      </c>
      <c r="F95">
        <f>kalimantan!Z65</f>
        <v>6277624.232510861</v>
      </c>
      <c r="G95">
        <f>kalimantan!AA65</f>
        <v>3.3326070050252259</v>
      </c>
      <c r="H95">
        <f>kalimantan!AB65</f>
        <v>0</v>
      </c>
      <c r="I95">
        <f>kalimantan!AC65</f>
        <v>0</v>
      </c>
      <c r="J95">
        <f>kalimantan!AD65</f>
        <v>0</v>
      </c>
      <c r="K95">
        <f>kalimantan!AE65</f>
        <v>0</v>
      </c>
      <c r="L95">
        <f>kalimantan!AF65</f>
        <v>574244.26167187316</v>
      </c>
      <c r="M95">
        <f>kalimantan!AG65</f>
        <v>0</v>
      </c>
      <c r="N95">
        <f>kalimantan!AH65</f>
        <v>0</v>
      </c>
      <c r="O95">
        <f>kalimantan!AI65</f>
        <v>0</v>
      </c>
      <c r="P95">
        <f>kalimantan!AJ65</f>
        <v>26314205.714415044</v>
      </c>
    </row>
    <row r="96" spans="1:16" x14ac:dyDescent="0.25">
      <c r="A96" t="str">
        <f>kalimantan!U66</f>
        <v>KALIMANTAN</v>
      </c>
      <c r="B96">
        <f>kalimantan!V66</f>
        <v>2033</v>
      </c>
      <c r="C96">
        <f>kalimantan!W66</f>
        <v>13939884.409284504</v>
      </c>
      <c r="D96">
        <f>kalimantan!X66</f>
        <v>2587417.8138089059</v>
      </c>
      <c r="E96">
        <f>kalimantan!Y66</f>
        <v>3621114.757189509</v>
      </c>
      <c r="F96">
        <f>kalimantan!Z66</f>
        <v>6332276.515423472</v>
      </c>
      <c r="G96">
        <f>kalimantan!AA66</f>
        <v>3.3326070050252259</v>
      </c>
      <c r="H96">
        <f>kalimantan!AB66</f>
        <v>0</v>
      </c>
      <c r="I96">
        <f>kalimantan!AC66</f>
        <v>0</v>
      </c>
      <c r="J96">
        <f>kalimantan!AD66</f>
        <v>0</v>
      </c>
      <c r="K96">
        <f>kalimantan!AE66</f>
        <v>0</v>
      </c>
      <c r="L96">
        <f>kalimantan!AF66</f>
        <v>574244.26167187316</v>
      </c>
      <c r="M96">
        <f>kalimantan!AG66</f>
        <v>0</v>
      </c>
      <c r="N96">
        <f>kalimantan!AH66</f>
        <v>0</v>
      </c>
      <c r="O96">
        <f>kalimantan!AI66</f>
        <v>0</v>
      </c>
      <c r="P96">
        <f>kalimantan!AJ66</f>
        <v>27054941.08998527</v>
      </c>
    </row>
    <row r="97" spans="1:16" x14ac:dyDescent="0.25">
      <c r="A97" t="str">
        <f>kalimantan!U67</f>
        <v>KALIMANTAN</v>
      </c>
      <c r="B97">
        <f>kalimantan!V67</f>
        <v>2034</v>
      </c>
      <c r="C97">
        <f>kalimantan!W67</f>
        <v>14447821.646252498</v>
      </c>
      <c r="D97">
        <f>kalimantan!X67</f>
        <v>2587417.8138089059</v>
      </c>
      <c r="E97">
        <f>kalimantan!Y67</f>
        <v>3946235.0510355886</v>
      </c>
      <c r="F97">
        <f>kalimantan!Z67</f>
        <v>6421268.2761339219</v>
      </c>
      <c r="G97">
        <f>kalimantan!AA67</f>
        <v>3.3326070050252259</v>
      </c>
      <c r="H97">
        <f>kalimantan!AB67</f>
        <v>0</v>
      </c>
      <c r="I97">
        <f>kalimantan!AC67</f>
        <v>0</v>
      </c>
      <c r="J97">
        <f>kalimantan!AD67</f>
        <v>0</v>
      </c>
      <c r="K97">
        <f>kalimantan!AE67</f>
        <v>0</v>
      </c>
      <c r="L97">
        <f>kalimantan!AF67</f>
        <v>574244.26167187316</v>
      </c>
      <c r="M97">
        <f>kalimantan!AG67</f>
        <v>0</v>
      </c>
      <c r="N97">
        <f>kalimantan!AH67</f>
        <v>0</v>
      </c>
      <c r="O97">
        <f>kalimantan!AI67</f>
        <v>0</v>
      </c>
      <c r="P97">
        <f>kalimantan!AJ67</f>
        <v>27976990.381509792</v>
      </c>
    </row>
    <row r="98" spans="1:16" x14ac:dyDescent="0.25">
      <c r="A98" t="str">
        <f>kalimantan!U68</f>
        <v>KALIMANTAN</v>
      </c>
      <c r="B98">
        <f>kalimantan!V68</f>
        <v>2035</v>
      </c>
      <c r="C98">
        <f>kalimantan!W68</f>
        <v>14932603.767673189</v>
      </c>
      <c r="D98">
        <f>kalimantan!X68</f>
        <v>2587417.8138089059</v>
      </c>
      <c r="E98">
        <f>kalimantan!Y68</f>
        <v>4273808.8507251488</v>
      </c>
      <c r="F98">
        <f>kalimantan!Z68</f>
        <v>6488136.6461960031</v>
      </c>
      <c r="G98">
        <f>kalimantan!AA68</f>
        <v>3.3326070050252259</v>
      </c>
      <c r="H98">
        <f>kalimantan!AB68</f>
        <v>0</v>
      </c>
      <c r="I98">
        <f>kalimantan!AC68</f>
        <v>0</v>
      </c>
      <c r="J98">
        <f>kalimantan!AD68</f>
        <v>0</v>
      </c>
      <c r="K98">
        <f>kalimantan!AE68</f>
        <v>0</v>
      </c>
      <c r="L98">
        <f>kalimantan!AF68</f>
        <v>574244.26167187316</v>
      </c>
      <c r="M98">
        <f>kalimantan!AG68</f>
        <v>0</v>
      </c>
      <c r="N98">
        <f>kalimantan!AH68</f>
        <v>0</v>
      </c>
      <c r="O98">
        <f>kalimantan!AI68</f>
        <v>0</v>
      </c>
      <c r="P98">
        <f>kalimantan!AJ68</f>
        <v>28856214.672682125</v>
      </c>
    </row>
    <row r="99" spans="1:16" x14ac:dyDescent="0.25">
      <c r="A99" t="str">
        <f>kalimantan!U69</f>
        <v>KALIMANTAN</v>
      </c>
      <c r="B99">
        <f>kalimantan!V69</f>
        <v>2036</v>
      </c>
      <c r="C99">
        <f>kalimantan!W69</f>
        <v>15492363.701849962</v>
      </c>
      <c r="D99">
        <f>kalimantan!X69</f>
        <v>2587417.8138089059</v>
      </c>
      <c r="E99">
        <f>kalimantan!Y69</f>
        <v>4642844.7292775428</v>
      </c>
      <c r="F99">
        <f>kalimantan!Z69</f>
        <v>6574970.7260884251</v>
      </c>
      <c r="G99">
        <f>kalimantan!AA69</f>
        <v>3.3326070050252259</v>
      </c>
      <c r="H99">
        <f>kalimantan!AB69</f>
        <v>0</v>
      </c>
      <c r="I99">
        <f>kalimantan!AC69</f>
        <v>0</v>
      </c>
      <c r="J99">
        <f>kalimantan!AD69</f>
        <v>0</v>
      </c>
      <c r="K99">
        <f>kalimantan!AE69</f>
        <v>0</v>
      </c>
      <c r="L99">
        <f>kalimantan!AF69</f>
        <v>574244.26167187316</v>
      </c>
      <c r="M99">
        <f>kalimantan!AG69</f>
        <v>0</v>
      </c>
      <c r="N99">
        <f>kalimantan!AH69</f>
        <v>0</v>
      </c>
      <c r="O99">
        <f>kalimantan!AI69</f>
        <v>0</v>
      </c>
      <c r="P99">
        <f>kalimantan!AJ69</f>
        <v>29871844.565303713</v>
      </c>
    </row>
    <row r="100" spans="1:16" x14ac:dyDescent="0.25">
      <c r="A100" t="str">
        <f>kalimantan!U70</f>
        <v>KALIMANTAN</v>
      </c>
      <c r="B100">
        <f>kalimantan!V70</f>
        <v>2037</v>
      </c>
      <c r="C100">
        <f>kalimantan!W70</f>
        <v>16051759.524757974</v>
      </c>
      <c r="D100">
        <f>kalimantan!X70</f>
        <v>2587417.8138089087</v>
      </c>
      <c r="E100">
        <f>kalimantan!Y70</f>
        <v>5024781.4506819956</v>
      </c>
      <c r="F100">
        <f>kalimantan!Z70</f>
        <v>6648005.4164140681</v>
      </c>
      <c r="G100">
        <f>kalimantan!AA70</f>
        <v>3.3326070050252259</v>
      </c>
      <c r="H100">
        <f>kalimantan!AB70</f>
        <v>0</v>
      </c>
      <c r="I100">
        <f>kalimantan!AC70</f>
        <v>0</v>
      </c>
      <c r="J100">
        <f>kalimantan!AD70</f>
        <v>0</v>
      </c>
      <c r="K100">
        <f>kalimantan!AE70</f>
        <v>0</v>
      </c>
      <c r="L100">
        <f>kalimantan!AF70</f>
        <v>574244.26167187316</v>
      </c>
      <c r="M100">
        <f>kalimantan!AG70</f>
        <v>0</v>
      </c>
      <c r="N100">
        <f>kalimantan!AH70</f>
        <v>0</v>
      </c>
      <c r="O100">
        <f>kalimantan!AI70</f>
        <v>0</v>
      </c>
      <c r="P100">
        <f>kalimantan!AJ70</f>
        <v>30886211.799941827</v>
      </c>
    </row>
    <row r="101" spans="1:16" x14ac:dyDescent="0.25">
      <c r="A101" t="str">
        <f>kalimantan!U71</f>
        <v>KALIMANTAN</v>
      </c>
      <c r="B101">
        <f>kalimantan!V71</f>
        <v>2038</v>
      </c>
      <c r="C101">
        <f>kalimantan!W71</f>
        <v>16696066.827975756</v>
      </c>
      <c r="D101">
        <f>kalimantan!X71</f>
        <v>2587417.8138089087</v>
      </c>
      <c r="E101">
        <f>kalimantan!Y71</f>
        <v>5455838.9043334508</v>
      </c>
      <c r="F101">
        <f>kalimantan!Z71</f>
        <v>6741385.011786825</v>
      </c>
      <c r="G101">
        <f>kalimantan!AA71</f>
        <v>3.3326070050252259</v>
      </c>
      <c r="H101">
        <f>kalimantan!AB71</f>
        <v>0</v>
      </c>
      <c r="I101">
        <f>kalimantan!AC71</f>
        <v>0</v>
      </c>
      <c r="J101">
        <f>kalimantan!AD71</f>
        <v>0</v>
      </c>
      <c r="K101">
        <f>kalimantan!AE71</f>
        <v>0</v>
      </c>
      <c r="L101">
        <f>kalimantan!AF71</f>
        <v>574244.26167187316</v>
      </c>
      <c r="M101">
        <f>kalimantan!AG71</f>
        <v>0</v>
      </c>
      <c r="N101">
        <f>kalimantan!AH71</f>
        <v>0</v>
      </c>
      <c r="O101">
        <f>kalimantan!AI71</f>
        <v>0</v>
      </c>
      <c r="P101">
        <f>kalimantan!AJ71</f>
        <v>32054956.15218382</v>
      </c>
    </row>
    <row r="102" spans="1:16" x14ac:dyDescent="0.25">
      <c r="A102" t="str">
        <f>sulawesi!U52</f>
        <v>SULAWESI</v>
      </c>
      <c r="B102">
        <f>sulawesi!V52</f>
        <v>2019</v>
      </c>
      <c r="C102">
        <f>sulawesi!W52</f>
        <v>12765652.192199172</v>
      </c>
      <c r="D102">
        <f>sulawesi!X52</f>
        <v>540991.08454712038</v>
      </c>
      <c r="E102">
        <f>sulawesi!Y52</f>
        <v>334097.5704590769</v>
      </c>
      <c r="F102">
        <f>sulawesi!Z52</f>
        <v>2633866.5900628269</v>
      </c>
      <c r="G102">
        <f>sulawesi!AA52</f>
        <v>32.653344738461534</v>
      </c>
      <c r="H102">
        <f>sulawesi!AB52</f>
        <v>0</v>
      </c>
      <c r="I102">
        <f>sulawesi!AC52</f>
        <v>0</v>
      </c>
      <c r="J102">
        <f>sulawesi!AD52</f>
        <v>0</v>
      </c>
      <c r="K102">
        <f>sulawesi!AE52</f>
        <v>0</v>
      </c>
      <c r="L102">
        <f>sulawesi!AF52</f>
        <v>1629.4734930818859</v>
      </c>
      <c r="M102">
        <f>sulawesi!AG52</f>
        <v>0</v>
      </c>
      <c r="N102">
        <f>sulawesi!AH52</f>
        <v>0</v>
      </c>
      <c r="O102">
        <f>sulawesi!AI52</f>
        <v>0</v>
      </c>
      <c r="P102">
        <f>sulawesi!AJ52</f>
        <v>16276269.564106019</v>
      </c>
    </row>
    <row r="103" spans="1:16" x14ac:dyDescent="0.25">
      <c r="A103" t="str">
        <f>sulawesi!U53</f>
        <v>SULAWESI</v>
      </c>
      <c r="B103">
        <f>sulawesi!V53</f>
        <v>2020</v>
      </c>
      <c r="C103">
        <f>sulawesi!W53</f>
        <v>13048488.743657891</v>
      </c>
      <c r="D103">
        <f>sulawesi!X53</f>
        <v>540991.08267336362</v>
      </c>
      <c r="E103">
        <f>sulawesi!Y53</f>
        <v>1141770.9882066753</v>
      </c>
      <c r="F103">
        <f>sulawesi!Z53</f>
        <v>2633866.5900628269</v>
      </c>
      <c r="G103">
        <f>sulawesi!AA53</f>
        <v>32.653344738461534</v>
      </c>
      <c r="H103">
        <f>sulawesi!AB53</f>
        <v>0</v>
      </c>
      <c r="I103">
        <f>sulawesi!AC53</f>
        <v>0</v>
      </c>
      <c r="J103">
        <f>sulawesi!AD53</f>
        <v>0</v>
      </c>
      <c r="K103">
        <f>sulawesi!AE53</f>
        <v>0</v>
      </c>
      <c r="L103">
        <f>sulawesi!AF53</f>
        <v>1629.4734930818859</v>
      </c>
      <c r="M103">
        <f>sulawesi!AG53</f>
        <v>0</v>
      </c>
      <c r="N103">
        <f>sulawesi!AH53</f>
        <v>0</v>
      </c>
      <c r="O103">
        <f>sulawesi!AI53</f>
        <v>0</v>
      </c>
      <c r="P103">
        <f>sulawesi!AJ53</f>
        <v>17366779.531438574</v>
      </c>
    </row>
    <row r="104" spans="1:16" x14ac:dyDescent="0.25">
      <c r="A104" t="str">
        <f>sulawesi!U54</f>
        <v>SULAWESI</v>
      </c>
      <c r="B104">
        <f>sulawesi!V54</f>
        <v>2021</v>
      </c>
      <c r="C104">
        <f>sulawesi!W54</f>
        <v>13340193.420056028</v>
      </c>
      <c r="D104">
        <f>sulawesi!X54</f>
        <v>540991.08079960698</v>
      </c>
      <c r="E104">
        <f>sulawesi!Y54</f>
        <v>2013640.5422886752</v>
      </c>
      <c r="F104">
        <f>sulawesi!Z54</f>
        <v>2633866.5900628269</v>
      </c>
      <c r="G104">
        <f>sulawesi!AA54</f>
        <v>32.653344738461534</v>
      </c>
      <c r="H104">
        <f>sulawesi!AB54</f>
        <v>0</v>
      </c>
      <c r="I104">
        <f>sulawesi!AC54</f>
        <v>0</v>
      </c>
      <c r="J104">
        <f>sulawesi!AD54</f>
        <v>0</v>
      </c>
      <c r="K104">
        <f>sulawesi!AE54</f>
        <v>0</v>
      </c>
      <c r="L104">
        <f>sulawesi!AF54</f>
        <v>1629.4734930818859</v>
      </c>
      <c r="M104">
        <f>sulawesi!AG54</f>
        <v>0</v>
      </c>
      <c r="N104">
        <f>sulawesi!AH54</f>
        <v>0</v>
      </c>
      <c r="O104">
        <f>sulawesi!AI54</f>
        <v>0</v>
      </c>
      <c r="P104">
        <f>sulawesi!AJ54</f>
        <v>18530353.760044958</v>
      </c>
    </row>
    <row r="105" spans="1:16" x14ac:dyDescent="0.25">
      <c r="A105" t="str">
        <f>sulawesi!U55</f>
        <v>SULAWESI</v>
      </c>
      <c r="B105">
        <f>sulawesi!V55</f>
        <v>2022</v>
      </c>
      <c r="C105">
        <f>sulawesi!W55</f>
        <v>13721234.724997621</v>
      </c>
      <c r="D105">
        <f>sulawesi!X55</f>
        <v>540991.08079960698</v>
      </c>
      <c r="E105">
        <f>sulawesi!Y55</f>
        <v>2874132.9544116319</v>
      </c>
      <c r="F105">
        <f>sulawesi!Z55</f>
        <v>2633866.5900628269</v>
      </c>
      <c r="G105">
        <f>sulawesi!AA55</f>
        <v>32.653344738461534</v>
      </c>
      <c r="H105">
        <f>sulawesi!AB55</f>
        <v>0</v>
      </c>
      <c r="I105">
        <f>sulawesi!AC55</f>
        <v>0</v>
      </c>
      <c r="J105">
        <f>sulawesi!AD55</f>
        <v>0</v>
      </c>
      <c r="K105">
        <f>sulawesi!AE55</f>
        <v>0</v>
      </c>
      <c r="L105">
        <f>sulawesi!AF55</f>
        <v>1629.4734930818859</v>
      </c>
      <c r="M105">
        <f>sulawesi!AG55</f>
        <v>0</v>
      </c>
      <c r="N105">
        <f>sulawesi!AH55</f>
        <v>0</v>
      </c>
      <c r="O105">
        <f>sulawesi!AI55</f>
        <v>0</v>
      </c>
      <c r="P105">
        <f>sulawesi!AJ55</f>
        <v>19771887.477109507</v>
      </c>
    </row>
    <row r="106" spans="1:16" x14ac:dyDescent="0.25">
      <c r="A106" t="str">
        <f>sulawesi!U56</f>
        <v>SULAWESI</v>
      </c>
      <c r="B106">
        <f>sulawesi!V56</f>
        <v>2023</v>
      </c>
      <c r="C106">
        <f>sulawesi!W56</f>
        <v>13721234.724997621</v>
      </c>
      <c r="D106">
        <f>sulawesi!X56</f>
        <v>540991.08079960698</v>
      </c>
      <c r="E106">
        <f>sulawesi!Y56</f>
        <v>2957279.8627271736</v>
      </c>
      <c r="F106">
        <f>sulawesi!Z56</f>
        <v>3615840.8164690444</v>
      </c>
      <c r="G106">
        <f>sulawesi!AA56</f>
        <v>32.653344738461534</v>
      </c>
      <c r="H106">
        <f>sulawesi!AB56</f>
        <v>0</v>
      </c>
      <c r="I106">
        <f>sulawesi!AC56</f>
        <v>0</v>
      </c>
      <c r="J106">
        <f>sulawesi!AD56</f>
        <v>0</v>
      </c>
      <c r="K106">
        <f>sulawesi!AE56</f>
        <v>0</v>
      </c>
      <c r="L106">
        <f>sulawesi!AF56</f>
        <v>1629.4734930818859</v>
      </c>
      <c r="M106">
        <f>sulawesi!AG56</f>
        <v>0</v>
      </c>
      <c r="N106">
        <f>sulawesi!AH56</f>
        <v>0</v>
      </c>
      <c r="O106">
        <f>sulawesi!AI56</f>
        <v>0</v>
      </c>
      <c r="P106">
        <f>sulawesi!AJ56</f>
        <v>20837008.611831266</v>
      </c>
    </row>
    <row r="107" spans="1:16" x14ac:dyDescent="0.25">
      <c r="A107" t="str">
        <f>sulawesi!U57</f>
        <v>SULAWESI</v>
      </c>
      <c r="B107">
        <f>sulawesi!V57</f>
        <v>2024</v>
      </c>
      <c r="C107">
        <f>sulawesi!W57</f>
        <v>13721234.724997621</v>
      </c>
      <c r="D107">
        <f>sulawesi!X57</f>
        <v>540991.08079960698</v>
      </c>
      <c r="E107">
        <f>sulawesi!Y57</f>
        <v>3483076.0713660293</v>
      </c>
      <c r="F107">
        <f>sulawesi!Z57</f>
        <v>3845051.0087396908</v>
      </c>
      <c r="G107">
        <f>sulawesi!AA57</f>
        <v>32.653344738461534</v>
      </c>
      <c r="H107">
        <f>sulawesi!AB57</f>
        <v>0</v>
      </c>
      <c r="I107">
        <f>sulawesi!AC57</f>
        <v>0</v>
      </c>
      <c r="J107">
        <f>sulawesi!AD57</f>
        <v>0</v>
      </c>
      <c r="K107">
        <f>sulawesi!AE57</f>
        <v>0</v>
      </c>
      <c r="L107">
        <f>sulawesi!AF57</f>
        <v>1629.4734930818859</v>
      </c>
      <c r="M107">
        <f>sulawesi!AG57</f>
        <v>0</v>
      </c>
      <c r="N107">
        <f>sulawesi!AH57</f>
        <v>0</v>
      </c>
      <c r="O107">
        <f>sulawesi!AI57</f>
        <v>0</v>
      </c>
      <c r="P107">
        <f>sulawesi!AJ57</f>
        <v>21592015.012740768</v>
      </c>
    </row>
    <row r="108" spans="1:16" x14ac:dyDescent="0.25">
      <c r="A108" t="str">
        <f>sulawesi!U58</f>
        <v>SULAWESI</v>
      </c>
      <c r="B108">
        <f>sulawesi!V58</f>
        <v>2025</v>
      </c>
      <c r="C108">
        <f>sulawesi!W58</f>
        <v>13721234.724997621</v>
      </c>
      <c r="D108">
        <f>sulawesi!X58</f>
        <v>540991.08079960698</v>
      </c>
      <c r="E108">
        <f>sulawesi!Y58</f>
        <v>4083379.3285559071</v>
      </c>
      <c r="F108">
        <f>sulawesi!Z58</f>
        <v>4109568.1470222352</v>
      </c>
      <c r="G108">
        <f>sulawesi!AA58</f>
        <v>32.653344738461534</v>
      </c>
      <c r="H108">
        <f>sulawesi!AB58</f>
        <v>0</v>
      </c>
      <c r="I108">
        <f>sulawesi!AC58</f>
        <v>0</v>
      </c>
      <c r="J108">
        <f>sulawesi!AD58</f>
        <v>0</v>
      </c>
      <c r="K108">
        <f>sulawesi!AE58</f>
        <v>0</v>
      </c>
      <c r="L108">
        <f>sulawesi!AF58</f>
        <v>1629.4734930818859</v>
      </c>
      <c r="M108">
        <f>sulawesi!AG58</f>
        <v>0</v>
      </c>
      <c r="N108">
        <f>sulawesi!AH58</f>
        <v>0</v>
      </c>
      <c r="O108">
        <f>sulawesi!AI58</f>
        <v>0</v>
      </c>
      <c r="P108">
        <f>sulawesi!AJ58</f>
        <v>22456835.408213191</v>
      </c>
    </row>
    <row r="109" spans="1:16" x14ac:dyDescent="0.25">
      <c r="A109" t="str">
        <f>sulawesi!U59</f>
        <v>SULAWESI</v>
      </c>
      <c r="B109">
        <f>sulawesi!V59</f>
        <v>2026</v>
      </c>
      <c r="C109">
        <f>sulawesi!W59</f>
        <v>13721234.724997621</v>
      </c>
      <c r="D109">
        <f>sulawesi!X59</f>
        <v>540991.08079960698</v>
      </c>
      <c r="E109">
        <f>sulawesi!Y59</f>
        <v>4765713.0449915035</v>
      </c>
      <c r="F109">
        <f>sulawesi!Z59</f>
        <v>4299819.1436581286</v>
      </c>
      <c r="G109">
        <f>sulawesi!AA59</f>
        <v>32.653344738461534</v>
      </c>
      <c r="H109">
        <f>sulawesi!AB59</f>
        <v>0</v>
      </c>
      <c r="I109">
        <f>sulawesi!AC59</f>
        <v>0</v>
      </c>
      <c r="J109">
        <f>sulawesi!AD59</f>
        <v>0</v>
      </c>
      <c r="K109">
        <f>sulawesi!AE59</f>
        <v>0</v>
      </c>
      <c r="L109">
        <f>sulawesi!AF59</f>
        <v>1629.4734930818859</v>
      </c>
      <c r="M109">
        <f>sulawesi!AG59</f>
        <v>0</v>
      </c>
      <c r="N109">
        <f>sulawesi!AH59</f>
        <v>0</v>
      </c>
      <c r="O109">
        <f>sulawesi!AI59</f>
        <v>0</v>
      </c>
      <c r="P109">
        <f>sulawesi!AJ59</f>
        <v>23329420.121284679</v>
      </c>
    </row>
    <row r="110" spans="1:16" x14ac:dyDescent="0.25">
      <c r="A110" t="str">
        <f>sulawesi!U60</f>
        <v>SULAWESI</v>
      </c>
      <c r="B110">
        <f>sulawesi!V60</f>
        <v>2027</v>
      </c>
      <c r="C110">
        <f>sulawesi!W60</f>
        <v>13721234.724997621</v>
      </c>
      <c r="D110">
        <f>sulawesi!X60</f>
        <v>540991.08079960698</v>
      </c>
      <c r="E110">
        <f>sulawesi!Y60</f>
        <v>5620841.4651455358</v>
      </c>
      <c r="F110">
        <f>sulawesi!Z60</f>
        <v>4548934.3383711139</v>
      </c>
      <c r="G110">
        <f>sulawesi!AA60</f>
        <v>32.653344738461534</v>
      </c>
      <c r="H110">
        <f>sulawesi!AB60</f>
        <v>0</v>
      </c>
      <c r="I110">
        <f>sulawesi!AC60</f>
        <v>0</v>
      </c>
      <c r="J110">
        <f>sulawesi!AD60</f>
        <v>0</v>
      </c>
      <c r="K110">
        <f>sulawesi!AE60</f>
        <v>0</v>
      </c>
      <c r="L110">
        <f>sulawesi!AF60</f>
        <v>1629.4734930818859</v>
      </c>
      <c r="M110">
        <f>sulawesi!AG60</f>
        <v>0</v>
      </c>
      <c r="N110">
        <f>sulawesi!AH60</f>
        <v>0</v>
      </c>
      <c r="O110">
        <f>sulawesi!AI60</f>
        <v>0</v>
      </c>
      <c r="P110">
        <f>sulawesi!AJ60</f>
        <v>24433663.736151695</v>
      </c>
    </row>
    <row r="111" spans="1:16" x14ac:dyDescent="0.25">
      <c r="A111" t="str">
        <f>sulawesi!U61</f>
        <v>SULAWESI</v>
      </c>
      <c r="B111">
        <f>sulawesi!V61</f>
        <v>2028</v>
      </c>
      <c r="C111">
        <f>sulawesi!W61</f>
        <v>14054592.520432871</v>
      </c>
      <c r="D111">
        <f>sulawesi!X61</f>
        <v>540991.08079960698</v>
      </c>
      <c r="E111">
        <f>sulawesi!Y61</f>
        <v>5871191.2433805848</v>
      </c>
      <c r="F111">
        <f>sulawesi!Z61</f>
        <v>4607574.3195141302</v>
      </c>
      <c r="G111">
        <f>sulawesi!AA61</f>
        <v>32.653344738461534</v>
      </c>
      <c r="H111">
        <f>sulawesi!AB61</f>
        <v>0</v>
      </c>
      <c r="I111">
        <f>sulawesi!AC61</f>
        <v>0</v>
      </c>
      <c r="J111">
        <f>sulawesi!AD61</f>
        <v>0</v>
      </c>
      <c r="K111">
        <f>sulawesi!AE61</f>
        <v>0</v>
      </c>
      <c r="L111">
        <f>sulawesi!AF61</f>
        <v>1629.4734930818859</v>
      </c>
      <c r="M111">
        <f>sulawesi!AG61</f>
        <v>0</v>
      </c>
      <c r="N111">
        <f>sulawesi!AH61</f>
        <v>0</v>
      </c>
      <c r="O111">
        <f>sulawesi!AI61</f>
        <v>0</v>
      </c>
      <c r="P111">
        <f>sulawesi!AJ61</f>
        <v>25076011.290965013</v>
      </c>
    </row>
    <row r="112" spans="1:16" x14ac:dyDescent="0.25">
      <c r="A112" t="str">
        <f>sulawesi!U62</f>
        <v>SULAWESI</v>
      </c>
      <c r="B112">
        <f>sulawesi!V62</f>
        <v>2029</v>
      </c>
      <c r="C112">
        <f>sulawesi!W62</f>
        <v>14446964.519990411</v>
      </c>
      <c r="D112">
        <f>sulawesi!X62</f>
        <v>540991.08079960698</v>
      </c>
      <c r="E112">
        <f>sulawesi!Y62</f>
        <v>6125625.049392662</v>
      </c>
      <c r="F112">
        <f>sulawesi!Z62</f>
        <v>4673274.0621458506</v>
      </c>
      <c r="G112">
        <f>sulawesi!AA62</f>
        <v>32.653344738461534</v>
      </c>
      <c r="H112">
        <f>sulawesi!AB62</f>
        <v>0</v>
      </c>
      <c r="I112">
        <f>sulawesi!AC62</f>
        <v>0</v>
      </c>
      <c r="J112">
        <f>sulawesi!AD62</f>
        <v>0</v>
      </c>
      <c r="K112">
        <f>sulawesi!AE62</f>
        <v>0</v>
      </c>
      <c r="L112">
        <f>sulawesi!AF62</f>
        <v>1629.4734930818859</v>
      </c>
      <c r="M112">
        <f>sulawesi!AG62</f>
        <v>0</v>
      </c>
      <c r="N112">
        <f>sulawesi!AH62</f>
        <v>0</v>
      </c>
      <c r="O112">
        <f>sulawesi!AI62</f>
        <v>0</v>
      </c>
      <c r="P112">
        <f>sulawesi!AJ62</f>
        <v>25788516.839166351</v>
      </c>
    </row>
    <row r="113" spans="1:16" x14ac:dyDescent="0.25">
      <c r="A113" t="str">
        <f>sulawesi!U63</f>
        <v>SULAWESI</v>
      </c>
      <c r="B113">
        <f>sulawesi!V63</f>
        <v>2030</v>
      </c>
      <c r="C113">
        <f>sulawesi!W63</f>
        <v>14857960.887410969</v>
      </c>
      <c r="D113">
        <f>sulawesi!X63</f>
        <v>540991.08079960698</v>
      </c>
      <c r="E113">
        <f>sulawesi!Y63</f>
        <v>6392768.8158723945</v>
      </c>
      <c r="F113">
        <f>sulawesi!Z63</f>
        <v>4742581.300063544</v>
      </c>
      <c r="G113">
        <f>sulawesi!AA63</f>
        <v>32.653344738461534</v>
      </c>
      <c r="H113">
        <f>sulawesi!AB63</f>
        <v>0</v>
      </c>
      <c r="I113">
        <f>sulawesi!AC63</f>
        <v>0</v>
      </c>
      <c r="J113">
        <f>sulawesi!AD63</f>
        <v>0</v>
      </c>
      <c r="K113">
        <f>sulawesi!AE63</f>
        <v>0</v>
      </c>
      <c r="L113">
        <f>sulawesi!AF63</f>
        <v>1629.4734930818859</v>
      </c>
      <c r="M113">
        <f>sulawesi!AG63</f>
        <v>0</v>
      </c>
      <c r="N113">
        <f>sulawesi!AH63</f>
        <v>0</v>
      </c>
      <c r="O113">
        <f>sulawesi!AI63</f>
        <v>0</v>
      </c>
      <c r="P113">
        <f>sulawesi!AJ63</f>
        <v>26535964.210984334</v>
      </c>
    </row>
    <row r="114" spans="1:16" x14ac:dyDescent="0.25">
      <c r="A114" t="str">
        <f>sulawesi!U64</f>
        <v>SULAWESI</v>
      </c>
      <c r="B114">
        <f>sulawesi!V64</f>
        <v>2031</v>
      </c>
      <c r="C114">
        <f>sulawesi!W64</f>
        <v>15364867.538613163</v>
      </c>
      <c r="D114">
        <f>sulawesi!X64</f>
        <v>540991.08079960698</v>
      </c>
      <c r="E114">
        <f>sulawesi!Y64</f>
        <v>6708356.2744536977</v>
      </c>
      <c r="F114">
        <f>sulawesi!Z64</f>
        <v>4839672.5673361728</v>
      </c>
      <c r="G114">
        <f>sulawesi!AA64</f>
        <v>32.653344738461534</v>
      </c>
      <c r="H114">
        <f>sulawesi!AB64</f>
        <v>0</v>
      </c>
      <c r="I114">
        <f>sulawesi!AC64</f>
        <v>0</v>
      </c>
      <c r="J114">
        <f>sulawesi!AD64</f>
        <v>0</v>
      </c>
      <c r="K114">
        <f>sulawesi!AE64</f>
        <v>0</v>
      </c>
      <c r="L114">
        <f>sulawesi!AF64</f>
        <v>1629.4734930818859</v>
      </c>
      <c r="M114">
        <f>sulawesi!AG64</f>
        <v>0</v>
      </c>
      <c r="N114">
        <f>sulawesi!AH64</f>
        <v>0</v>
      </c>
      <c r="O114">
        <f>sulawesi!AI64</f>
        <v>0</v>
      </c>
      <c r="P114">
        <f>sulawesi!AJ64</f>
        <v>27455549.58804046</v>
      </c>
    </row>
    <row r="115" spans="1:16" x14ac:dyDescent="0.25">
      <c r="A115" t="str">
        <f>sulawesi!U65</f>
        <v>SULAWESI</v>
      </c>
      <c r="B115">
        <f>sulawesi!V65</f>
        <v>2032</v>
      </c>
      <c r="C115">
        <f>sulawesi!W65</f>
        <v>15921461.735259181</v>
      </c>
      <c r="D115">
        <f>sulawesi!X65</f>
        <v>540991.08079960698</v>
      </c>
      <c r="E115">
        <f>sulawesi!Y65</f>
        <v>7052580.1465660008</v>
      </c>
      <c r="F115">
        <f>sulawesi!Z65</f>
        <v>4949058.9617415126</v>
      </c>
      <c r="G115">
        <f>sulawesi!AA65</f>
        <v>32.653344738461534</v>
      </c>
      <c r="H115">
        <f>sulawesi!AB65</f>
        <v>0</v>
      </c>
      <c r="I115">
        <f>sulawesi!AC65</f>
        <v>0</v>
      </c>
      <c r="J115">
        <f>sulawesi!AD65</f>
        <v>0</v>
      </c>
      <c r="K115">
        <f>sulawesi!AE65</f>
        <v>0</v>
      </c>
      <c r="L115">
        <f>sulawesi!AF65</f>
        <v>1629.4734930818859</v>
      </c>
      <c r="M115">
        <f>sulawesi!AG65</f>
        <v>0</v>
      </c>
      <c r="N115">
        <f>sulawesi!AH65</f>
        <v>0</v>
      </c>
      <c r="O115">
        <f>sulawesi!AI65</f>
        <v>0</v>
      </c>
      <c r="P115">
        <f>sulawesi!AJ65</f>
        <v>28465754.051204123</v>
      </c>
    </row>
    <row r="116" spans="1:16" x14ac:dyDescent="0.25">
      <c r="A116" t="str">
        <f>sulawesi!U66</f>
        <v>SULAWESI</v>
      </c>
      <c r="B116">
        <f>sulawesi!V66</f>
        <v>2033</v>
      </c>
      <c r="C116">
        <f>sulawesi!W66</f>
        <v>16459814.146378819</v>
      </c>
      <c r="D116">
        <f>sulawesi!X66</f>
        <v>540991.08079960698</v>
      </c>
      <c r="E116">
        <f>sulawesi!Y66</f>
        <v>7394410.4256632058</v>
      </c>
      <c r="F116">
        <f>sulawesi!Z66</f>
        <v>5049383.8396893498</v>
      </c>
      <c r="G116">
        <f>sulawesi!AA66</f>
        <v>32.653344738461534</v>
      </c>
      <c r="H116">
        <f>sulawesi!AB66</f>
        <v>0</v>
      </c>
      <c r="I116">
        <f>sulawesi!AC66</f>
        <v>0</v>
      </c>
      <c r="J116">
        <f>sulawesi!AD66</f>
        <v>0</v>
      </c>
      <c r="K116">
        <f>sulawesi!AE66</f>
        <v>0</v>
      </c>
      <c r="L116">
        <f>sulawesi!AF66</f>
        <v>1629.4734930818859</v>
      </c>
      <c r="M116">
        <f>sulawesi!AG66</f>
        <v>0</v>
      </c>
      <c r="N116">
        <f>sulawesi!AH66</f>
        <v>0</v>
      </c>
      <c r="O116">
        <f>sulawesi!AI66</f>
        <v>0</v>
      </c>
      <c r="P116">
        <f>sulawesi!AJ66</f>
        <v>29446261.619368799</v>
      </c>
    </row>
    <row r="117" spans="1:16" x14ac:dyDescent="0.25">
      <c r="A117" t="str">
        <f>sulawesi!U67</f>
        <v>SULAWESI</v>
      </c>
      <c r="B117">
        <f>sulawesi!V67</f>
        <v>2034</v>
      </c>
      <c r="C117">
        <f>sulawesi!W67</f>
        <v>17122018.790521808</v>
      </c>
      <c r="D117">
        <f>sulawesi!X67</f>
        <v>540991.08079960698</v>
      </c>
      <c r="E117">
        <f>sulawesi!Y67</f>
        <v>7801045.8089168007</v>
      </c>
      <c r="F117">
        <f>sulawesi!Z67</f>
        <v>5183984.9941838039</v>
      </c>
      <c r="G117">
        <f>sulawesi!AA67</f>
        <v>32.653344738461534</v>
      </c>
      <c r="H117">
        <f>sulawesi!AB67</f>
        <v>0</v>
      </c>
      <c r="I117">
        <f>sulawesi!AC67</f>
        <v>0</v>
      </c>
      <c r="J117">
        <f>sulawesi!AD67</f>
        <v>0</v>
      </c>
      <c r="K117">
        <f>sulawesi!AE67</f>
        <v>0</v>
      </c>
      <c r="L117">
        <f>sulawesi!AF67</f>
        <v>1629.4734930818859</v>
      </c>
      <c r="M117">
        <f>sulawesi!AG67</f>
        <v>0</v>
      </c>
      <c r="N117">
        <f>sulawesi!AH67</f>
        <v>0</v>
      </c>
      <c r="O117">
        <f>sulawesi!AI67</f>
        <v>0</v>
      </c>
      <c r="P117">
        <f>sulawesi!AJ67</f>
        <v>30649702.801259838</v>
      </c>
    </row>
    <row r="118" spans="1:16" x14ac:dyDescent="0.25">
      <c r="A118" t="str">
        <f>sulawesi!U68</f>
        <v>SULAWESI</v>
      </c>
      <c r="B118">
        <f>sulawesi!V68</f>
        <v>2035</v>
      </c>
      <c r="C118">
        <f>sulawesi!W68</f>
        <v>17793203.222625233</v>
      </c>
      <c r="D118">
        <f>sulawesi!X68</f>
        <v>540991.08079960698</v>
      </c>
      <c r="E118">
        <f>sulawesi!Y68</f>
        <v>8219389.5983845247</v>
      </c>
      <c r="F118">
        <f>sulawesi!Z68</f>
        <v>5317164.0327886268</v>
      </c>
      <c r="G118">
        <f>sulawesi!AA68</f>
        <v>32.653344738461534</v>
      </c>
      <c r="H118">
        <f>sulawesi!AB68</f>
        <v>0</v>
      </c>
      <c r="I118">
        <f>sulawesi!AC68</f>
        <v>0</v>
      </c>
      <c r="J118">
        <f>sulawesi!AD68</f>
        <v>0</v>
      </c>
      <c r="K118">
        <f>sulawesi!AE68</f>
        <v>0</v>
      </c>
      <c r="L118">
        <f>sulawesi!AF68</f>
        <v>1629.4734930818859</v>
      </c>
      <c r="M118">
        <f>sulawesi!AG68</f>
        <v>0</v>
      </c>
      <c r="N118">
        <f>sulawesi!AH68</f>
        <v>0</v>
      </c>
      <c r="O118">
        <f>sulawesi!AI68</f>
        <v>0</v>
      </c>
      <c r="P118">
        <f>sulawesi!AJ68</f>
        <v>31872410.061435811</v>
      </c>
    </row>
    <row r="119" spans="1:16" x14ac:dyDescent="0.25">
      <c r="A119" t="str">
        <f>sulawesi!U69</f>
        <v>SULAWESI</v>
      </c>
      <c r="B119">
        <f>sulawesi!V69</f>
        <v>2036</v>
      </c>
      <c r="C119">
        <f>sulawesi!W69</f>
        <v>18557338.167485029</v>
      </c>
      <c r="D119">
        <f>sulawesi!X69</f>
        <v>540991.08079960698</v>
      </c>
      <c r="E119">
        <f>sulawesi!Y69</f>
        <v>8690440.4222043213</v>
      </c>
      <c r="F119">
        <f>sulawesi!Z69</f>
        <v>5473699.0063981889</v>
      </c>
      <c r="G119">
        <f>sulawesi!AA69</f>
        <v>32.653344738461534</v>
      </c>
      <c r="H119">
        <f>sulawesi!AB69</f>
        <v>0</v>
      </c>
      <c r="I119">
        <f>sulawesi!AC69</f>
        <v>0</v>
      </c>
      <c r="J119">
        <f>sulawesi!AD69</f>
        <v>0</v>
      </c>
      <c r="K119">
        <f>sulawesi!AE69</f>
        <v>0</v>
      </c>
      <c r="L119">
        <f>sulawesi!AF69</f>
        <v>1629.4734930818859</v>
      </c>
      <c r="M119">
        <f>sulawesi!AG69</f>
        <v>0</v>
      </c>
      <c r="N119">
        <f>sulawesi!AH69</f>
        <v>0</v>
      </c>
      <c r="O119">
        <f>sulawesi!AI69</f>
        <v>0</v>
      </c>
      <c r="P119">
        <f>sulawesi!AJ69</f>
        <v>33264130.803724963</v>
      </c>
    </row>
    <row r="120" spans="1:16" x14ac:dyDescent="0.25">
      <c r="A120" t="str">
        <f>sulawesi!U70</f>
        <v>SULAWESI</v>
      </c>
      <c r="B120">
        <f>sulawesi!V70</f>
        <v>2037</v>
      </c>
      <c r="C120">
        <f>sulawesi!W70</f>
        <v>19367073.726922851</v>
      </c>
      <c r="D120">
        <f>sulawesi!X70</f>
        <v>540991.08079960698</v>
      </c>
      <c r="E120">
        <f>sulawesi!Y70</f>
        <v>9192508.421940865</v>
      </c>
      <c r="F120">
        <f>sulawesi!Z70</f>
        <v>5638856.2759553315</v>
      </c>
      <c r="G120">
        <f>sulawesi!AA70</f>
        <v>32.653344738461534</v>
      </c>
      <c r="H120">
        <f>sulawesi!AB70</f>
        <v>0</v>
      </c>
      <c r="I120">
        <f>sulawesi!AC70</f>
        <v>0</v>
      </c>
      <c r="J120">
        <f>sulawesi!AD70</f>
        <v>0</v>
      </c>
      <c r="K120">
        <f>sulawesi!AE70</f>
        <v>0</v>
      </c>
      <c r="L120">
        <f>sulawesi!AF70</f>
        <v>1629.4734930818859</v>
      </c>
      <c r="M120">
        <f>sulawesi!AG70</f>
        <v>0</v>
      </c>
      <c r="N120">
        <f>sulawesi!AH70</f>
        <v>0</v>
      </c>
      <c r="O120">
        <f>sulawesi!AI70</f>
        <v>0</v>
      </c>
      <c r="P120">
        <f>sulawesi!AJ70</f>
        <v>34741091.632456474</v>
      </c>
    </row>
    <row r="121" spans="1:16" x14ac:dyDescent="0.25">
      <c r="A121" t="str">
        <f>sulawesi!U71</f>
        <v>SULAWESI</v>
      </c>
      <c r="B121">
        <f>sulawesi!V71</f>
        <v>2038</v>
      </c>
      <c r="C121">
        <f>sulawesi!W71</f>
        <v>20327220.111575842</v>
      </c>
      <c r="D121">
        <f>sulawesi!X71</f>
        <v>540991.08079960698</v>
      </c>
      <c r="E121">
        <f>sulawesi!Y71</f>
        <v>9778522.941702256</v>
      </c>
      <c r="F121">
        <f>sulawesi!Z71</f>
        <v>5842377.3590953443</v>
      </c>
      <c r="G121">
        <f>sulawesi!AA71</f>
        <v>32.653344738461534</v>
      </c>
      <c r="H121">
        <f>sulawesi!AB71</f>
        <v>0</v>
      </c>
      <c r="I121">
        <f>sulawesi!AC71</f>
        <v>0</v>
      </c>
      <c r="J121">
        <f>sulawesi!AD71</f>
        <v>0</v>
      </c>
      <c r="K121">
        <f>sulawesi!AE71</f>
        <v>0</v>
      </c>
      <c r="L121">
        <f>sulawesi!AF71</f>
        <v>1629.4734930818859</v>
      </c>
      <c r="M121">
        <f>sulawesi!AG71</f>
        <v>0</v>
      </c>
      <c r="N121">
        <f>sulawesi!AH71</f>
        <v>0</v>
      </c>
      <c r="O121">
        <f>sulawesi!AI71</f>
        <v>0</v>
      </c>
      <c r="P121">
        <f>sulawesi!AJ71</f>
        <v>36490773.620010868</v>
      </c>
    </row>
    <row r="122" spans="1:16" x14ac:dyDescent="0.25">
      <c r="A122" t="str">
        <f>maluku_papua!U52</f>
        <v>MALUKU_PAPUA</v>
      </c>
      <c r="B122">
        <f>maluku_papua!V52</f>
        <v>2019</v>
      </c>
      <c r="C122">
        <f>maluku_papua!W52</f>
        <v>1256080.7482361379</v>
      </c>
      <c r="D122">
        <f>maluku_papua!X52</f>
        <v>7495.0274944184039</v>
      </c>
      <c r="E122">
        <f>maluku_papua!Y52</f>
        <v>0</v>
      </c>
      <c r="F122">
        <f>maluku_papua!Z52</f>
        <v>2625429.3269803533</v>
      </c>
      <c r="G122">
        <f>maluku_papua!AA52</f>
        <v>0</v>
      </c>
      <c r="H122">
        <f>maluku_papua!AB52</f>
        <v>0</v>
      </c>
      <c r="I122">
        <f>maluku_papua!AC52</f>
        <v>0</v>
      </c>
      <c r="J122">
        <f>maluku_papua!AD52</f>
        <v>0</v>
      </c>
      <c r="K122">
        <f>maluku_papua!AE52</f>
        <v>0</v>
      </c>
      <c r="L122">
        <f>maluku_papua!AF52</f>
        <v>0</v>
      </c>
      <c r="M122">
        <f>maluku_papua!AG52</f>
        <v>0</v>
      </c>
      <c r="N122">
        <f>maluku_papua!AH52</f>
        <v>0</v>
      </c>
      <c r="O122">
        <f>maluku_papua!AI52</f>
        <v>0</v>
      </c>
      <c r="P122">
        <f>maluku_papua!AJ52</f>
        <v>3889005.1027109097</v>
      </c>
    </row>
    <row r="123" spans="1:16" x14ac:dyDescent="0.25">
      <c r="A123" t="str">
        <f>maluku_papua!U53</f>
        <v>MALUKU_PAPUA</v>
      </c>
      <c r="B123">
        <f>maluku_papua!V53</f>
        <v>2020</v>
      </c>
      <c r="C123">
        <f>maluku_papua!W53</f>
        <v>1256080.7482361379</v>
      </c>
      <c r="D123">
        <f>maluku_papua!X53</f>
        <v>7495.0256206615368</v>
      </c>
      <c r="E123">
        <f>maluku_papua!Y53</f>
        <v>260563.34386914296</v>
      </c>
      <c r="F123">
        <f>maluku_papua!Z53</f>
        <v>2625429.3269803533</v>
      </c>
      <c r="G123">
        <f>maluku_papua!AA53</f>
        <v>0</v>
      </c>
      <c r="H123">
        <f>maluku_papua!AB53</f>
        <v>0</v>
      </c>
      <c r="I123">
        <f>maluku_papua!AC53</f>
        <v>0</v>
      </c>
      <c r="J123">
        <f>maluku_papua!AD53</f>
        <v>0</v>
      </c>
      <c r="K123">
        <f>maluku_papua!AE53</f>
        <v>0</v>
      </c>
      <c r="L123">
        <f>maluku_papua!AF53</f>
        <v>0</v>
      </c>
      <c r="M123">
        <f>maluku_papua!AG53</f>
        <v>0</v>
      </c>
      <c r="N123">
        <f>maluku_papua!AH53</f>
        <v>0</v>
      </c>
      <c r="O123">
        <f>maluku_papua!AI53</f>
        <v>0</v>
      </c>
      <c r="P123">
        <f>maluku_papua!AJ53</f>
        <v>4149568.4447062956</v>
      </c>
    </row>
    <row r="124" spans="1:16" x14ac:dyDescent="0.25">
      <c r="A124" t="str">
        <f>maluku_papua!U54</f>
        <v>MALUKU_PAPUA</v>
      </c>
      <c r="B124">
        <f>maluku_papua!V54</f>
        <v>2021</v>
      </c>
      <c r="C124">
        <f>maluku_papua!W54</f>
        <v>1256080.7482361379</v>
      </c>
      <c r="D124">
        <f>maluku_papua!X54</f>
        <v>7495.0237469046633</v>
      </c>
      <c r="E124">
        <f>maluku_papua!Y54</f>
        <v>538584.43153822119</v>
      </c>
      <c r="F124">
        <f>maluku_papua!Z54</f>
        <v>2625429.3269803533</v>
      </c>
      <c r="G124">
        <f>maluku_papua!AA54</f>
        <v>-1.3732433453122919E-15</v>
      </c>
      <c r="H124">
        <f>maluku_papua!AB54</f>
        <v>0</v>
      </c>
      <c r="I124">
        <f>maluku_papua!AC54</f>
        <v>0</v>
      </c>
      <c r="J124">
        <f>maluku_papua!AD54</f>
        <v>0</v>
      </c>
      <c r="K124">
        <f>maluku_papua!AE54</f>
        <v>0</v>
      </c>
      <c r="L124">
        <f>maluku_papua!AF54</f>
        <v>0</v>
      </c>
      <c r="M124">
        <f>maluku_papua!AG54</f>
        <v>0</v>
      </c>
      <c r="N124">
        <f>maluku_papua!AH54</f>
        <v>0</v>
      </c>
      <c r="O124">
        <f>maluku_papua!AI54</f>
        <v>0</v>
      </c>
      <c r="P124">
        <f>maluku_papua!AJ54</f>
        <v>4427589.5305016171</v>
      </c>
    </row>
    <row r="125" spans="1:16" x14ac:dyDescent="0.25">
      <c r="A125" t="str">
        <f>maluku_papua!U55</f>
        <v>MALUKU_PAPUA</v>
      </c>
      <c r="B125">
        <f>maluku_papua!V55</f>
        <v>2022</v>
      </c>
      <c r="C125">
        <f>maluku_papua!W55</f>
        <v>1343259.3236224258</v>
      </c>
      <c r="D125">
        <f>maluku_papua!X55</f>
        <v>7495.0218731477953</v>
      </c>
      <c r="E125">
        <f>maluku_papua!Y55</f>
        <v>748054.35489288624</v>
      </c>
      <c r="F125">
        <f>maluku_papua!Z55</f>
        <v>2625429.3269803533</v>
      </c>
      <c r="G125">
        <f>maluku_papua!AA55</f>
        <v>0</v>
      </c>
      <c r="H125">
        <f>maluku_papua!AB55</f>
        <v>0</v>
      </c>
      <c r="I125">
        <f>maluku_papua!AC55</f>
        <v>0</v>
      </c>
      <c r="J125">
        <f>maluku_papua!AD55</f>
        <v>0</v>
      </c>
      <c r="K125">
        <f>maluku_papua!AE55</f>
        <v>0</v>
      </c>
      <c r="L125">
        <f>maluku_papua!AF55</f>
        <v>0</v>
      </c>
      <c r="M125">
        <f>maluku_papua!AG55</f>
        <v>0</v>
      </c>
      <c r="N125">
        <f>maluku_papua!AH55</f>
        <v>0</v>
      </c>
      <c r="O125">
        <f>maluku_papua!AI55</f>
        <v>0</v>
      </c>
      <c r="P125">
        <f>maluku_papua!AJ55</f>
        <v>4724238.0273688128</v>
      </c>
    </row>
    <row r="126" spans="1:16" x14ac:dyDescent="0.25">
      <c r="A126" t="str">
        <f>maluku_papua!U56</f>
        <v>MALUKU_PAPUA</v>
      </c>
      <c r="B126">
        <f>maluku_papua!V56</f>
        <v>2023</v>
      </c>
      <c r="C126">
        <f>maluku_papua!W56</f>
        <v>1578428.1051604466</v>
      </c>
      <c r="D126">
        <f>maluku_papua!X56</f>
        <v>7495.0218731477953</v>
      </c>
      <c r="E126">
        <f>maluku_papua!Y56</f>
        <v>829409.52118857484</v>
      </c>
      <c r="F126">
        <f>maluku_papua!Z56</f>
        <v>2625429.3269803533</v>
      </c>
      <c r="G126">
        <f>maluku_papua!AA56</f>
        <v>-1.3732436046103435E-15</v>
      </c>
      <c r="H126">
        <f>maluku_papua!AB56</f>
        <v>0</v>
      </c>
      <c r="I126">
        <f>maluku_papua!AC56</f>
        <v>0</v>
      </c>
      <c r="J126">
        <f>maluku_papua!AD56</f>
        <v>0</v>
      </c>
      <c r="K126">
        <f>maluku_papua!AE56</f>
        <v>0</v>
      </c>
      <c r="L126">
        <f>maluku_papua!AF56</f>
        <v>0</v>
      </c>
      <c r="M126">
        <f>maluku_papua!AG56</f>
        <v>0</v>
      </c>
      <c r="N126">
        <f>maluku_papua!AH56</f>
        <v>0</v>
      </c>
      <c r="O126">
        <f>maluku_papua!AI56</f>
        <v>0</v>
      </c>
      <c r="P126">
        <f>maluku_papua!AJ56</f>
        <v>5040761.9752025222</v>
      </c>
    </row>
    <row r="127" spans="1:16" x14ac:dyDescent="0.25">
      <c r="A127" t="str">
        <f>maluku_papua!U57</f>
        <v>MALUKU_PAPUA</v>
      </c>
      <c r="B127">
        <f>maluku_papua!V57</f>
        <v>2024</v>
      </c>
      <c r="C127">
        <f>maluku_papua!W57</f>
        <v>1824837.8814232016</v>
      </c>
      <c r="D127">
        <f>maluku_papua!X57</f>
        <v>7495.01999939092</v>
      </c>
      <c r="E127">
        <f>maluku_papua!Y57</f>
        <v>920730.79818517272</v>
      </c>
      <c r="F127">
        <f>maluku_papua!Z57</f>
        <v>2625429.3269803533</v>
      </c>
      <c r="G127">
        <f>maluku_papua!AA57</f>
        <v>-6.289999968235215E-8</v>
      </c>
      <c r="H127">
        <f>maluku_papua!AB57</f>
        <v>0</v>
      </c>
      <c r="I127">
        <f>maluku_papua!AC57</f>
        <v>0</v>
      </c>
      <c r="J127">
        <f>maluku_papua!AD57</f>
        <v>0</v>
      </c>
      <c r="K127">
        <f>maluku_papua!AE57</f>
        <v>0</v>
      </c>
      <c r="L127">
        <f>maluku_papua!AF57</f>
        <v>0</v>
      </c>
      <c r="M127">
        <f>maluku_papua!AG57</f>
        <v>0</v>
      </c>
      <c r="N127">
        <f>maluku_papua!AH57</f>
        <v>0</v>
      </c>
      <c r="O127">
        <f>maluku_papua!AI57</f>
        <v>0</v>
      </c>
      <c r="P127">
        <f>maluku_papua!AJ57</f>
        <v>5378493.0265880553</v>
      </c>
    </row>
    <row r="128" spans="1:16" x14ac:dyDescent="0.25">
      <c r="A128" t="str">
        <f>maluku_papua!U58</f>
        <v>MALUKU_PAPUA</v>
      </c>
      <c r="B128">
        <f>maluku_papua!V58</f>
        <v>2025</v>
      </c>
      <c r="C128">
        <f>maluku_papua!W58</f>
        <v>2082510.2741517366</v>
      </c>
      <c r="D128">
        <f>maluku_papua!X58</f>
        <v>7495.0181256340511</v>
      </c>
      <c r="E128">
        <f>maluku_papua!Y58</f>
        <v>1023417.4444724751</v>
      </c>
      <c r="F128">
        <f>maluku_papua!Z58</f>
        <v>2625429.3269803533</v>
      </c>
      <c r="G128">
        <f>maluku_papua!AA58</f>
        <v>-6.289999968235215E-8</v>
      </c>
      <c r="H128">
        <f>maluku_papua!AB58</f>
        <v>0</v>
      </c>
      <c r="I128">
        <f>maluku_papua!AC58</f>
        <v>0</v>
      </c>
      <c r="J128">
        <f>maluku_papua!AD58</f>
        <v>0</v>
      </c>
      <c r="K128">
        <f>maluku_papua!AE58</f>
        <v>0</v>
      </c>
      <c r="L128">
        <f>maluku_papua!AF58</f>
        <v>0</v>
      </c>
      <c r="M128">
        <f>maluku_papua!AG58</f>
        <v>0</v>
      </c>
      <c r="N128">
        <f>maluku_papua!AH58</f>
        <v>0</v>
      </c>
      <c r="O128">
        <f>maluku_papua!AI58</f>
        <v>0</v>
      </c>
      <c r="P128">
        <f>maluku_papua!AJ58</f>
        <v>5738852.0637301356</v>
      </c>
    </row>
    <row r="129" spans="1:16" x14ac:dyDescent="0.25">
      <c r="A129" t="str">
        <f>maluku_papua!U59</f>
        <v>MALUKU_PAPUA</v>
      </c>
      <c r="B129">
        <f>maluku_papua!V59</f>
        <v>2026</v>
      </c>
      <c r="C129">
        <f>maluku_papua!W59</f>
        <v>2379616.5503188018</v>
      </c>
      <c r="D129">
        <f>maluku_papua!X59</f>
        <v>7495.0181256340511</v>
      </c>
      <c r="E129">
        <f>maluku_papua!Y59</f>
        <v>1110814.2565752657</v>
      </c>
      <c r="F129">
        <f>maluku_papua!Z59</f>
        <v>2625429.3269803533</v>
      </c>
      <c r="G129">
        <f>maluku_papua!AA59</f>
        <v>0</v>
      </c>
      <c r="H129">
        <f>maluku_papua!AB59</f>
        <v>0</v>
      </c>
      <c r="I129">
        <f>maluku_papua!AC59</f>
        <v>0</v>
      </c>
      <c r="J129">
        <f>maluku_papua!AD59</f>
        <v>0</v>
      </c>
      <c r="K129">
        <f>maluku_papua!AE59</f>
        <v>0</v>
      </c>
      <c r="L129">
        <f>maluku_papua!AF59</f>
        <v>0</v>
      </c>
      <c r="M129">
        <f>maluku_papua!AG59</f>
        <v>0</v>
      </c>
      <c r="N129">
        <f>maluku_papua!AH59</f>
        <v>0</v>
      </c>
      <c r="O129">
        <f>maluku_papua!AI59</f>
        <v>0</v>
      </c>
      <c r="P129">
        <f>maluku_papua!AJ59</f>
        <v>6123355.1520000547</v>
      </c>
    </row>
    <row r="130" spans="1:16" x14ac:dyDescent="0.25">
      <c r="A130" t="str">
        <f>maluku_papua!U60</f>
        <v>MALUKU_PAPUA</v>
      </c>
      <c r="B130">
        <f>maluku_papua!V60</f>
        <v>2027</v>
      </c>
      <c r="C130">
        <f>maluku_papua!W60</f>
        <v>2694649.6479818071</v>
      </c>
      <c r="D130">
        <f>maluku_papua!X60</f>
        <v>7495.0162518771758</v>
      </c>
      <c r="E130">
        <f>maluku_papua!Y60</f>
        <v>1206045.9560906845</v>
      </c>
      <c r="F130">
        <f>maluku_papua!Z60</f>
        <v>2625429.3269803533</v>
      </c>
      <c r="G130">
        <f>maluku_papua!AA60</f>
        <v>-6.2899999759208373E-8</v>
      </c>
      <c r="H130">
        <f>maluku_papua!AB60</f>
        <v>0</v>
      </c>
      <c r="I130">
        <f>maluku_papua!AC60</f>
        <v>0</v>
      </c>
      <c r="J130">
        <f>maluku_papua!AD60</f>
        <v>0</v>
      </c>
      <c r="K130">
        <f>maluku_papua!AE60</f>
        <v>0</v>
      </c>
      <c r="L130">
        <f>maluku_papua!AF60</f>
        <v>0</v>
      </c>
      <c r="M130">
        <f>maluku_papua!AG60</f>
        <v>0</v>
      </c>
      <c r="N130">
        <f>maluku_papua!AH60</f>
        <v>0</v>
      </c>
      <c r="O130">
        <f>maluku_papua!AI60</f>
        <v>0</v>
      </c>
      <c r="P130">
        <f>maluku_papua!AJ60</f>
        <v>6533619.9473046586</v>
      </c>
    </row>
    <row r="131" spans="1:16" x14ac:dyDescent="0.25">
      <c r="A131" t="str">
        <f>maluku_papua!U61</f>
        <v>MALUKU_PAPUA</v>
      </c>
      <c r="B131">
        <f>maluku_papua!V61</f>
        <v>2028</v>
      </c>
      <c r="C131">
        <f>maluku_papua!W61</f>
        <v>3028608.1967265834</v>
      </c>
      <c r="D131">
        <f>maluku_papua!X61</f>
        <v>7495.0143781203033</v>
      </c>
      <c r="E131">
        <f>maluku_papua!Y61</f>
        <v>1309839.9456890144</v>
      </c>
      <c r="F131">
        <f>maluku_papua!Z61</f>
        <v>2625429.3269803533</v>
      </c>
      <c r="G131">
        <f>maluku_papua!AA61</f>
        <v>-1.3732435830021722E-15</v>
      </c>
      <c r="H131">
        <f>maluku_papua!AB61</f>
        <v>0</v>
      </c>
      <c r="I131">
        <f>maluku_papua!AC61</f>
        <v>0</v>
      </c>
      <c r="J131">
        <f>maluku_papua!AD61</f>
        <v>0</v>
      </c>
      <c r="K131">
        <f>maluku_papua!AE61</f>
        <v>0</v>
      </c>
      <c r="L131">
        <f>maluku_papua!AF61</f>
        <v>0</v>
      </c>
      <c r="M131">
        <f>maluku_papua!AG61</f>
        <v>0</v>
      </c>
      <c r="N131">
        <f>maluku_papua!AH61</f>
        <v>0</v>
      </c>
      <c r="O131">
        <f>maluku_papua!AI61</f>
        <v>0</v>
      </c>
      <c r="P131">
        <f>maluku_papua!AJ61</f>
        <v>6971372.4837740716</v>
      </c>
    </row>
    <row r="132" spans="1:16" x14ac:dyDescent="0.25">
      <c r="A132" t="str">
        <f>maluku_papua!U62</f>
        <v>MALUKU_PAPUA</v>
      </c>
      <c r="B132">
        <f>maluku_papua!V62</f>
        <v>2029</v>
      </c>
      <c r="C132">
        <f>maluku_papua!W62</f>
        <v>3382541.9029766102</v>
      </c>
      <c r="D132">
        <f>maluku_papua!X62</f>
        <v>7495.0125043634307</v>
      </c>
      <c r="E132">
        <f>maluku_papua!Y62</f>
        <v>1422988.1977256059</v>
      </c>
      <c r="F132">
        <f>maluku_papua!Z62</f>
        <v>2625429.3269803533</v>
      </c>
      <c r="G132">
        <f>maluku_papua!AA62</f>
        <v>-1.3732435830021722E-15</v>
      </c>
      <c r="H132">
        <f>maluku_papua!AB62</f>
        <v>0</v>
      </c>
      <c r="I132">
        <f>maluku_papua!AC62</f>
        <v>0</v>
      </c>
      <c r="J132">
        <f>maluku_papua!AD62</f>
        <v>0</v>
      </c>
      <c r="K132">
        <f>maluku_papua!AE62</f>
        <v>0</v>
      </c>
      <c r="L132">
        <f>maluku_papua!AF62</f>
        <v>0</v>
      </c>
      <c r="M132">
        <f>maluku_papua!AG62</f>
        <v>0</v>
      </c>
      <c r="N132">
        <f>maluku_papua!AH62</f>
        <v>0</v>
      </c>
      <c r="O132">
        <f>maluku_papua!AI62</f>
        <v>0</v>
      </c>
      <c r="P132">
        <f>maluku_papua!AJ62</f>
        <v>7438454.4401869327</v>
      </c>
    </row>
    <row r="133" spans="1:16" x14ac:dyDescent="0.25">
      <c r="A133" t="str">
        <f>maluku_papua!U63</f>
        <v>MALUKU_PAPUA</v>
      </c>
      <c r="B133">
        <f>maluku_papua!V63</f>
        <v>2030</v>
      </c>
      <c r="C133">
        <f>maluku_papua!W63</f>
        <v>3757548.863563871</v>
      </c>
      <c r="D133">
        <f>maluku_papua!X63</f>
        <v>7495.0125043634307</v>
      </c>
      <c r="E133">
        <f>maluku_papua!Y63</f>
        <v>1546357.6846308699</v>
      </c>
      <c r="F133">
        <f>maluku_papua!Z63</f>
        <v>2625429.3269803533</v>
      </c>
      <c r="G133">
        <f>maluku_papua!AA63</f>
        <v>0</v>
      </c>
      <c r="H133">
        <f>maluku_papua!AB63</f>
        <v>0</v>
      </c>
      <c r="I133">
        <f>maluku_papua!AC63</f>
        <v>0</v>
      </c>
      <c r="J133">
        <f>maluku_papua!AD63</f>
        <v>0</v>
      </c>
      <c r="K133">
        <f>maluku_papua!AE63</f>
        <v>0</v>
      </c>
      <c r="L133">
        <f>maluku_papua!AF63</f>
        <v>0</v>
      </c>
      <c r="M133">
        <f>maluku_papua!AG63</f>
        <v>0</v>
      </c>
      <c r="N133">
        <f>maluku_papua!AH63</f>
        <v>0</v>
      </c>
      <c r="O133">
        <f>maluku_papua!AI63</f>
        <v>0</v>
      </c>
      <c r="P133">
        <f>maluku_papua!AJ63</f>
        <v>7936830.8876794577</v>
      </c>
    </row>
    <row r="134" spans="1:16" x14ac:dyDescent="0.25">
      <c r="A134" t="str">
        <f>maluku_papua!U64</f>
        <v>MALUKU_PAPUA</v>
      </c>
      <c r="B134">
        <f>maluku_papua!V64</f>
        <v>2031</v>
      </c>
      <c r="C134">
        <f>maluku_papua!W64</f>
        <v>4154778.4815100268</v>
      </c>
      <c r="D134">
        <f>maluku_papua!X64</f>
        <v>7495.0125043634307</v>
      </c>
      <c r="E134">
        <f>maluku_papua!Y64</f>
        <v>1680895.7370420618</v>
      </c>
      <c r="F134">
        <f>maluku_papua!Z64</f>
        <v>2625429.3269803533</v>
      </c>
      <c r="G134">
        <f>maluku_papua!AA64</f>
        <v>-6.2899999759208373E-8</v>
      </c>
      <c r="H134">
        <f>maluku_papua!AB64</f>
        <v>0</v>
      </c>
      <c r="I134">
        <f>maluku_papua!AC64</f>
        <v>0</v>
      </c>
      <c r="J134">
        <f>maluku_papua!AD64</f>
        <v>0</v>
      </c>
      <c r="K134">
        <f>maluku_papua!AE64</f>
        <v>0</v>
      </c>
      <c r="L134">
        <f>maluku_papua!AF64</f>
        <v>0</v>
      </c>
      <c r="M134">
        <f>maluku_papua!AG64</f>
        <v>0</v>
      </c>
      <c r="N134">
        <f>maluku_papua!AH64</f>
        <v>0</v>
      </c>
      <c r="O134">
        <f>maluku_papua!AI64</f>
        <v>0</v>
      </c>
      <c r="P134">
        <f>maluku_papua!AJ64</f>
        <v>8468598.5580367409</v>
      </c>
    </row>
    <row r="135" spans="1:16" x14ac:dyDescent="0.25">
      <c r="A135" t="str">
        <f>maluku_papua!U65</f>
        <v>MALUKU_PAPUA</v>
      </c>
      <c r="B135">
        <f>maluku_papua!V65</f>
        <v>2032</v>
      </c>
      <c r="C135">
        <f>maluku_papua!W65</f>
        <v>4575432.3693624139</v>
      </c>
      <c r="D135">
        <f>maluku_papua!X65</f>
        <v>7495.0125043634307</v>
      </c>
      <c r="E135">
        <f>maluku_papua!Y65</f>
        <v>1827637.9527161038</v>
      </c>
      <c r="F135">
        <f>maluku_papua!Z65</f>
        <v>2625429.3269803533</v>
      </c>
      <c r="G135">
        <f>maluku_papua!AA65</f>
        <v>-6.2899999759208373E-8</v>
      </c>
      <c r="H135">
        <f>maluku_papua!AB65</f>
        <v>0</v>
      </c>
      <c r="I135">
        <f>maluku_papua!AC65</f>
        <v>0</v>
      </c>
      <c r="J135">
        <f>maluku_papua!AD65</f>
        <v>0</v>
      </c>
      <c r="K135">
        <f>maluku_papua!AE65</f>
        <v>0</v>
      </c>
      <c r="L135">
        <f>maluku_papua!AF65</f>
        <v>0</v>
      </c>
      <c r="M135">
        <f>maluku_papua!AG65</f>
        <v>0</v>
      </c>
      <c r="N135">
        <f>maluku_papua!AH65</f>
        <v>0</v>
      </c>
      <c r="O135">
        <f>maluku_papua!AI65</f>
        <v>0</v>
      </c>
      <c r="P135">
        <f>maluku_papua!AJ65</f>
        <v>9035994.6615631711</v>
      </c>
    </row>
    <row r="136" spans="1:16" x14ac:dyDescent="0.25">
      <c r="A136" t="str">
        <f>maluku_papua!U66</f>
        <v>MALUKU_PAPUA</v>
      </c>
      <c r="B136">
        <f>maluku_papua!V66</f>
        <v>2033</v>
      </c>
      <c r="C136">
        <f>maluku_papua!W66</f>
        <v>5020765.4982036836</v>
      </c>
      <c r="D136">
        <f>maluku_papua!X66</f>
        <v>7495.0106306065618</v>
      </c>
      <c r="E136">
        <f>maluku_papua!Y66</f>
        <v>1987716.4680732812</v>
      </c>
      <c r="F136">
        <f>maluku_papua!Z66</f>
        <v>2625429.3269803533</v>
      </c>
      <c r="G136">
        <f>maluku_papua!AA66</f>
        <v>0</v>
      </c>
      <c r="H136">
        <f>maluku_papua!AB66</f>
        <v>0</v>
      </c>
      <c r="I136">
        <f>maluku_papua!AC66</f>
        <v>0</v>
      </c>
      <c r="J136">
        <f>maluku_papua!AD66</f>
        <v>0</v>
      </c>
      <c r="K136">
        <f>maluku_papua!AE66</f>
        <v>0</v>
      </c>
      <c r="L136">
        <f>maluku_papua!AF66</f>
        <v>0</v>
      </c>
      <c r="M136">
        <f>maluku_papua!AG66</f>
        <v>0</v>
      </c>
      <c r="N136">
        <f>maluku_papua!AH66</f>
        <v>0</v>
      </c>
      <c r="O136">
        <f>maluku_papua!AI66</f>
        <v>0</v>
      </c>
      <c r="P136">
        <f>maluku_papua!AJ66</f>
        <v>9641406.303887926</v>
      </c>
    </row>
    <row r="137" spans="1:16" x14ac:dyDescent="0.25">
      <c r="A137" t="str">
        <f>maluku_papua!U67</f>
        <v>MALUKU_PAPUA</v>
      </c>
      <c r="B137">
        <f>maluku_papua!V67</f>
        <v>2034</v>
      </c>
      <c r="C137">
        <f>maluku_papua!W67</f>
        <v>5492086.9920505015</v>
      </c>
      <c r="D137">
        <f>maluku_papua!X67</f>
        <v>7495.0106306065618</v>
      </c>
      <c r="E137">
        <f>maluku_papua!Y67</f>
        <v>2162369.1965869567</v>
      </c>
      <c r="F137">
        <f>maluku_papua!Z67</f>
        <v>2625429.3269803533</v>
      </c>
      <c r="G137">
        <f>maluku_papua!AA67</f>
        <v>-1.3732436586307707E-15</v>
      </c>
      <c r="H137">
        <f>maluku_papua!AB67</f>
        <v>0</v>
      </c>
      <c r="I137">
        <f>maluku_papua!AC67</f>
        <v>0</v>
      </c>
      <c r="J137">
        <f>maluku_papua!AD67</f>
        <v>0</v>
      </c>
      <c r="K137">
        <f>maluku_papua!AE67</f>
        <v>0</v>
      </c>
      <c r="L137">
        <f>maluku_papua!AF67</f>
        <v>0</v>
      </c>
      <c r="M137">
        <f>maluku_papua!AG67</f>
        <v>0</v>
      </c>
      <c r="N137">
        <f>maluku_papua!AH67</f>
        <v>0</v>
      </c>
      <c r="O137">
        <f>maluku_papua!AI67</f>
        <v>0</v>
      </c>
      <c r="P137">
        <f>maluku_papua!AJ67</f>
        <v>10287380.526248418</v>
      </c>
    </row>
    <row r="138" spans="1:16" x14ac:dyDescent="0.25">
      <c r="A138" t="str">
        <f>maluku_papua!U68</f>
        <v>MALUKU_PAPUA</v>
      </c>
      <c r="B138">
        <f>maluku_papua!V68</f>
        <v>2035</v>
      </c>
      <c r="C138">
        <f>maluku_papua!W68</f>
        <v>6004427.4224819867</v>
      </c>
      <c r="D138">
        <f>maluku_papua!X68</f>
        <v>7495.0087568496911</v>
      </c>
      <c r="E138">
        <f>maluku_papua!Y68</f>
        <v>2339283.2661383078</v>
      </c>
      <c r="F138">
        <f>maluku_papua!Z68</f>
        <v>2625429.3269803533</v>
      </c>
      <c r="G138">
        <f>maluku_papua!AA68</f>
        <v>-6.2899998957302324E-8</v>
      </c>
      <c r="H138">
        <f>maluku_papua!AB68</f>
        <v>0</v>
      </c>
      <c r="I138">
        <f>maluku_papua!AC68</f>
        <v>0</v>
      </c>
      <c r="J138">
        <f>maluku_papua!AD68</f>
        <v>0</v>
      </c>
      <c r="K138">
        <f>maluku_papua!AE68</f>
        <v>0</v>
      </c>
      <c r="L138">
        <f>maluku_papua!AF68</f>
        <v>0</v>
      </c>
      <c r="M138">
        <f>maluku_papua!AG68</f>
        <v>0</v>
      </c>
      <c r="N138">
        <f>maluku_papua!AH68</f>
        <v>0</v>
      </c>
      <c r="O138">
        <f>maluku_papua!AI68</f>
        <v>0</v>
      </c>
      <c r="P138">
        <f>maluku_papua!AJ68</f>
        <v>10976635.024357434</v>
      </c>
    </row>
    <row r="139" spans="1:16" x14ac:dyDescent="0.25">
      <c r="A139" t="str">
        <f>maluku_papua!U69</f>
        <v>MALUKU_PAPUA</v>
      </c>
      <c r="B139">
        <f>maluku_papua!V69</f>
        <v>2036</v>
      </c>
      <c r="C139">
        <f>maluku_papua!W69</f>
        <v>6480035.5975455828</v>
      </c>
      <c r="D139">
        <f>maluku_papua!X69</f>
        <v>7495.0087568496911</v>
      </c>
      <c r="E139">
        <f>maluku_papua!Y69</f>
        <v>2599109.6377065978</v>
      </c>
      <c r="F139">
        <f>maluku_papua!Z69</f>
        <v>2625429.3269803533</v>
      </c>
      <c r="G139">
        <f>maluku_papua!AA69</f>
        <v>-1.3732437234552839E-15</v>
      </c>
      <c r="H139">
        <f>maluku_papua!AB69</f>
        <v>0</v>
      </c>
      <c r="I139">
        <f>maluku_papua!AC69</f>
        <v>0</v>
      </c>
      <c r="J139">
        <f>maluku_papua!AD69</f>
        <v>0</v>
      </c>
      <c r="K139">
        <f>maluku_papua!AE69</f>
        <v>0</v>
      </c>
      <c r="L139">
        <f>maluku_papua!AF69</f>
        <v>0</v>
      </c>
      <c r="M139">
        <f>maluku_papua!AG69</f>
        <v>0</v>
      </c>
      <c r="N139">
        <f>maluku_papua!AH69</f>
        <v>0</v>
      </c>
      <c r="O139">
        <f>maluku_papua!AI69</f>
        <v>0</v>
      </c>
      <c r="P139">
        <f>maluku_papua!AJ69</f>
        <v>11712069.570989385</v>
      </c>
    </row>
    <row r="140" spans="1:16" x14ac:dyDescent="0.25">
      <c r="A140" t="str">
        <f>maluku_papua!U70</f>
        <v>MALUKU_PAPUA</v>
      </c>
      <c r="B140">
        <f>maluku_papua!V70</f>
        <v>2037</v>
      </c>
      <c r="C140">
        <f>maluku_papua!W70</f>
        <v>6990991.0325715607</v>
      </c>
      <c r="D140">
        <f>maluku_papua!X70</f>
        <v>7495.0068830928221</v>
      </c>
      <c r="E140">
        <f>maluku_papua!Y70</f>
        <v>2872862.8811495118</v>
      </c>
      <c r="F140">
        <f>maluku_papua!Z70</f>
        <v>2625429.3269803533</v>
      </c>
      <c r="G140">
        <f>maluku_papua!AA70</f>
        <v>0</v>
      </c>
      <c r="H140">
        <f>maluku_papua!AB70</f>
        <v>0</v>
      </c>
      <c r="I140">
        <f>maluku_papua!AC70</f>
        <v>0</v>
      </c>
      <c r="J140">
        <f>maluku_papua!AD70</f>
        <v>0</v>
      </c>
      <c r="K140">
        <f>maluku_papua!AE70</f>
        <v>0</v>
      </c>
      <c r="L140">
        <f>maluku_papua!AF70</f>
        <v>0</v>
      </c>
      <c r="M140">
        <f>maluku_papua!AG70</f>
        <v>0</v>
      </c>
      <c r="N140">
        <f>maluku_papua!AH70</f>
        <v>0</v>
      </c>
      <c r="O140">
        <f>maluku_papua!AI70</f>
        <v>0</v>
      </c>
      <c r="P140">
        <f>maluku_papua!AJ70</f>
        <v>12496778.247584518</v>
      </c>
    </row>
    <row r="141" spans="1:16" x14ac:dyDescent="0.25">
      <c r="A141" t="str">
        <f>maluku_papua!U71</f>
        <v>MALUKU_PAPUA</v>
      </c>
      <c r="B141">
        <f>maluku_papua!V71</f>
        <v>2038</v>
      </c>
      <c r="C141">
        <f>maluku_papua!W71</f>
        <v>7162326.8419413585</v>
      </c>
      <c r="D141">
        <f>maluku_papua!X71</f>
        <v>7495.0068830928221</v>
      </c>
      <c r="E141">
        <f>maluku_papua!Y71</f>
        <v>3014538.5734457723</v>
      </c>
      <c r="F141">
        <f>maluku_papua!Z71</f>
        <v>2812764.6177433496</v>
      </c>
      <c r="G141">
        <f>maluku_papua!AA71</f>
        <v>0</v>
      </c>
      <c r="H141">
        <f>maluku_papua!AB71</f>
        <v>0</v>
      </c>
      <c r="I141">
        <f>maluku_papua!AC71</f>
        <v>0</v>
      </c>
      <c r="J141">
        <f>maluku_papua!AD71</f>
        <v>0</v>
      </c>
      <c r="K141">
        <f>maluku_papua!AE71</f>
        <v>0</v>
      </c>
      <c r="L141">
        <f>maluku_papua!AF71</f>
        <v>0</v>
      </c>
      <c r="M141">
        <f>maluku_papua!AG71</f>
        <v>0</v>
      </c>
      <c r="N141">
        <f>maluku_papua!AH71</f>
        <v>0</v>
      </c>
      <c r="O141">
        <f>maluku_papua!AI71</f>
        <v>0</v>
      </c>
      <c r="P141">
        <f>maluku_papua!AJ71</f>
        <v>12997125.040013574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2877-2B1E-447F-A52C-8696E6653A7C}">
  <sheetPr codeName="Sheet19"/>
  <dimension ref="A1:P141"/>
  <sheetViews>
    <sheetView tabSelected="1" topLeftCell="A105" workbookViewId="0">
      <selection activeCell="I131" sqref="I131"/>
    </sheetView>
  </sheetViews>
  <sheetFormatPr defaultRowHeight="15" x14ac:dyDescent="0.25"/>
  <cols>
    <col min="1" max="1" width="17.42578125" customWidth="1"/>
  </cols>
  <sheetData>
    <row r="1" spans="1:16" x14ac:dyDescent="0.25">
      <c r="A1" t="str">
        <f>indonesia!AO51</f>
        <v>region</v>
      </c>
      <c r="B1" t="str">
        <f>indonesia!AP51</f>
        <v>year</v>
      </c>
      <c r="C1" t="str">
        <f>indonesia!AQ51</f>
        <v>coal</v>
      </c>
      <c r="D1" t="str">
        <f>indonesia!AR51</f>
        <v>ocgt</v>
      </c>
      <c r="E1" t="str">
        <f>indonesia!AS51</f>
        <v>ccgt</v>
      </c>
      <c r="F1" t="str">
        <f>indonesia!AT51</f>
        <v>reciprocating</v>
      </c>
      <c r="G1" t="str">
        <f>indonesia!AU51</f>
        <v>geothermal</v>
      </c>
      <c r="H1" t="str">
        <f>indonesia!AV51</f>
        <v>lhydro</v>
      </c>
      <c r="I1" t="str">
        <f>indonesia!AW51</f>
        <v>mhydro</v>
      </c>
      <c r="J1" t="str">
        <f>indonesia!AX51</f>
        <v>solar</v>
      </c>
      <c r="K1" t="str">
        <f>indonesia!AY51</f>
        <v>wind</v>
      </c>
      <c r="L1" t="str">
        <f>indonesia!AZ51</f>
        <v>biomass</v>
      </c>
      <c r="M1" t="str">
        <f>indonesia!BA51</f>
        <v>ocean</v>
      </c>
      <c r="N1" t="str">
        <f>indonesia!BB51</f>
        <v>waste</v>
      </c>
      <c r="O1" t="str">
        <f>indonesia!BC51</f>
        <v>storage</v>
      </c>
      <c r="P1" t="str">
        <f>indonesia!BD51</f>
        <v>total</v>
      </c>
    </row>
    <row r="2" spans="1:16" x14ac:dyDescent="0.25">
      <c r="A2" t="str">
        <f>indonesia!AO52</f>
        <v>INDONESIA</v>
      </c>
      <c r="B2">
        <f>indonesia!AP52</f>
        <v>2019</v>
      </c>
      <c r="C2">
        <f>SUM(C22,C42,C62,C82,C102,C122)</f>
        <v>1594.2526376387459</v>
      </c>
      <c r="D2">
        <f t="shared" ref="D2:P2" si="0">SUM(D22,D42,D62,D82,D102,D122)</f>
        <v>126.87719464123568</v>
      </c>
      <c r="E2">
        <f t="shared" si="0"/>
        <v>262.78489925769122</v>
      </c>
      <c r="F2">
        <f t="shared" si="0"/>
        <v>52.493925748358642</v>
      </c>
      <c r="G2">
        <f t="shared" si="0"/>
        <v>97.863350238976082</v>
      </c>
      <c r="H2">
        <f t="shared" si="0"/>
        <v>215.1632716572953</v>
      </c>
      <c r="I2">
        <f t="shared" si="0"/>
        <v>8.5431961535622829</v>
      </c>
      <c r="J2">
        <f t="shared" si="0"/>
        <v>0.189216</v>
      </c>
      <c r="K2">
        <f t="shared" si="0"/>
        <v>0</v>
      </c>
      <c r="L2">
        <f t="shared" si="0"/>
        <v>6.1664380627951374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2364.33412939866</v>
      </c>
    </row>
    <row r="3" spans="1:16" x14ac:dyDescent="0.25">
      <c r="A3" t="str">
        <f>indonesia!AO53</f>
        <v>INDONESIA</v>
      </c>
      <c r="B3">
        <f>indonesia!AP53</f>
        <v>2020</v>
      </c>
      <c r="C3">
        <f t="shared" ref="C3:P18" si="1">SUM(C23,C43,C63,C83,C103,C123)</f>
        <v>4786.5311838451444</v>
      </c>
      <c r="D3">
        <f t="shared" si="1"/>
        <v>126.87719314290023</v>
      </c>
      <c r="E3">
        <f t="shared" si="1"/>
        <v>2706.3948032982798</v>
      </c>
      <c r="F3">
        <f t="shared" si="1"/>
        <v>52.493925748358642</v>
      </c>
      <c r="G3">
        <f t="shared" si="1"/>
        <v>612.52342123583082</v>
      </c>
      <c r="H3">
        <f t="shared" si="1"/>
        <v>4654.5366022953531</v>
      </c>
      <c r="I3">
        <f t="shared" si="1"/>
        <v>156.45975752073991</v>
      </c>
      <c r="J3">
        <f t="shared" si="1"/>
        <v>7656.4150890686678</v>
      </c>
      <c r="K3">
        <f t="shared" si="1"/>
        <v>74.517087307416062</v>
      </c>
      <c r="L3">
        <f t="shared" si="1"/>
        <v>6.1664373221537554</v>
      </c>
      <c r="M3">
        <f t="shared" si="1"/>
        <v>27.64032376474692</v>
      </c>
      <c r="N3">
        <f t="shared" si="1"/>
        <v>0</v>
      </c>
      <c r="O3">
        <f t="shared" si="1"/>
        <v>20.539107840913296</v>
      </c>
      <c r="P3">
        <f t="shared" si="1"/>
        <v>20881.094932390501</v>
      </c>
    </row>
    <row r="4" spans="1:16" x14ac:dyDescent="0.25">
      <c r="A4" t="str">
        <f>indonesia!AO54</f>
        <v>INDONESIA</v>
      </c>
      <c r="B4">
        <f>indonesia!AP54</f>
        <v>2021</v>
      </c>
      <c r="C4">
        <f t="shared" si="1"/>
        <v>2090.337458901427</v>
      </c>
      <c r="D4">
        <f t="shared" si="1"/>
        <v>790.52082013685958</v>
      </c>
      <c r="E4">
        <f t="shared" si="1"/>
        <v>6685.6566872760477</v>
      </c>
      <c r="F4">
        <f t="shared" si="1"/>
        <v>59.154199311149391</v>
      </c>
      <c r="G4">
        <f t="shared" si="1"/>
        <v>104.35767978539883</v>
      </c>
      <c r="H4">
        <f t="shared" si="1"/>
        <v>1210.8881171330088</v>
      </c>
      <c r="I4">
        <f t="shared" si="1"/>
        <v>208.83876031295108</v>
      </c>
      <c r="J4">
        <f t="shared" si="1"/>
        <v>794.60383506794597</v>
      </c>
      <c r="K4">
        <f t="shared" si="1"/>
        <v>52.628420684092006</v>
      </c>
      <c r="L4">
        <f t="shared" si="1"/>
        <v>6.1664387861531118</v>
      </c>
      <c r="M4">
        <f t="shared" si="1"/>
        <v>1.9430549803497246</v>
      </c>
      <c r="N4">
        <f t="shared" si="1"/>
        <v>0</v>
      </c>
      <c r="O4">
        <f t="shared" si="1"/>
        <v>2.267746055397307</v>
      </c>
      <c r="P4">
        <f t="shared" si="1"/>
        <v>12007.363218430781</v>
      </c>
    </row>
    <row r="5" spans="1:16" x14ac:dyDescent="0.25">
      <c r="A5" t="str">
        <f>indonesia!AO55</f>
        <v>INDONESIA</v>
      </c>
      <c r="B5">
        <f>indonesia!AP55</f>
        <v>2022</v>
      </c>
      <c r="C5">
        <f t="shared" si="1"/>
        <v>2134.2129236661735</v>
      </c>
      <c r="D5">
        <f t="shared" si="1"/>
        <v>491.57938508072118</v>
      </c>
      <c r="E5">
        <f t="shared" si="1"/>
        <v>4053.2352968312598</v>
      </c>
      <c r="F5">
        <f t="shared" si="1"/>
        <v>125.24845924406003</v>
      </c>
      <c r="G5">
        <f t="shared" si="1"/>
        <v>104.35768364039885</v>
      </c>
      <c r="H5">
        <f t="shared" si="1"/>
        <v>601.36366562355295</v>
      </c>
      <c r="I5">
        <f t="shared" si="1"/>
        <v>97.437137329209406</v>
      </c>
      <c r="J5">
        <f t="shared" si="1"/>
        <v>918.10878916034471</v>
      </c>
      <c r="K5">
        <f t="shared" si="1"/>
        <v>1151.8642473889613</v>
      </c>
      <c r="L5">
        <f t="shared" si="1"/>
        <v>6.1664380627951374</v>
      </c>
      <c r="M5">
        <f t="shared" si="1"/>
        <v>0.9557668257869455</v>
      </c>
      <c r="N5">
        <f t="shared" si="1"/>
        <v>0</v>
      </c>
      <c r="O5">
        <f t="shared" si="1"/>
        <v>1.7417821628124419</v>
      </c>
      <c r="P5">
        <f t="shared" si="1"/>
        <v>9686.2715750160751</v>
      </c>
    </row>
    <row r="6" spans="1:16" x14ac:dyDescent="0.25">
      <c r="A6" t="str">
        <f>indonesia!AO56</f>
        <v>INDONESIA</v>
      </c>
      <c r="B6">
        <f>indonesia!AP56</f>
        <v>2023</v>
      </c>
      <c r="C6">
        <f t="shared" si="1"/>
        <v>1879.168352983716</v>
      </c>
      <c r="D6">
        <f t="shared" si="1"/>
        <v>923.77889511745457</v>
      </c>
      <c r="E6">
        <f t="shared" si="1"/>
        <v>2793.3416098437142</v>
      </c>
      <c r="F6">
        <f t="shared" si="1"/>
        <v>562.78039871787234</v>
      </c>
      <c r="G6">
        <f t="shared" si="1"/>
        <v>104.57919069271355</v>
      </c>
      <c r="H6">
        <f t="shared" si="1"/>
        <v>810.40886975684384</v>
      </c>
      <c r="I6">
        <f t="shared" si="1"/>
        <v>16.792072528901809</v>
      </c>
      <c r="J6">
        <f t="shared" si="1"/>
        <v>241.51061432553459</v>
      </c>
      <c r="K6">
        <f t="shared" si="1"/>
        <v>3172.2525303833609</v>
      </c>
      <c r="L6">
        <f t="shared" si="1"/>
        <v>110.41266789679291</v>
      </c>
      <c r="M6">
        <f t="shared" si="1"/>
        <v>0.80689126654356347</v>
      </c>
      <c r="N6">
        <f t="shared" si="1"/>
        <v>0</v>
      </c>
      <c r="O6">
        <f t="shared" si="1"/>
        <v>2.0261588046114856</v>
      </c>
      <c r="P6">
        <f t="shared" si="1"/>
        <v>10617.858252318061</v>
      </c>
    </row>
    <row r="7" spans="1:16" x14ac:dyDescent="0.25">
      <c r="A7" t="str">
        <f>indonesia!AO57</f>
        <v>INDONESIA</v>
      </c>
      <c r="B7">
        <f>indonesia!AP57</f>
        <v>2024</v>
      </c>
      <c r="C7">
        <f t="shared" si="1"/>
        <v>1829.3552403678775</v>
      </c>
      <c r="D7">
        <f t="shared" si="1"/>
        <v>659.14270174956312</v>
      </c>
      <c r="E7">
        <f t="shared" si="1"/>
        <v>3071.0245530874372</v>
      </c>
      <c r="F7">
        <f t="shared" si="1"/>
        <v>328.36073111676524</v>
      </c>
      <c r="G7">
        <f t="shared" si="1"/>
        <v>104.71349805503785</v>
      </c>
      <c r="H7">
        <f t="shared" si="1"/>
        <v>375.27993550009626</v>
      </c>
      <c r="I7">
        <f t="shared" si="1"/>
        <v>150.81821286045647</v>
      </c>
      <c r="J7">
        <f t="shared" si="1"/>
        <v>245.43358709448995</v>
      </c>
      <c r="K7">
        <f t="shared" si="1"/>
        <v>5500.7029496642863</v>
      </c>
      <c r="L7">
        <f t="shared" si="1"/>
        <v>219.89591170492906</v>
      </c>
      <c r="M7">
        <f t="shared" si="1"/>
        <v>0.78075806215803878</v>
      </c>
      <c r="N7">
        <f t="shared" si="1"/>
        <v>0</v>
      </c>
      <c r="O7">
        <f t="shared" si="1"/>
        <v>2.4472919743306814</v>
      </c>
      <c r="P7">
        <f t="shared" si="1"/>
        <v>12487.955371237425</v>
      </c>
    </row>
    <row r="8" spans="1:16" x14ac:dyDescent="0.25">
      <c r="A8" t="str">
        <f>indonesia!AO58</f>
        <v>INDONESIA</v>
      </c>
      <c r="B8">
        <f>indonesia!AP58</f>
        <v>2025</v>
      </c>
      <c r="C8">
        <f t="shared" si="1"/>
        <v>2009.39719388106</v>
      </c>
      <c r="D8">
        <f t="shared" si="1"/>
        <v>585.71773824018055</v>
      </c>
      <c r="E8">
        <f t="shared" si="1"/>
        <v>2892.6972647185098</v>
      </c>
      <c r="F8">
        <f t="shared" si="1"/>
        <v>336.01783238738261</v>
      </c>
      <c r="G8">
        <f t="shared" si="1"/>
        <v>104.36493340744528</v>
      </c>
      <c r="H8">
        <f t="shared" si="1"/>
        <v>939.40510448311591</v>
      </c>
      <c r="I8">
        <f t="shared" si="1"/>
        <v>36.160931788036237</v>
      </c>
      <c r="J8">
        <f t="shared" si="1"/>
        <v>306.90674403882389</v>
      </c>
      <c r="K8">
        <f t="shared" si="1"/>
        <v>5779.037660309581</v>
      </c>
      <c r="L8">
        <f t="shared" si="1"/>
        <v>221.26832159420522</v>
      </c>
      <c r="M8">
        <f t="shared" si="1"/>
        <v>0.78083235378058047</v>
      </c>
      <c r="N8">
        <f t="shared" si="1"/>
        <v>0</v>
      </c>
      <c r="O8">
        <f t="shared" si="1"/>
        <v>2.5028424495900223</v>
      </c>
      <c r="P8">
        <f t="shared" si="1"/>
        <v>13214.257399651713</v>
      </c>
    </row>
    <row r="9" spans="1:16" x14ac:dyDescent="0.25">
      <c r="A9" t="str">
        <f>indonesia!AO59</f>
        <v>INDONESIA</v>
      </c>
      <c r="B9">
        <f>indonesia!AP59</f>
        <v>2026</v>
      </c>
      <c r="C9">
        <f t="shared" si="1"/>
        <v>2784.2818104358344</v>
      </c>
      <c r="D9">
        <f t="shared" si="1"/>
        <v>693.20473478390147</v>
      </c>
      <c r="E9">
        <f t="shared" si="1"/>
        <v>4469.7851764756606</v>
      </c>
      <c r="F9">
        <f t="shared" si="1"/>
        <v>117.24625320805163</v>
      </c>
      <c r="G9">
        <f t="shared" si="1"/>
        <v>135.66801964029369</v>
      </c>
      <c r="H9">
        <f t="shared" si="1"/>
        <v>368.20002501635179</v>
      </c>
      <c r="I9">
        <f t="shared" si="1"/>
        <v>69.14441969186926</v>
      </c>
      <c r="J9">
        <f t="shared" si="1"/>
        <v>416.31738885853122</v>
      </c>
      <c r="K9">
        <f t="shared" si="1"/>
        <v>5604.6762942134792</v>
      </c>
      <c r="L9">
        <f t="shared" si="1"/>
        <v>157.96946720953775</v>
      </c>
      <c r="M9">
        <f t="shared" si="1"/>
        <v>1.0465101332944013</v>
      </c>
      <c r="N9">
        <f t="shared" si="1"/>
        <v>0</v>
      </c>
      <c r="O9">
        <f t="shared" si="1"/>
        <v>2.8325343425144611</v>
      </c>
      <c r="P9">
        <f t="shared" si="1"/>
        <v>14820.372634009322</v>
      </c>
    </row>
    <row r="10" spans="1:16" x14ac:dyDescent="0.25">
      <c r="A10" t="str">
        <f>indonesia!AO60</f>
        <v>INDONESIA</v>
      </c>
      <c r="B10">
        <f>indonesia!AP60</f>
        <v>2027</v>
      </c>
      <c r="C10">
        <f t="shared" si="1"/>
        <v>2975.0614550399073</v>
      </c>
      <c r="D10">
        <f t="shared" si="1"/>
        <v>703.48389619811007</v>
      </c>
      <c r="E10">
        <f t="shared" si="1"/>
        <v>4715.3329753526787</v>
      </c>
      <c r="F10">
        <f t="shared" si="1"/>
        <v>142.84814884344075</v>
      </c>
      <c r="G10">
        <f t="shared" si="1"/>
        <v>104.75993659855497</v>
      </c>
      <c r="H10">
        <f t="shared" si="1"/>
        <v>368.55591957636</v>
      </c>
      <c r="I10">
        <f t="shared" si="1"/>
        <v>841.14955865974434</v>
      </c>
      <c r="J10">
        <f t="shared" si="1"/>
        <v>592.2083716356575</v>
      </c>
      <c r="K10">
        <f t="shared" si="1"/>
        <v>6069.8924933277967</v>
      </c>
      <c r="L10">
        <f t="shared" si="1"/>
        <v>154.25053382953493</v>
      </c>
      <c r="M10">
        <f t="shared" si="1"/>
        <v>1.0307127053088361</v>
      </c>
      <c r="N10">
        <f t="shared" si="1"/>
        <v>0</v>
      </c>
      <c r="O10">
        <f t="shared" si="1"/>
        <v>3.1251501205094185</v>
      </c>
      <c r="P10">
        <f t="shared" si="1"/>
        <v>16671.699151887606</v>
      </c>
    </row>
    <row r="11" spans="1:16" x14ac:dyDescent="0.25">
      <c r="A11" t="str">
        <f>indonesia!AO61</f>
        <v>INDONESIA</v>
      </c>
      <c r="B11">
        <f>indonesia!AP61</f>
        <v>2028</v>
      </c>
      <c r="C11">
        <f t="shared" si="1"/>
        <v>2684.3152062032286</v>
      </c>
      <c r="D11">
        <f t="shared" si="1"/>
        <v>770.55509518698011</v>
      </c>
      <c r="E11">
        <f t="shared" si="1"/>
        <v>5461.9425407621202</v>
      </c>
      <c r="F11">
        <f t="shared" si="1"/>
        <v>151.83397055859868</v>
      </c>
      <c r="G11">
        <f t="shared" si="1"/>
        <v>104.75993389001965</v>
      </c>
      <c r="H11">
        <f t="shared" si="1"/>
        <v>337.97132110678325</v>
      </c>
      <c r="I11">
        <f t="shared" si="1"/>
        <v>36.454242158412214</v>
      </c>
      <c r="J11">
        <f t="shared" si="1"/>
        <v>289.34696969598559</v>
      </c>
      <c r="K11">
        <f t="shared" si="1"/>
        <v>4060.1932302233454</v>
      </c>
      <c r="L11">
        <f t="shared" si="1"/>
        <v>126.324587520649</v>
      </c>
      <c r="M11">
        <f t="shared" si="1"/>
        <v>1.0864440169489336</v>
      </c>
      <c r="N11">
        <f t="shared" si="1"/>
        <v>0</v>
      </c>
      <c r="O11">
        <f t="shared" si="1"/>
        <v>2.5320968579030687</v>
      </c>
      <c r="P11">
        <f t="shared" si="1"/>
        <v>14027.315638180975</v>
      </c>
    </row>
    <row r="12" spans="1:16" x14ac:dyDescent="0.25">
      <c r="A12" t="str">
        <f>indonesia!AO62</f>
        <v>INDONESIA</v>
      </c>
      <c r="B12">
        <f>indonesia!AP62</f>
        <v>2029</v>
      </c>
      <c r="C12">
        <f t="shared" si="1"/>
        <v>2768.5069607979008</v>
      </c>
      <c r="D12">
        <f t="shared" si="1"/>
        <v>730.569435573482</v>
      </c>
      <c r="E12">
        <f t="shared" si="1"/>
        <v>5942.0353071367226</v>
      </c>
      <c r="F12">
        <f t="shared" si="1"/>
        <v>158.55798359359116</v>
      </c>
      <c r="G12">
        <f t="shared" si="1"/>
        <v>104.75993324668335</v>
      </c>
      <c r="H12">
        <f t="shared" si="1"/>
        <v>366.92514630701316</v>
      </c>
      <c r="I12">
        <f t="shared" si="1"/>
        <v>117.06442578498681</v>
      </c>
      <c r="J12">
        <f t="shared" si="1"/>
        <v>304.93618652696131</v>
      </c>
      <c r="K12">
        <f t="shared" si="1"/>
        <v>4266.9700431842248</v>
      </c>
      <c r="L12">
        <f t="shared" si="1"/>
        <v>234.74936377784192</v>
      </c>
      <c r="M12">
        <f t="shared" si="1"/>
        <v>2.4696247082264549</v>
      </c>
      <c r="N12">
        <f t="shared" si="1"/>
        <v>0</v>
      </c>
      <c r="O12">
        <f t="shared" si="1"/>
        <v>2.6821105706395296</v>
      </c>
      <c r="P12">
        <f t="shared" si="1"/>
        <v>15000.226521208273</v>
      </c>
    </row>
    <row r="13" spans="1:16" x14ac:dyDescent="0.25">
      <c r="A13" t="str">
        <f>indonesia!AO63</f>
        <v>INDONESIA</v>
      </c>
      <c r="B13">
        <f>indonesia!AP63</f>
        <v>2030</v>
      </c>
      <c r="C13">
        <f t="shared" si="1"/>
        <v>2824.0575167886504</v>
      </c>
      <c r="D13">
        <f t="shared" si="1"/>
        <v>920.19734738973011</v>
      </c>
      <c r="E13">
        <f t="shared" si="1"/>
        <v>5579.4625449070636</v>
      </c>
      <c r="F13">
        <f t="shared" si="1"/>
        <v>158.17885016467719</v>
      </c>
      <c r="G13">
        <f t="shared" si="1"/>
        <v>104.75993319741664</v>
      </c>
      <c r="H13">
        <f t="shared" si="1"/>
        <v>379.7112647316456</v>
      </c>
      <c r="I13">
        <f t="shared" si="1"/>
        <v>108.69010193559954</v>
      </c>
      <c r="J13">
        <f t="shared" si="1"/>
        <v>2056.306510839785</v>
      </c>
      <c r="K13">
        <f t="shared" si="1"/>
        <v>4389.5553377927608</v>
      </c>
      <c r="L13">
        <f t="shared" si="1"/>
        <v>31.94617571341259</v>
      </c>
      <c r="M13">
        <f t="shared" si="1"/>
        <v>0.84709358929865219</v>
      </c>
      <c r="N13">
        <f t="shared" si="1"/>
        <v>0</v>
      </c>
      <c r="O13">
        <f t="shared" si="1"/>
        <v>2.9154864410449157</v>
      </c>
      <c r="P13">
        <f t="shared" si="1"/>
        <v>16556.628163491085</v>
      </c>
    </row>
    <row r="14" spans="1:16" x14ac:dyDescent="0.25">
      <c r="A14" t="str">
        <f>indonesia!AO64</f>
        <v>INDONESIA</v>
      </c>
      <c r="B14">
        <f>indonesia!AP64</f>
        <v>2031</v>
      </c>
      <c r="C14">
        <f t="shared" si="1"/>
        <v>3030.1972327783906</v>
      </c>
      <c r="D14">
        <f t="shared" si="1"/>
        <v>905.13828185514512</v>
      </c>
      <c r="E14">
        <f t="shared" si="1"/>
        <v>7038.7627705833047</v>
      </c>
      <c r="F14">
        <f t="shared" si="1"/>
        <v>181.18513000992655</v>
      </c>
      <c r="G14">
        <f t="shared" si="1"/>
        <v>104.75993645075489</v>
      </c>
      <c r="H14">
        <f t="shared" si="1"/>
        <v>394.26391783120988</v>
      </c>
      <c r="I14">
        <f t="shared" si="1"/>
        <v>95.217918731530631</v>
      </c>
      <c r="J14">
        <f t="shared" si="1"/>
        <v>219.51597337741723</v>
      </c>
      <c r="K14">
        <f t="shared" si="1"/>
        <v>5639.2028781972922</v>
      </c>
      <c r="L14">
        <f t="shared" si="1"/>
        <v>132.74680646292984</v>
      </c>
      <c r="M14">
        <f t="shared" si="1"/>
        <v>0.84709358929865219</v>
      </c>
      <c r="N14">
        <f t="shared" si="1"/>
        <v>0</v>
      </c>
      <c r="O14">
        <f t="shared" si="1"/>
        <v>3.2583305838378958</v>
      </c>
      <c r="P14">
        <f t="shared" si="1"/>
        <v>17745.096270451038</v>
      </c>
    </row>
    <row r="15" spans="1:16" x14ac:dyDescent="0.25">
      <c r="A15" t="str">
        <f>indonesia!AO65</f>
        <v>INDONESIA</v>
      </c>
      <c r="B15">
        <f>indonesia!AP65</f>
        <v>2032</v>
      </c>
      <c r="C15">
        <f t="shared" si="1"/>
        <v>3276.3332701535273</v>
      </c>
      <c r="D15">
        <f t="shared" si="1"/>
        <v>986.39610309783404</v>
      </c>
      <c r="E15">
        <f t="shared" si="1"/>
        <v>7540.1618368200398</v>
      </c>
      <c r="F15">
        <f t="shared" si="1"/>
        <v>123.06929310074432</v>
      </c>
      <c r="G15">
        <f t="shared" si="1"/>
        <v>104.75993704482445</v>
      </c>
      <c r="H15">
        <f t="shared" si="1"/>
        <v>484.84860121405023</v>
      </c>
      <c r="I15">
        <f t="shared" si="1"/>
        <v>588.25628108416299</v>
      </c>
      <c r="J15">
        <f t="shared" si="1"/>
        <v>249.55906751376551</v>
      </c>
      <c r="K15">
        <f t="shared" si="1"/>
        <v>5674.1236069768929</v>
      </c>
      <c r="L15">
        <f t="shared" si="1"/>
        <v>91.418921595079567</v>
      </c>
      <c r="M15">
        <f t="shared" si="1"/>
        <v>1.4074522517072259</v>
      </c>
      <c r="N15">
        <f t="shared" si="1"/>
        <v>0</v>
      </c>
      <c r="O15">
        <f t="shared" si="1"/>
        <v>3.4432461950906221</v>
      </c>
      <c r="P15">
        <f t="shared" si="1"/>
        <v>19123.777617047723</v>
      </c>
    </row>
    <row r="16" spans="1:16" x14ac:dyDescent="0.25">
      <c r="A16" t="str">
        <f>indonesia!AO66</f>
        <v>INDONESIA</v>
      </c>
      <c r="B16">
        <f>indonesia!AP66</f>
        <v>2033</v>
      </c>
      <c r="C16">
        <f t="shared" si="1"/>
        <v>4615.7950831936823</v>
      </c>
      <c r="D16">
        <f t="shared" si="1"/>
        <v>755.00299616713073</v>
      </c>
      <c r="E16">
        <f t="shared" si="1"/>
        <v>7005.4654533715347</v>
      </c>
      <c r="F16">
        <f t="shared" si="1"/>
        <v>113.59623772174409</v>
      </c>
      <c r="G16">
        <f t="shared" si="1"/>
        <v>217.06428058067391</v>
      </c>
      <c r="H16">
        <f t="shared" si="1"/>
        <v>915.68988436758502</v>
      </c>
      <c r="I16">
        <f t="shared" si="1"/>
        <v>1055.0293140323276</v>
      </c>
      <c r="J16">
        <f t="shared" si="1"/>
        <v>989.30652175861951</v>
      </c>
      <c r="K16">
        <f t="shared" si="1"/>
        <v>3853.4213410676448</v>
      </c>
      <c r="L16">
        <f t="shared" si="1"/>
        <v>64.191626001202479</v>
      </c>
      <c r="M16">
        <f t="shared" si="1"/>
        <v>0.86215507898778598</v>
      </c>
      <c r="N16">
        <f t="shared" si="1"/>
        <v>0</v>
      </c>
      <c r="O16">
        <f t="shared" si="1"/>
        <v>3.2364955957135098</v>
      </c>
      <c r="P16">
        <f t="shared" si="1"/>
        <v>19588.661388936845</v>
      </c>
    </row>
    <row r="17" spans="1:16" x14ac:dyDescent="0.25">
      <c r="A17" t="str">
        <f>indonesia!AO67</f>
        <v>INDONESIA</v>
      </c>
      <c r="B17">
        <f>indonesia!AP67</f>
        <v>2034</v>
      </c>
      <c r="C17">
        <f t="shared" si="1"/>
        <v>6772.7090093353727</v>
      </c>
      <c r="D17">
        <f t="shared" si="1"/>
        <v>1099.2253280501106</v>
      </c>
      <c r="E17">
        <f t="shared" si="1"/>
        <v>5253.19731500116</v>
      </c>
      <c r="F17">
        <f t="shared" si="1"/>
        <v>133.13014193862816</v>
      </c>
      <c r="G17">
        <f t="shared" si="1"/>
        <v>106.17706517106606</v>
      </c>
      <c r="H17">
        <f t="shared" si="1"/>
        <v>545.83785701353372</v>
      </c>
      <c r="I17">
        <f t="shared" si="1"/>
        <v>5220.7945414864407</v>
      </c>
      <c r="J17">
        <f t="shared" si="1"/>
        <v>1170.9564007557149</v>
      </c>
      <c r="K17">
        <f t="shared" si="1"/>
        <v>3177.7959899051439</v>
      </c>
      <c r="L17">
        <f t="shared" si="1"/>
        <v>50.577978204263928</v>
      </c>
      <c r="M17">
        <f t="shared" si="1"/>
        <v>0.88569762520145379</v>
      </c>
      <c r="N17">
        <f t="shared" si="1"/>
        <v>0</v>
      </c>
      <c r="O17">
        <f t="shared" si="1"/>
        <v>3.6171812315577636</v>
      </c>
      <c r="P17">
        <f t="shared" si="1"/>
        <v>23534.904505718187</v>
      </c>
    </row>
    <row r="18" spans="1:16" x14ac:dyDescent="0.25">
      <c r="A18" t="str">
        <f>indonesia!AO68</f>
        <v>INDONESIA</v>
      </c>
      <c r="B18">
        <f>indonesia!AP68</f>
        <v>2035</v>
      </c>
      <c r="C18">
        <f t="shared" si="1"/>
        <v>5124.3769325319345</v>
      </c>
      <c r="D18">
        <f t="shared" si="1"/>
        <v>649.31580641564756</v>
      </c>
      <c r="E18">
        <f t="shared" si="1"/>
        <v>6265.98195412317</v>
      </c>
      <c r="F18">
        <f t="shared" si="1"/>
        <v>1434.7114208956157</v>
      </c>
      <c r="G18">
        <f t="shared" si="1"/>
        <v>380.06253713654104</v>
      </c>
      <c r="H18">
        <f t="shared" si="1"/>
        <v>1689.9017667108208</v>
      </c>
      <c r="I18">
        <f t="shared" si="1"/>
        <v>2055.4675198468603</v>
      </c>
      <c r="J18">
        <f t="shared" si="1"/>
        <v>1362.3445390038919</v>
      </c>
      <c r="K18">
        <f t="shared" si="1"/>
        <v>3224.1351510932031</v>
      </c>
      <c r="L18">
        <f t="shared" si="1"/>
        <v>43.771154305794653</v>
      </c>
      <c r="M18">
        <f t="shared" si="1"/>
        <v>1.7578993439660953</v>
      </c>
      <c r="N18">
        <f t="shared" si="1"/>
        <v>0</v>
      </c>
      <c r="O18">
        <f t="shared" si="1"/>
        <v>3.6576764011628318</v>
      </c>
      <c r="P18">
        <f t="shared" si="1"/>
        <v>22235.484357808607</v>
      </c>
    </row>
    <row r="19" spans="1:16" x14ac:dyDescent="0.25">
      <c r="A19" t="str">
        <f>indonesia!AO69</f>
        <v>INDONESIA</v>
      </c>
      <c r="B19">
        <f>indonesia!AP69</f>
        <v>2036</v>
      </c>
      <c r="C19">
        <f t="shared" ref="C19:P21" si="2">SUM(C39,C59,C79,C99,C119,C139)</f>
        <v>6494.8816988219933</v>
      </c>
      <c r="D19">
        <f t="shared" si="2"/>
        <v>694.10207309011537</v>
      </c>
      <c r="E19">
        <f t="shared" si="2"/>
        <v>6622.5901388461634</v>
      </c>
      <c r="F19">
        <f t="shared" si="2"/>
        <v>879.54551473731226</v>
      </c>
      <c r="G19">
        <f t="shared" si="2"/>
        <v>1982.4536868166399</v>
      </c>
      <c r="H19">
        <f t="shared" si="2"/>
        <v>1892.7001228469428</v>
      </c>
      <c r="I19">
        <f t="shared" si="2"/>
        <v>3114.2740431884995</v>
      </c>
      <c r="J19">
        <f t="shared" si="2"/>
        <v>1493.5594902787161</v>
      </c>
      <c r="K19">
        <f t="shared" si="2"/>
        <v>2866.8239139656548</v>
      </c>
      <c r="L19">
        <f t="shared" si="2"/>
        <v>40.367742356560015</v>
      </c>
      <c r="M19">
        <f t="shared" si="2"/>
        <v>0.88684858814507994</v>
      </c>
      <c r="N19">
        <f t="shared" si="2"/>
        <v>0</v>
      </c>
      <c r="O19">
        <f t="shared" si="2"/>
        <v>4.0204394062628639</v>
      </c>
      <c r="P19">
        <f t="shared" si="2"/>
        <v>26086.205712943007</v>
      </c>
    </row>
    <row r="20" spans="1:16" x14ac:dyDescent="0.25">
      <c r="A20" t="str">
        <f>indonesia!AO70</f>
        <v>INDONESIA</v>
      </c>
      <c r="B20">
        <f>indonesia!AP70</f>
        <v>2037</v>
      </c>
      <c r="C20">
        <f t="shared" si="2"/>
        <v>6727.2331508548577</v>
      </c>
      <c r="D20">
        <f t="shared" si="2"/>
        <v>866.81195651535768</v>
      </c>
      <c r="E20">
        <f t="shared" si="2"/>
        <v>7557.5470509044035</v>
      </c>
      <c r="F20">
        <f t="shared" si="2"/>
        <v>375.70428288691483</v>
      </c>
      <c r="G20">
        <f t="shared" si="2"/>
        <v>3886.6654906737781</v>
      </c>
      <c r="H20">
        <f t="shared" si="2"/>
        <v>1224.6744917043359</v>
      </c>
      <c r="I20">
        <f t="shared" si="2"/>
        <v>2701.3284169885656</v>
      </c>
      <c r="J20">
        <f t="shared" si="2"/>
        <v>2072.7166164238306</v>
      </c>
      <c r="K20">
        <f t="shared" si="2"/>
        <v>2634.7504673337367</v>
      </c>
      <c r="L20">
        <f t="shared" si="2"/>
        <v>38.666036381942696</v>
      </c>
      <c r="M20">
        <f t="shared" si="2"/>
        <v>1.7888624956812764</v>
      </c>
      <c r="N20">
        <f t="shared" si="2"/>
        <v>8.0069853382839187E-15</v>
      </c>
      <c r="O20">
        <f t="shared" si="2"/>
        <v>4.1832439882216796</v>
      </c>
      <c r="P20">
        <f t="shared" si="2"/>
        <v>28092.070067151632</v>
      </c>
    </row>
    <row r="21" spans="1:16" x14ac:dyDescent="0.25">
      <c r="A21" t="str">
        <f>indonesia!AO71</f>
        <v>INDONESIA</v>
      </c>
      <c r="B21">
        <f>indonesia!AP71</f>
        <v>2038</v>
      </c>
      <c r="C21">
        <f t="shared" si="2"/>
        <v>7392.6786777922152</v>
      </c>
      <c r="D21">
        <f t="shared" si="2"/>
        <v>1217.8017461374341</v>
      </c>
      <c r="E21">
        <f t="shared" si="2"/>
        <v>8094.0191679649852</v>
      </c>
      <c r="F21">
        <f t="shared" si="2"/>
        <v>472.35365395045221</v>
      </c>
      <c r="G21">
        <f t="shared" si="2"/>
        <v>5555.08159585252</v>
      </c>
      <c r="H21">
        <f t="shared" si="2"/>
        <v>800.09923109491058</v>
      </c>
      <c r="I21">
        <f t="shared" si="2"/>
        <v>927.64986278481331</v>
      </c>
      <c r="J21">
        <f t="shared" si="2"/>
        <v>4911.6185964967462</v>
      </c>
      <c r="K21">
        <f t="shared" si="2"/>
        <v>2513.6800909896383</v>
      </c>
      <c r="L21">
        <f t="shared" si="2"/>
        <v>37.81518339463404</v>
      </c>
      <c r="M21">
        <f t="shared" si="2"/>
        <v>0.911091630080756</v>
      </c>
      <c r="N21">
        <f t="shared" si="2"/>
        <v>6.0956246598855174E-6</v>
      </c>
      <c r="O21">
        <f t="shared" si="2"/>
        <v>4.8447392654681325</v>
      </c>
      <c r="P21">
        <f t="shared" si="2"/>
        <v>31928.553643449522</v>
      </c>
    </row>
    <row r="22" spans="1:16" x14ac:dyDescent="0.25">
      <c r="A22" t="str">
        <f>sumatera!AO52</f>
        <v>SUMATERA</v>
      </c>
      <c r="B22">
        <f>sumatera!AP52</f>
        <v>2019</v>
      </c>
      <c r="C22">
        <f>sumatera!AQ52</f>
        <v>246.51796275762939</v>
      </c>
      <c r="D22">
        <f>sumatera!AR52</f>
        <v>28.209582834706659</v>
      </c>
      <c r="E22">
        <f>sumatera!AS52</f>
        <v>29.399497516788461</v>
      </c>
      <c r="F22">
        <f>sumatera!AT52</f>
        <v>19.770698948398937</v>
      </c>
      <c r="G22">
        <f>sumatera!AU52</f>
        <v>33.353564573487915</v>
      </c>
      <c r="H22">
        <f>sumatera!AV52</f>
        <v>74.119172024492329</v>
      </c>
      <c r="I22">
        <f>sumatera!AW52</f>
        <v>3.5387628920486147</v>
      </c>
      <c r="J22">
        <f>sumatera!AX52</f>
        <v>1.2204000000000001E-2</v>
      </c>
      <c r="K22">
        <f>sumatera!AY52</f>
        <v>0</v>
      </c>
      <c r="L22">
        <f>sumatera!AZ52</f>
        <v>1.5799204277094998</v>
      </c>
      <c r="M22">
        <f>sumatera!BA52</f>
        <v>0</v>
      </c>
      <c r="N22">
        <f>sumatera!BB52</f>
        <v>0</v>
      </c>
      <c r="O22">
        <f>sumatera!BC52</f>
        <v>0</v>
      </c>
      <c r="P22">
        <f>sumatera!BD52</f>
        <v>436.50136597526188</v>
      </c>
    </row>
    <row r="23" spans="1:16" x14ac:dyDescent="0.25">
      <c r="A23" t="str">
        <f>sumatera!AO53</f>
        <v>SUMATERA</v>
      </c>
      <c r="B23">
        <f>sumatera!AP53</f>
        <v>2020</v>
      </c>
      <c r="C23">
        <f>sumatera!AQ53</f>
        <v>542.96055202463151</v>
      </c>
      <c r="D23">
        <f>sumatera!AR53</f>
        <v>28.209582834706659</v>
      </c>
      <c r="E23">
        <f>sumatera!AS53</f>
        <v>973.18874241126434</v>
      </c>
      <c r="F23">
        <f>sumatera!AT53</f>
        <v>19.770698948398937</v>
      </c>
      <c r="G23">
        <f>sumatera!AU53</f>
        <v>33.353564573487915</v>
      </c>
      <c r="H23">
        <f>sumatera!AV53</f>
        <v>74.119172024492329</v>
      </c>
      <c r="I23">
        <f>sumatera!AW53</f>
        <v>3.5387628920486147</v>
      </c>
      <c r="J23">
        <f>sumatera!AX53</f>
        <v>445.79360050286294</v>
      </c>
      <c r="K23">
        <f>sumatera!AY53</f>
        <v>0</v>
      </c>
      <c r="L23">
        <f>sumatera!AZ53</f>
        <v>1.5799204277094998</v>
      </c>
      <c r="M23">
        <f>sumatera!BA53</f>
        <v>0</v>
      </c>
      <c r="N23">
        <f>sumatera!BB53</f>
        <v>0</v>
      </c>
      <c r="O23">
        <f>sumatera!BC53</f>
        <v>3.9234711941312477</v>
      </c>
      <c r="P23">
        <f>sumatera!BD53</f>
        <v>2126.4380678337343</v>
      </c>
    </row>
    <row r="24" spans="1:16" x14ac:dyDescent="0.25">
      <c r="A24" t="str">
        <f>sumatera!AO54</f>
        <v>SUMATERA</v>
      </c>
      <c r="B24">
        <f>sumatera!AP54</f>
        <v>2021</v>
      </c>
      <c r="C24">
        <f>sumatera!AQ54</f>
        <v>255.51086859679813</v>
      </c>
      <c r="D24">
        <f>sumatera!AR54</f>
        <v>619.20782345062105</v>
      </c>
      <c r="E24">
        <f>sumatera!AS54</f>
        <v>61.225681447843073</v>
      </c>
      <c r="F24">
        <f>sumatera!AT54</f>
        <v>19.770698948398937</v>
      </c>
      <c r="G24">
        <f>sumatera!AU54</f>
        <v>33.353564573487915</v>
      </c>
      <c r="H24">
        <f>sumatera!AV54</f>
        <v>74.119172024492329</v>
      </c>
      <c r="I24">
        <f>sumatera!AW54</f>
        <v>3.5387628920486147</v>
      </c>
      <c r="J24">
        <f>sumatera!AX54</f>
        <v>27.88562912847437</v>
      </c>
      <c r="K24">
        <f>sumatera!AY54</f>
        <v>0</v>
      </c>
      <c r="L24">
        <f>sumatera!AZ54</f>
        <v>1.5799204277094998</v>
      </c>
      <c r="M24">
        <f>sumatera!BA54</f>
        <v>0</v>
      </c>
      <c r="N24">
        <f>sumatera!BB54</f>
        <v>0</v>
      </c>
      <c r="O24">
        <f>sumatera!BC54</f>
        <v>0.18193691525339589</v>
      </c>
      <c r="P24">
        <f>sumatera!BD54</f>
        <v>1096.3740584051275</v>
      </c>
    </row>
    <row r="25" spans="1:16" x14ac:dyDescent="0.25">
      <c r="A25" t="str">
        <f>sumatera!AO55</f>
        <v>SUMATERA</v>
      </c>
      <c r="B25">
        <f>sumatera!AP55</f>
        <v>2022</v>
      </c>
      <c r="C25">
        <f>sumatera!AQ55</f>
        <v>255.51086859679813</v>
      </c>
      <c r="D25">
        <f>sumatera!AR55</f>
        <v>45.960065387159943</v>
      </c>
      <c r="E25">
        <f>sumatera!AS55</f>
        <v>187.2454122096415</v>
      </c>
      <c r="F25">
        <f>sumatera!AT55</f>
        <v>91.454599006062878</v>
      </c>
      <c r="G25">
        <f>sumatera!AU55</f>
        <v>33.353564573487915</v>
      </c>
      <c r="H25">
        <f>sumatera!AV55</f>
        <v>74.119172024492329</v>
      </c>
      <c r="I25">
        <f>sumatera!AW55</f>
        <v>3.5387628920486147</v>
      </c>
      <c r="J25">
        <f>sumatera!AX55</f>
        <v>29.429260347621717</v>
      </c>
      <c r="K25">
        <f>sumatera!AY55</f>
        <v>0</v>
      </c>
      <c r="L25">
        <f>sumatera!AZ55</f>
        <v>1.5799204277094998</v>
      </c>
      <c r="M25">
        <f>sumatera!BA55</f>
        <v>0</v>
      </c>
      <c r="N25">
        <f>sumatera!BB55</f>
        <v>0</v>
      </c>
      <c r="O25">
        <f>sumatera!BC55</f>
        <v>9.9730281077686944E-2</v>
      </c>
      <c r="P25">
        <f>sumatera!BD55</f>
        <v>722.29135574609995</v>
      </c>
    </row>
    <row r="26" spans="1:16" x14ac:dyDescent="0.25">
      <c r="A26" t="str">
        <f>sumatera!AO56</f>
        <v>SUMATERA</v>
      </c>
      <c r="B26">
        <f>sumatera!AP56</f>
        <v>2023</v>
      </c>
      <c r="C26">
        <f>sumatera!AQ56</f>
        <v>255.51086859679813</v>
      </c>
      <c r="D26">
        <f>sumatera!AR56</f>
        <v>45.960065387159943</v>
      </c>
      <c r="E26">
        <f>sumatera!AS56</f>
        <v>1176.9825506834225</v>
      </c>
      <c r="F26">
        <f>sumatera!AT56</f>
        <v>261.40934276667156</v>
      </c>
      <c r="G26">
        <f>sumatera!AU56</f>
        <v>33.353564573487915</v>
      </c>
      <c r="H26">
        <f>sumatera!AV56</f>
        <v>74.119172024492329</v>
      </c>
      <c r="I26">
        <f>sumatera!AW56</f>
        <v>3.5387628920486147</v>
      </c>
      <c r="J26">
        <f>sumatera!AX56</f>
        <v>31.065892390851083</v>
      </c>
      <c r="K26">
        <f>sumatera!AY56</f>
        <v>5.4568806800432041E-8</v>
      </c>
      <c r="L26">
        <f>sumatera!AZ56</f>
        <v>1.5799204277094998</v>
      </c>
      <c r="M26">
        <f>sumatera!BA56</f>
        <v>0</v>
      </c>
      <c r="N26">
        <f>sumatera!BB56</f>
        <v>0</v>
      </c>
      <c r="O26">
        <f>sumatera!BC56</f>
        <v>0.40613128898781786</v>
      </c>
      <c r="P26">
        <f>sumatera!BD56</f>
        <v>1883.9262710861983</v>
      </c>
    </row>
    <row r="27" spans="1:16" x14ac:dyDescent="0.25">
      <c r="A27" t="str">
        <f>sumatera!AO57</f>
        <v>SUMATERA</v>
      </c>
      <c r="B27">
        <f>sumatera!AP57</f>
        <v>2024</v>
      </c>
      <c r="C27">
        <f>sumatera!AQ57</f>
        <v>255.51086859679813</v>
      </c>
      <c r="D27">
        <f>sumatera!AR57</f>
        <v>45.960065387159943</v>
      </c>
      <c r="E27">
        <f>sumatera!AS57</f>
        <v>1086.2004065257238</v>
      </c>
      <c r="F27">
        <f>sumatera!AT57</f>
        <v>229.36145407092522</v>
      </c>
      <c r="G27">
        <f>sumatera!AU57</f>
        <v>33.353564573487915</v>
      </c>
      <c r="H27">
        <f>sumatera!AV57</f>
        <v>74.119172024492329</v>
      </c>
      <c r="I27">
        <f>sumatera!AW57</f>
        <v>3.5387628920486147</v>
      </c>
      <c r="J27">
        <f>sumatera!AX57</f>
        <v>143.77657362483251</v>
      </c>
      <c r="K27">
        <f>sumatera!AY57</f>
        <v>1194.5197038776532</v>
      </c>
      <c r="L27">
        <f>sumatera!AZ57</f>
        <v>1.5799204277094998</v>
      </c>
      <c r="M27">
        <f>sumatera!BA57</f>
        <v>0</v>
      </c>
      <c r="N27">
        <f>sumatera!BB57</f>
        <v>0</v>
      </c>
      <c r="O27">
        <f>sumatera!BC57</f>
        <v>0.68328018998921958</v>
      </c>
      <c r="P27">
        <f>sumatera!BD57</f>
        <v>3068.6037721908201</v>
      </c>
    </row>
    <row r="28" spans="1:16" x14ac:dyDescent="0.25">
      <c r="A28" t="str">
        <f>sumatera!AO58</f>
        <v>SUMATERA</v>
      </c>
      <c r="B28">
        <f>sumatera!AP58</f>
        <v>2025</v>
      </c>
      <c r="C28">
        <f>sumatera!AQ58</f>
        <v>416.79507559723169</v>
      </c>
      <c r="D28">
        <f>sumatera!AR58</f>
        <v>45.960065387159943</v>
      </c>
      <c r="E28">
        <f>sumatera!AS58</f>
        <v>909.86164088884402</v>
      </c>
      <c r="F28">
        <f>sumatera!AT58</f>
        <v>226.91343046694251</v>
      </c>
      <c r="G28">
        <f>sumatera!AU58</f>
        <v>33.353564573487915</v>
      </c>
      <c r="H28">
        <f>sumatera!AV58</f>
        <v>74.119172024492329</v>
      </c>
      <c r="I28">
        <f>sumatera!AW58</f>
        <v>3.5387628920486147</v>
      </c>
      <c r="J28">
        <f>sumatera!AX58</f>
        <v>178.76960034670961</v>
      </c>
      <c r="K28">
        <f>sumatera!AY58</f>
        <v>1447.0092589594537</v>
      </c>
      <c r="L28">
        <f>sumatera!AZ58</f>
        <v>1.5799204277094998</v>
      </c>
      <c r="M28">
        <f>sumatera!BA58</f>
        <v>0</v>
      </c>
      <c r="N28">
        <f>sumatera!BB58</f>
        <v>0</v>
      </c>
      <c r="O28">
        <f>sumatera!BC58</f>
        <v>0.7243628068919491</v>
      </c>
      <c r="P28">
        <f>sumatera!BD58</f>
        <v>3338.6248543709721</v>
      </c>
    </row>
    <row r="29" spans="1:16" x14ac:dyDescent="0.25">
      <c r="A29" t="str">
        <f>sumatera!AO59</f>
        <v>SUMATERA</v>
      </c>
      <c r="B29">
        <f>sumatera!AP59</f>
        <v>2026</v>
      </c>
      <c r="C29">
        <f>sumatera!AQ59</f>
        <v>1154.9760691710183</v>
      </c>
      <c r="D29">
        <f>sumatera!AR59</f>
        <v>45.960065387159943</v>
      </c>
      <c r="E29">
        <f>sumatera!AS59</f>
        <v>478.16233175466152</v>
      </c>
      <c r="F29">
        <f>sumatera!AT59</f>
        <v>26.903544571133697</v>
      </c>
      <c r="G29">
        <f>sumatera!AU59</f>
        <v>33.353564573487915</v>
      </c>
      <c r="H29">
        <f>sumatera!AV59</f>
        <v>74.119172024492329</v>
      </c>
      <c r="I29">
        <f>sumatera!AW59</f>
        <v>3.5387628920486147</v>
      </c>
      <c r="J29">
        <f>sumatera!AX59</f>
        <v>301.21410783465683</v>
      </c>
      <c r="K29">
        <f>sumatera!AY59</f>
        <v>2509.9716022369198</v>
      </c>
      <c r="L29">
        <f>sumatera!AZ59</f>
        <v>1.5799204277094998</v>
      </c>
      <c r="M29">
        <f>sumatera!BA59</f>
        <v>0</v>
      </c>
      <c r="N29">
        <f>sumatera!BB59</f>
        <v>0</v>
      </c>
      <c r="O29">
        <f>sumatera!BC59</f>
        <v>0.95579164906263459</v>
      </c>
      <c r="P29">
        <f>sumatera!BD59</f>
        <v>4630.7349325223513</v>
      </c>
    </row>
    <row r="30" spans="1:16" x14ac:dyDescent="0.25">
      <c r="A30" t="str">
        <f>sumatera!AO60</f>
        <v>SUMATERA</v>
      </c>
      <c r="B30">
        <f>sumatera!AP60</f>
        <v>2027</v>
      </c>
      <c r="C30">
        <f>sumatera!AQ60</f>
        <v>1339.7075656266466</v>
      </c>
      <c r="D30">
        <f>sumatera!AR60</f>
        <v>45.960065387159943</v>
      </c>
      <c r="E30">
        <f>sumatera!AS60</f>
        <v>326.21638725103304</v>
      </c>
      <c r="F30">
        <f>sumatera!AT60</f>
        <v>26.903544571133697</v>
      </c>
      <c r="G30">
        <f>sumatera!AU60</f>
        <v>33.353564573487915</v>
      </c>
      <c r="H30">
        <f>sumatera!AV60</f>
        <v>74.119172024492329</v>
      </c>
      <c r="I30">
        <f>sumatera!AW60</f>
        <v>765.55204929371644</v>
      </c>
      <c r="J30">
        <f>sumatera!AX60</f>
        <v>418.81696756185505</v>
      </c>
      <c r="K30">
        <f>sumatera!AY60</f>
        <v>2638.1812971715776</v>
      </c>
      <c r="L30">
        <f>sumatera!AZ60</f>
        <v>1.5799204277094998</v>
      </c>
      <c r="M30">
        <f>sumatera!BA60</f>
        <v>0</v>
      </c>
      <c r="N30">
        <f>sumatera!BB60</f>
        <v>0</v>
      </c>
      <c r="O30">
        <f>sumatera!BC60</f>
        <v>1.0870498472967831</v>
      </c>
      <c r="P30">
        <f>sumatera!BD60</f>
        <v>5671.4775837361085</v>
      </c>
    </row>
    <row r="31" spans="1:16" x14ac:dyDescent="0.25">
      <c r="A31" t="str">
        <f>sumatera!AO61</f>
        <v>SUMATERA</v>
      </c>
      <c r="B31">
        <f>sumatera!AP61</f>
        <v>2028</v>
      </c>
      <c r="C31">
        <f>sumatera!AQ61</f>
        <v>917.13477873681666</v>
      </c>
      <c r="D31">
        <f>sumatera!AR61</f>
        <v>45.960065387159943</v>
      </c>
      <c r="E31">
        <f>sumatera!AS61</f>
        <v>1329.5740870363118</v>
      </c>
      <c r="F31">
        <f>sumatera!AT61</f>
        <v>26.903544571133697</v>
      </c>
      <c r="G31">
        <f>sumatera!AU61</f>
        <v>33.353564573487915</v>
      </c>
      <c r="H31">
        <f>sumatera!AV61</f>
        <v>74.119172024492329</v>
      </c>
      <c r="I31">
        <f>sumatera!AW61</f>
        <v>18.222957206678561</v>
      </c>
      <c r="J31">
        <f>sumatera!AX61</f>
        <v>119.94133512930568</v>
      </c>
      <c r="K31">
        <f>sumatera!AY61</f>
        <v>481.13473954775799</v>
      </c>
      <c r="L31">
        <f>sumatera!AZ61</f>
        <v>1.5799204277094998</v>
      </c>
      <c r="M31">
        <f>sumatera!BA61</f>
        <v>0</v>
      </c>
      <c r="N31">
        <f>sumatera!BB61</f>
        <v>0</v>
      </c>
      <c r="O31">
        <f>sumatera!BC61</f>
        <v>0.53578615624580217</v>
      </c>
      <c r="P31">
        <f>sumatera!BD61</f>
        <v>3048.4599507970997</v>
      </c>
    </row>
    <row r="32" spans="1:16" x14ac:dyDescent="0.25">
      <c r="A32" t="str">
        <f>sumatera!AO62</f>
        <v>SUMATERA</v>
      </c>
      <c r="B32">
        <f>sumatera!AP62</f>
        <v>2029</v>
      </c>
      <c r="C32">
        <f>sumatera!AQ62</f>
        <v>965.2907098817077</v>
      </c>
      <c r="D32">
        <f>sumatera!AR62</f>
        <v>45.960065387159943</v>
      </c>
      <c r="E32">
        <f>sumatera!AS62</f>
        <v>1464.4114099797318</v>
      </c>
      <c r="F32">
        <f>sumatera!AT62</f>
        <v>26.903544571133697</v>
      </c>
      <c r="G32">
        <f>sumatera!AU62</f>
        <v>33.353564573487915</v>
      </c>
      <c r="H32">
        <f>sumatera!AV62</f>
        <v>74.119172024492329</v>
      </c>
      <c r="I32">
        <f>sumatera!AW62</f>
        <v>18.223057555242328</v>
      </c>
      <c r="J32">
        <f>sumatera!AX62</f>
        <v>131.36592776619321</v>
      </c>
      <c r="K32">
        <f>sumatera!AY62</f>
        <v>453.774534214006</v>
      </c>
      <c r="L32">
        <f>sumatera!AZ62</f>
        <v>1.5799204277094998</v>
      </c>
      <c r="M32">
        <f>sumatera!BA62</f>
        <v>1.1325271113645574</v>
      </c>
      <c r="N32">
        <f>sumatera!BB62</f>
        <v>0</v>
      </c>
      <c r="O32">
        <f>sumatera!BC62</f>
        <v>0.56260943598337898</v>
      </c>
      <c r="P32">
        <f>sumatera!BD62</f>
        <v>3216.6770429282124</v>
      </c>
    </row>
    <row r="33" spans="1:16" x14ac:dyDescent="0.25">
      <c r="A33" t="str">
        <f>sumatera!AO63</f>
        <v>SUMATERA</v>
      </c>
      <c r="B33">
        <f>sumatera!AP63</f>
        <v>2030</v>
      </c>
      <c r="C33">
        <f>sumatera!AQ63</f>
        <v>993.57761199829179</v>
      </c>
      <c r="D33">
        <f>sumatera!AR63</f>
        <v>45.960065387159943</v>
      </c>
      <c r="E33">
        <f>sumatera!AS63</f>
        <v>943.14890977058076</v>
      </c>
      <c r="F33">
        <f>sumatera!AT63</f>
        <v>26.90584721170891</v>
      </c>
      <c r="G33">
        <f>sumatera!AU63</f>
        <v>33.353564573487915</v>
      </c>
      <c r="H33">
        <f>sumatera!AV63</f>
        <v>74.119173278924606</v>
      </c>
      <c r="I33">
        <f>sumatera!AW63</f>
        <v>18.222959304992461</v>
      </c>
      <c r="J33">
        <f>sumatera!AX63</f>
        <v>1883.9917043321018</v>
      </c>
      <c r="K33">
        <f>sumatera!AY63</f>
        <v>299.88416257734048</v>
      </c>
      <c r="L33">
        <f>sumatera!AZ63</f>
        <v>1.5799204277094998</v>
      </c>
      <c r="M33">
        <f>sumatera!BA63</f>
        <v>3.0440406394654014E-2</v>
      </c>
      <c r="N33">
        <f>sumatera!BB63</f>
        <v>0</v>
      </c>
      <c r="O33">
        <f>sumatera!BC63</f>
        <v>0.7002052607947975</v>
      </c>
      <c r="P33">
        <f>sumatera!BD63</f>
        <v>4321.474564529487</v>
      </c>
    </row>
    <row r="34" spans="1:16" x14ac:dyDescent="0.25">
      <c r="A34" t="str">
        <f>sumatera!AO64</f>
        <v>SUMATERA</v>
      </c>
      <c r="B34">
        <f>sumatera!AP64</f>
        <v>2031</v>
      </c>
      <c r="C34">
        <f>sumatera!AQ64</f>
        <v>1119.039355098997</v>
      </c>
      <c r="D34">
        <f>sumatera!AR64</f>
        <v>45.960065387159943</v>
      </c>
      <c r="E34">
        <f>sumatera!AS64</f>
        <v>1601.299765265622</v>
      </c>
      <c r="F34">
        <f>sumatera!AT64</f>
        <v>26.903567347339475</v>
      </c>
      <c r="G34">
        <f>sumatera!AU64</f>
        <v>33.353564573487972</v>
      </c>
      <c r="H34">
        <f>sumatera!AV64</f>
        <v>74.119172046927318</v>
      </c>
      <c r="I34">
        <f>sumatera!AW64</f>
        <v>18.222959143592824</v>
      </c>
      <c r="J34">
        <f>sumatera!AX64</f>
        <v>34.629629015862243</v>
      </c>
      <c r="K34">
        <f>sumatera!AY64</f>
        <v>902.19532922297219</v>
      </c>
      <c r="L34">
        <f>sumatera!AZ64</f>
        <v>1.5799204277094998</v>
      </c>
      <c r="M34">
        <f>sumatera!BA64</f>
        <v>3.0440406394654014E-2</v>
      </c>
      <c r="N34">
        <f>sumatera!BB64</f>
        <v>0</v>
      </c>
      <c r="O34">
        <f>sumatera!BC64</f>
        <v>0.7023722177159929</v>
      </c>
      <c r="P34">
        <f>sumatera!BD64</f>
        <v>3858.0361401537812</v>
      </c>
    </row>
    <row r="35" spans="1:16" x14ac:dyDescent="0.25">
      <c r="A35" t="str">
        <f>sumatera!AO65</f>
        <v>SUMATERA</v>
      </c>
      <c r="B35">
        <f>sumatera!AP65</f>
        <v>2032</v>
      </c>
      <c r="C35">
        <f>sumatera!AQ65</f>
        <v>1187.9176448313312</v>
      </c>
      <c r="D35">
        <f>sumatera!AR65</f>
        <v>45.960065387159943</v>
      </c>
      <c r="E35">
        <f>sumatera!AS65</f>
        <v>1740.6744953234827</v>
      </c>
      <c r="F35">
        <f>sumatera!AT65</f>
        <v>26.903567347339475</v>
      </c>
      <c r="G35">
        <f>sumatera!AU65</f>
        <v>33.353564573487915</v>
      </c>
      <c r="H35">
        <f>sumatera!AV65</f>
        <v>74.119172046927318</v>
      </c>
      <c r="I35">
        <f>sumatera!AW65</f>
        <v>18.222959143592824</v>
      </c>
      <c r="J35">
        <f>sumatera!AX65</f>
        <v>34.629629015862243</v>
      </c>
      <c r="K35">
        <f>sumatera!AY65</f>
        <v>971.99079490476947</v>
      </c>
      <c r="L35">
        <f>sumatera!AZ65</f>
        <v>1.5799204277094998</v>
      </c>
      <c r="M35">
        <f>sumatera!BA65</f>
        <v>3.0440406394654014E-2</v>
      </c>
      <c r="N35">
        <f>sumatera!BB65</f>
        <v>0</v>
      </c>
      <c r="O35">
        <f>sumatera!BC65</f>
        <v>0.75187101541115409</v>
      </c>
      <c r="P35">
        <f>sumatera!BD65</f>
        <v>4136.1341244234682</v>
      </c>
    </row>
    <row r="36" spans="1:16" x14ac:dyDescent="0.25">
      <c r="A36" t="str">
        <f>sumatera!AO66</f>
        <v>SUMATERA</v>
      </c>
      <c r="B36">
        <f>sumatera!AP66</f>
        <v>2033</v>
      </c>
      <c r="C36">
        <f>sumatera!AQ66</f>
        <v>1174.4401434225426</v>
      </c>
      <c r="D36">
        <f>sumatera!AR66</f>
        <v>45.960065387159943</v>
      </c>
      <c r="E36">
        <f>sumatera!AS66</f>
        <v>2053.0689241588602</v>
      </c>
      <c r="F36">
        <f>sumatera!AT66</f>
        <v>26.903567347339475</v>
      </c>
      <c r="G36">
        <f>sumatera!AU66</f>
        <v>33.353564573487915</v>
      </c>
      <c r="H36">
        <f>sumatera!AV66</f>
        <v>74.119172046927318</v>
      </c>
      <c r="I36">
        <f>sumatera!AW66</f>
        <v>18.222959143592824</v>
      </c>
      <c r="J36">
        <f>sumatera!AX66</f>
        <v>34.629629015862243</v>
      </c>
      <c r="K36">
        <f>sumatera!AY66</f>
        <v>455.07754163266748</v>
      </c>
      <c r="L36">
        <f>sumatera!AZ66</f>
        <v>1.5799204277094998</v>
      </c>
      <c r="M36">
        <f>sumatera!BA66</f>
        <v>3.0440406394654014E-2</v>
      </c>
      <c r="N36">
        <f>sumatera!BB66</f>
        <v>0</v>
      </c>
      <c r="O36">
        <f>sumatera!BC66</f>
        <v>0.68056605945128379</v>
      </c>
      <c r="P36">
        <f>sumatera!BD66</f>
        <v>3918.0664936219955</v>
      </c>
    </row>
    <row r="37" spans="1:16" x14ac:dyDescent="0.25">
      <c r="A37" t="str">
        <f>sumatera!AO67</f>
        <v>SUMATERA</v>
      </c>
      <c r="B37">
        <f>sumatera!AP67</f>
        <v>2034</v>
      </c>
      <c r="C37">
        <f>sumatera!AQ67</f>
        <v>2199.5902951444077</v>
      </c>
      <c r="D37">
        <f>sumatera!AR67</f>
        <v>45.960225026326889</v>
      </c>
      <c r="E37">
        <f>sumatera!AS67</f>
        <v>430.79892102222601</v>
      </c>
      <c r="F37">
        <f>sumatera!AT67</f>
        <v>26.904389146130406</v>
      </c>
      <c r="G37">
        <f>sumatera!AU67</f>
        <v>33.353564573487915</v>
      </c>
      <c r="H37">
        <f>sumatera!AV67</f>
        <v>74.119172046927318</v>
      </c>
      <c r="I37">
        <f>sumatera!AW67</f>
        <v>2467.7231655955902</v>
      </c>
      <c r="J37">
        <f>sumatera!AX67</f>
        <v>34.629629015862243</v>
      </c>
      <c r="K37">
        <f>sumatera!AY67</f>
        <v>352.06588080000381</v>
      </c>
      <c r="L37">
        <f>sumatera!AZ67</f>
        <v>1.5799204277094998</v>
      </c>
      <c r="M37">
        <f>sumatera!BA67</f>
        <v>3.0440406394654014E-2</v>
      </c>
      <c r="N37">
        <f>sumatera!BB67</f>
        <v>0</v>
      </c>
      <c r="O37">
        <f>sumatera!BC67</f>
        <v>0.77100528567116444</v>
      </c>
      <c r="P37">
        <f>sumatera!BD67</f>
        <v>5667.5266084907371</v>
      </c>
    </row>
    <row r="38" spans="1:16" x14ac:dyDescent="0.25">
      <c r="A38" t="str">
        <f>sumatera!AO68</f>
        <v>SUMATERA</v>
      </c>
      <c r="B38">
        <f>sumatera!AP68</f>
        <v>2035</v>
      </c>
      <c r="C38">
        <f>sumatera!AQ68</f>
        <v>498.47774842270337</v>
      </c>
      <c r="D38">
        <f>sumatera!AR68</f>
        <v>45.960070181881903</v>
      </c>
      <c r="E38">
        <f>sumatera!AS68</f>
        <v>895.11488477005469</v>
      </c>
      <c r="F38">
        <f>sumatera!AT68</f>
        <v>1334.3999131772448</v>
      </c>
      <c r="G38">
        <f>sumatera!AU68</f>
        <v>33.353564573487915</v>
      </c>
      <c r="H38">
        <f>sumatera!AV68</f>
        <v>74.119172046927318</v>
      </c>
      <c r="I38">
        <f>sumatera!AW68</f>
        <v>148.91567924020904</v>
      </c>
      <c r="J38">
        <f>sumatera!AX68</f>
        <v>34.629629015862243</v>
      </c>
      <c r="K38">
        <f>sumatera!AY68</f>
        <v>718.34378312661158</v>
      </c>
      <c r="L38">
        <f>sumatera!AZ68</f>
        <v>1.5799204277094998</v>
      </c>
      <c r="M38">
        <f>sumatera!BA68</f>
        <v>3.0440406394654014E-2</v>
      </c>
      <c r="N38">
        <f>sumatera!BB68</f>
        <v>0</v>
      </c>
      <c r="O38">
        <f>sumatera!BC68</f>
        <v>0.81572920343495148</v>
      </c>
      <c r="P38">
        <f>sumatera!BD68</f>
        <v>3785.7405345925213</v>
      </c>
    </row>
    <row r="39" spans="1:16" x14ac:dyDescent="0.25">
      <c r="A39" t="str">
        <f>sumatera!AO69</f>
        <v>SUMATERA</v>
      </c>
      <c r="B39">
        <f>sumatera!AP69</f>
        <v>2036</v>
      </c>
      <c r="C39">
        <f>sumatera!AQ69</f>
        <v>1467.5864154471328</v>
      </c>
      <c r="D39">
        <f>sumatera!AR69</f>
        <v>45.960070181881903</v>
      </c>
      <c r="E39">
        <f>sumatera!AS69</f>
        <v>681.43759152127473</v>
      </c>
      <c r="F39">
        <f>sumatera!AT69</f>
        <v>766.59212797995565</v>
      </c>
      <c r="G39">
        <f>sumatera!AU69</f>
        <v>33.353564573487915</v>
      </c>
      <c r="H39">
        <f>sumatera!AV69</f>
        <v>74.119172046927318</v>
      </c>
      <c r="I39">
        <f>sumatera!AW69</f>
        <v>1606.5509525534894</v>
      </c>
      <c r="J39">
        <f>sumatera!AX69</f>
        <v>34.629629015862243</v>
      </c>
      <c r="K39">
        <f>sumatera!AY69</f>
        <v>549.27479156330583</v>
      </c>
      <c r="L39">
        <f>sumatera!AZ69</f>
        <v>1.5799204277094998</v>
      </c>
      <c r="M39">
        <f>sumatera!BA69</f>
        <v>3.0440406394654014E-2</v>
      </c>
      <c r="N39">
        <f>sumatera!BB69</f>
        <v>0</v>
      </c>
      <c r="O39">
        <f>sumatera!BC69</f>
        <v>0.88566864033497661</v>
      </c>
      <c r="P39">
        <f>sumatera!BD69</f>
        <v>5262.000344357758</v>
      </c>
    </row>
    <row r="40" spans="1:16" x14ac:dyDescent="0.25">
      <c r="A40" t="str">
        <f>sumatera!AO70</f>
        <v>SUMATERA</v>
      </c>
      <c r="B40">
        <f>sumatera!AP70</f>
        <v>2037</v>
      </c>
      <c r="C40">
        <f>sumatera!AQ70</f>
        <v>1518.5156976805806</v>
      </c>
      <c r="D40">
        <f>sumatera!AR70</f>
        <v>45.960070181881903</v>
      </c>
      <c r="E40">
        <f>sumatera!AS70</f>
        <v>1496.9730345217381</v>
      </c>
      <c r="F40">
        <f>sumatera!AT70</f>
        <v>263.48843627103724</v>
      </c>
      <c r="G40">
        <f>sumatera!AU70</f>
        <v>33.353564573487915</v>
      </c>
      <c r="H40">
        <f>sumatera!AV70</f>
        <v>74.119172046927318</v>
      </c>
      <c r="I40">
        <f>sumatera!AW70</f>
        <v>1489.3910310544336</v>
      </c>
      <c r="J40">
        <f>sumatera!AX70</f>
        <v>478.32618237314745</v>
      </c>
      <c r="K40">
        <f>sumatera!AY70</f>
        <v>464.74029578165289</v>
      </c>
      <c r="L40">
        <f>sumatera!AZ70</f>
        <v>1.5799204277094998</v>
      </c>
      <c r="M40">
        <f>sumatera!BA70</f>
        <v>3.0440406394654014E-2</v>
      </c>
      <c r="N40">
        <f>sumatera!BB70</f>
        <v>0</v>
      </c>
      <c r="O40">
        <f>sumatera!BC70</f>
        <v>0.93992085771547407</v>
      </c>
      <c r="P40">
        <f>sumatera!BD70</f>
        <v>5867.4177661767053</v>
      </c>
    </row>
    <row r="41" spans="1:16" x14ac:dyDescent="0.25">
      <c r="A41" t="str">
        <f>sumatera!AO71</f>
        <v>SUMATERA</v>
      </c>
      <c r="B41">
        <f>sumatera!AP71</f>
        <v>2038</v>
      </c>
      <c r="C41">
        <f>sumatera!AQ71</f>
        <v>1707.4254030234883</v>
      </c>
      <c r="D41">
        <f>sumatera!AR71</f>
        <v>45.960070181881903</v>
      </c>
      <c r="E41">
        <f>sumatera!AS71</f>
        <v>1661.1188853377644</v>
      </c>
      <c r="F41">
        <f>sumatera!AT71</f>
        <v>291.98898084429527</v>
      </c>
      <c r="G41">
        <f>sumatera!AU71</f>
        <v>33.353564574395719</v>
      </c>
      <c r="H41">
        <f>sumatera!AV71</f>
        <v>74.119172048206735</v>
      </c>
      <c r="I41">
        <f>sumatera!AW71</f>
        <v>123.53872419015831</v>
      </c>
      <c r="J41">
        <f>sumatera!AX71</f>
        <v>3060.7712962251958</v>
      </c>
      <c r="K41">
        <f>sumatera!AY71</f>
        <v>376.68828171797423</v>
      </c>
      <c r="L41">
        <f>sumatera!AZ71</f>
        <v>1.5799204277094998</v>
      </c>
      <c r="M41">
        <f>sumatera!BA71</f>
        <v>3.0440406394654014E-2</v>
      </c>
      <c r="N41">
        <f>sumatera!BB71</f>
        <v>6.0956246596117521E-6</v>
      </c>
      <c r="O41">
        <f>sumatera!BC71</f>
        <v>1.2631715560218468</v>
      </c>
      <c r="P41">
        <f>sumatera!BD71</f>
        <v>7377.8379166291106</v>
      </c>
    </row>
    <row r="42" spans="1:16" x14ac:dyDescent="0.25">
      <c r="A42" t="str">
        <f>Jawa!AO52</f>
        <v>JAWA</v>
      </c>
      <c r="B42">
        <f>Jawa!AP52</f>
        <v>2019</v>
      </c>
      <c r="C42">
        <f>Jawa!AQ52</f>
        <v>1066.2289493217263</v>
      </c>
      <c r="D42">
        <f>Jawa!AR52</f>
        <v>65.179729584915194</v>
      </c>
      <c r="E42">
        <f>Jawa!AS52</f>
        <v>224.83525821330088</v>
      </c>
      <c r="F42">
        <f>Jawa!AT52</f>
        <v>0.26257266057359091</v>
      </c>
      <c r="G42">
        <f>Jawa!AU52</f>
        <v>59.356487505389453</v>
      </c>
      <c r="H42">
        <f>Jawa!AV52</f>
        <v>98.298776404551162</v>
      </c>
      <c r="I42">
        <f>Jawa!AW52</f>
        <v>0.87386188694909572</v>
      </c>
      <c r="J42">
        <f>Jawa!AX52</f>
        <v>1.0800000000000001E-2</v>
      </c>
      <c r="K42">
        <f>Jawa!AY52</f>
        <v>0</v>
      </c>
      <c r="L42">
        <f>Jawa!AZ52</f>
        <v>0.34533779840644813</v>
      </c>
      <c r="M42">
        <f>Jawa!BA52</f>
        <v>0</v>
      </c>
      <c r="N42">
        <f>Jawa!BB52</f>
        <v>0</v>
      </c>
      <c r="O42">
        <f>Jawa!BC52</f>
        <v>0</v>
      </c>
      <c r="P42">
        <f>Jawa!BD52</f>
        <v>1515.3917733758119</v>
      </c>
    </row>
    <row r="43" spans="1:16" x14ac:dyDescent="0.25">
      <c r="A43" t="str">
        <f>Jawa!AO53</f>
        <v>JAWA</v>
      </c>
      <c r="B43">
        <f>Jawa!AP53</f>
        <v>2020</v>
      </c>
      <c r="C43">
        <f>Jawa!AQ53</f>
        <v>3423.1170395863319</v>
      </c>
      <c r="D43">
        <f>Jawa!AR53</f>
        <v>65.179729584915194</v>
      </c>
      <c r="E43">
        <f>Jawa!AS53</f>
        <v>904.86370655432324</v>
      </c>
      <c r="F43">
        <f>Jawa!AT53</f>
        <v>0.26257266057359091</v>
      </c>
      <c r="G43">
        <f>Jawa!AU53</f>
        <v>59.356487505389453</v>
      </c>
      <c r="H43">
        <f>Jawa!AV53</f>
        <v>4537.6571482987329</v>
      </c>
      <c r="I43">
        <f>Jawa!AW53</f>
        <v>0.87386188694909572</v>
      </c>
      <c r="J43">
        <f>Jawa!AX53</f>
        <v>5887.2525762548348</v>
      </c>
      <c r="K43">
        <f>Jawa!AY53</f>
        <v>30.110898805782739</v>
      </c>
      <c r="L43">
        <f>Jawa!AZ53</f>
        <v>0.34533779840644813</v>
      </c>
      <c r="M43">
        <f>Jawa!BA53</f>
        <v>27.640327061201059</v>
      </c>
      <c r="N43">
        <f>Jawa!BB53</f>
        <v>0</v>
      </c>
      <c r="O43">
        <f>Jawa!BC53</f>
        <v>12.27569901405333</v>
      </c>
      <c r="P43">
        <f>Jawa!BD53</f>
        <v>14948.935385011491</v>
      </c>
    </row>
    <row r="44" spans="1:16" x14ac:dyDescent="0.25">
      <c r="A44" t="str">
        <f>Jawa!AO54</f>
        <v>JAWA</v>
      </c>
      <c r="B44">
        <f>Jawa!AP54</f>
        <v>2021</v>
      </c>
      <c r="C44">
        <f>Jawa!AQ54</f>
        <v>1137.7276928781641</v>
      </c>
      <c r="D44">
        <f>Jawa!AR54</f>
        <v>137.82511600796227</v>
      </c>
      <c r="E44">
        <f>Jawa!AS54</f>
        <v>5382.6382783775298</v>
      </c>
      <c r="F44">
        <f>Jawa!AT54</f>
        <v>6.9228470246232003</v>
      </c>
      <c r="G44">
        <f>Jawa!AU54</f>
        <v>59.356487505389453</v>
      </c>
      <c r="H44">
        <f>Jawa!AV54</f>
        <v>177.69489800694512</v>
      </c>
      <c r="I44">
        <f>Jawa!AW54</f>
        <v>0.87386188694909572</v>
      </c>
      <c r="J44">
        <f>Jawa!AX54</f>
        <v>56.288204127767941</v>
      </c>
      <c r="K44">
        <f>Jawa!AY54</f>
        <v>1.1566689741048524</v>
      </c>
      <c r="L44">
        <f>Jawa!AZ54</f>
        <v>0.34533779840644813</v>
      </c>
      <c r="M44">
        <f>Jawa!BA54</f>
        <v>0.7429250745356103</v>
      </c>
      <c r="N44">
        <f>Jawa!BB54</f>
        <v>0</v>
      </c>
      <c r="O44">
        <f>Jawa!BC54</f>
        <v>1.3950245679596853</v>
      </c>
      <c r="P44">
        <f>Jawa!BD54</f>
        <v>6962.9673422303385</v>
      </c>
    </row>
    <row r="45" spans="1:16" x14ac:dyDescent="0.25">
      <c r="A45" t="str">
        <f>Jawa!AO55</f>
        <v>JAWA</v>
      </c>
      <c r="B45">
        <f>Jawa!AP55</f>
        <v>2022</v>
      </c>
      <c r="C45">
        <f>Jawa!AQ55</f>
        <v>1137.7276928781641</v>
      </c>
      <c r="D45">
        <f>Jawa!AR55</f>
        <v>412.13143906028716</v>
      </c>
      <c r="E45">
        <f>Jawa!AS55</f>
        <v>2512.2037455129662</v>
      </c>
      <c r="F45">
        <f>Jawa!AT55</f>
        <v>1.3332061065365628</v>
      </c>
      <c r="G45">
        <f>Jawa!AU55</f>
        <v>59.356487505389453</v>
      </c>
      <c r="H45">
        <f>Jawa!AV55</f>
        <v>177.69489800694512</v>
      </c>
      <c r="I45">
        <f>Jawa!AW55</f>
        <v>0.87386188694909572</v>
      </c>
      <c r="J45">
        <f>Jawa!AX55</f>
        <v>56.288204127767941</v>
      </c>
      <c r="K45">
        <f>Jawa!AY55</f>
        <v>538.97356109459554</v>
      </c>
      <c r="L45">
        <f>Jawa!AZ55</f>
        <v>0.34533779840644813</v>
      </c>
      <c r="M45">
        <f>Jawa!BA55</f>
        <v>0.7429250745356103</v>
      </c>
      <c r="N45">
        <f>Jawa!BB55</f>
        <v>0</v>
      </c>
      <c r="O45">
        <f>Jawa!BC55</f>
        <v>0.85620128483086033</v>
      </c>
      <c r="P45">
        <f>Jawa!BD55</f>
        <v>4898.5275603373739</v>
      </c>
    </row>
    <row r="46" spans="1:16" x14ac:dyDescent="0.25">
      <c r="A46" t="str">
        <f>Jawa!AO56</f>
        <v>JAWA</v>
      </c>
      <c r="B46">
        <f>Jawa!AP56</f>
        <v>2023</v>
      </c>
      <c r="C46">
        <f>Jawa!AQ56</f>
        <v>1137.7276928781641</v>
      </c>
      <c r="D46">
        <f>Jawa!AR56</f>
        <v>422.68866129249511</v>
      </c>
      <c r="E46">
        <f>Jawa!AS56</f>
        <v>1273.8750061464527</v>
      </c>
      <c r="F46">
        <f>Jawa!AT56</f>
        <v>1.2690350748343704</v>
      </c>
      <c r="G46">
        <f>Jawa!AU56</f>
        <v>59.356487505389453</v>
      </c>
      <c r="H46">
        <f>Jawa!AV56</f>
        <v>177.69489800694512</v>
      </c>
      <c r="I46">
        <f>Jawa!AW56</f>
        <v>0.87386188694909572</v>
      </c>
      <c r="J46">
        <f>Jawa!AX56</f>
        <v>56.288204127767941</v>
      </c>
      <c r="K46">
        <f>Jawa!AY56</f>
        <v>2828.8856090079648</v>
      </c>
      <c r="L46">
        <f>Jawa!AZ56</f>
        <v>0.34533779840644813</v>
      </c>
      <c r="M46">
        <f>Jawa!BA56</f>
        <v>0.7429250745356103</v>
      </c>
      <c r="N46">
        <f>Jawa!BB56</f>
        <v>0</v>
      </c>
      <c r="O46">
        <f>Jawa!BC56</f>
        <v>1.1079381105855688</v>
      </c>
      <c r="P46">
        <f>Jawa!BD56</f>
        <v>5960.8556569104903</v>
      </c>
    </row>
    <row r="47" spans="1:16" x14ac:dyDescent="0.25">
      <c r="A47" t="str">
        <f>Jawa!AO57</f>
        <v>JAWA</v>
      </c>
      <c r="B47">
        <f>Jawa!AP57</f>
        <v>2024</v>
      </c>
      <c r="C47">
        <f>Jawa!AQ57</f>
        <v>1137.7276928781641</v>
      </c>
      <c r="D47">
        <f>Jawa!AR57</f>
        <v>447.63821032089027</v>
      </c>
      <c r="E47">
        <f>Jawa!AS57</f>
        <v>1441.6083842715809</v>
      </c>
      <c r="F47">
        <f>Jawa!AT57</f>
        <v>1.4190510049662093</v>
      </c>
      <c r="G47">
        <f>Jawa!AU57</f>
        <v>59.356487505389453</v>
      </c>
      <c r="H47">
        <f>Jawa!AV57</f>
        <v>177.69489800694512</v>
      </c>
      <c r="I47">
        <f>Jawa!AW57</f>
        <v>0.87386188694909572</v>
      </c>
      <c r="J47">
        <f>Jawa!AX57</f>
        <v>56.288204127767941</v>
      </c>
      <c r="K47">
        <f>Jawa!AY57</f>
        <v>3241.0238446617786</v>
      </c>
      <c r="L47">
        <f>Jawa!AZ57</f>
        <v>0.34533779840644813</v>
      </c>
      <c r="M47">
        <f>Jawa!BA57</f>
        <v>0.7429250745356103</v>
      </c>
      <c r="N47">
        <f>Jawa!BB57</f>
        <v>0</v>
      </c>
      <c r="O47">
        <f>Jawa!BC57</f>
        <v>1.2312107823153311</v>
      </c>
      <c r="P47">
        <f>Jawa!BD57</f>
        <v>6565.9501083196892</v>
      </c>
    </row>
    <row r="48" spans="1:16" x14ac:dyDescent="0.25">
      <c r="A48" t="str">
        <f>Jawa!AO58</f>
        <v>JAWA</v>
      </c>
      <c r="B48">
        <f>Jawa!AP58</f>
        <v>2025</v>
      </c>
      <c r="C48">
        <f>Jawa!AQ58</f>
        <v>1137.7276928781641</v>
      </c>
      <c r="D48">
        <f>Jawa!AR58</f>
        <v>477.54796501679994</v>
      </c>
      <c r="E48">
        <f>Jawa!AS58</f>
        <v>1220.1961763110803</v>
      </c>
      <c r="F48">
        <f>Jawa!AT58</f>
        <v>1.2831791522156586</v>
      </c>
      <c r="G48">
        <f>Jawa!AU58</f>
        <v>59.356487505389453</v>
      </c>
      <c r="H48">
        <f>Jawa!AV58</f>
        <v>177.69489800694512</v>
      </c>
      <c r="I48">
        <f>Jawa!AW58</f>
        <v>0.87386188694909572</v>
      </c>
      <c r="J48">
        <f>Jawa!AX58</f>
        <v>56.288204127767941</v>
      </c>
      <c r="K48">
        <f>Jawa!AY58</f>
        <v>3500.2608940030113</v>
      </c>
      <c r="L48">
        <f>Jawa!AZ58</f>
        <v>0.34533779840644813</v>
      </c>
      <c r="M48">
        <f>Jawa!BA58</f>
        <v>0.7429250745356103</v>
      </c>
      <c r="N48">
        <f>Jawa!BB58</f>
        <v>0</v>
      </c>
      <c r="O48">
        <f>Jawa!BC58</f>
        <v>1.2186021546642924</v>
      </c>
      <c r="P48">
        <f>Jawa!BD58</f>
        <v>6633.5362239159285</v>
      </c>
    </row>
    <row r="49" spans="1:16" x14ac:dyDescent="0.25">
      <c r="A49" t="str">
        <f>Jawa!AO59</f>
        <v>JAWA</v>
      </c>
      <c r="B49">
        <f>Jawa!AP59</f>
        <v>2026</v>
      </c>
      <c r="C49">
        <f>Jawa!AQ59</f>
        <v>1137.7276928781641</v>
      </c>
      <c r="D49">
        <f>Jawa!AR59</f>
        <v>516.96194520035397</v>
      </c>
      <c r="E49">
        <f>Jawa!AS59</f>
        <v>3265.3703967590291</v>
      </c>
      <c r="F49">
        <f>Jawa!AT59</f>
        <v>2.0499280263803286</v>
      </c>
      <c r="G49">
        <f>Jawa!AU59</f>
        <v>59.356487505389453</v>
      </c>
      <c r="H49">
        <f>Jawa!AV59</f>
        <v>177.69489800694518</v>
      </c>
      <c r="I49">
        <f>Jawa!AW59</f>
        <v>0.87386188694909572</v>
      </c>
      <c r="J49">
        <f>Jawa!AX59</f>
        <v>56.288204127767941</v>
      </c>
      <c r="K49">
        <f>Jawa!AY59</f>
        <v>2528.870123474368</v>
      </c>
      <c r="L49">
        <f>Jawa!AZ59</f>
        <v>0.34533779840644813</v>
      </c>
      <c r="M49">
        <f>Jawa!BA59</f>
        <v>0.7429250745356103</v>
      </c>
      <c r="N49">
        <f>Jawa!BB59</f>
        <v>0</v>
      </c>
      <c r="O49">
        <f>Jawa!BC59</f>
        <v>1.4587722706633741</v>
      </c>
      <c r="P49">
        <f>Jawa!BD59</f>
        <v>7747.740573008954</v>
      </c>
    </row>
    <row r="50" spans="1:16" x14ac:dyDescent="0.25">
      <c r="A50" t="str">
        <f>Jawa!AO60</f>
        <v>JAWA</v>
      </c>
      <c r="B50">
        <f>Jawa!AP60</f>
        <v>2027</v>
      </c>
      <c r="C50">
        <f>Jawa!AQ60</f>
        <v>1137.7276928781641</v>
      </c>
      <c r="D50">
        <f>Jawa!AR60</f>
        <v>535.77544524477412</v>
      </c>
      <c r="E50">
        <f>Jawa!AS60</f>
        <v>3514.8624626732167</v>
      </c>
      <c r="F50">
        <f>Jawa!AT60</f>
        <v>2.1238084934525445</v>
      </c>
      <c r="G50">
        <f>Jawa!AU60</f>
        <v>59.356487505389453</v>
      </c>
      <c r="H50">
        <f>Jawa!AV60</f>
        <v>177.69489800694512</v>
      </c>
      <c r="I50">
        <f>Jawa!AW60</f>
        <v>0.87386188694909572</v>
      </c>
      <c r="J50">
        <f>Jawa!AX60</f>
        <v>56.288204127767941</v>
      </c>
      <c r="K50">
        <f>Jawa!AY60</f>
        <v>2766.8909154033176</v>
      </c>
      <c r="L50">
        <f>Jawa!AZ60</f>
        <v>0.34533779840644813</v>
      </c>
      <c r="M50">
        <f>Jawa!BA60</f>
        <v>0.7429250745356103</v>
      </c>
      <c r="N50">
        <f>Jawa!BB60</f>
        <v>0</v>
      </c>
      <c r="O50">
        <f>Jawa!BC60</f>
        <v>1.5500976349757161</v>
      </c>
      <c r="P50">
        <f>Jawa!BD60</f>
        <v>8254.2321367278946</v>
      </c>
    </row>
    <row r="51" spans="1:16" x14ac:dyDescent="0.25">
      <c r="A51" t="str">
        <f>Jawa!AO61</f>
        <v>JAWA</v>
      </c>
      <c r="B51">
        <f>Jawa!AP61</f>
        <v>2028</v>
      </c>
      <c r="C51">
        <f>Jawa!AQ61</f>
        <v>1137.7276928781641</v>
      </c>
      <c r="D51">
        <f>Jawa!AR61</f>
        <v>573.06203824263969</v>
      </c>
      <c r="E51">
        <f>Jawa!AS61</f>
        <v>3571.2909645136765</v>
      </c>
      <c r="F51">
        <f>Jawa!AT61</f>
        <v>2.0655500664176043</v>
      </c>
      <c r="G51">
        <f>Jawa!AU61</f>
        <v>59.356487505389453</v>
      </c>
      <c r="H51">
        <f>Jawa!AV61</f>
        <v>177.69489800694512</v>
      </c>
      <c r="I51">
        <f>Jawa!AW61</f>
        <v>0.87386188694909572</v>
      </c>
      <c r="J51">
        <f>Jawa!AX61</f>
        <v>56.288204127767941</v>
      </c>
      <c r="K51">
        <f>Jawa!AY61</f>
        <v>2915.1819910074919</v>
      </c>
      <c r="L51">
        <f>Jawa!AZ61</f>
        <v>0.34533779840644813</v>
      </c>
      <c r="M51">
        <f>Jawa!BA61</f>
        <v>0.7429250745356103</v>
      </c>
      <c r="N51">
        <f>Jawa!BB61</f>
        <v>0</v>
      </c>
      <c r="O51">
        <f>Jawa!BC61</f>
        <v>1.5738242963405236</v>
      </c>
      <c r="P51">
        <f>Jawa!BD61</f>
        <v>8496.2037754047251</v>
      </c>
    </row>
    <row r="52" spans="1:16" x14ac:dyDescent="0.25">
      <c r="A52" t="str">
        <f>Jawa!AO62</f>
        <v>JAWA</v>
      </c>
      <c r="B52">
        <f>Jawa!AP62</f>
        <v>2029</v>
      </c>
      <c r="C52">
        <f>Jawa!AQ62</f>
        <v>1137.7276928781641</v>
      </c>
      <c r="D52">
        <f>Jawa!AR62</f>
        <v>627.09852751766721</v>
      </c>
      <c r="E52">
        <f>Jawa!AS62</f>
        <v>3827.7896307208853</v>
      </c>
      <c r="F52">
        <f>Jawa!AT62</f>
        <v>2.1609576958201826</v>
      </c>
      <c r="G52">
        <f>Jawa!AU62</f>
        <v>59.356487505389453</v>
      </c>
      <c r="H52">
        <f>Jawa!AV62</f>
        <v>177.69489800694512</v>
      </c>
      <c r="I52">
        <f>Jawa!AW62</f>
        <v>0.87386188694909572</v>
      </c>
      <c r="J52">
        <f>Jawa!AX62</f>
        <v>56.288204127767941</v>
      </c>
      <c r="K52">
        <f>Jawa!AY62</f>
        <v>3190.1229752864797</v>
      </c>
      <c r="L52">
        <f>Jawa!AZ62</f>
        <v>0.34533779840644813</v>
      </c>
      <c r="M52">
        <f>Jawa!BA62</f>
        <v>0.7429250745356103</v>
      </c>
      <c r="N52">
        <f>Jawa!BB62</f>
        <v>0</v>
      </c>
      <c r="O52">
        <f>Jawa!BC62</f>
        <v>1.682099093328997</v>
      </c>
      <c r="P52">
        <f>Jawa!BD62</f>
        <v>9081.8835975923394</v>
      </c>
    </row>
    <row r="53" spans="1:16" x14ac:dyDescent="0.25">
      <c r="A53" t="str">
        <f>Jawa!AO63</f>
        <v>JAWA</v>
      </c>
      <c r="B53">
        <f>Jawa!AP63</f>
        <v>2030</v>
      </c>
      <c r="C53">
        <f>Jawa!AQ63</f>
        <v>1137.7276928781641</v>
      </c>
      <c r="D53">
        <f>Jawa!AR63</f>
        <v>668.73235154858446</v>
      </c>
      <c r="E53">
        <f>Jawa!AS63</f>
        <v>4012.3462839596518</v>
      </c>
      <c r="F53">
        <f>Jawa!AT63</f>
        <v>2.189536545102226</v>
      </c>
      <c r="G53">
        <f>Jawa!AU63</f>
        <v>59.356487505389453</v>
      </c>
      <c r="H53">
        <f>Jawa!AV63</f>
        <v>177.69489800694512</v>
      </c>
      <c r="I53">
        <f>Jawa!AW63</f>
        <v>0.87386188694909572</v>
      </c>
      <c r="J53">
        <f>Jawa!AX63</f>
        <v>56.288204127767941</v>
      </c>
      <c r="K53">
        <f>Jawa!AY63</f>
        <v>3426.3633038557291</v>
      </c>
      <c r="L53">
        <f>Jawa!AZ63</f>
        <v>0.34533779840644813</v>
      </c>
      <c r="M53">
        <f>Jawa!BA63</f>
        <v>0.7429250745356103</v>
      </c>
      <c r="N53">
        <f>Jawa!BB63</f>
        <v>0</v>
      </c>
      <c r="O53">
        <f>Jawa!BC63</f>
        <v>1.7575140730705359</v>
      </c>
      <c r="P53">
        <f>Jawa!BD63</f>
        <v>9544.4183972602968</v>
      </c>
    </row>
    <row r="54" spans="1:16" x14ac:dyDescent="0.25">
      <c r="A54" t="str">
        <f>Jawa!AO64</f>
        <v>JAWA</v>
      </c>
      <c r="B54">
        <f>Jawa!AP64</f>
        <v>2031</v>
      </c>
      <c r="C54">
        <f>Jawa!AQ64</f>
        <v>1137.7276928781641</v>
      </c>
      <c r="D54">
        <f>Jawa!AR64</f>
        <v>712.25425029427356</v>
      </c>
      <c r="E54">
        <f>Jawa!AS64</f>
        <v>4681.8970544037593</v>
      </c>
      <c r="F54">
        <f>Jawa!AT64</f>
        <v>2.5446030353600504</v>
      </c>
      <c r="G54">
        <f>Jawa!AU64</f>
        <v>59.356487505389453</v>
      </c>
      <c r="H54">
        <f>Jawa!AV64</f>
        <v>177.69489800694512</v>
      </c>
      <c r="I54">
        <f>Jawa!AW64</f>
        <v>0.87386188694909572</v>
      </c>
      <c r="J54">
        <f>Jawa!AX64</f>
        <v>56.288204127767941</v>
      </c>
      <c r="K54">
        <f>Jawa!AY64</f>
        <v>3958.0685422388851</v>
      </c>
      <c r="L54">
        <f>Jawa!AZ64</f>
        <v>0.34533779840644813</v>
      </c>
      <c r="M54">
        <f>Jawa!BA64</f>
        <v>0.7429250745356103</v>
      </c>
      <c r="N54">
        <f>Jawa!BB64</f>
        <v>0</v>
      </c>
      <c r="O54">
        <f>Jawa!BC64</f>
        <v>2.0248287891012056</v>
      </c>
      <c r="P54">
        <f>Jawa!BD64</f>
        <v>10789.818686039536</v>
      </c>
    </row>
    <row r="55" spans="1:16" x14ac:dyDescent="0.25">
      <c r="A55" t="str">
        <f>Jawa!AO65</f>
        <v>JAWA</v>
      </c>
      <c r="B55">
        <f>Jawa!AP65</f>
        <v>2032</v>
      </c>
      <c r="C55">
        <f>Jawa!AQ65</f>
        <v>1137.7276928781641</v>
      </c>
      <c r="D55">
        <f>Jawa!AR65</f>
        <v>758.63510099249504</v>
      </c>
      <c r="E55">
        <f>Jawa!AS65</f>
        <v>5045.3087404018606</v>
      </c>
      <c r="F55">
        <f>Jawa!AT65</f>
        <v>2.6694256216015702</v>
      </c>
      <c r="G55">
        <f>Jawa!AU65</f>
        <v>59.356487505389453</v>
      </c>
      <c r="H55">
        <f>Jawa!AV65</f>
        <v>177.69489800694512</v>
      </c>
      <c r="I55">
        <f>Jawa!AW65</f>
        <v>466.76285074296334</v>
      </c>
      <c r="J55">
        <f>Jawa!AX65</f>
        <v>56.288204127767941</v>
      </c>
      <c r="K55">
        <f>Jawa!AY65</f>
        <v>3871.7521206792171</v>
      </c>
      <c r="L55">
        <f>Jawa!AZ65</f>
        <v>0.34533779840644813</v>
      </c>
      <c r="M55">
        <f>Jawa!BA65</f>
        <v>0.7429250745356103</v>
      </c>
      <c r="N55">
        <f>Jawa!BB65</f>
        <v>0</v>
      </c>
      <c r="O55">
        <f>Jawa!BC65</f>
        <v>2.1198539948085622</v>
      </c>
      <c r="P55">
        <f>Jawa!BD65</f>
        <v>11579.403637824156</v>
      </c>
    </row>
    <row r="56" spans="1:16" x14ac:dyDescent="0.25">
      <c r="A56" t="str">
        <f>Jawa!AO66</f>
        <v>JAWA</v>
      </c>
      <c r="B56">
        <f>Jawa!AP66</f>
        <v>2033</v>
      </c>
      <c r="C56">
        <f>Jawa!AQ66</f>
        <v>2495.9173407480116</v>
      </c>
      <c r="D56">
        <f>Jawa!AR66</f>
        <v>641.01225657386169</v>
      </c>
      <c r="E56">
        <f>Jawa!AS66</f>
        <v>4077.0040659595552</v>
      </c>
      <c r="F56">
        <f>Jawa!AT66</f>
        <v>2.4956112599312292</v>
      </c>
      <c r="G56">
        <f>Jawa!AU66</f>
        <v>171.66083434384385</v>
      </c>
      <c r="H56">
        <f>Jawa!AV66</f>
        <v>649.38101274564826</v>
      </c>
      <c r="I56">
        <f>Jawa!AW66</f>
        <v>954.00382372738795</v>
      </c>
      <c r="J56">
        <f>Jawa!AX66</f>
        <v>710.13344216303233</v>
      </c>
      <c r="K56">
        <f>Jawa!AY66</f>
        <v>2526.7704603396087</v>
      </c>
      <c r="L56">
        <f>Jawa!AZ66</f>
        <v>0.34533779840644813</v>
      </c>
      <c r="M56">
        <f>Jawa!BA66</f>
        <v>0.7429250745356103</v>
      </c>
      <c r="N56">
        <f>Jawa!BB66</f>
        <v>0</v>
      </c>
      <c r="O56">
        <f>Jawa!BC66</f>
        <v>1.9816649797628527</v>
      </c>
      <c r="P56">
        <f>Jawa!BD66</f>
        <v>12231.448775713585</v>
      </c>
    </row>
    <row r="57" spans="1:16" x14ac:dyDescent="0.25">
      <c r="A57" t="str">
        <f>Jawa!AO67</f>
        <v>JAWA</v>
      </c>
      <c r="B57">
        <f>Jawa!AP67</f>
        <v>2034</v>
      </c>
      <c r="C57">
        <f>Jawa!AQ67</f>
        <v>3505.8324056840502</v>
      </c>
      <c r="D57">
        <f>Jawa!AR67</f>
        <v>854.56577458190486</v>
      </c>
      <c r="E57">
        <f>Jawa!AS67</f>
        <v>3945.9934649220263</v>
      </c>
      <c r="F57">
        <f>Jawa!AT67</f>
        <v>2.9093618302327129</v>
      </c>
      <c r="G57">
        <f>Jawa!AU67</f>
        <v>60.77361957757234</v>
      </c>
      <c r="H57">
        <f>Jawa!AV67</f>
        <v>186.13081261141883</v>
      </c>
      <c r="I57">
        <f>Jawa!AW67</f>
        <v>2620.1638343030081</v>
      </c>
      <c r="J57">
        <f>Jawa!AX67</f>
        <v>944.38919084024633</v>
      </c>
      <c r="K57">
        <f>Jawa!AY67</f>
        <v>1854.2796301698045</v>
      </c>
      <c r="L57">
        <f>Jawa!AZ67</f>
        <v>0.34533779840644813</v>
      </c>
      <c r="M57">
        <f>Jawa!BA67</f>
        <v>0.7429250745356103</v>
      </c>
      <c r="N57">
        <f>Jawa!BB67</f>
        <v>0</v>
      </c>
      <c r="O57">
        <f>Jawa!BC67</f>
        <v>2.1874006754517397</v>
      </c>
      <c r="P57">
        <f>Jawa!BD67</f>
        <v>13978.313758068656</v>
      </c>
    </row>
    <row r="58" spans="1:16" x14ac:dyDescent="0.25">
      <c r="A58" t="str">
        <f>Jawa!AO68</f>
        <v>JAWA</v>
      </c>
      <c r="B58">
        <f>Jawa!AP68</f>
        <v>2035</v>
      </c>
      <c r="C58">
        <f>Jawa!AQ68</f>
        <v>3534.4141257145657</v>
      </c>
      <c r="D58">
        <f>Jawa!AR68</f>
        <v>531.40046286845472</v>
      </c>
      <c r="E58">
        <f>Jawa!AS68</f>
        <v>4341.7345194864629</v>
      </c>
      <c r="F58">
        <f>Jawa!AT68</f>
        <v>2.8097569405685552</v>
      </c>
      <c r="G58">
        <f>Jawa!AU68</f>
        <v>315.12256919859499</v>
      </c>
      <c r="H58">
        <f>Jawa!AV68</f>
        <v>1253.6737094528239</v>
      </c>
      <c r="I58">
        <f>Jawa!AW68</f>
        <v>1879.8504657649169</v>
      </c>
      <c r="J58">
        <f>Jawa!AX68</f>
        <v>1035.820502171671</v>
      </c>
      <c r="K58">
        <f>Jawa!AY68</f>
        <v>1517.9988662504004</v>
      </c>
      <c r="L58">
        <f>Jawa!AZ68</f>
        <v>0.34533779840644813</v>
      </c>
      <c r="M58">
        <f>Jawa!BA68</f>
        <v>0.7429250745356103</v>
      </c>
      <c r="N58">
        <f>Jawa!BB68</f>
        <v>0</v>
      </c>
      <c r="O58">
        <f>Jawa!BC68</f>
        <v>2.1673924733789409</v>
      </c>
      <c r="P58">
        <f>Jawa!BD68</f>
        <v>14416.080633194779</v>
      </c>
    </row>
    <row r="59" spans="1:16" x14ac:dyDescent="0.25">
      <c r="A59" t="str">
        <f>Jawa!AO69</f>
        <v>JAWA</v>
      </c>
      <c r="B59">
        <f>Jawa!AP69</f>
        <v>2036</v>
      </c>
      <c r="C59">
        <f>Jawa!AQ69</f>
        <v>3866.2643330352566</v>
      </c>
      <c r="D59">
        <f>Jawa!AR69</f>
        <v>442.12852980140542</v>
      </c>
      <c r="E59">
        <f>Jawa!AS69</f>
        <v>4897.9279115044337</v>
      </c>
      <c r="F59">
        <f>Jawa!AT69</f>
        <v>3.1048188431122079</v>
      </c>
      <c r="G59">
        <f>Jawa!AU69</f>
        <v>1824.0748769808133</v>
      </c>
      <c r="H59">
        <f>Jawa!AV69</f>
        <v>1655.2874696828505</v>
      </c>
      <c r="I59">
        <f>Jawa!AW69</f>
        <v>1013.6456179256677</v>
      </c>
      <c r="J59">
        <f>Jawa!AX69</f>
        <v>1197.5654376144355</v>
      </c>
      <c r="K59">
        <f>Jawa!AY69</f>
        <v>1349.9278240825959</v>
      </c>
      <c r="L59">
        <f>Jawa!AZ69</f>
        <v>0.34533779840644813</v>
      </c>
      <c r="M59">
        <f>Jawa!BA69</f>
        <v>0.7429250745356103</v>
      </c>
      <c r="N59">
        <f>Jawa!BB69</f>
        <v>0</v>
      </c>
      <c r="O59">
        <f>Jawa!BC69</f>
        <v>2.381969538408216</v>
      </c>
      <c r="P59">
        <f>Jawa!BD69</f>
        <v>16253.397051881921</v>
      </c>
    </row>
    <row r="60" spans="1:16" x14ac:dyDescent="0.25">
      <c r="A60" t="str">
        <f>Jawa!AO70</f>
        <v>JAWA</v>
      </c>
      <c r="B60">
        <f>Jawa!AP70</f>
        <v>2037</v>
      </c>
      <c r="C60">
        <f>Jawa!AQ70</f>
        <v>3994.2704056504017</v>
      </c>
      <c r="D60">
        <f>Jawa!AR70</f>
        <v>744.87020821371243</v>
      </c>
      <c r="E60">
        <f>Jawa!AS70</f>
        <v>4818.7346431878923</v>
      </c>
      <c r="F60">
        <f>Jawa!AT70</f>
        <v>3.1222134188745216</v>
      </c>
      <c r="G60">
        <f>Jawa!AU70</f>
        <v>3675.0995805869147</v>
      </c>
      <c r="H60">
        <f>Jawa!AV70</f>
        <v>956.14543129732442</v>
      </c>
      <c r="I60">
        <f>Jawa!AW70</f>
        <v>580.54325837956105</v>
      </c>
      <c r="J60">
        <f>Jawa!AX70</f>
        <v>1334.271290157207</v>
      </c>
      <c r="K60">
        <f>Jawa!AY70</f>
        <v>1265.8583120412979</v>
      </c>
      <c r="L60">
        <f>Jawa!AZ70</f>
        <v>0.34533779840644813</v>
      </c>
      <c r="M60">
        <f>Jawa!BA70</f>
        <v>0.7429250745356103</v>
      </c>
      <c r="N60">
        <f>Jawa!BB70</f>
        <v>8.0069853382839187E-15</v>
      </c>
      <c r="O60">
        <f>Jawa!BC70</f>
        <v>2.4643881479008054</v>
      </c>
      <c r="P60">
        <f>Jawa!BD70</f>
        <v>17376.467993954033</v>
      </c>
    </row>
    <row r="61" spans="1:16" x14ac:dyDescent="0.25">
      <c r="A61" t="str">
        <f>Jawa!AO71</f>
        <v>JAWA</v>
      </c>
      <c r="B61">
        <f>Jawa!AP71</f>
        <v>2038</v>
      </c>
      <c r="C61">
        <f>Jawa!AQ71</f>
        <v>4466.3454198693162</v>
      </c>
      <c r="D61">
        <f>Jawa!AR71</f>
        <v>929.70965575661558</v>
      </c>
      <c r="E61">
        <f>Jawa!AS71</f>
        <v>5298.9793803041184</v>
      </c>
      <c r="F61">
        <f>Jawa!AT71</f>
        <v>3.5685214169822244</v>
      </c>
      <c r="G61">
        <f>Jawa!AU71</f>
        <v>5288.8450373388987</v>
      </c>
      <c r="H61">
        <f>Jawa!AV71</f>
        <v>606.66123415227912</v>
      </c>
      <c r="I61">
        <f>Jawa!AW71</f>
        <v>363.99207860650779</v>
      </c>
      <c r="J61">
        <f>Jawa!AX71</f>
        <v>1566.0595016098696</v>
      </c>
      <c r="K61">
        <f>Jawa!AY71</f>
        <v>1223.8235560206492</v>
      </c>
      <c r="L61">
        <f>Jawa!AZ71</f>
        <v>0.34533779840644813</v>
      </c>
      <c r="M61">
        <f>Jawa!BA71</f>
        <v>0.7429250745356103</v>
      </c>
      <c r="N61">
        <f>Jawa!BB71</f>
        <v>2.7376530284770269E-16</v>
      </c>
      <c r="O61">
        <f>Jawa!BC71</f>
        <v>2.7999635050612435</v>
      </c>
      <c r="P61">
        <f>Jawa!BD71</f>
        <v>19751.872611453244</v>
      </c>
    </row>
    <row r="62" spans="1:16" x14ac:dyDescent="0.25">
      <c r="A62" t="str">
        <f>bali_nt!AO52</f>
        <v>BALI_NT</v>
      </c>
      <c r="B62">
        <f>bali_nt!AP52</f>
        <v>2019</v>
      </c>
      <c r="C62">
        <f>bali_nt!AQ52</f>
        <v>24.028437515328498</v>
      </c>
      <c r="D62">
        <f>bali_nt!AR52</f>
        <v>14.862627223266166</v>
      </c>
      <c r="E62">
        <f>bali_nt!AS52</f>
        <v>0</v>
      </c>
      <c r="F62">
        <f>bali_nt!AT52</f>
        <v>4.6130521306024317</v>
      </c>
      <c r="G62">
        <f>bali_nt!AU52</f>
        <v>1.2119611351666215</v>
      </c>
      <c r="H62">
        <f>bali_nt!AV52</f>
        <v>0.27606173380007448</v>
      </c>
      <c r="I62">
        <f>bali_nt!AW52</f>
        <v>0.80586686980896416</v>
      </c>
      <c r="J62">
        <f>bali_nt!AX52</f>
        <v>4.4603999999999998E-2</v>
      </c>
      <c r="K62">
        <f>bali_nt!AY52</f>
        <v>0</v>
      </c>
      <c r="L62">
        <f>bali_nt!AZ52</f>
        <v>0</v>
      </c>
      <c r="M62">
        <f>bali_nt!BA52</f>
        <v>0</v>
      </c>
      <c r="N62">
        <f>bali_nt!BB52</f>
        <v>0</v>
      </c>
      <c r="O62">
        <f>bali_nt!BC52</f>
        <v>0</v>
      </c>
      <c r="P62">
        <f>bali_nt!BD52</f>
        <v>45.842610607972766</v>
      </c>
    </row>
    <row r="63" spans="1:16" x14ac:dyDescent="0.25">
      <c r="A63" t="str">
        <f>bali_nt!AO53</f>
        <v>BALI_NT</v>
      </c>
      <c r="B63">
        <f>bali_nt!AP53</f>
        <v>2020</v>
      </c>
      <c r="C63">
        <f>bali_nt!AQ53</f>
        <v>144.00926514023985</v>
      </c>
      <c r="D63">
        <f>bali_nt!AR53</f>
        <v>14.862627223266166</v>
      </c>
      <c r="E63">
        <f>bali_nt!AS53</f>
        <v>0</v>
      </c>
      <c r="F63">
        <f>bali_nt!AT53</f>
        <v>4.6130521306024317</v>
      </c>
      <c r="G63">
        <f>bali_nt!AU53</f>
        <v>515.87203213202133</v>
      </c>
      <c r="H63">
        <f>bali_nt!AV53</f>
        <v>0.27606173380007448</v>
      </c>
      <c r="I63">
        <f>bali_nt!AW53</f>
        <v>0.80586686980896416</v>
      </c>
      <c r="J63">
        <f>bali_nt!AX53</f>
        <v>32.919384280389629</v>
      </c>
      <c r="K63">
        <f>bali_nt!AY53</f>
        <v>0</v>
      </c>
      <c r="L63">
        <f>bali_nt!AZ53</f>
        <v>-7.4064138182899467E-7</v>
      </c>
      <c r="M63">
        <f>bali_nt!BA53</f>
        <v>-1.6482270706996375E-6</v>
      </c>
      <c r="N63">
        <f>bali_nt!BB53</f>
        <v>0</v>
      </c>
      <c r="O63">
        <f>bali_nt!BC53</f>
        <v>0.54254761498078863</v>
      </c>
      <c r="P63">
        <f>bali_nt!BD53</f>
        <v>713.90083473624077</v>
      </c>
    </row>
    <row r="64" spans="1:16" x14ac:dyDescent="0.25">
      <c r="A64" t="str">
        <f>bali_nt!AO54</f>
        <v>BALI_NT</v>
      </c>
      <c r="B64">
        <f>bali_nt!AP54</f>
        <v>2021</v>
      </c>
      <c r="C64">
        <f>bali_nt!AQ54</f>
        <v>143.26878175381572</v>
      </c>
      <c r="D64">
        <f>bali_nt!AR54</f>
        <v>14.862627223266166</v>
      </c>
      <c r="E64">
        <f>bali_nt!AS54</f>
        <v>23.406323688858528</v>
      </c>
      <c r="F64">
        <f>bali_nt!AT54</f>
        <v>4.6130513293435724</v>
      </c>
      <c r="G64">
        <f>bali_nt!AU54</f>
        <v>7.7062906815893815</v>
      </c>
      <c r="H64">
        <f>bali_nt!AV54</f>
        <v>368.59907546255977</v>
      </c>
      <c r="I64">
        <f>bali_nt!AW54</f>
        <v>0.80586686980896416</v>
      </c>
      <c r="J64">
        <f>bali_nt!AX54</f>
        <v>29.101069962611973</v>
      </c>
      <c r="K64">
        <f>bali_nt!AY54</f>
        <v>0</v>
      </c>
      <c r="L64">
        <f>bali_nt!AZ54</f>
        <v>7.2335797428972142E-7</v>
      </c>
      <c r="M64">
        <f>bali_nt!BA54</f>
        <v>1.6039255828798752E-6</v>
      </c>
      <c r="N64">
        <f>bali_nt!BB54</f>
        <v>0</v>
      </c>
      <c r="O64">
        <f>bali_nt!BC54</f>
        <v>8.4337503494657615E-2</v>
      </c>
      <c r="P64">
        <f>bali_nt!BD54</f>
        <v>592.44742680263232</v>
      </c>
    </row>
    <row r="65" spans="1:16" x14ac:dyDescent="0.25">
      <c r="A65" t="str">
        <f>bali_nt!AO55</f>
        <v>BALI_NT</v>
      </c>
      <c r="B65">
        <f>bali_nt!AP55</f>
        <v>2022</v>
      </c>
      <c r="C65">
        <f>bali_nt!AQ55</f>
        <v>130.6754200050681</v>
      </c>
      <c r="D65">
        <f>bali_nt!AR55</f>
        <v>14.862626474098434</v>
      </c>
      <c r="E65">
        <f>bali_nt!AS55</f>
        <v>70.635781042827887</v>
      </c>
      <c r="F65">
        <f>bali_nt!AT55</f>
        <v>4.6130521226769057</v>
      </c>
      <c r="G65">
        <f>bali_nt!AU55</f>
        <v>7.7062945365893718</v>
      </c>
      <c r="H65">
        <f>bali_nt!AV55</f>
        <v>253.89254528298139</v>
      </c>
      <c r="I65">
        <f>bali_nt!AW55</f>
        <v>0.80586686980896416</v>
      </c>
      <c r="J65">
        <f>bali_nt!AX55</f>
        <v>23.042142551324488</v>
      </c>
      <c r="K65">
        <f>bali_nt!AY55</f>
        <v>0</v>
      </c>
      <c r="L65">
        <f>bali_nt!AZ55</f>
        <v>0</v>
      </c>
      <c r="M65">
        <f>bali_nt!BA55</f>
        <v>-5.6566961821086691E-14</v>
      </c>
      <c r="N65">
        <f>bali_nt!BB55</f>
        <v>0</v>
      </c>
      <c r="O65">
        <f>bali_nt!BC55</f>
        <v>7.6997722675642061E-2</v>
      </c>
      <c r="P65">
        <f>bali_nt!BD55</f>
        <v>506.31072660805114</v>
      </c>
    </row>
    <row r="66" spans="1:16" x14ac:dyDescent="0.25">
      <c r="A66" t="str">
        <f>bali_nt!AO56</f>
        <v>BALI_NT</v>
      </c>
      <c r="B66">
        <f>bali_nt!AP56</f>
        <v>2023</v>
      </c>
      <c r="C66">
        <f>bali_nt!AQ56</f>
        <v>117.41404413752706</v>
      </c>
      <c r="D66">
        <f>bali_nt!AR56</f>
        <v>14.8626272007651</v>
      </c>
      <c r="E66">
        <f>bali_nt!AS56</f>
        <v>120.85082410132904</v>
      </c>
      <c r="F66">
        <f>bali_nt!AT56</f>
        <v>4.6130521226769057</v>
      </c>
      <c r="G66">
        <f>bali_nt!AU56</f>
        <v>7.7062906323226601</v>
      </c>
      <c r="H66">
        <f>bali_nt!AV56</f>
        <v>132.24816064944065</v>
      </c>
      <c r="I66">
        <f>bali_nt!AW56</f>
        <v>0.80586686980896416</v>
      </c>
      <c r="J66">
        <f>bali_nt!AX56</f>
        <v>15.305055178124848</v>
      </c>
      <c r="K66">
        <f>bali_nt!AY56</f>
        <v>0</v>
      </c>
      <c r="L66">
        <f>bali_nt!AZ56</f>
        <v>0</v>
      </c>
      <c r="M66">
        <f>bali_nt!BA56</f>
        <v>0</v>
      </c>
      <c r="N66">
        <f>bali_nt!BB56</f>
        <v>0</v>
      </c>
      <c r="O66">
        <f>bali_nt!BC56</f>
        <v>6.9010872764629527E-2</v>
      </c>
      <c r="P66">
        <f>bali_nt!BD56</f>
        <v>413.87493176475982</v>
      </c>
    </row>
    <row r="67" spans="1:16" x14ac:dyDescent="0.25">
      <c r="A67" t="str">
        <f>bali_nt!AO57</f>
        <v>BALI_NT</v>
      </c>
      <c r="B67">
        <f>bali_nt!AP57</f>
        <v>2024</v>
      </c>
      <c r="C67">
        <f>bali_nt!AQ57</f>
        <v>61.376058304130787</v>
      </c>
      <c r="D67">
        <f>bali_nt!AR57</f>
        <v>14.862626451597372</v>
      </c>
      <c r="E67">
        <f>bali_nt!AS57</f>
        <v>21.365721819582625</v>
      </c>
      <c r="F67">
        <f>bali_nt!AT57</f>
        <v>4.6130521226769057</v>
      </c>
      <c r="G67">
        <f>bali_nt!AU57</f>
        <v>7.7062944873226593</v>
      </c>
      <c r="H67">
        <f>bali_nt!AV57</f>
        <v>13.444827388443642</v>
      </c>
      <c r="I67">
        <f>bali_nt!AW57</f>
        <v>0.80586686980896416</v>
      </c>
      <c r="J67">
        <f>bali_nt!AX57</f>
        <v>17.757954167237628</v>
      </c>
      <c r="K67">
        <f>bali_nt!AY57</f>
        <v>0</v>
      </c>
      <c r="L67">
        <f>bali_nt!AZ57</f>
        <v>206.60801419635266</v>
      </c>
      <c r="M67">
        <f>bali_nt!BA57</f>
        <v>0</v>
      </c>
      <c r="N67">
        <f>bali_nt!BB57</f>
        <v>0</v>
      </c>
      <c r="O67">
        <f>bali_nt!BC57</f>
        <v>3.4892350815229581E-2</v>
      </c>
      <c r="P67">
        <f>bali_nt!BD57</f>
        <v>348.57530815796849</v>
      </c>
    </row>
    <row r="68" spans="1:16" x14ac:dyDescent="0.25">
      <c r="A68" t="str">
        <f>bali_nt!AO58</f>
        <v>BALI_NT</v>
      </c>
      <c r="B68">
        <f>bali_nt!AP58</f>
        <v>2025</v>
      </c>
      <c r="C68">
        <f>bali_nt!AQ58</f>
        <v>73.786084750689113</v>
      </c>
      <c r="D68">
        <f>bali_nt!AR58</f>
        <v>14.862626429096311</v>
      </c>
      <c r="E68">
        <f>bali_nt!AS58</f>
        <v>57.627472210094744</v>
      </c>
      <c r="F68">
        <f>bali_nt!AT58</f>
        <v>4.6130521226769057</v>
      </c>
      <c r="G68">
        <f>bali_nt!AU58</f>
        <v>7.7062944873226593</v>
      </c>
      <c r="H68">
        <f>bali_nt!AV58</f>
        <v>13.4448252739603</v>
      </c>
      <c r="I68">
        <f>bali_nt!AW58</f>
        <v>0.80586686980896416</v>
      </c>
      <c r="J68">
        <f>bali_nt!AX58</f>
        <v>17.484610965312221</v>
      </c>
      <c r="K68">
        <f>bali_nt!AY58</f>
        <v>0</v>
      </c>
      <c r="L68">
        <f>bali_nt!AZ58</f>
        <v>177.4868527777225</v>
      </c>
      <c r="M68">
        <f>bali_nt!BA58</f>
        <v>0</v>
      </c>
      <c r="N68">
        <f>bali_nt!BB58</f>
        <v>0</v>
      </c>
      <c r="O68">
        <f>bali_nt!BC58</f>
        <v>4.3341496430352393E-2</v>
      </c>
      <c r="P68">
        <f>bali_nt!BD58</f>
        <v>367.86102738311411</v>
      </c>
    </row>
    <row r="69" spans="1:16" x14ac:dyDescent="0.25">
      <c r="A69" t="str">
        <f>bali_nt!AO59</f>
        <v>BALI_NT</v>
      </c>
      <c r="B69">
        <f>bali_nt!AP59</f>
        <v>2026</v>
      </c>
      <c r="C69">
        <f>bali_nt!AQ59</f>
        <v>94.482750929206802</v>
      </c>
      <c r="D69">
        <f>bali_nt!AR59</f>
        <v>14.862627155762976</v>
      </c>
      <c r="E69">
        <f>bali_nt!AS59</f>
        <v>81.769719082235824</v>
      </c>
      <c r="F69">
        <f>bali_nt!AT59</f>
        <v>4.6130521226769057</v>
      </c>
      <c r="G69">
        <f>bali_nt!AU59</f>
        <v>7.7062905830559458</v>
      </c>
      <c r="H69">
        <f>bali_nt!AV59</f>
        <v>13.444827350626966</v>
      </c>
      <c r="I69">
        <f>bali_nt!AW59</f>
        <v>0.80586686980896416</v>
      </c>
      <c r="J69">
        <f>bali_nt!AX59</f>
        <v>17.000926419321871</v>
      </c>
      <c r="K69">
        <f>bali_nt!AY59</f>
        <v>0</v>
      </c>
      <c r="L69">
        <f>bali_nt!AZ59</f>
        <v>147.32090357220315</v>
      </c>
      <c r="M69">
        <f>bali_nt!BA59</f>
        <v>0</v>
      </c>
      <c r="N69">
        <f>bali_nt!BB59</f>
        <v>0</v>
      </c>
      <c r="O69">
        <f>bali_nt!BC59</f>
        <v>5.0048497553612049E-2</v>
      </c>
      <c r="P69">
        <f>bali_nt!BD59</f>
        <v>382.05701258245307</v>
      </c>
    </row>
    <row r="70" spans="1:16" x14ac:dyDescent="0.25">
      <c r="A70" t="str">
        <f>bali_nt!AO60</f>
        <v>BALI_NT</v>
      </c>
      <c r="B70">
        <f>bali_nt!AP60</f>
        <v>2027</v>
      </c>
      <c r="C70">
        <f>bali_nt!AQ60</f>
        <v>91.404566233885447</v>
      </c>
      <c r="D70">
        <f>bali_nt!AR60</f>
        <v>84.090794300295585</v>
      </c>
      <c r="E70">
        <f>bali_nt!AS60</f>
        <v>11.726109606993194</v>
      </c>
      <c r="F70">
        <f>bali_nt!AT60</f>
        <v>4.6130521226769057</v>
      </c>
      <c r="G70">
        <f>bali_nt!AU60</f>
        <v>7.7062944380559468</v>
      </c>
      <c r="H70">
        <f>bali_nt!AV60</f>
        <v>13.444825236143622</v>
      </c>
      <c r="I70">
        <f>bali_nt!AW60</f>
        <v>0.80586686980896416</v>
      </c>
      <c r="J70">
        <f>bali_nt!AX60</f>
        <v>18.101012192162802</v>
      </c>
      <c r="K70">
        <f>bali_nt!AY60</f>
        <v>0</v>
      </c>
      <c r="L70">
        <f>bali_nt!AZ60</f>
        <v>144.69739117072137</v>
      </c>
      <c r="M70">
        <f>bali_nt!BA60</f>
        <v>0</v>
      </c>
      <c r="N70">
        <f>bali_nt!BB60</f>
        <v>0</v>
      </c>
      <c r="O70">
        <f>bali_nt!BC60</f>
        <v>4.7993443210283038E-2</v>
      </c>
      <c r="P70">
        <f>bali_nt!BD60</f>
        <v>376.63790561395416</v>
      </c>
    </row>
    <row r="71" spans="1:16" x14ac:dyDescent="0.25">
      <c r="A71" t="str">
        <f>bali_nt!AO61</f>
        <v>BALI_NT</v>
      </c>
      <c r="B71">
        <f>bali_nt!AP61</f>
        <v>2028</v>
      </c>
      <c r="C71">
        <f>bali_nt!AQ61</f>
        <v>100.65165478683436</v>
      </c>
      <c r="D71">
        <f>bali_nt!AR61</f>
        <v>113.87540031380111</v>
      </c>
      <c r="E71">
        <f>bali_nt!AS61</f>
        <v>11.726109584192812</v>
      </c>
      <c r="F71">
        <f>bali_nt!AT61</f>
        <v>4.6130521226769057</v>
      </c>
      <c r="G71">
        <f>bali_nt!AU61</f>
        <v>7.7062905337892333</v>
      </c>
      <c r="H71">
        <f>bali_nt!AV61</f>
        <v>13.444827312810288</v>
      </c>
      <c r="I71">
        <f>bali_nt!AW61</f>
        <v>0.80586686980896416</v>
      </c>
      <c r="J71">
        <f>bali_nt!AX61</f>
        <v>17.562191228440408</v>
      </c>
      <c r="K71">
        <f>bali_nt!AY61</f>
        <v>0</v>
      </c>
      <c r="L71">
        <f>bali_nt!AZ61</f>
        <v>116.77144486183545</v>
      </c>
      <c r="M71">
        <f>bali_nt!BA61</f>
        <v>0</v>
      </c>
      <c r="N71">
        <f>bali_nt!BB61</f>
        <v>0</v>
      </c>
      <c r="O71">
        <f>bali_nt!BC61</f>
        <v>5.3831380299129067E-2</v>
      </c>
      <c r="P71">
        <f>bali_nt!BD61</f>
        <v>387.21066899448863</v>
      </c>
    </row>
    <row r="72" spans="1:16" x14ac:dyDescent="0.25">
      <c r="A72" t="str">
        <f>bali_nt!AO62</f>
        <v>BALI_NT</v>
      </c>
      <c r="B72">
        <f>bali_nt!AP62</f>
        <v>2029</v>
      </c>
      <c r="C72">
        <f>bali_nt!AQ62</f>
        <v>103.07058206310298</v>
      </c>
      <c r="D72">
        <f>bali_nt!AR62</f>
        <v>19.853251447776529</v>
      </c>
      <c r="E72">
        <f>bali_nt!AS62</f>
        <v>71.401825972746664</v>
      </c>
      <c r="F72">
        <f>bali_nt!AT62</f>
        <v>4.6130521226769057</v>
      </c>
      <c r="G72">
        <f>bali_nt!AU62</f>
        <v>7.7062904845225217</v>
      </c>
      <c r="H72">
        <f>bali_nt!AV62</f>
        <v>13.444825198326948</v>
      </c>
      <c r="I72">
        <f>bali_nt!AW62</f>
        <v>0.80586686980896416</v>
      </c>
      <c r="J72">
        <f>bali_nt!AX62</f>
        <v>26.511926081677778</v>
      </c>
      <c r="K72">
        <f>bali_nt!AY62</f>
        <v>0</v>
      </c>
      <c r="L72">
        <f>bali_nt!AZ62</f>
        <v>225.19622111902837</v>
      </c>
      <c r="M72">
        <f>bali_nt!BA62</f>
        <v>0</v>
      </c>
      <c r="N72">
        <f>bali_nt!BB62</f>
        <v>0</v>
      </c>
      <c r="O72">
        <f>bali_nt!BC62</f>
        <v>5.5967696812882731E-2</v>
      </c>
      <c r="P72">
        <f>bali_nt!BD62</f>
        <v>472.65980905648058</v>
      </c>
    </row>
    <row r="73" spans="1:16" x14ac:dyDescent="0.25">
      <c r="A73" t="str">
        <f>bali_nt!AO63</f>
        <v>BALI_NT</v>
      </c>
      <c r="B73">
        <f>bali_nt!AP63</f>
        <v>2030</v>
      </c>
      <c r="C73">
        <f>bali_nt!AQ63</f>
        <v>109.21631747419757</v>
      </c>
      <c r="D73">
        <f>bali_nt!AR63</f>
        <v>167.84733850644076</v>
      </c>
      <c r="E73">
        <f>bali_nt!AS63</f>
        <v>13.73847720979315</v>
      </c>
      <c r="F73">
        <f>bali_nt!AT63</f>
        <v>4.6130521226769057</v>
      </c>
      <c r="G73">
        <f>bali_nt!AU63</f>
        <v>7.7062904352558075</v>
      </c>
      <c r="H73">
        <f>bali_nt!AV63</f>
        <v>13.444827274993614</v>
      </c>
      <c r="I73">
        <f>bali_nt!AW63</f>
        <v>0.80586686980896416</v>
      </c>
      <c r="J73">
        <f>bali_nt!AX63</f>
        <v>13.410083330635807</v>
      </c>
      <c r="K73">
        <f>bali_nt!AY63</f>
        <v>0</v>
      </c>
      <c r="L73">
        <f>bali_nt!AZ63</f>
        <v>22.39303305459903</v>
      </c>
      <c r="M73">
        <f>bali_nt!BA63</f>
        <v>0</v>
      </c>
      <c r="N73">
        <f>bali_nt!BB63</f>
        <v>0</v>
      </c>
      <c r="O73">
        <f>bali_nt!BC63</f>
        <v>5.8830197082382886E-2</v>
      </c>
      <c r="P73">
        <f>bali_nt!BD63</f>
        <v>353.23411647548392</v>
      </c>
    </row>
    <row r="74" spans="1:16" x14ac:dyDescent="0.25">
      <c r="A74" t="str">
        <f>bali_nt!AO64</f>
        <v>BALI_NT</v>
      </c>
      <c r="B74">
        <f>bali_nt!AP64</f>
        <v>2031</v>
      </c>
      <c r="C74">
        <f>bali_nt!AQ64</f>
        <v>126.79762622503637</v>
      </c>
      <c r="D74">
        <f>bali_nt!AR64</f>
        <v>109.26637422616675</v>
      </c>
      <c r="E74">
        <f>bali_nt!AS64</f>
        <v>71.297699637073634</v>
      </c>
      <c r="F74">
        <f>bali_nt!AT64</f>
        <v>4.6130521226769057</v>
      </c>
      <c r="G74">
        <f>bali_nt!AU64</f>
        <v>7.7062942902558085</v>
      </c>
      <c r="H74">
        <f>bali_nt!AV64</f>
        <v>13.444827274993614</v>
      </c>
      <c r="I74">
        <f>bali_nt!AW64</f>
        <v>0.80586686980896416</v>
      </c>
      <c r="J74">
        <f>bali_nt!AX64</f>
        <v>22.149005784985647</v>
      </c>
      <c r="K74">
        <f>bali_nt!AY64</f>
        <v>0</v>
      </c>
      <c r="L74">
        <f>bali_nt!AZ64</f>
        <v>123.19366380411627</v>
      </c>
      <c r="M74">
        <f>bali_nt!BA64</f>
        <v>0</v>
      </c>
      <c r="N74">
        <f>bali_nt!BB64</f>
        <v>0</v>
      </c>
      <c r="O74">
        <f>bali_nt!BC64</f>
        <v>7.1018858689718314E-2</v>
      </c>
      <c r="P74">
        <f>bali_nt!BD64</f>
        <v>479.34542909380366</v>
      </c>
    </row>
    <row r="75" spans="1:16" x14ac:dyDescent="0.25">
      <c r="A75" t="str">
        <f>bali_nt!AO65</f>
        <v>BALI_NT</v>
      </c>
      <c r="B75">
        <f>bali_nt!AP65</f>
        <v>2032</v>
      </c>
      <c r="C75">
        <f>bali_nt!AQ65</f>
        <v>133.80193614464605</v>
      </c>
      <c r="D75">
        <f>bali_nt!AR65</f>
        <v>144.14334477063417</v>
      </c>
      <c r="E75">
        <f>bali_nt!AS65</f>
        <v>15.67947241588276</v>
      </c>
      <c r="F75">
        <f>bali_nt!AT65</f>
        <v>4.6130521226769057</v>
      </c>
      <c r="G75">
        <f>bali_nt!AU65</f>
        <v>7.7062942902558085</v>
      </c>
      <c r="H75">
        <f>bali_nt!AV65</f>
        <v>108.36998039136223</v>
      </c>
      <c r="I75">
        <f>bali_nt!AW65</f>
        <v>0.80586686980896416</v>
      </c>
      <c r="J75">
        <f>bali_nt!AX65</f>
        <v>32.589513117555029</v>
      </c>
      <c r="K75">
        <f>bali_nt!AY65</f>
        <v>0</v>
      </c>
      <c r="L75">
        <f>bali_nt!AZ65</f>
        <v>81.865778936266011</v>
      </c>
      <c r="M75">
        <f>bali_nt!BA65</f>
        <v>0</v>
      </c>
      <c r="N75">
        <f>bali_nt!BB65</f>
        <v>0</v>
      </c>
      <c r="O75">
        <f>bali_nt!BC65</f>
        <v>7.6298479143136505E-2</v>
      </c>
      <c r="P75">
        <f>bali_nt!BD65</f>
        <v>529.65153753823108</v>
      </c>
    </row>
    <row r="76" spans="1:16" x14ac:dyDescent="0.25">
      <c r="A76" t="str">
        <f>bali_nt!AO66</f>
        <v>BALI_NT</v>
      </c>
      <c r="B76">
        <f>bali_nt!AP66</f>
        <v>2033</v>
      </c>
      <c r="C76">
        <f>bali_nt!AQ66</f>
        <v>124.11938804533169</v>
      </c>
      <c r="D76">
        <f>bali_nt!AR66</f>
        <v>30.37308300773191</v>
      </c>
      <c r="E76">
        <f>bali_nt!AS66</f>
        <v>115.68091930070821</v>
      </c>
      <c r="F76">
        <f>bali_nt!AT66</f>
        <v>4.6130513214180473</v>
      </c>
      <c r="G76">
        <f>bali_nt!AU66</f>
        <v>7.7062903859890968</v>
      </c>
      <c r="H76">
        <f>bali_nt!AV66</f>
        <v>116.04711913828828</v>
      </c>
      <c r="I76">
        <f>bali_nt!AW66</f>
        <v>0.80586686980896416</v>
      </c>
      <c r="J76">
        <f>bali_nt!AX66</f>
        <v>33.870932336104779</v>
      </c>
      <c r="K76">
        <f>bali_nt!AY66</f>
        <v>0</v>
      </c>
      <c r="L76">
        <f>bali_nt!AZ66</f>
        <v>54.638483342388916</v>
      </c>
      <c r="M76">
        <f>bali_nt!BA66</f>
        <v>0</v>
      </c>
      <c r="N76">
        <f>bali_nt!BB66</f>
        <v>0</v>
      </c>
      <c r="O76">
        <f>bali_nt!BC66</f>
        <v>6.9660807095813196E-2</v>
      </c>
      <c r="P76">
        <f>bali_nt!BD66</f>
        <v>487.92479455486568</v>
      </c>
    </row>
    <row r="77" spans="1:16" x14ac:dyDescent="0.25">
      <c r="A77" t="str">
        <f>bali_nt!AO67</f>
        <v>BALI_NT</v>
      </c>
      <c r="B77">
        <f>bali_nt!AP67</f>
        <v>2034</v>
      </c>
      <c r="C77">
        <f>bali_nt!AQ67</f>
        <v>147.2017532166989</v>
      </c>
      <c r="D77">
        <f>bali_nt!AR67</f>
        <v>161.04173651683504</v>
      </c>
      <c r="E77">
        <f>bali_nt!AS67</f>
        <v>19.051691859095314</v>
      </c>
      <c r="F77">
        <f>bali_nt!AT67</f>
        <v>4.6130521147513797</v>
      </c>
      <c r="G77">
        <f>bali_nt!AU67</f>
        <v>7.7062903367223869</v>
      </c>
      <c r="H77">
        <f>bali_nt!AV67</f>
        <v>155.3162725863408</v>
      </c>
      <c r="I77">
        <f>bali_nt!AW67</f>
        <v>0.80586686980896416</v>
      </c>
      <c r="J77">
        <f>bali_nt!AX67</f>
        <v>40.972233380956752</v>
      </c>
      <c r="K77">
        <f>bali_nt!AY67</f>
        <v>0</v>
      </c>
      <c r="L77">
        <f>bali_nt!AZ67</f>
        <v>41.024835545450365</v>
      </c>
      <c r="M77">
        <f>bali_nt!BA67</f>
        <v>0</v>
      </c>
      <c r="N77">
        <f>bali_nt!BB67</f>
        <v>0</v>
      </c>
      <c r="O77">
        <f>bali_nt!BC67</f>
        <v>8.5692517605323995E-2</v>
      </c>
      <c r="P77">
        <f>bali_nt!BD67</f>
        <v>577.81942494426517</v>
      </c>
    </row>
    <row r="78" spans="1:16" x14ac:dyDescent="0.25">
      <c r="A78" t="str">
        <f>bali_nt!AO68</f>
        <v>BALI_NT</v>
      </c>
      <c r="B78">
        <f>bali_nt!AP68</f>
        <v>2035</v>
      </c>
      <c r="C78">
        <f>bali_nt!AQ68</f>
        <v>145.43768945676277</v>
      </c>
      <c r="D78">
        <f>bali_nt!AR68</f>
        <v>34.297682189434852</v>
      </c>
      <c r="E78">
        <f>bali_nt!AS68</f>
        <v>141.82460900060337</v>
      </c>
      <c r="F78">
        <f>bali_nt!AT68</f>
        <v>4.6130521147513797</v>
      </c>
      <c r="G78">
        <f>bali_nt!AU68</f>
        <v>27.242813282836497</v>
      </c>
      <c r="H78">
        <f>bali_nt!AV68</f>
        <v>143.88173333037602</v>
      </c>
      <c r="I78">
        <f>bali_nt!AW68</f>
        <v>0.80586686980896416</v>
      </c>
      <c r="J78">
        <f>bali_nt!AX68</f>
        <v>44.2870743717137</v>
      </c>
      <c r="K78">
        <f>bali_nt!AY68</f>
        <v>0</v>
      </c>
      <c r="L78">
        <f>bali_nt!AZ68</f>
        <v>34.21801164698109</v>
      </c>
      <c r="M78">
        <f>bali_nt!BA68</f>
        <v>-1.6482270706824052E-6</v>
      </c>
      <c r="N78">
        <f>bali_nt!BB68</f>
        <v>0</v>
      </c>
      <c r="O78">
        <f>bali_nt!BC68</f>
        <v>8.4509665014479859E-2</v>
      </c>
      <c r="P78">
        <f>bali_nt!BD68</f>
        <v>576.69304028005604</v>
      </c>
    </row>
    <row r="79" spans="1:16" x14ac:dyDescent="0.25">
      <c r="A79" t="str">
        <f>bali_nt!AO69</f>
        <v>BALI_NT</v>
      </c>
      <c r="B79">
        <f>bali_nt!AP69</f>
        <v>2036</v>
      </c>
      <c r="C79">
        <f>bali_nt!AQ69</f>
        <v>153.39374135820739</v>
      </c>
      <c r="D79">
        <f>bali_nt!AR69</f>
        <v>168.35588120428517</v>
      </c>
      <c r="E79">
        <f>bali_nt!AS69</f>
        <v>23.191804139284141</v>
      </c>
      <c r="F79">
        <f>bali_nt!AT69</f>
        <v>4.6130521147513797</v>
      </c>
      <c r="G79">
        <f>bali_nt!AU69</f>
        <v>120.68165398498554</v>
      </c>
      <c r="H79">
        <f>bali_nt!AV69</f>
        <v>83.877700401351532</v>
      </c>
      <c r="I79">
        <f>bali_nt!AW69</f>
        <v>0.80586686980896416</v>
      </c>
      <c r="J79">
        <f>bali_nt!AX69</f>
        <v>49.824874480451925</v>
      </c>
      <c r="K79">
        <f>bali_nt!AY69</f>
        <v>0</v>
      </c>
      <c r="L79">
        <f>bali_nt!AZ69</f>
        <v>30.814599697746452</v>
      </c>
      <c r="M79">
        <f>bali_nt!BA69</f>
        <v>1.6039255247337239E-6</v>
      </c>
      <c r="N79">
        <f>bali_nt!BB69</f>
        <v>0</v>
      </c>
      <c r="O79">
        <f>bali_nt!BC69</f>
        <v>9.0208209500195743E-2</v>
      </c>
      <c r="P79">
        <f>bali_nt!BD69</f>
        <v>635.64938406429826</v>
      </c>
    </row>
    <row r="80" spans="1:16" x14ac:dyDescent="0.25">
      <c r="A80" t="str">
        <f>bali_nt!AO70</f>
        <v>BALI_NT</v>
      </c>
      <c r="B80">
        <f>bali_nt!AP70</f>
        <v>2037</v>
      </c>
      <c r="C80">
        <f>bali_nt!AQ70</f>
        <v>161.01748861498146</v>
      </c>
      <c r="D80">
        <f>bali_nt!AR70</f>
        <v>38.324086966387362</v>
      </c>
      <c r="E80">
        <f>bali_nt!AS70</f>
        <v>161.28638941771928</v>
      </c>
      <c r="F80">
        <f>bali_nt!AT70</f>
        <v>4.6130513134925213</v>
      </c>
      <c r="G80">
        <f>bali_nt!AU70</f>
        <v>173.86875483009248</v>
      </c>
      <c r="H80">
        <f>bali_nt!AV70</f>
        <v>53.875683936839252</v>
      </c>
      <c r="I80">
        <f>bali_nt!AW70</f>
        <v>0.80586686980896416</v>
      </c>
      <c r="J80">
        <f>bali_nt!AX70</f>
        <v>55.894587647894042</v>
      </c>
      <c r="K80">
        <f>bali_nt!AY70</f>
        <v>0</v>
      </c>
      <c r="L80">
        <f>bali_nt!AZ70</f>
        <v>29.112893723129137</v>
      </c>
      <c r="M80">
        <f>bali_nt!BA70</f>
        <v>0</v>
      </c>
      <c r="N80">
        <f>bali_nt!BB70</f>
        <v>0</v>
      </c>
      <c r="O80">
        <f>bali_nt!BC70</f>
        <v>9.5751139521617151E-2</v>
      </c>
      <c r="P80">
        <f>bali_nt!BD70</f>
        <v>678.89455445986607</v>
      </c>
    </row>
    <row r="81" spans="1:16" x14ac:dyDescent="0.25">
      <c r="A81" t="str">
        <f>bali_nt!AO71</f>
        <v>BALI_NT</v>
      </c>
      <c r="B81">
        <f>bali_nt!AP71</f>
        <v>2038</v>
      </c>
      <c r="C81">
        <f>bali_nt!AQ71</f>
        <v>181.48938716502275</v>
      </c>
      <c r="D81">
        <f>bali_nt!AR71</f>
        <v>204.47442831889478</v>
      </c>
      <c r="E81">
        <f>bali_nt!AS71</f>
        <v>27.848589215750646</v>
      </c>
      <c r="F81">
        <f>bali_nt!AT71</f>
        <v>4.6130513055669962</v>
      </c>
      <c r="G81">
        <f>bali_nt!AU71</f>
        <v>228.53940325594112</v>
      </c>
      <c r="H81">
        <f>bali_nt!AV71</f>
        <v>38.874675704583126</v>
      </c>
      <c r="I81">
        <f>bali_nt!AW71</f>
        <v>0.80586686980896416</v>
      </c>
      <c r="J81">
        <f>bali_nt!AX71</f>
        <v>65.654844533339357</v>
      </c>
      <c r="K81">
        <f>bali_nt!AY71</f>
        <v>0</v>
      </c>
      <c r="L81">
        <f>bali_nt!AZ71</f>
        <v>28.262040735820481</v>
      </c>
      <c r="M81">
        <f>bali_nt!BA71</f>
        <v>5.8129380910782336E-14</v>
      </c>
      <c r="N81">
        <f>bali_nt!BB71</f>
        <v>0</v>
      </c>
      <c r="O81">
        <f>bali_nt!BC71</f>
        <v>0.11057292407169703</v>
      </c>
      <c r="P81">
        <f>bali_nt!BD71</f>
        <v>780.67286002879996</v>
      </c>
    </row>
    <row r="82" spans="1:16" x14ac:dyDescent="0.25">
      <c r="A82" t="str">
        <f>kalimantan!AO52</f>
        <v>KALIMANTAN</v>
      </c>
      <c r="B82">
        <f>kalimantan!AP52</f>
        <v>2019</v>
      </c>
      <c r="C82">
        <f>kalimantan!AQ52</f>
        <v>113.37791452865655</v>
      </c>
      <c r="D82">
        <f>kalimantan!AR52</f>
        <v>12.03874380158978</v>
      </c>
      <c r="E82">
        <f>kalimantan!AS52</f>
        <v>1.3680229644162982</v>
      </c>
      <c r="F82">
        <f>kalimantan!AT52</f>
        <v>13.668916103575459</v>
      </c>
      <c r="G82">
        <f>kalimantan!AU52</f>
        <v>0</v>
      </c>
      <c r="H82">
        <f>kalimantan!AV52</f>
        <v>9.9938129303213241</v>
      </c>
      <c r="I82">
        <f>kalimantan!AW52</f>
        <v>0.17426871059618854</v>
      </c>
      <c r="J82">
        <f>kalimantan!AX52</f>
        <v>6.5880000000000001E-3</v>
      </c>
      <c r="K82">
        <f>kalimantan!AY52</f>
        <v>0</v>
      </c>
      <c r="L82">
        <f>kalimantan!AZ52</f>
        <v>4.2195962242787868</v>
      </c>
      <c r="M82">
        <f>kalimantan!BA52</f>
        <v>0</v>
      </c>
      <c r="N82">
        <f>kalimantan!BB52</f>
        <v>0</v>
      </c>
      <c r="O82">
        <f>kalimantan!BC52</f>
        <v>0</v>
      </c>
      <c r="P82">
        <f>kalimantan!BD52</f>
        <v>154.84786326343436</v>
      </c>
    </row>
    <row r="83" spans="1:16" x14ac:dyDescent="0.25">
      <c r="A83" t="str">
        <f>kalimantan!AO53</f>
        <v>KALIMANTAN</v>
      </c>
      <c r="B83">
        <f>kalimantan!AP53</f>
        <v>2020</v>
      </c>
      <c r="C83">
        <f>kalimantan!AQ53</f>
        <v>436.52929552349292</v>
      </c>
      <c r="D83">
        <f>kalimantan!AR53</f>
        <v>12.03874380158978</v>
      </c>
      <c r="E83">
        <f>kalimantan!AS53</f>
        <v>140.17554286002309</v>
      </c>
      <c r="F83">
        <f>kalimantan!AT53</f>
        <v>13.668916103575459</v>
      </c>
      <c r="G83">
        <f>kalimantan!AU53</f>
        <v>0</v>
      </c>
      <c r="H83">
        <f>kalimantan!AV53</f>
        <v>10.008771674196934</v>
      </c>
      <c r="I83">
        <f>kalimantan!AW53</f>
        <v>148.09083007777383</v>
      </c>
      <c r="J83">
        <f>kalimantan!AX53</f>
        <v>1144.8925606838468</v>
      </c>
      <c r="K83">
        <f>kalimantan!AY53</f>
        <v>44.406188501633316</v>
      </c>
      <c r="L83">
        <f>kalimantan!AZ53</f>
        <v>4.2195962242787868</v>
      </c>
      <c r="M83">
        <f>kalimantan!BA53</f>
        <v>0</v>
      </c>
      <c r="N83">
        <f>kalimantan!BB53</f>
        <v>0</v>
      </c>
      <c r="O83">
        <f>kalimantan!BC53</f>
        <v>1.7529832878476108</v>
      </c>
      <c r="P83">
        <f>kalimantan!BD53</f>
        <v>1955.7834287382586</v>
      </c>
    </row>
    <row r="84" spans="1:16" x14ac:dyDescent="0.25">
      <c r="A84" t="str">
        <f>kalimantan!AO54</f>
        <v>KALIMANTAN</v>
      </c>
      <c r="B84">
        <f>kalimantan!AP54</f>
        <v>2021</v>
      </c>
      <c r="C84">
        <f>kalimantan!AQ54</f>
        <v>308.00418564073311</v>
      </c>
      <c r="D84">
        <f>kalimantan!AR54</f>
        <v>12.03874380158978</v>
      </c>
      <c r="E84">
        <f>kalimantan!AS54</f>
        <v>455.20251951982641</v>
      </c>
      <c r="F84">
        <f>kalimantan!AT54</f>
        <v>13.668916103575459</v>
      </c>
      <c r="G84">
        <f>kalimantan!AU54</f>
        <v>0</v>
      </c>
      <c r="H84">
        <f>kalimantan!AV54</f>
        <v>514.84845976070972</v>
      </c>
      <c r="I84">
        <f>kalimantan!AW54</f>
        <v>3.0246567242357325</v>
      </c>
      <c r="J84">
        <f>kalimantan!AX54</f>
        <v>10.950150514165184</v>
      </c>
      <c r="K84">
        <f>kalimantan!AY54</f>
        <v>1.7058005347988923</v>
      </c>
      <c r="L84">
        <f>kalimantan!AZ54</f>
        <v>4.2195962242787868</v>
      </c>
      <c r="M84">
        <f>kalimantan!BA54</f>
        <v>0</v>
      </c>
      <c r="N84">
        <f>kalimantan!BB54</f>
        <v>0</v>
      </c>
      <c r="O84">
        <f>kalimantan!BC54</f>
        <v>0.22547054496986971</v>
      </c>
      <c r="P84">
        <f>kalimantan!BD54</f>
        <v>1323.888499368883</v>
      </c>
    </row>
    <row r="85" spans="1:16" x14ac:dyDescent="0.25">
      <c r="A85" t="str">
        <f>kalimantan!AO55</f>
        <v>KALIMANTAN</v>
      </c>
      <c r="B85">
        <f>kalimantan!AP55</f>
        <v>2022</v>
      </c>
      <c r="C85">
        <f>kalimantan!AQ55</f>
        <v>301.67769816561446</v>
      </c>
      <c r="D85">
        <f>kalimantan!AR55</f>
        <v>12.03874380158978</v>
      </c>
      <c r="E85">
        <f>kalimantan!AS55</f>
        <v>546.20026812400408</v>
      </c>
      <c r="F85">
        <f>kalimantan!AT55</f>
        <v>13.668916103575459</v>
      </c>
      <c r="G85">
        <f>kalimantan!AU55</f>
        <v>0</v>
      </c>
      <c r="H85">
        <f>kalimantan!AV55</f>
        <v>21.041392594903154</v>
      </c>
      <c r="I85">
        <f>kalimantan!AW55</f>
        <v>3.0243331582506219</v>
      </c>
      <c r="J85">
        <f>kalimantan!AX55</f>
        <v>792.28596819293477</v>
      </c>
      <c r="K85">
        <f>kalimantan!AY55</f>
        <v>1.705595612851025</v>
      </c>
      <c r="L85">
        <f>kalimantan!AZ55</f>
        <v>4.2195962242787868</v>
      </c>
      <c r="M85">
        <f>kalimantan!BA55</f>
        <v>0</v>
      </c>
      <c r="N85">
        <f>kalimantan!BB55</f>
        <v>0</v>
      </c>
      <c r="O85">
        <f>kalimantan!BC55</f>
        <v>0.31858642812611959</v>
      </c>
      <c r="P85">
        <f>kalimantan!BD55</f>
        <v>1696.1810984061285</v>
      </c>
    </row>
    <row r="86" spans="1:16" x14ac:dyDescent="0.25">
      <c r="A86" t="str">
        <f>kalimantan!AO56</f>
        <v>KALIMANTAN</v>
      </c>
      <c r="B86">
        <f>kalimantan!AP56</f>
        <v>2023</v>
      </c>
      <c r="C86">
        <f>kalimantan!AQ56</f>
        <v>134.03266885985951</v>
      </c>
      <c r="D86">
        <f>kalimantan!AR56</f>
        <v>433.68103015278189</v>
      </c>
      <c r="E86">
        <f>kalimantan!AS56</f>
        <v>38.899225304761131</v>
      </c>
      <c r="F86">
        <f>kalimantan!AT56</f>
        <v>13.668916103576313</v>
      </c>
      <c r="G86">
        <f>kalimantan!AU56</f>
        <v>0.22151095658143638</v>
      </c>
      <c r="H86">
        <f>kalimantan!AV56</f>
        <v>391.22112039495568</v>
      </c>
      <c r="I86">
        <f>kalimantan!AW56</f>
        <v>3.0244925346479405</v>
      </c>
      <c r="J86">
        <f>kalimantan!AX56</f>
        <v>123.64077624364528</v>
      </c>
      <c r="K86">
        <f>kalimantan!AY56</f>
        <v>56.916569257891979</v>
      </c>
      <c r="L86">
        <f>kalimantan!AZ56</f>
        <v>108.46582605827656</v>
      </c>
      <c r="M86">
        <f>kalimantan!BA56</f>
        <v>0</v>
      </c>
      <c r="N86">
        <f>kalimantan!BB56</f>
        <v>0</v>
      </c>
      <c r="O86">
        <f>kalimantan!BC56</f>
        <v>0.20966571232373285</v>
      </c>
      <c r="P86">
        <f>kalimantan!BD56</f>
        <v>1303.9818015793016</v>
      </c>
    </row>
    <row r="87" spans="1:16" x14ac:dyDescent="0.25">
      <c r="A87" t="str">
        <f>kalimantan!AO57</f>
        <v>KALIMANTAN</v>
      </c>
      <c r="B87">
        <f>kalimantan!AP57</f>
        <v>2024</v>
      </c>
      <c r="C87">
        <f>kalimantan!AQ57</f>
        <v>134.03266885985951</v>
      </c>
      <c r="D87">
        <f>kalimantan!AR57</f>
        <v>144.09528925483065</v>
      </c>
      <c r="E87">
        <f>kalimantan!AS57</f>
        <v>47.044281781836659</v>
      </c>
      <c r="F87">
        <f>kalimantan!AT57</f>
        <v>13.668916103575468</v>
      </c>
      <c r="G87">
        <f>kalimantan!AU57</f>
        <v>0.35581506556750403</v>
      </c>
      <c r="H87">
        <f>kalimantan!AV57</f>
        <v>47.93415687483018</v>
      </c>
      <c r="I87">
        <f>kalimantan!AW57</f>
        <v>5.280657486224869</v>
      </c>
      <c r="J87">
        <f>kalimantan!AX57</f>
        <v>19.554965235413729</v>
      </c>
      <c r="K87">
        <f>kalimantan!AY57</f>
        <v>433.28105173472989</v>
      </c>
      <c r="L87">
        <f>kalimantan!AZ57</f>
        <v>11.341055670060047</v>
      </c>
      <c r="M87">
        <f>kalimantan!BA57</f>
        <v>0</v>
      </c>
      <c r="N87">
        <f>kalimantan!BB57</f>
        <v>0</v>
      </c>
      <c r="O87">
        <f>kalimantan!BC57</f>
        <v>0.16398690425502974</v>
      </c>
      <c r="P87">
        <f>kalimantan!BD57</f>
        <v>856.75284497118355</v>
      </c>
    </row>
    <row r="88" spans="1:16" x14ac:dyDescent="0.25">
      <c r="A88" t="str">
        <f>kalimantan!AO58</f>
        <v>KALIMANTAN</v>
      </c>
      <c r="B88">
        <f>kalimantan!AP58</f>
        <v>2025</v>
      </c>
      <c r="C88">
        <f>kalimantan!AQ58</f>
        <v>134.03266885985951</v>
      </c>
      <c r="D88">
        <f>kalimantan!AR58</f>
        <v>40.760571094540666</v>
      </c>
      <c r="E88">
        <f>kalimantan!AS58</f>
        <v>162.19763516831142</v>
      </c>
      <c r="F88">
        <f>kalimantan!AT58</f>
        <v>13.668916103575468</v>
      </c>
      <c r="G88">
        <f>kalimantan!AU58</f>
        <v>7.2498239053248219E-3</v>
      </c>
      <c r="H88">
        <f>kalimantan!AV58</f>
        <v>514.56141261340747</v>
      </c>
      <c r="I88">
        <f>kalimantan!AW58</f>
        <v>3.0681237637283392</v>
      </c>
      <c r="J88">
        <f>kalimantan!AX58</f>
        <v>19.426809303123328</v>
      </c>
      <c r="K88">
        <f>kalimantan!AY58</f>
        <v>47.531122599065704</v>
      </c>
      <c r="L88">
        <f>kalimantan!AZ58</f>
        <v>41.834626977966366</v>
      </c>
      <c r="M88">
        <f>kalimantan!BA58</f>
        <v>0</v>
      </c>
      <c r="N88">
        <f>kalimantan!BB58</f>
        <v>0</v>
      </c>
      <c r="O88">
        <f>kalimantan!BC58</f>
        <v>0.12833390938898687</v>
      </c>
      <c r="P88">
        <f>kalimantan!BD58</f>
        <v>977.21747021687258</v>
      </c>
    </row>
    <row r="89" spans="1:16" x14ac:dyDescent="0.25">
      <c r="A89" t="str">
        <f>kalimantan!AO59</f>
        <v>KALIMANTAN</v>
      </c>
      <c r="B89">
        <f>kalimantan!AP59</f>
        <v>2026</v>
      </c>
      <c r="C89">
        <f>kalimantan!AQ59</f>
        <v>134.03266885985951</v>
      </c>
      <c r="D89">
        <f>kalimantan!AR59</f>
        <v>108.83358600137407</v>
      </c>
      <c r="E89">
        <f>kalimantan!AS59</f>
        <v>44.010028434050675</v>
      </c>
      <c r="F89">
        <f>kalimantan!AT59</f>
        <v>13.668916103575468</v>
      </c>
      <c r="G89">
        <f>kalimantan!AU59</f>
        <v>31.310339359358665</v>
      </c>
      <c r="H89">
        <f>kalimantan!AV59</f>
        <v>34.848337991379665</v>
      </c>
      <c r="I89">
        <f>kalimantan!AW59</f>
        <v>3.06804838192991</v>
      </c>
      <c r="J89">
        <f>kalimantan!AX59</f>
        <v>19.426809609284437</v>
      </c>
      <c r="K89">
        <f>kalimantan!AY59</f>
        <v>115.59691998528091</v>
      </c>
      <c r="L89">
        <f>kalimantan!AZ59</f>
        <v>8.7017217988182676</v>
      </c>
      <c r="M89">
        <f>kalimantan!BA59</f>
        <v>0</v>
      </c>
      <c r="N89">
        <f>kalimantan!BB59</f>
        <v>0</v>
      </c>
      <c r="O89">
        <f>kalimantan!BC59</f>
        <v>7.0982819723445667E-2</v>
      </c>
      <c r="P89">
        <f>kalimantan!BD59</f>
        <v>513.56835934463493</v>
      </c>
    </row>
    <row r="90" spans="1:16" x14ac:dyDescent="0.25">
      <c r="A90" t="str">
        <f>kalimantan!AO60</f>
        <v>KALIMANTAN</v>
      </c>
      <c r="B90">
        <f>kalimantan!AP60</f>
        <v>2027</v>
      </c>
      <c r="C90">
        <f>kalimantan!AQ60</f>
        <v>134.03266885985951</v>
      </c>
      <c r="D90">
        <f>kalimantan!AR60</f>
        <v>31.071080975797727</v>
      </c>
      <c r="E90">
        <f>kalimantan!AS60</f>
        <v>130.35974287510626</v>
      </c>
      <c r="F90">
        <f>kalimantan!AT60</f>
        <v>22.640333753309047</v>
      </c>
      <c r="G90">
        <f>kalimantan!AU60</f>
        <v>0.40225365835135152</v>
      </c>
      <c r="H90">
        <f>kalimantan!AV60</f>
        <v>34.848337991379665</v>
      </c>
      <c r="I90">
        <f>kalimantan!AW60</f>
        <v>3.0681223111014684</v>
      </c>
      <c r="J90">
        <f>kalimantan!AX60</f>
        <v>19.426809306049989</v>
      </c>
      <c r="K90">
        <f>kalimantan!AY60</f>
        <v>156.7129953667208</v>
      </c>
      <c r="L90">
        <f>kalimantan!AZ60</f>
        <v>7.6063008202972098</v>
      </c>
      <c r="M90">
        <f>kalimantan!BA60</f>
        <v>0</v>
      </c>
      <c r="N90">
        <f>kalimantan!BB60</f>
        <v>0</v>
      </c>
      <c r="O90">
        <f>kalimantan!BC60</f>
        <v>8.2923767640247295E-2</v>
      </c>
      <c r="P90">
        <f>kalimantan!BD60</f>
        <v>540.25156968561339</v>
      </c>
    </row>
    <row r="91" spans="1:16" x14ac:dyDescent="0.25">
      <c r="A91" t="str">
        <f>kalimantan!AO61</f>
        <v>KALIMANTAN</v>
      </c>
      <c r="B91">
        <f>kalimantan!AP61</f>
        <v>2028</v>
      </c>
      <c r="C91">
        <f>kalimantan!AQ61</f>
        <v>134.03266885985951</v>
      </c>
      <c r="D91">
        <f>kalimantan!AR61</f>
        <v>31.071080975797727</v>
      </c>
      <c r="E91">
        <f>kalimantan!AS61</f>
        <v>176.83200148044699</v>
      </c>
      <c r="F91">
        <f>kalimantan!AT61</f>
        <v>82.927668991683788</v>
      </c>
      <c r="G91">
        <f>kalimantan!AU61</f>
        <v>0.40225365835135152</v>
      </c>
      <c r="H91">
        <f>kalimantan!AV61</f>
        <v>34.848337991379665</v>
      </c>
      <c r="I91">
        <f>kalimantan!AW61</f>
        <v>3.0681223111014684</v>
      </c>
      <c r="J91">
        <f>kalimantan!AX61</f>
        <v>19.426809306049989</v>
      </c>
      <c r="K91">
        <f>kalimantan!AY61</f>
        <v>240.28884753888673</v>
      </c>
      <c r="L91">
        <f>kalimantan!AZ61</f>
        <v>7.6063008202972098</v>
      </c>
      <c r="M91">
        <f>kalimantan!BA61</f>
        <v>0</v>
      </c>
      <c r="N91">
        <f>kalimantan!BB61</f>
        <v>0</v>
      </c>
      <c r="O91">
        <f>kalimantan!BC61</f>
        <v>0.1363044242863248</v>
      </c>
      <c r="P91">
        <f>kalimantan!BD61</f>
        <v>730.64039635814083</v>
      </c>
    </row>
    <row r="92" spans="1:16" x14ac:dyDescent="0.25">
      <c r="A92" t="str">
        <f>kalimantan!AO62</f>
        <v>KALIMANTAN</v>
      </c>
      <c r="B92">
        <f>kalimantan!AP62</f>
        <v>2029</v>
      </c>
      <c r="C92">
        <f>kalimantan!AQ62</f>
        <v>134.03266885985951</v>
      </c>
      <c r="D92">
        <f>kalimantan!AR62</f>
        <v>31.071080975797727</v>
      </c>
      <c r="E92">
        <f>kalimantan!AS62</f>
        <v>189.73330148537588</v>
      </c>
      <c r="F92">
        <f>kalimantan!AT62</f>
        <v>87.474016353472294</v>
      </c>
      <c r="G92">
        <f>kalimantan!AU62</f>
        <v>0.40225365835135152</v>
      </c>
      <c r="H92">
        <f>kalimantan!AV62</f>
        <v>34.848337991379665</v>
      </c>
      <c r="I92">
        <f>kalimantan!AW62</f>
        <v>3.0681223111014684</v>
      </c>
      <c r="J92">
        <f>kalimantan!AX62</f>
        <v>19.426809306049989</v>
      </c>
      <c r="K92">
        <f>kalimantan!AY62</f>
        <v>261.90649726126674</v>
      </c>
      <c r="L92">
        <f>kalimantan!AZ62</f>
        <v>7.6063008202972098</v>
      </c>
      <c r="M92">
        <f>kalimantan!BA62</f>
        <v>0</v>
      </c>
      <c r="N92">
        <f>kalimantan!BB62</f>
        <v>0</v>
      </c>
      <c r="O92">
        <f>kalimantan!BC62</f>
        <v>0.14423921409332197</v>
      </c>
      <c r="P92">
        <f>kalimantan!BD62</f>
        <v>769.7136282370451</v>
      </c>
    </row>
    <row r="93" spans="1:16" x14ac:dyDescent="0.25">
      <c r="A93" t="str">
        <f>kalimantan!AO63</f>
        <v>KALIMANTAN</v>
      </c>
      <c r="B93">
        <f>kalimantan!AP63</f>
        <v>2030</v>
      </c>
      <c r="C93">
        <f>kalimantan!AQ63</f>
        <v>134.03266885985951</v>
      </c>
      <c r="D93">
        <f>kalimantan!AR63</f>
        <v>31.071080975797727</v>
      </c>
      <c r="E93">
        <f>kalimantan!AS63</f>
        <v>199.00950756803402</v>
      </c>
      <c r="F93">
        <f>kalimantan!AT63</f>
        <v>85.903641018839664</v>
      </c>
      <c r="G93">
        <f>kalimantan!AU63</f>
        <v>0.40225365835135152</v>
      </c>
      <c r="H93">
        <f>kalimantan!AV63</f>
        <v>34.848337991379665</v>
      </c>
      <c r="I93">
        <f>kalimantan!AW63</f>
        <v>3.0681223111014684</v>
      </c>
      <c r="J93">
        <f>kalimantan!AX63</f>
        <v>19.426809306049989</v>
      </c>
      <c r="K93">
        <f>kalimantan!AY63</f>
        <v>276.82145906646855</v>
      </c>
      <c r="L93">
        <f>kalimantan!AZ63</f>
        <v>7.6063008202972098</v>
      </c>
      <c r="M93">
        <f>kalimantan!BA63</f>
        <v>0</v>
      </c>
      <c r="N93">
        <f>kalimantan!BB63</f>
        <v>0</v>
      </c>
      <c r="O93">
        <f>kalimantan!BC63</f>
        <v>0.14716787848306381</v>
      </c>
      <c r="P93">
        <f>kalimantan!BD63</f>
        <v>792.3373494546621</v>
      </c>
    </row>
    <row r="94" spans="1:16" x14ac:dyDescent="0.25">
      <c r="A94" t="str">
        <f>kalimantan!AO64</f>
        <v>KALIMANTAN</v>
      </c>
      <c r="B94">
        <f>kalimantan!AP64</f>
        <v>2031</v>
      </c>
      <c r="C94">
        <f>kalimantan!AQ64</f>
        <v>149.03215884093729</v>
      </c>
      <c r="D94">
        <f>kalimantan!AR64</f>
        <v>31.071080975797727</v>
      </c>
      <c r="E94">
        <f>kalimantan!AS64</f>
        <v>226.65208443767176</v>
      </c>
      <c r="F94">
        <f>kalimantan!AT64</f>
        <v>100.797628258209</v>
      </c>
      <c r="G94">
        <f>kalimantan!AU64</f>
        <v>0.40225365835135152</v>
      </c>
      <c r="H94">
        <f>kalimantan!AV64</f>
        <v>34.848337991379665</v>
      </c>
      <c r="I94">
        <f>kalimantan!AW64</f>
        <v>3.0681223111014684</v>
      </c>
      <c r="J94">
        <f>kalimantan!AX64</f>
        <v>19.426809306049989</v>
      </c>
      <c r="K94">
        <f>kalimantan!AY64</f>
        <v>324.58384510471268</v>
      </c>
      <c r="L94">
        <f>kalimantan!AZ64</f>
        <v>7.6063008202972098</v>
      </c>
      <c r="M94">
        <f>kalimantan!BA64</f>
        <v>0</v>
      </c>
      <c r="N94">
        <f>kalimantan!BB64</f>
        <v>0</v>
      </c>
      <c r="O94">
        <f>kalimantan!BC64</f>
        <v>0.17176863649252866</v>
      </c>
      <c r="P94">
        <f>kalimantan!BD64</f>
        <v>897.66039034100061</v>
      </c>
    </row>
    <row r="95" spans="1:16" x14ac:dyDescent="0.25">
      <c r="A95" t="str">
        <f>kalimantan!AO65</f>
        <v>KALIMANTAN</v>
      </c>
      <c r="B95">
        <f>kalimantan!AP65</f>
        <v>2032</v>
      </c>
      <c r="C95">
        <f>kalimantan!AQ65</f>
        <v>285.22605344925751</v>
      </c>
      <c r="D95">
        <f>kalimantan!AR65</f>
        <v>31.071080975797731</v>
      </c>
      <c r="E95">
        <f>kalimantan!AS65</f>
        <v>245.17133327945797</v>
      </c>
      <c r="F95">
        <f>kalimantan!AT65</f>
        <v>38.944127014318518</v>
      </c>
      <c r="G95">
        <f>kalimantan!AU65</f>
        <v>0.40225365835135152</v>
      </c>
      <c r="H95">
        <f>kalimantan!AV65</f>
        <v>34.848337991379665</v>
      </c>
      <c r="I95">
        <f>kalimantan!AW65</f>
        <v>3.0681223111014684</v>
      </c>
      <c r="J95">
        <f>kalimantan!AX65</f>
        <v>19.426809306049989</v>
      </c>
      <c r="K95">
        <f>kalimantan!AY65</f>
        <v>355.62755460300895</v>
      </c>
      <c r="L95">
        <f>kalimantan!AZ65</f>
        <v>7.6063008202972098</v>
      </c>
      <c r="M95">
        <f>kalimantan!BA65</f>
        <v>0</v>
      </c>
      <c r="N95">
        <f>kalimantan!BB65</f>
        <v>0</v>
      </c>
      <c r="O95">
        <f>kalimantan!BC65</f>
        <v>0.18386370530588131</v>
      </c>
      <c r="P95">
        <f>kalimantan!BD65</f>
        <v>1021.5758371143262</v>
      </c>
    </row>
    <row r="96" spans="1:16" x14ac:dyDescent="0.25">
      <c r="A96" t="str">
        <f>kalimantan!AO66</f>
        <v>KALIMANTAN</v>
      </c>
      <c r="B96">
        <f>kalimantan!AP66</f>
        <v>2033</v>
      </c>
      <c r="C96">
        <f>kalimantan!AQ66</f>
        <v>277.43443052809403</v>
      </c>
      <c r="D96">
        <f>kalimantan!AR66</f>
        <v>31.071080975797727</v>
      </c>
      <c r="E96">
        <f>kalimantan!AS66</f>
        <v>248.85360459622308</v>
      </c>
      <c r="F96">
        <f>kalimantan!AT66</f>
        <v>31.81974480722532</v>
      </c>
      <c r="G96">
        <f>kalimantan!AU66</f>
        <v>0.40225365835135152</v>
      </c>
      <c r="H96">
        <f>kalimantan!AV66</f>
        <v>34.848337991379665</v>
      </c>
      <c r="I96">
        <f>kalimantan!AW66</f>
        <v>3.0681223111014684</v>
      </c>
      <c r="J96">
        <f>kalimantan!AX66</f>
        <v>19.426809306049989</v>
      </c>
      <c r="K96">
        <f>kalimantan!AY66</f>
        <v>360.14401545902803</v>
      </c>
      <c r="L96">
        <f>kalimantan!AZ66</f>
        <v>7.6063008202972098</v>
      </c>
      <c r="M96">
        <f>kalimantan!BA66</f>
        <v>0</v>
      </c>
      <c r="N96">
        <f>kalimantan!BB66</f>
        <v>0</v>
      </c>
      <c r="O96">
        <f>kalimantan!BC66</f>
        <v>0.17793520769944415</v>
      </c>
      <c r="P96">
        <f>kalimantan!BD66</f>
        <v>1014.8526356612473</v>
      </c>
    </row>
    <row r="97" spans="1:16" x14ac:dyDescent="0.25">
      <c r="A97" t="str">
        <f>kalimantan!AO67</f>
        <v>KALIMANTAN</v>
      </c>
      <c r="B97">
        <f>kalimantan!AP67</f>
        <v>2034</v>
      </c>
      <c r="C97">
        <f>kalimantan!AQ67</f>
        <v>315.33054423137787</v>
      </c>
      <c r="D97">
        <f>kalimantan!AR67</f>
        <v>31.071080975797727</v>
      </c>
      <c r="E97">
        <f>kalimantan!AS67</f>
        <v>285.10261912364558</v>
      </c>
      <c r="F97">
        <f>kalimantan!AT67</f>
        <v>41.326458197088428</v>
      </c>
      <c r="G97">
        <f>kalimantan!AU67</f>
        <v>0.40225365835135152</v>
      </c>
      <c r="H97">
        <f>kalimantan!AV67</f>
        <v>34.848337991379665</v>
      </c>
      <c r="I97">
        <f>kalimantan!AW67</f>
        <v>3.0681223111014684</v>
      </c>
      <c r="J97">
        <f>kalimantan!AX67</f>
        <v>19.426809306049989</v>
      </c>
      <c r="K97">
        <f>kalimantan!AY67</f>
        <v>422.15819474500518</v>
      </c>
      <c r="L97">
        <f>kalimantan!AZ67</f>
        <v>7.6063008202972098</v>
      </c>
      <c r="M97">
        <f>kalimantan!BA67</f>
        <v>0</v>
      </c>
      <c r="N97">
        <f>kalimantan!BB67</f>
        <v>0</v>
      </c>
      <c r="O97">
        <f>kalimantan!BC67</f>
        <v>0.20943249643235054</v>
      </c>
      <c r="P97">
        <f>kalimantan!BD67</f>
        <v>1160.5501538565268</v>
      </c>
    </row>
    <row r="98" spans="1:16" x14ac:dyDescent="0.25">
      <c r="A98" t="str">
        <f>kalimantan!AO68</f>
        <v>KALIMANTAN</v>
      </c>
      <c r="B98">
        <f>kalimantan!AP68</f>
        <v>2035</v>
      </c>
      <c r="C98">
        <f>kalimantan!AQ68</f>
        <v>312.70635722717469</v>
      </c>
      <c r="D98">
        <f>kalimantan!AR68</f>
        <v>31.071080975797727</v>
      </c>
      <c r="E98">
        <f>kalimantan!AS68</f>
        <v>293.65582716216181</v>
      </c>
      <c r="F98">
        <f>kalimantan!AT68</f>
        <v>35.536546820712928</v>
      </c>
      <c r="G98">
        <f>kalimantan!AU68</f>
        <v>0.40225365835135152</v>
      </c>
      <c r="H98">
        <f>kalimantan!AV68</f>
        <v>34.848337991379665</v>
      </c>
      <c r="I98">
        <f>kalimantan!AW68</f>
        <v>3.0681223111014684</v>
      </c>
      <c r="J98">
        <f>kalimantan!AX68</f>
        <v>19.426809306049989</v>
      </c>
      <c r="K98">
        <f>kalimantan!AY68</f>
        <v>435.0610042802536</v>
      </c>
      <c r="L98">
        <f>kalimantan!AZ68</f>
        <v>7.6063008202972098</v>
      </c>
      <c r="M98">
        <f>kalimantan!BA68</f>
        <v>0</v>
      </c>
      <c r="N98">
        <f>kalimantan!BB68</f>
        <v>0</v>
      </c>
      <c r="O98">
        <f>kalimantan!BC68</f>
        <v>0.20770221845567621</v>
      </c>
      <c r="P98">
        <f>kalimantan!BD68</f>
        <v>1173.5903427717365</v>
      </c>
    </row>
    <row r="99" spans="1:16" x14ac:dyDescent="0.25">
      <c r="A99" t="str">
        <f>kalimantan!AO69</f>
        <v>KALIMANTAN</v>
      </c>
      <c r="B99">
        <f>kalimantan!AP69</f>
        <v>2036</v>
      </c>
      <c r="C99">
        <f>kalimantan!AQ69</f>
        <v>343.08839499267162</v>
      </c>
      <c r="D99">
        <f>kalimantan!AR69</f>
        <v>31.071080975797727</v>
      </c>
      <c r="E99">
        <f>kalimantan!AS69</f>
        <v>327.12915049854183</v>
      </c>
      <c r="F99">
        <f>kalimantan!AT69</f>
        <v>41.15856063390995</v>
      </c>
      <c r="G99">
        <f>kalimantan!AU69</f>
        <v>0.40225365835135152</v>
      </c>
      <c r="H99">
        <f>kalimantan!AV69</f>
        <v>34.848337991379665</v>
      </c>
      <c r="I99">
        <f>kalimantan!AW69</f>
        <v>171.86405963738861</v>
      </c>
      <c r="J99">
        <f>kalimantan!AX69</f>
        <v>19.426809306049989</v>
      </c>
      <c r="K99">
        <f>kalimantan!AY69</f>
        <v>325.15344637157017</v>
      </c>
      <c r="L99">
        <f>kalimantan!AZ69</f>
        <v>7.6063008202972098</v>
      </c>
      <c r="M99">
        <f>kalimantan!BA69</f>
        <v>0</v>
      </c>
      <c r="N99">
        <f>kalimantan!BB69</f>
        <v>0</v>
      </c>
      <c r="O99">
        <f>kalimantan!BC69</f>
        <v>0.21498032886441593</v>
      </c>
      <c r="P99">
        <f>kalimantan!BD69</f>
        <v>1301.9633752148227</v>
      </c>
    </row>
    <row r="100" spans="1:16" x14ac:dyDescent="0.25">
      <c r="A100" t="str">
        <f>kalimantan!AO70</f>
        <v>KALIMANTAN</v>
      </c>
      <c r="B100">
        <f>kalimantan!AP70</f>
        <v>2037</v>
      </c>
      <c r="C100">
        <f>kalimantan!AQ70</f>
        <v>348.71762011498083</v>
      </c>
      <c r="D100">
        <f>kalimantan!AR70</f>
        <v>31.071080975798598</v>
      </c>
      <c r="E100">
        <f>kalimantan!AS70</f>
        <v>343.28643363044586</v>
      </c>
      <c r="F100">
        <f>kalimantan!AT70</f>
        <v>37.631575175870985</v>
      </c>
      <c r="G100">
        <f>kalimantan!AU70</f>
        <v>0.40225365835135152</v>
      </c>
      <c r="H100">
        <f>kalimantan!AV70</f>
        <v>34.848337991379665</v>
      </c>
      <c r="I100">
        <f>kalimantan!AW70</f>
        <v>294.0484311283418</v>
      </c>
      <c r="J100">
        <f>kalimantan!AX70</f>
        <v>19.426809306049989</v>
      </c>
      <c r="K100">
        <f>kalimantan!AY70</f>
        <v>227.4949231857851</v>
      </c>
      <c r="L100">
        <f>kalimantan!AZ70</f>
        <v>7.6063008202972098</v>
      </c>
      <c r="M100">
        <f>kalimantan!BA70</f>
        <v>0</v>
      </c>
      <c r="N100">
        <f>kalimantan!BB70</f>
        <v>0</v>
      </c>
      <c r="O100">
        <f>kalimantan!BC70</f>
        <v>0.20697283114077547</v>
      </c>
      <c r="P100">
        <f>kalimantan!BD70</f>
        <v>1344.7407388184427</v>
      </c>
    </row>
    <row r="101" spans="1:16" x14ac:dyDescent="0.25">
      <c r="A101" t="str">
        <f>kalimantan!AO71</f>
        <v>KALIMANTAN</v>
      </c>
      <c r="B101">
        <f>kalimantan!AP71</f>
        <v>2038</v>
      </c>
      <c r="C101">
        <f>kalimantan!AQ71</f>
        <v>383.23165000947802</v>
      </c>
      <c r="D101">
        <f>kalimantan!AR71</f>
        <v>31.071080975797752</v>
      </c>
      <c r="E101">
        <f>kalimantan!AS71</f>
        <v>382.81067584529592</v>
      </c>
      <c r="F101">
        <f>kalimantan!AT71</f>
        <v>43.373564261241654</v>
      </c>
      <c r="G101">
        <f>kalimantan!AU71</f>
        <v>0.40225365835135152</v>
      </c>
      <c r="H101">
        <f>kalimantan!AV71</f>
        <v>34.848337991379665</v>
      </c>
      <c r="I101">
        <f>kalimantan!AW71</f>
        <v>405.29074141103018</v>
      </c>
      <c r="J101">
        <f>kalimantan!AX71</f>
        <v>19.426809306049989</v>
      </c>
      <c r="K101">
        <f>kalimantan!AY71</f>
        <v>178.66566159289252</v>
      </c>
      <c r="L101">
        <f>kalimantan!AZ71</f>
        <v>7.6063008202972098</v>
      </c>
      <c r="M101">
        <f>kalimantan!BA71</f>
        <v>0</v>
      </c>
      <c r="N101">
        <f>kalimantan!BB71</f>
        <v>0</v>
      </c>
      <c r="O101">
        <f>kalimantan!BC71</f>
        <v>0.22495928802972323</v>
      </c>
      <c r="P101">
        <f>kalimantan!BD71</f>
        <v>1486.9520351598442</v>
      </c>
    </row>
    <row r="102" spans="1:16" x14ac:dyDescent="0.25">
      <c r="A102" t="str">
        <f>sulawesi!AO52</f>
        <v>SULAWESI</v>
      </c>
      <c r="B102">
        <f>sulawesi!AP52</f>
        <v>2019</v>
      </c>
      <c r="C102">
        <f>sulawesi!AQ52</f>
        <v>131.19080867006963</v>
      </c>
      <c r="D102">
        <f>sulawesi!AR52</f>
        <v>6.496506944274155</v>
      </c>
      <c r="E102">
        <f>sulawesi!AS52</f>
        <v>7.182120563185566</v>
      </c>
      <c r="F102">
        <f>sulawesi!AT52</f>
        <v>7.1007160817294661</v>
      </c>
      <c r="G102">
        <f>sulawesi!AU52</f>
        <v>3.9413370249321025</v>
      </c>
      <c r="H102">
        <f>sulawesi!AV52</f>
        <v>31.348889790170919</v>
      </c>
      <c r="I102">
        <f>sulawesi!AW52</f>
        <v>3.1504357941594194</v>
      </c>
      <c r="J102">
        <f>sulawesi!AX52</f>
        <v>4.5791999999999999E-2</v>
      </c>
      <c r="K102">
        <f>sulawesi!AY52</f>
        <v>0</v>
      </c>
      <c r="L102">
        <f>sulawesi!AZ52</f>
        <v>2.1583612400403008E-2</v>
      </c>
      <c r="M102">
        <f>sulawesi!BA52</f>
        <v>0</v>
      </c>
      <c r="N102">
        <f>sulawesi!BB52</f>
        <v>0</v>
      </c>
      <c r="O102">
        <f>sulawesi!BC52</f>
        <v>0</v>
      </c>
      <c r="P102">
        <f>sulawesi!BD52</f>
        <v>190.47819048092168</v>
      </c>
    </row>
    <row r="103" spans="1:16" x14ac:dyDescent="0.25">
      <c r="A103" t="str">
        <f>sulawesi!AO53</f>
        <v>SULAWESI</v>
      </c>
      <c r="B103">
        <f>sulawesi!AP53</f>
        <v>2020</v>
      </c>
      <c r="C103">
        <f>sulawesi!AQ53</f>
        <v>227.00646672511306</v>
      </c>
      <c r="D103">
        <f>sulawesi!AR53</f>
        <v>6.496506195106428</v>
      </c>
      <c r="E103">
        <f>sulawesi!AS53</f>
        <v>522.06164212938518</v>
      </c>
      <c r="F103">
        <f>sulawesi!AT53</f>
        <v>7.1007160817294661</v>
      </c>
      <c r="G103">
        <f>sulawesi!AU53</f>
        <v>3.9413370249321025</v>
      </c>
      <c r="H103">
        <f>sulawesi!AV53</f>
        <v>31.348889790170919</v>
      </c>
      <c r="I103">
        <f>sulawesi!AW53</f>
        <v>3.1504357941594194</v>
      </c>
      <c r="J103">
        <f>sulawesi!AX53</f>
        <v>145.4877404765341</v>
      </c>
      <c r="K103">
        <f>sulawesi!AY53</f>
        <v>0</v>
      </c>
      <c r="L103">
        <f>sulawesi!AZ53</f>
        <v>2.1583612400403008E-2</v>
      </c>
      <c r="M103">
        <f>sulawesi!BA53</f>
        <v>0</v>
      </c>
      <c r="N103">
        <f>sulawesi!BB53</f>
        <v>0</v>
      </c>
      <c r="O103">
        <f>sulawesi!BC53</f>
        <v>1.6444411585985304</v>
      </c>
      <c r="P103">
        <f>sulawesi!BD53</f>
        <v>948.25975898812953</v>
      </c>
    </row>
    <row r="104" spans="1:16" x14ac:dyDescent="0.25">
      <c r="A104" t="str">
        <f>sulawesi!AO54</f>
        <v>SULAWESI</v>
      </c>
      <c r="B104">
        <f>sulawesi!AP54</f>
        <v>2021</v>
      </c>
      <c r="C104">
        <f>sulawesi!AQ54</f>
        <v>232.91736518658033</v>
      </c>
      <c r="D104">
        <f>sulawesi!AR54</f>
        <v>6.4965061726053648</v>
      </c>
      <c r="E104">
        <f>sulawesi!AS54</f>
        <v>580.34831893355806</v>
      </c>
      <c r="F104">
        <f>sulawesi!AT54</f>
        <v>7.1007160817294661</v>
      </c>
      <c r="G104">
        <f>sulawesi!AU54</f>
        <v>3.9413370249321025</v>
      </c>
      <c r="H104">
        <f>sulawesi!AV54</f>
        <v>74.498884373756667</v>
      </c>
      <c r="I104">
        <f>sulawesi!AW54</f>
        <v>3.233022100896394</v>
      </c>
      <c r="J104">
        <f>sulawesi!AX54</f>
        <v>292.78991669366883</v>
      </c>
      <c r="K104">
        <f>sulawesi!AY54</f>
        <v>4.8764641776154471E-2</v>
      </c>
      <c r="L104">
        <f>sulawesi!AZ54</f>
        <v>2.1583612400403008E-2</v>
      </c>
      <c r="M104">
        <f>sulawesi!BA54</f>
        <v>0</v>
      </c>
      <c r="N104">
        <f>sulawesi!BB54</f>
        <v>0</v>
      </c>
      <c r="O104">
        <f>sulawesi!BC54</f>
        <v>0.22762093627384999</v>
      </c>
      <c r="P104">
        <f>sulawesi!BD54</f>
        <v>1201.6240357581776</v>
      </c>
    </row>
    <row r="105" spans="1:16" x14ac:dyDescent="0.25">
      <c r="A105" t="str">
        <f>sulawesi!AO55</f>
        <v>SULAWESI</v>
      </c>
      <c r="B105">
        <f>sulawesi!AP55</f>
        <v>2022</v>
      </c>
      <c r="C105">
        <f>sulawesi!AQ55</f>
        <v>266.17946458232029</v>
      </c>
      <c r="D105">
        <f>sulawesi!AR55</f>
        <v>6.4965068992720294</v>
      </c>
      <c r="E105">
        <f>sulawesi!AS55</f>
        <v>591.83820922856228</v>
      </c>
      <c r="F105">
        <f>sulawesi!AT55</f>
        <v>7.1007160817294661</v>
      </c>
      <c r="G105">
        <f>sulawesi!AU55</f>
        <v>3.9413370249321025</v>
      </c>
      <c r="H105">
        <f>sulawesi!AV55</f>
        <v>32.120609919546112</v>
      </c>
      <c r="I105">
        <f>sulawesi!AW55</f>
        <v>3.1520272537802612</v>
      </c>
      <c r="J105">
        <f>sulawesi!AX55</f>
        <v>4.2212161764363598</v>
      </c>
      <c r="K105">
        <f>sulawesi!AY55</f>
        <v>591.13602801208435</v>
      </c>
      <c r="L105">
        <f>sulawesi!AZ55</f>
        <v>2.1583612400403008E-2</v>
      </c>
      <c r="M105">
        <f>sulawesi!BA55</f>
        <v>0</v>
      </c>
      <c r="N105">
        <f>sulawesi!BB55</f>
        <v>0</v>
      </c>
      <c r="O105">
        <f>sulawesi!BC55</f>
        <v>0.32418416034380493</v>
      </c>
      <c r="P105">
        <f>sulawesi!BD55</f>
        <v>1506.5318829514076</v>
      </c>
    </row>
    <row r="106" spans="1:16" x14ac:dyDescent="0.25">
      <c r="A106" t="str">
        <f>sulawesi!AO56</f>
        <v>SULAWESI</v>
      </c>
      <c r="B106">
        <f>sulawesi!AP56</f>
        <v>2023</v>
      </c>
      <c r="C106">
        <f>sulawesi!AQ56</f>
        <v>141.01119570093587</v>
      </c>
      <c r="D106">
        <f>sulawesi!AR56</f>
        <v>6.4965068992720294</v>
      </c>
      <c r="E106">
        <f>sulawesi!AS56</f>
        <v>114.7903416113691</v>
      </c>
      <c r="F106">
        <f>sulawesi!AT56</f>
        <v>274.74208282663449</v>
      </c>
      <c r="G106">
        <f>sulawesi!AU56</f>
        <v>3.9413370249321025</v>
      </c>
      <c r="H106">
        <f>sulawesi!AV56</f>
        <v>32.120609919546112</v>
      </c>
      <c r="I106">
        <f>sulawesi!AW56</f>
        <v>3.1520272537802612</v>
      </c>
      <c r="J106">
        <f>sulawesi!AX56</f>
        <v>4.2212161764363598</v>
      </c>
      <c r="K106">
        <f>sulawesi!AY56</f>
        <v>144.87762422066794</v>
      </c>
      <c r="L106">
        <f>sulawesi!AZ56</f>
        <v>2.1583612400403008E-2</v>
      </c>
      <c r="M106">
        <f>sulawesi!BA56</f>
        <v>0</v>
      </c>
      <c r="N106">
        <f>sulawesi!BB56</f>
        <v>0</v>
      </c>
      <c r="O106">
        <f>sulawesi!BC56</f>
        <v>0.16370418831100483</v>
      </c>
      <c r="P106">
        <f>sulawesi!BD56</f>
        <v>725.53822943428565</v>
      </c>
    </row>
    <row r="107" spans="1:16" x14ac:dyDescent="0.25">
      <c r="A107" t="str">
        <f>sulawesi!AO57</f>
        <v>SULAWESI</v>
      </c>
      <c r="B107">
        <f>sulawesi!AP57</f>
        <v>2024</v>
      </c>
      <c r="C107">
        <f>sulawesi!AQ57</f>
        <v>141.0111957009359</v>
      </c>
      <c r="D107">
        <f>sulawesi!AR57</f>
        <v>6.4965068992720294</v>
      </c>
      <c r="E107">
        <f>sulawesi!AS57</f>
        <v>398.75995455492961</v>
      </c>
      <c r="F107">
        <f>sulawesi!AT57</f>
        <v>72.220287991142683</v>
      </c>
      <c r="G107">
        <f>sulawesi!AU57</f>
        <v>3.9413370249321025</v>
      </c>
      <c r="H107">
        <f>sulawesi!AV57</f>
        <v>32.120609919546112</v>
      </c>
      <c r="I107">
        <f>sulawesi!AW57</f>
        <v>3.1520272537802612</v>
      </c>
      <c r="J107">
        <f>sulawesi!AX57</f>
        <v>4.2212161764363598</v>
      </c>
      <c r="K107">
        <f>sulawesi!AY57</f>
        <v>613.18076382100116</v>
      </c>
      <c r="L107">
        <f>sulawesi!AZ57</f>
        <v>2.1583612400403008E-2</v>
      </c>
      <c r="M107">
        <f>sulawesi!BA57</f>
        <v>0</v>
      </c>
      <c r="N107">
        <f>sulawesi!BB57</f>
        <v>0</v>
      </c>
      <c r="O107">
        <f>sulawesi!BC57</f>
        <v>0.27331551412409127</v>
      </c>
      <c r="P107">
        <f>sulawesi!BD57</f>
        <v>1275.3987984685007</v>
      </c>
    </row>
    <row r="108" spans="1:16" x14ac:dyDescent="0.25">
      <c r="A108" t="str">
        <f>sulawesi!AO58</f>
        <v>SULAWESI</v>
      </c>
      <c r="B108">
        <f>sulawesi!AP58</f>
        <v>2025</v>
      </c>
      <c r="C108">
        <f>sulawesi!AQ58</f>
        <v>141.0111957009359</v>
      </c>
      <c r="D108">
        <f>sulawesi!AR58</f>
        <v>6.4965068992720392</v>
      </c>
      <c r="E108">
        <f>sulawesi!AS58</f>
        <v>457.56014556624928</v>
      </c>
      <c r="F108">
        <f>sulawesi!AT58</f>
        <v>82.461284718493332</v>
      </c>
      <c r="G108">
        <f>sulawesi!AU58</f>
        <v>3.9413370249321025</v>
      </c>
      <c r="H108">
        <f>sulawesi!AV58</f>
        <v>32.120609919546112</v>
      </c>
      <c r="I108">
        <f>sulawesi!AW58</f>
        <v>3.1520272537802612</v>
      </c>
      <c r="J108">
        <f>sulawesi!AX58</f>
        <v>4.2212161764363598</v>
      </c>
      <c r="K108">
        <f>sulawesi!AY58</f>
        <v>735.12602021350187</v>
      </c>
      <c r="L108">
        <f>sulawesi!AZ58</f>
        <v>2.1583612400403008E-2</v>
      </c>
      <c r="M108">
        <f>sulawesi!BA58</f>
        <v>0</v>
      </c>
      <c r="N108">
        <f>sulawesi!BB58</f>
        <v>0</v>
      </c>
      <c r="O108">
        <f>sulawesi!BC58</f>
        <v>0.31574718634032689</v>
      </c>
      <c r="P108">
        <f>sulawesi!BD58</f>
        <v>1466.427674271888</v>
      </c>
    </row>
    <row r="109" spans="1:16" x14ac:dyDescent="0.25">
      <c r="A109" t="str">
        <f>sulawesi!AO59</f>
        <v>SULAWESI</v>
      </c>
      <c r="B109">
        <f>sulawesi!AP59</f>
        <v>2026</v>
      </c>
      <c r="C109">
        <f>sulawesi!AQ59</f>
        <v>141.0111957009359</v>
      </c>
      <c r="D109">
        <f>sulawesi!AR59</f>
        <v>6.4965068992720294</v>
      </c>
      <c r="E109">
        <f>sulawesi!AS59</f>
        <v>522.75808010556455</v>
      </c>
      <c r="F109">
        <f>sulawesi!AT59</f>
        <v>62.932842560806471</v>
      </c>
      <c r="G109">
        <f>sulawesi!AU59</f>
        <v>3.9413370249321025</v>
      </c>
      <c r="H109">
        <f>sulawesi!AV59</f>
        <v>32.120609919546112</v>
      </c>
      <c r="I109">
        <f>sulawesi!AW59</f>
        <v>3.1520272537802612</v>
      </c>
      <c r="J109">
        <f>sulawesi!AX59</f>
        <v>12.579765276572306</v>
      </c>
      <c r="K109">
        <f>sulawesi!AY59</f>
        <v>427.1410336931267</v>
      </c>
      <c r="L109">
        <f>sulawesi!AZ59</f>
        <v>2.1583612400403008E-2</v>
      </c>
      <c r="M109">
        <f>sulawesi!BA59</f>
        <v>0</v>
      </c>
      <c r="N109">
        <f>sulawesi!BB59</f>
        <v>0</v>
      </c>
      <c r="O109">
        <f>sulawesi!BC59</f>
        <v>0.24171135391760096</v>
      </c>
      <c r="P109">
        <f>sulawesi!BD59</f>
        <v>1212.3966934008547</v>
      </c>
    </row>
    <row r="110" spans="1:16" x14ac:dyDescent="0.25">
      <c r="A110" t="str">
        <f>sulawesi!AO60</f>
        <v>SULAWESI</v>
      </c>
      <c r="B110">
        <f>sulawesi!AP60</f>
        <v>2027</v>
      </c>
      <c r="C110">
        <f>sulawesi!AQ60</f>
        <v>141.0111957009359</v>
      </c>
      <c r="D110">
        <f>sulawesi!AR60</f>
        <v>6.4965068992720294</v>
      </c>
      <c r="E110">
        <f>sulawesi!AS60</f>
        <v>647.58025519203534</v>
      </c>
      <c r="F110">
        <f>sulawesi!AT60</f>
        <v>79.489440079389809</v>
      </c>
      <c r="G110">
        <f>sulawesi!AU60</f>
        <v>3.9413370249321025</v>
      </c>
      <c r="H110">
        <f>sulawesi!AV60</f>
        <v>32.120609919546112</v>
      </c>
      <c r="I110">
        <f>sulawesi!AW60</f>
        <v>3.1520272537802705</v>
      </c>
      <c r="J110">
        <f>sulawesi!AX60</f>
        <v>71.368797232649626</v>
      </c>
      <c r="K110">
        <f>sulawesi!AY60</f>
        <v>483.89870315685528</v>
      </c>
      <c r="L110">
        <f>sulawesi!AZ60</f>
        <v>2.1583612400403008E-2</v>
      </c>
      <c r="M110">
        <f>sulawesi!BA60</f>
        <v>0</v>
      </c>
      <c r="N110">
        <f>sulawesi!BB60</f>
        <v>0</v>
      </c>
      <c r="O110">
        <f>sulawesi!BC60</f>
        <v>0.29796908859109655</v>
      </c>
      <c r="P110">
        <f>sulawesi!BD60</f>
        <v>1469.3784251603881</v>
      </c>
    </row>
    <row r="111" spans="1:16" x14ac:dyDescent="0.25">
      <c r="A111" t="str">
        <f>sulawesi!AO61</f>
        <v>SULAWESI</v>
      </c>
      <c r="B111">
        <f>sulawesi!AP61</f>
        <v>2028</v>
      </c>
      <c r="C111">
        <f>sulawesi!AQ61</f>
        <v>253.94177830305398</v>
      </c>
      <c r="D111">
        <f>sulawesi!AR61</f>
        <v>6.4965068992720294</v>
      </c>
      <c r="E111">
        <f>sulawesi!AS61</f>
        <v>280.42582767517507</v>
      </c>
      <c r="F111">
        <f>sulawesi!AT61</f>
        <v>28.246184983207939</v>
      </c>
      <c r="G111">
        <f>sulawesi!AU61</f>
        <v>3.9413370249321025</v>
      </c>
      <c r="H111">
        <f>sulawesi!AV61</f>
        <v>32.120609919546112</v>
      </c>
      <c r="I111">
        <f>sulawesi!AW61</f>
        <v>3.1520272537802518</v>
      </c>
      <c r="J111">
        <f>sulawesi!AX61</f>
        <v>56.607304310336637</v>
      </c>
      <c r="K111">
        <f>sulawesi!AY61</f>
        <v>311.89720114091205</v>
      </c>
      <c r="L111">
        <f>sulawesi!AZ61</f>
        <v>2.1583612400403008E-2</v>
      </c>
      <c r="M111">
        <f>sulawesi!BA61</f>
        <v>0</v>
      </c>
      <c r="N111">
        <f>sulawesi!BB61</f>
        <v>0</v>
      </c>
      <c r="O111">
        <f>sulawesi!BC61</f>
        <v>0.15836459006502032</v>
      </c>
      <c r="P111">
        <f>sulawesi!BD61</f>
        <v>977.00872571268167</v>
      </c>
    </row>
    <row r="112" spans="1:16" x14ac:dyDescent="0.25">
      <c r="A112" t="str">
        <f>sulawesi!AO62</f>
        <v>SULAWESI</v>
      </c>
      <c r="B112">
        <f>sulawesi!AP62</f>
        <v>2029</v>
      </c>
      <c r="C112">
        <f>sulawesi!AQ62</f>
        <v>277.35970760735194</v>
      </c>
      <c r="D112">
        <f>sulawesi!AR62</f>
        <v>6.4965068992720294</v>
      </c>
      <c r="E112">
        <f>sulawesi!AS62</f>
        <v>288.41112126164313</v>
      </c>
      <c r="F112">
        <f>sulawesi!AT62</f>
        <v>30.328443027009339</v>
      </c>
      <c r="G112">
        <f>sulawesi!AU62</f>
        <v>3.9413370249321025</v>
      </c>
      <c r="H112">
        <f>sulawesi!AV62</f>
        <v>32.120609919546112</v>
      </c>
      <c r="I112">
        <f>sulawesi!AW62</f>
        <v>3.1520272537802612</v>
      </c>
      <c r="J112">
        <f>sulawesi!AX62</f>
        <v>62.997497047493852</v>
      </c>
      <c r="K112">
        <f>sulawesi!AY62</f>
        <v>333.85032207943323</v>
      </c>
      <c r="L112">
        <f>sulawesi!AZ62</f>
        <v>2.1583612400403008E-2</v>
      </c>
      <c r="M112">
        <f>sulawesi!BA62</f>
        <v>0</v>
      </c>
      <c r="N112">
        <f>sulawesi!BB62</f>
        <v>0</v>
      </c>
      <c r="O112">
        <f>sulawesi!BC62</f>
        <v>0.16925657432888025</v>
      </c>
      <c r="P112">
        <f>sulawesi!BD62</f>
        <v>1038.8484123071917</v>
      </c>
    </row>
    <row r="113" spans="1:16" x14ac:dyDescent="0.25">
      <c r="A113" t="str">
        <f>sulawesi!AO63</f>
        <v>SULAWESI</v>
      </c>
      <c r="B113">
        <f>sulawesi!AP63</f>
        <v>2030</v>
      </c>
      <c r="C113">
        <f>sulawesi!AQ63</f>
        <v>287.70137847703529</v>
      </c>
      <c r="D113">
        <f>sulawesi!AR63</f>
        <v>6.4965068992720294</v>
      </c>
      <c r="E113">
        <f>sulawesi!AS63</f>
        <v>301.98311041610992</v>
      </c>
      <c r="F113">
        <f>sulawesi!AT63</f>
        <v>31.488803442870747</v>
      </c>
      <c r="G113">
        <f>sulawesi!AU63</f>
        <v>3.9413370249321025</v>
      </c>
      <c r="H113">
        <f>sulawesi!AV63</f>
        <v>32.120609919546105</v>
      </c>
      <c r="I113">
        <f>sulawesi!AW63</f>
        <v>3.1520272537802612</v>
      </c>
      <c r="J113">
        <f>sulawesi!AX63</f>
        <v>69.642799977325708</v>
      </c>
      <c r="K113">
        <f>sulawesi!AY63</f>
        <v>353.09624929388701</v>
      </c>
      <c r="L113">
        <f>sulawesi!AZ63</f>
        <v>2.1583612400403008E-2</v>
      </c>
      <c r="M113">
        <f>sulawesi!BA63</f>
        <v>0</v>
      </c>
      <c r="N113">
        <f>sulawesi!BB63</f>
        <v>0</v>
      </c>
      <c r="O113">
        <f>sulawesi!BC63</f>
        <v>0.17784992384536302</v>
      </c>
      <c r="P113">
        <f>sulawesi!BD63</f>
        <v>1089.8222562410049</v>
      </c>
    </row>
    <row r="114" spans="1:16" x14ac:dyDescent="0.25">
      <c r="A114" t="str">
        <f>sulawesi!AO64</f>
        <v>SULAWESI</v>
      </c>
      <c r="B114">
        <f>sulawesi!AP64</f>
        <v>2031</v>
      </c>
      <c r="C114">
        <f>sulawesi!AQ64</f>
        <v>324.41635849203567</v>
      </c>
      <c r="D114">
        <f>sulawesi!AR64</f>
        <v>6.4965068992720294</v>
      </c>
      <c r="E114">
        <f>sulawesi!AS64</f>
        <v>338.60803706089166</v>
      </c>
      <c r="F114">
        <f>sulawesi!AT64</f>
        <v>39.248309422862363</v>
      </c>
      <c r="G114">
        <f>sulawesi!AU64</f>
        <v>3.9413370249321025</v>
      </c>
      <c r="H114">
        <f>sulawesi!AV64</f>
        <v>32.120609919546112</v>
      </c>
      <c r="I114">
        <f>sulawesi!AW64</f>
        <v>3.1520272537802612</v>
      </c>
      <c r="J114">
        <f>sulawesi!AX64</f>
        <v>80.817736436716189</v>
      </c>
      <c r="K114">
        <f>sulawesi!AY64</f>
        <v>401.52996766900964</v>
      </c>
      <c r="L114">
        <f>sulawesi!AZ64</f>
        <v>2.1583612400403008E-2</v>
      </c>
      <c r="M114">
        <f>sulawesi!BA64</f>
        <v>0</v>
      </c>
      <c r="N114">
        <f>sulawesi!BB64</f>
        <v>0</v>
      </c>
      <c r="O114">
        <f>sulawesi!BC64</f>
        <v>0.20755145238630171</v>
      </c>
      <c r="P114">
        <f>sulawesi!BD64</f>
        <v>1230.5600252438328</v>
      </c>
    </row>
    <row r="115" spans="1:16" x14ac:dyDescent="0.25">
      <c r="A115" t="str">
        <f>sulawesi!AO65</f>
        <v>SULAWESI</v>
      </c>
      <c r="B115">
        <f>sulawesi!AP65</f>
        <v>2032</v>
      </c>
      <c r="C115">
        <f>sulawesi!AQ65</f>
        <v>346.45826180469794</v>
      </c>
      <c r="D115">
        <f>sulawesi!AR65</f>
        <v>6.4965068992720294</v>
      </c>
      <c r="E115">
        <f>sulawesi!AS65</f>
        <v>363.64752251246921</v>
      </c>
      <c r="F115">
        <f>sulawesi!AT65</f>
        <v>42.861151171329091</v>
      </c>
      <c r="G115">
        <f>sulawesi!AU65</f>
        <v>3.9413370249321025</v>
      </c>
      <c r="H115">
        <f>sulawesi!AV65</f>
        <v>32.120609919546112</v>
      </c>
      <c r="I115">
        <f>sulawesi!AW65</f>
        <v>3.1520272537802612</v>
      </c>
      <c r="J115">
        <f>sulawesi!AX65</f>
        <v>91.1390561056172</v>
      </c>
      <c r="K115">
        <f>sulawesi!AY65</f>
        <v>435.53792381123316</v>
      </c>
      <c r="L115">
        <f>sulawesi!AZ65</f>
        <v>2.1583612400403008E-2</v>
      </c>
      <c r="M115">
        <f>sulawesi!BA65</f>
        <v>0</v>
      </c>
      <c r="N115">
        <f>sulawesi!BB65</f>
        <v>0</v>
      </c>
      <c r="O115">
        <f>sulawesi!BC65</f>
        <v>0.22569065002551086</v>
      </c>
      <c r="P115">
        <f>sulawesi!BD65</f>
        <v>1325.601670765303</v>
      </c>
    </row>
    <row r="116" spans="1:16" x14ac:dyDescent="0.25">
      <c r="A116" t="str">
        <f>sulawesi!AO66</f>
        <v>SULAWESI</v>
      </c>
      <c r="B116">
        <f>sulawesi!AP66</f>
        <v>2033</v>
      </c>
      <c r="C116">
        <f>sulawesi!AQ66</f>
        <v>345.99858903424257</v>
      </c>
      <c r="D116">
        <f>sulawesi!AR66</f>
        <v>6.4965068992720294</v>
      </c>
      <c r="E116">
        <f>sulawesi!AS66</f>
        <v>369.52144979490703</v>
      </c>
      <c r="F116">
        <f>sulawesi!AT66</f>
        <v>40.686293162351262</v>
      </c>
      <c r="G116">
        <f>sulawesi!AU66</f>
        <v>3.9413370249321025</v>
      </c>
      <c r="H116">
        <f>sulawesi!AV66</f>
        <v>32.120609919546112</v>
      </c>
      <c r="I116">
        <f>sulawesi!AW66</f>
        <v>3.1520272537802612</v>
      </c>
      <c r="J116">
        <f>sulawesi!AX66</f>
        <v>98.84289535606527</v>
      </c>
      <c r="K116">
        <f>sulawesi!AY66</f>
        <v>445.15168499613986</v>
      </c>
      <c r="L116">
        <f>sulawesi!AZ66</f>
        <v>2.1583612400403008E-2</v>
      </c>
      <c r="M116">
        <f>sulawesi!BA66</f>
        <v>0</v>
      </c>
      <c r="N116">
        <f>sulawesi!BB66</f>
        <v>0</v>
      </c>
      <c r="O116">
        <f>sulawesi!BC66</f>
        <v>0.22575085957094621</v>
      </c>
      <c r="P116">
        <f>sulawesi!BD66</f>
        <v>1346.1587279132079</v>
      </c>
    </row>
    <row r="117" spans="1:16" x14ac:dyDescent="0.25">
      <c r="A117" t="str">
        <f>sulawesi!AO67</f>
        <v>SULAWESI</v>
      </c>
      <c r="B117">
        <f>sulawesi!AP67</f>
        <v>2034</v>
      </c>
      <c r="C117">
        <f>sulawesi!AQ67</f>
        <v>393.4881963236873</v>
      </c>
      <c r="D117">
        <f>sulawesi!AR67</f>
        <v>6.4965068992720294</v>
      </c>
      <c r="E117">
        <f>sulawesi!AS67</f>
        <v>418.18206938824909</v>
      </c>
      <c r="F117">
        <f>sulawesi!AT67</f>
        <v>50.298910826946496</v>
      </c>
      <c r="G117">
        <f>sulawesi!AU67</f>
        <v>3.9413370249320887</v>
      </c>
      <c r="H117">
        <f>sulawesi!AV67</f>
        <v>32.120609919546112</v>
      </c>
      <c r="I117">
        <f>sulawesi!AW67</f>
        <v>3.1520272537802612</v>
      </c>
      <c r="J117">
        <f>sulawesi!AX67</f>
        <v>115.75942517360254</v>
      </c>
      <c r="K117">
        <f>sulawesi!AY67</f>
        <v>509.10425002918549</v>
      </c>
      <c r="L117">
        <f>sulawesi!AZ67</f>
        <v>2.1583612400403008E-2</v>
      </c>
      <c r="M117">
        <f>sulawesi!BA67</f>
        <v>0</v>
      </c>
      <c r="N117">
        <f>sulawesi!BB67</f>
        <v>0</v>
      </c>
      <c r="O117">
        <f>sulawesi!BC67</f>
        <v>0.26513997495052538</v>
      </c>
      <c r="P117">
        <f>sulawesi!BD67</f>
        <v>1532.8300564265523</v>
      </c>
    </row>
    <row r="118" spans="1:16" x14ac:dyDescent="0.25">
      <c r="A118" t="str">
        <f>sulawesi!AO68</f>
        <v>SULAWESI</v>
      </c>
      <c r="B118">
        <f>sulawesi!AP68</f>
        <v>2035</v>
      </c>
      <c r="C118">
        <f>sulawesi!AQ68</f>
        <v>403.33563494792514</v>
      </c>
      <c r="D118">
        <f>sulawesi!AR68</f>
        <v>6.4965068992720294</v>
      </c>
      <c r="E118">
        <f>sulawesi!AS68</f>
        <v>434.38747167311419</v>
      </c>
      <c r="F118">
        <f>sulawesi!AT68</f>
        <v>50.274182018859328</v>
      </c>
      <c r="G118">
        <f>sulawesi!AU68</f>
        <v>3.9413370249320887</v>
      </c>
      <c r="H118">
        <f>sulawesi!AV68</f>
        <v>32.120609919546112</v>
      </c>
      <c r="I118">
        <f>sulawesi!AW68</f>
        <v>3.1520272537802612</v>
      </c>
      <c r="J118">
        <f>sulawesi!AX68</f>
        <v>127.65431315632971</v>
      </c>
      <c r="K118">
        <f>sulawesi!AY68</f>
        <v>531.74028984191386</v>
      </c>
      <c r="L118">
        <f>sulawesi!AZ68</f>
        <v>2.1583612400403008E-2</v>
      </c>
      <c r="M118">
        <f>sulawesi!BA68</f>
        <v>0</v>
      </c>
      <c r="N118">
        <f>sulawesi!BB68</f>
        <v>0</v>
      </c>
      <c r="O118">
        <f>sulawesi!BC68</f>
        <v>0.27374669862191897</v>
      </c>
      <c r="P118">
        <f>sulawesi!BD68</f>
        <v>1593.3977030466951</v>
      </c>
    </row>
    <row r="119" spans="1:16" x14ac:dyDescent="0.25">
      <c r="A119" t="str">
        <f>sulawesi!AO69</f>
        <v>SULAWESI</v>
      </c>
      <c r="B119">
        <f>sulawesi!AP69</f>
        <v>2036</v>
      </c>
      <c r="C119">
        <f>sulawesi!AQ69</f>
        <v>441.72185862217856</v>
      </c>
      <c r="D119">
        <f>sulawesi!AR69</f>
        <v>6.4965068992720294</v>
      </c>
      <c r="E119">
        <f>sulawesi!AS69</f>
        <v>476.98057241959617</v>
      </c>
      <c r="F119">
        <f>sulawesi!AT69</f>
        <v>56.99898534210444</v>
      </c>
      <c r="G119">
        <f>sulawesi!AU69</f>
        <v>3.9413370249321025</v>
      </c>
      <c r="H119">
        <f>sulawesi!AV69</f>
        <v>32.120609919546112</v>
      </c>
      <c r="I119">
        <f>sulawesi!AW69</f>
        <v>3.1520272537802612</v>
      </c>
      <c r="J119">
        <f>sulawesi!AX69</f>
        <v>146.55758201370497</v>
      </c>
      <c r="K119">
        <f>sulawesi!AY69</f>
        <v>587.89493615432775</v>
      </c>
      <c r="L119">
        <f>sulawesi!AZ69</f>
        <v>2.1583612400403008E-2</v>
      </c>
      <c r="M119">
        <f>sulawesi!BA69</f>
        <v>0</v>
      </c>
      <c r="N119">
        <f>sulawesi!BB69</f>
        <v>0</v>
      </c>
      <c r="O119">
        <f>sulawesi!BC69</f>
        <v>0.30629812826811376</v>
      </c>
      <c r="P119">
        <f>sulawesi!BD69</f>
        <v>1756.192297390111</v>
      </c>
    </row>
    <row r="120" spans="1:16" x14ac:dyDescent="0.25">
      <c r="A120" t="str">
        <f>sulawesi!AO70</f>
        <v>SULAWESI</v>
      </c>
      <c r="B120">
        <f>sulawesi!AP70</f>
        <v>2037</v>
      </c>
      <c r="C120">
        <f>sulawesi!AQ70</f>
        <v>465.02274401407379</v>
      </c>
      <c r="D120">
        <f>sulawesi!AR70</f>
        <v>6.4965068992720294</v>
      </c>
      <c r="E120">
        <f>sulawesi!AS70</f>
        <v>506.87976532592654</v>
      </c>
      <c r="F120">
        <f>sulawesi!AT70</f>
        <v>59.771036884160836</v>
      </c>
      <c r="G120">
        <f>sulawesi!AU70</f>
        <v>3.9413370249321025</v>
      </c>
      <c r="H120">
        <f>sulawesi!AV70</f>
        <v>32.120609919546112</v>
      </c>
      <c r="I120">
        <f>sulawesi!AW70</f>
        <v>3.1520272537802612</v>
      </c>
      <c r="J120">
        <f>sulawesi!AX70</f>
        <v>164.44362698208491</v>
      </c>
      <c r="K120">
        <f>sulawesi!AY70</f>
        <v>627.6590468943898</v>
      </c>
      <c r="L120">
        <f>sulawesi!AZ70</f>
        <v>2.1583612400403008E-2</v>
      </c>
      <c r="M120">
        <f>sulawesi!BA70</f>
        <v>0</v>
      </c>
      <c r="N120">
        <f>sulawesi!BB70</f>
        <v>0</v>
      </c>
      <c r="O120">
        <f>sulawesi!BC70</f>
        <v>0.32645497665671186</v>
      </c>
      <c r="P120">
        <f>sulawesi!BD70</f>
        <v>1869.8347397872237</v>
      </c>
    </row>
    <row r="121" spans="1:16" x14ac:dyDescent="0.25">
      <c r="A121" t="str">
        <f>sulawesi!AO71</f>
        <v>SULAWESI</v>
      </c>
      <c r="B121">
        <f>sulawesi!AP71</f>
        <v>2038</v>
      </c>
      <c r="C121">
        <f>sulawesi!AQ71</f>
        <v>524.29848927479622</v>
      </c>
      <c r="D121">
        <f>sulawesi!AR71</f>
        <v>6.4965068992720294</v>
      </c>
      <c r="E121">
        <f>sulawesi!AS71</f>
        <v>571.18738876746932</v>
      </c>
      <c r="F121">
        <f>sulawesi!AT71</f>
        <v>70.67251412512735</v>
      </c>
      <c r="G121">
        <f>sulawesi!AU71</f>
        <v>3.9413370249321025</v>
      </c>
      <c r="H121">
        <f>sulawesi!AV71</f>
        <v>32.120609919546112</v>
      </c>
      <c r="I121">
        <f>sulawesi!AW71</f>
        <v>3.1520272537802612</v>
      </c>
      <c r="J121">
        <f>sulawesi!AX71</f>
        <v>192.77604370947938</v>
      </c>
      <c r="K121">
        <f>sulawesi!AY71</f>
        <v>711.30223116806292</v>
      </c>
      <c r="L121">
        <f>sulawesi!AZ71</f>
        <v>2.1583612400403008E-2</v>
      </c>
      <c r="M121">
        <f>sulawesi!BA71</f>
        <v>0</v>
      </c>
      <c r="N121">
        <f>sulawesi!BB71</f>
        <v>0</v>
      </c>
      <c r="O121">
        <f>sulawesi!BC71</f>
        <v>0.37742380728428682</v>
      </c>
      <c r="P121">
        <f>sulawesi!BD71</f>
        <v>2116.3461555621498</v>
      </c>
    </row>
    <row r="122" spans="1:16" x14ac:dyDescent="0.25">
      <c r="A122" t="str">
        <f>maluku_papua!AO52</f>
        <v>MALUKU_PAPUA</v>
      </c>
      <c r="B122">
        <f>maluku_papua!AP52</f>
        <v>2019</v>
      </c>
      <c r="C122">
        <f>maluku_papua!AQ52</f>
        <v>12.908564845335718</v>
      </c>
      <c r="D122">
        <f>maluku_papua!AR52</f>
        <v>9.0004252483709538E-2</v>
      </c>
      <c r="E122">
        <f>maluku_papua!AS52</f>
        <v>0</v>
      </c>
      <c r="F122">
        <f>maluku_papua!AT52</f>
        <v>7.0779698234787505</v>
      </c>
      <c r="G122">
        <f>maluku_papua!AU52</f>
        <v>0</v>
      </c>
      <c r="H122">
        <f>maluku_papua!AV52</f>
        <v>1.126558773959482</v>
      </c>
      <c r="I122">
        <f>maluku_papua!AW52</f>
        <v>0</v>
      </c>
      <c r="J122">
        <f>maluku_papua!AX52</f>
        <v>6.9227999999999998E-2</v>
      </c>
      <c r="K122">
        <f>maluku_papua!AY52</f>
        <v>0</v>
      </c>
      <c r="L122">
        <f>maluku_papua!AZ52</f>
        <v>0</v>
      </c>
      <c r="M122">
        <f>maluku_papua!BA52</f>
        <v>0</v>
      </c>
      <c r="N122">
        <f>maluku_papua!BB52</f>
        <v>0</v>
      </c>
      <c r="O122">
        <f>maluku_papua!BC52</f>
        <v>0</v>
      </c>
      <c r="P122">
        <f>maluku_papua!BD52</f>
        <v>21.272325695257656</v>
      </c>
    </row>
    <row r="123" spans="1:16" x14ac:dyDescent="0.25">
      <c r="A123" t="str">
        <f>maluku_papua!AO53</f>
        <v>MALUKU_PAPUA</v>
      </c>
      <c r="B123">
        <f>maluku_papua!AP53</f>
        <v>2020</v>
      </c>
      <c r="C123">
        <f>maluku_papua!AQ53</f>
        <v>12.908564845335718</v>
      </c>
      <c r="D123">
        <f>maluku_papua!AR53</f>
        <v>9.0003503315981642E-2</v>
      </c>
      <c r="E123">
        <f>maluku_papua!AS53</f>
        <v>166.10516934328356</v>
      </c>
      <c r="F123">
        <f>maluku_papua!AT53</f>
        <v>7.0779698234787505</v>
      </c>
      <c r="G123">
        <f>maluku_papua!AU53</f>
        <v>0</v>
      </c>
      <c r="H123">
        <f>maluku_papua!AV53</f>
        <v>1.126558773959482</v>
      </c>
      <c r="I123">
        <f>maluku_papua!AW53</f>
        <v>0</v>
      </c>
      <c r="J123">
        <f>maluku_papua!AX53</f>
        <v>6.9226870200000096E-2</v>
      </c>
      <c r="K123">
        <f>maluku_papua!AY53</f>
        <v>0</v>
      </c>
      <c r="L123">
        <f>maluku_papua!AZ53</f>
        <v>0</v>
      </c>
      <c r="M123">
        <f>maluku_papua!BA53</f>
        <v>-1.6482270707082533E-6</v>
      </c>
      <c r="N123">
        <f>maluku_papua!BB53</f>
        <v>0</v>
      </c>
      <c r="O123">
        <f>maluku_papua!BC53</f>
        <v>0.39996557130179122</v>
      </c>
      <c r="P123">
        <f>maluku_papua!BD53</f>
        <v>187.7774570826482</v>
      </c>
    </row>
    <row r="124" spans="1:16" x14ac:dyDescent="0.25">
      <c r="A124" t="str">
        <f>maluku_papua!AO54</f>
        <v>MALUKU_PAPUA</v>
      </c>
      <c r="B124">
        <f>maluku_papua!AP54</f>
        <v>2021</v>
      </c>
      <c r="C124">
        <f>maluku_papua!AQ54</f>
        <v>12.908564845335718</v>
      </c>
      <c r="D124">
        <f>maluku_papua!AR54</f>
        <v>9.0003480814917255E-2</v>
      </c>
      <c r="E124">
        <f>maluku_papua!AS54</f>
        <v>182.83556530843083</v>
      </c>
      <c r="F124">
        <f>maluku_papua!AT54</f>
        <v>7.0779698234787505</v>
      </c>
      <c r="G124">
        <f>maluku_papua!AU54</f>
        <v>-1.3135581238947847E-14</v>
      </c>
      <c r="H124">
        <f>maluku_papua!AV54</f>
        <v>1.127627504545307</v>
      </c>
      <c r="I124">
        <f>maluku_papua!AW54</f>
        <v>197.36258983901229</v>
      </c>
      <c r="J124">
        <f>maluku_papua!AX54</f>
        <v>377.5888646412576</v>
      </c>
      <c r="K124">
        <f>maluku_papua!AY54</f>
        <v>49.717186533412104</v>
      </c>
      <c r="L124">
        <f>maluku_papua!AZ54</f>
        <v>0</v>
      </c>
      <c r="M124">
        <f>maluku_papua!BA54</f>
        <v>1.2001283018885314</v>
      </c>
      <c r="N124">
        <f>maluku_papua!BB54</f>
        <v>0</v>
      </c>
      <c r="O124">
        <f>maluku_papua!BC54</f>
        <v>0.15335558744584848</v>
      </c>
      <c r="P124">
        <f>maluku_papua!BD54</f>
        <v>830.06185586562185</v>
      </c>
    </row>
    <row r="125" spans="1:16" x14ac:dyDescent="0.25">
      <c r="A125" t="str">
        <f>maluku_papua!AO55</f>
        <v>MALUKU_PAPUA</v>
      </c>
      <c r="B125">
        <f>maluku_papua!AP55</f>
        <v>2022</v>
      </c>
      <c r="C125">
        <f>maluku_papua!AQ55</f>
        <v>42.441779438208528</v>
      </c>
      <c r="D125">
        <f>maluku_papua!AR55</f>
        <v>9.0003458313855478E-2</v>
      </c>
      <c r="E125">
        <f>maluku_papua!AS55</f>
        <v>145.11188071325765</v>
      </c>
      <c r="F125">
        <f>maluku_papua!AT55</f>
        <v>7.0779698234787505</v>
      </c>
      <c r="G125">
        <f>maluku_papua!AU55</f>
        <v>1.2969827473614704E-14</v>
      </c>
      <c r="H125">
        <f>maluku_papua!AV55</f>
        <v>42.495047794684794</v>
      </c>
      <c r="I125">
        <f>maluku_papua!AW55</f>
        <v>86.042285268371842</v>
      </c>
      <c r="J125">
        <f>maluku_papua!AX55</f>
        <v>12.84199776425945</v>
      </c>
      <c r="K125">
        <f>maluku_papua!AY55</f>
        <v>20.049062669430345</v>
      </c>
      <c r="L125">
        <f>maluku_papua!AZ55</f>
        <v>0</v>
      </c>
      <c r="M125">
        <f>maluku_papua!BA55</f>
        <v>0.21284175125139185</v>
      </c>
      <c r="N125">
        <f>maluku_papua!BB55</f>
        <v>0</v>
      </c>
      <c r="O125">
        <f>maluku_papua!BC55</f>
        <v>6.6082285758327988E-2</v>
      </c>
      <c r="P125">
        <f>maluku_papua!BD55</f>
        <v>356.428950967015</v>
      </c>
    </row>
    <row r="126" spans="1:16" x14ac:dyDescent="0.25">
      <c r="A126" t="str">
        <f>maluku_papua!AO56</f>
        <v>MALUKU_PAPUA</v>
      </c>
      <c r="B126">
        <f>maluku_papua!AP56</f>
        <v>2023</v>
      </c>
      <c r="C126">
        <f>maluku_papua!AQ56</f>
        <v>93.471882810431111</v>
      </c>
      <c r="D126">
        <f>maluku_papua!AR56</f>
        <v>9.0004184980520305E-2</v>
      </c>
      <c r="E126">
        <f>maluku_papua!AS56</f>
        <v>67.943661996379376</v>
      </c>
      <c r="F126">
        <f>maluku_papua!AT56</f>
        <v>7.0779698234787505</v>
      </c>
      <c r="G126">
        <f>maluku_papua!AU56</f>
        <v>-1.3135583719229753E-14</v>
      </c>
      <c r="H126">
        <f>maluku_papua!AV56</f>
        <v>3.0049087614639758</v>
      </c>
      <c r="I126">
        <f>maluku_papua!AW56</f>
        <v>5.3970610916669335</v>
      </c>
      <c r="J126">
        <f>maluku_papua!AX56</f>
        <v>10.989470208709058</v>
      </c>
      <c r="K126">
        <f>maluku_papua!AY56</f>
        <v>141.57272784226743</v>
      </c>
      <c r="L126">
        <f>maluku_papua!AZ56</f>
        <v>0</v>
      </c>
      <c r="M126">
        <f>maluku_papua!BA56</f>
        <v>6.3966192007953129E-2</v>
      </c>
      <c r="N126">
        <f>maluku_papua!BB56</f>
        <v>0</v>
      </c>
      <c r="O126">
        <f>maluku_papua!BC56</f>
        <v>6.9708631638731713E-2</v>
      </c>
      <c r="P126">
        <f>maluku_papua!BD56</f>
        <v>329.6813615430238</v>
      </c>
    </row>
    <row r="127" spans="1:16" x14ac:dyDescent="0.25">
      <c r="A127" t="str">
        <f>maluku_papua!AO57</f>
        <v>MALUKU_PAPUA</v>
      </c>
      <c r="B127">
        <f>maluku_papua!AP57</f>
        <v>2024</v>
      </c>
      <c r="C127">
        <f>maluku_papua!AQ57</f>
        <v>99.696756027988755</v>
      </c>
      <c r="D127">
        <f>maluku_papua!AR57</f>
        <v>9.0003435812791091E-2</v>
      </c>
      <c r="E127">
        <f>maluku_papua!AS57</f>
        <v>76.04580413378325</v>
      </c>
      <c r="F127">
        <f>maluku_papua!AT57</f>
        <v>7.0779698234787505</v>
      </c>
      <c r="G127">
        <f>maluku_papua!AU57</f>
        <v>-6.0166178177160853E-7</v>
      </c>
      <c r="H127">
        <f>maluku_papua!AV57</f>
        <v>29.9662712858389</v>
      </c>
      <c r="I127">
        <f>maluku_papua!AW57</f>
        <v>137.16703647164465</v>
      </c>
      <c r="J127">
        <f>maluku_papua!AX57</f>
        <v>3.8346737628017604</v>
      </c>
      <c r="K127">
        <f>maluku_papua!AY57</f>
        <v>18.697585569123202</v>
      </c>
      <c r="L127">
        <f>maluku_papua!AZ57</f>
        <v>0</v>
      </c>
      <c r="M127">
        <f>maluku_papua!BA57</f>
        <v>3.7832987622428482E-2</v>
      </c>
      <c r="N127">
        <f>maluku_papua!BB57</f>
        <v>0</v>
      </c>
      <c r="O127">
        <f>maluku_papua!BC57</f>
        <v>6.0606232831780099E-2</v>
      </c>
      <c r="P127">
        <f>maluku_papua!BD57</f>
        <v>372.67453912926447</v>
      </c>
    </row>
    <row r="128" spans="1:16" x14ac:dyDescent="0.25">
      <c r="A128" t="str">
        <f>maluku_papua!AO58</f>
        <v>MALUKU_PAPUA</v>
      </c>
      <c r="B128">
        <f>maluku_papua!AP58</f>
        <v>2025</v>
      </c>
      <c r="C128">
        <f>maluku_papua!AQ58</f>
        <v>106.04447609417957</v>
      </c>
      <c r="D128">
        <f>maluku_papua!AR58</f>
        <v>9.0003413311727967E-2</v>
      </c>
      <c r="E128">
        <f>maluku_papua!AS58</f>
        <v>85.254194573929851</v>
      </c>
      <c r="F128">
        <f>maluku_papua!AT58</f>
        <v>7.0779698234787505</v>
      </c>
      <c r="G128">
        <f>maluku_papua!AU58</f>
        <v>-7.5921808195123444E-9</v>
      </c>
      <c r="H128">
        <f>maluku_papua!AV58</f>
        <v>127.4641866447646</v>
      </c>
      <c r="I128">
        <f>maluku_papua!AW58</f>
        <v>24.722289121720966</v>
      </c>
      <c r="J128">
        <f>maluku_papua!AX58</f>
        <v>30.716303119474382</v>
      </c>
      <c r="K128">
        <f>maluku_papua!AY58</f>
        <v>49.110364534549085</v>
      </c>
      <c r="L128">
        <f>maluku_papua!AZ58</f>
        <v>0</v>
      </c>
      <c r="M128">
        <f>maluku_papua!BA58</f>
        <v>3.7907279244970164E-2</v>
      </c>
      <c r="N128">
        <f>maluku_papua!BB58</f>
        <v>0</v>
      </c>
      <c r="O128">
        <f>maluku_papua!BC58</f>
        <v>7.2454895874114328E-2</v>
      </c>
      <c r="P128">
        <f>maluku_papua!BD58</f>
        <v>430.59014949293584</v>
      </c>
    </row>
    <row r="129" spans="1:16" x14ac:dyDescent="0.25">
      <c r="A129" t="str">
        <f>maluku_papua!AO59</f>
        <v>MALUKU_PAPUA</v>
      </c>
      <c r="B129">
        <f>maluku_papua!AP59</f>
        <v>2026</v>
      </c>
      <c r="C129">
        <f>maluku_papua!AQ59</f>
        <v>122.05143289665011</v>
      </c>
      <c r="D129">
        <f>maluku_papua!AR59</f>
        <v>9.0004139978394085E-2</v>
      </c>
      <c r="E129">
        <f>maluku_papua!AS59</f>
        <v>77.714620340118927</v>
      </c>
      <c r="F129">
        <f>maluku_papua!AT59</f>
        <v>7.0779698234787505</v>
      </c>
      <c r="G129">
        <f>maluku_papua!AU59</f>
        <v>5.9406961392192596E-7</v>
      </c>
      <c r="H129">
        <f>maluku_papua!AV59</f>
        <v>35.97217972336162</v>
      </c>
      <c r="I129">
        <f>maluku_papua!AW59</f>
        <v>57.70585240735241</v>
      </c>
      <c r="J129">
        <f>maluku_papua!AX59</f>
        <v>9.8075755909278772</v>
      </c>
      <c r="K129">
        <f>maluku_papua!AY59</f>
        <v>23.096614823783916</v>
      </c>
      <c r="L129">
        <f>maluku_papua!AZ59</f>
        <v>0</v>
      </c>
      <c r="M129">
        <f>maluku_papua!BA59</f>
        <v>0.3035850587587911</v>
      </c>
      <c r="N129">
        <f>maluku_papua!BB59</f>
        <v>0</v>
      </c>
      <c r="O129">
        <f>maluku_papua!BC59</f>
        <v>5.5227751593794373E-2</v>
      </c>
      <c r="P129">
        <f>maluku_papua!BD59</f>
        <v>333.8750631500742</v>
      </c>
    </row>
    <row r="130" spans="1:16" x14ac:dyDescent="0.25">
      <c r="A130" t="str">
        <f>maluku_papua!AO60</f>
        <v>MALUKU_PAPUA</v>
      </c>
      <c r="B130">
        <f>maluku_papua!AP60</f>
        <v>2027</v>
      </c>
      <c r="C130">
        <f>maluku_papua!AQ60</f>
        <v>131.17776574041596</v>
      </c>
      <c r="D130">
        <f>maluku_papua!AR60</f>
        <v>9.0003390810664372E-2</v>
      </c>
      <c r="E130">
        <f>maluku_papua!AS60</f>
        <v>84.588017754293887</v>
      </c>
      <c r="F130">
        <f>maluku_papua!AT60</f>
        <v>7.0779698234787505</v>
      </c>
      <c r="G130">
        <f>maluku_papua!AU60</f>
        <v>-6.0166179547659654E-7</v>
      </c>
      <c r="H130">
        <f>maluku_papua!AV60</f>
        <v>36.328076397853167</v>
      </c>
      <c r="I130">
        <f>maluku_papua!AW60</f>
        <v>67.69763104438826</v>
      </c>
      <c r="J130">
        <f>maluku_papua!AX60</f>
        <v>8.206581215172152</v>
      </c>
      <c r="K130">
        <f>maluku_papua!AY60</f>
        <v>24.20858222932543</v>
      </c>
      <c r="L130">
        <f>maluku_papua!AZ60</f>
        <v>0</v>
      </c>
      <c r="M130">
        <f>maluku_papua!BA60</f>
        <v>0.28778763077322567</v>
      </c>
      <c r="N130">
        <f>maluku_papua!BB60</f>
        <v>0</v>
      </c>
      <c r="O130">
        <f>maluku_papua!BC60</f>
        <v>5.9116338795292642E-2</v>
      </c>
      <c r="P130">
        <f>maluku_papua!BD60</f>
        <v>359.72153096364502</v>
      </c>
    </row>
    <row r="131" spans="1:16" x14ac:dyDescent="0.25">
      <c r="A131" t="str">
        <f>maluku_papua!AO61</f>
        <v>MALUKU_PAPUA</v>
      </c>
      <c r="B131">
        <f>maluku_papua!AP61</f>
        <v>2028</v>
      </c>
      <c r="C131">
        <f>maluku_papua!AQ61</f>
        <v>140.82663263849994</v>
      </c>
      <c r="D131">
        <f>maluku_papua!AR61</f>
        <v>9.0003368309601747E-2</v>
      </c>
      <c r="E131">
        <f>maluku_papua!AS61</f>
        <v>92.093550472316224</v>
      </c>
      <c r="F131">
        <f>maluku_papua!AT61</f>
        <v>7.0779698234787505</v>
      </c>
      <c r="G131">
        <f>maluku_papua!AU61</f>
        <v>5.9406960151222402E-7</v>
      </c>
      <c r="H131">
        <f>maluku_papua!AV61</f>
        <v>5.7434758516098015</v>
      </c>
      <c r="I131">
        <f>maluku_papua!AW61</f>
        <v>10.331406630093875</v>
      </c>
      <c r="J131">
        <f>maluku_papua!AX61</f>
        <v>19.521125594084928</v>
      </c>
      <c r="K131">
        <f>maluku_papua!AY61</f>
        <v>111.69045098829713</v>
      </c>
      <c r="L131">
        <f>maluku_papua!AZ61</f>
        <v>0</v>
      </c>
      <c r="M131">
        <f>maluku_papua!BA61</f>
        <v>0.34351894241332331</v>
      </c>
      <c r="N131">
        <f>maluku_papua!BB61</f>
        <v>0</v>
      </c>
      <c r="O131">
        <f>maluku_papua!BC61</f>
        <v>7.3986010666268823E-2</v>
      </c>
      <c r="P131">
        <f>maluku_papua!BD61</f>
        <v>387.79212091383943</v>
      </c>
    </row>
    <row r="132" spans="1:16" x14ac:dyDescent="0.25">
      <c r="A132" t="str">
        <f>maluku_papua!AO62</f>
        <v>MALUKU_PAPUA</v>
      </c>
      <c r="B132">
        <f>maluku_papua!AP62</f>
        <v>2029</v>
      </c>
      <c r="C132">
        <f>maluku_papua!AQ62</f>
        <v>151.02559950771507</v>
      </c>
      <c r="D132">
        <f>maluku_papua!AR62</f>
        <v>9.0003345808538651E-2</v>
      </c>
      <c r="E132">
        <f>maluku_papua!AS62</f>
        <v>100.28801771633987</v>
      </c>
      <c r="F132">
        <f>maluku_papua!AT62</f>
        <v>7.0779698234787505</v>
      </c>
      <c r="G132">
        <f>maluku_papua!AU62</f>
        <v>-1.6575379402287501E-16</v>
      </c>
      <c r="H132">
        <f>maluku_papua!AV62</f>
        <v>34.697303166323046</v>
      </c>
      <c r="I132">
        <f>maluku_papua!AW62</f>
        <v>90.9414899081047</v>
      </c>
      <c r="J132">
        <f>maluku_papua!AX62</f>
        <v>8.3458221977785456</v>
      </c>
      <c r="K132">
        <f>maluku_papua!AY62</f>
        <v>27.31571434303897</v>
      </c>
      <c r="L132">
        <f>maluku_papua!AZ62</f>
        <v>0</v>
      </c>
      <c r="M132">
        <f>maluku_papua!BA62</f>
        <v>0.59417252232628714</v>
      </c>
      <c r="N132">
        <f>maluku_papua!BB62</f>
        <v>0</v>
      </c>
      <c r="O132">
        <f>maluku_papua!BC62</f>
        <v>6.7938556092068697E-2</v>
      </c>
      <c r="P132">
        <f>maluku_papua!BD62</f>
        <v>420.44403108700578</v>
      </c>
    </row>
    <row r="133" spans="1:16" x14ac:dyDescent="0.25">
      <c r="A133" t="str">
        <f>maluku_papua!AO63</f>
        <v>MALUKU_PAPUA</v>
      </c>
      <c r="B133">
        <f>maluku_papua!AP63</f>
        <v>2030</v>
      </c>
      <c r="C133">
        <f>maluku_papua!AQ63</f>
        <v>161.80184710110214</v>
      </c>
      <c r="D133">
        <f>maluku_papua!AR63</f>
        <v>9.0004072475204769E-2</v>
      </c>
      <c r="E133">
        <f>maluku_papua!AS63</f>
        <v>109.23625598289432</v>
      </c>
      <c r="F133">
        <f>maluku_papua!AT63</f>
        <v>7.0779698234787505</v>
      </c>
      <c r="G133">
        <f>maluku_papua!AU63</f>
        <v>1.2969829718516712E-14</v>
      </c>
      <c r="H133">
        <f>maluku_papua!AV63</f>
        <v>47.483418259856556</v>
      </c>
      <c r="I133">
        <f>maluku_papua!AW63</f>
        <v>82.567264308967296</v>
      </c>
      <c r="J133">
        <f>maluku_papua!AX63</f>
        <v>13.546909765903608</v>
      </c>
      <c r="K133">
        <f>maluku_papua!AY63</f>
        <v>33.390162999335701</v>
      </c>
      <c r="L133">
        <f>maluku_papua!AZ63</f>
        <v>0</v>
      </c>
      <c r="M133">
        <f>maluku_papua!BA63</f>
        <v>7.3728108368387821E-2</v>
      </c>
      <c r="N133">
        <f>maluku_papua!BB63</f>
        <v>0</v>
      </c>
      <c r="O133">
        <f>maluku_papua!BC63</f>
        <v>7.3919107768772627E-2</v>
      </c>
      <c r="P133">
        <f>maluku_papua!BD63</f>
        <v>455.34147953015071</v>
      </c>
    </row>
    <row r="134" spans="1:16" x14ac:dyDescent="0.25">
      <c r="A134" t="str">
        <f>maluku_papua!AO64</f>
        <v>MALUKU_PAPUA</v>
      </c>
      <c r="B134">
        <f>maluku_papua!AP64</f>
        <v>2031</v>
      </c>
      <c r="C134">
        <f>maluku_papua!AQ64</f>
        <v>173.18404124321961</v>
      </c>
      <c r="D134">
        <f>maluku_papua!AR64</f>
        <v>9.0004072475204769E-2</v>
      </c>
      <c r="E134">
        <f>maluku_papua!AS64</f>
        <v>119.00812977828592</v>
      </c>
      <c r="F134">
        <f>maluku_papua!AT64</f>
        <v>7.0779698234787505</v>
      </c>
      <c r="G134">
        <f>maluku_papua!AU64</f>
        <v>-6.0166179547659654E-7</v>
      </c>
      <c r="H134">
        <f>maluku_papua!AV64</f>
        <v>62.036072591418069</v>
      </c>
      <c r="I134">
        <f>maluku_papua!AW64</f>
        <v>69.09508126629801</v>
      </c>
      <c r="J134">
        <f>maluku_papua!AX64</f>
        <v>6.2045887060351887</v>
      </c>
      <c r="K134">
        <f>maluku_papua!AY64</f>
        <v>52.825193961712984</v>
      </c>
      <c r="L134">
        <f>maluku_papua!AZ64</f>
        <v>0</v>
      </c>
      <c r="M134">
        <f>maluku_papua!BA64</f>
        <v>7.3728108368387821E-2</v>
      </c>
      <c r="N134">
        <f>maluku_papua!BB64</f>
        <v>0</v>
      </c>
      <c r="O134">
        <f>maluku_papua!BC64</f>
        <v>8.0790629452148488E-2</v>
      </c>
      <c r="P134">
        <f>maluku_papua!BD64</f>
        <v>489.67559957908247</v>
      </c>
    </row>
    <row r="135" spans="1:16" x14ac:dyDescent="0.25">
      <c r="A135" t="str">
        <f>maluku_papua!AO65</f>
        <v>MALUKU_PAPUA</v>
      </c>
      <c r="B135">
        <f>maluku_papua!AP65</f>
        <v>2032</v>
      </c>
      <c r="C135">
        <f>maluku_papua!AQ65</f>
        <v>185.20168104543072</v>
      </c>
      <c r="D135">
        <f>maluku_papua!AR65</f>
        <v>9.0004072475204769E-2</v>
      </c>
      <c r="E135">
        <f>maluku_papua!AS65</f>
        <v>129.68027288688597</v>
      </c>
      <c r="F135">
        <f>maluku_papua!AT65</f>
        <v>7.0779698234787505</v>
      </c>
      <c r="G135">
        <f>maluku_papua!AU65</f>
        <v>-7.5921808287890724E-9</v>
      </c>
      <c r="H135">
        <f>maluku_papua!AV65</f>
        <v>57.695602857889831</v>
      </c>
      <c r="I135">
        <f>maluku_papua!AW65</f>
        <v>96.244454762916135</v>
      </c>
      <c r="J135">
        <f>maluku_papua!AX65</f>
        <v>15.485855840913089</v>
      </c>
      <c r="K135">
        <f>maluku_papua!AY65</f>
        <v>39.215212978664532</v>
      </c>
      <c r="L135">
        <f>maluku_papua!AZ65</f>
        <v>0</v>
      </c>
      <c r="M135">
        <f>maluku_papua!BA65</f>
        <v>0.63408677077696163</v>
      </c>
      <c r="N135">
        <f>maluku_papua!BB65</f>
        <v>0</v>
      </c>
      <c r="O135">
        <f>maluku_papua!BC65</f>
        <v>8.5668350396377047E-2</v>
      </c>
      <c r="P135">
        <f>maluku_papua!BD65</f>
        <v>531.41080938223536</v>
      </c>
    </row>
    <row r="136" spans="1:16" x14ac:dyDescent="0.25">
      <c r="A136" t="str">
        <f>maluku_papua!AO66</f>
        <v>MALUKU_PAPUA</v>
      </c>
      <c r="B136">
        <f>maluku_papua!AP66</f>
        <v>2033</v>
      </c>
      <c r="C136">
        <f>maluku_papua!AQ66</f>
        <v>197.88519141546055</v>
      </c>
      <c r="D136">
        <f>maluku_papua!AR66</f>
        <v>9.0003323307475541E-2</v>
      </c>
      <c r="E136">
        <f>maluku_papua!AS66</f>
        <v>141.33648956128133</v>
      </c>
      <c r="F136">
        <f>maluku_papua!AT66</f>
        <v>7.0779698234787505</v>
      </c>
      <c r="G136">
        <f>maluku_papua!AU66</f>
        <v>5.9406961464780715E-7</v>
      </c>
      <c r="H136">
        <f>maluku_papua!AV66</f>
        <v>9.1736325257952611</v>
      </c>
      <c r="I136">
        <f>maluku_papua!AW66</f>
        <v>75.776514726656359</v>
      </c>
      <c r="J136">
        <f>maluku_papua!AX66</f>
        <v>92.402813581504859</v>
      </c>
      <c r="K136">
        <f>maluku_papua!AY66</f>
        <v>66.277638640200735</v>
      </c>
      <c r="L136">
        <f>maluku_papua!AZ66</f>
        <v>0</v>
      </c>
      <c r="M136">
        <f>maluku_papua!BA66</f>
        <v>8.8789598057521582E-2</v>
      </c>
      <c r="N136">
        <f>maluku_papua!BB66</f>
        <v>0</v>
      </c>
      <c r="O136">
        <f>maluku_papua!BC66</f>
        <v>0.10091768213316966</v>
      </c>
      <c r="P136">
        <f>maluku_papua!BD66</f>
        <v>590.20996147194546</v>
      </c>
    </row>
    <row r="137" spans="1:16" x14ac:dyDescent="0.25">
      <c r="A137" t="str">
        <f>maluku_papua!AO67</f>
        <v>MALUKU_PAPUA</v>
      </c>
      <c r="B137">
        <f>maluku_papua!AP67</f>
        <v>2034</v>
      </c>
      <c r="C137">
        <f>maluku_papua!AQ67</f>
        <v>211.26581473515046</v>
      </c>
      <c r="D137">
        <f>maluku_papua!AR67</f>
        <v>9.0004049974141659E-2</v>
      </c>
      <c r="E137">
        <f>maluku_papua!AS67</f>
        <v>154.06854868591628</v>
      </c>
      <c r="F137">
        <f>maluku_papua!AT67</f>
        <v>7.0779698234787505</v>
      </c>
      <c r="G137">
        <f>maluku_papua!AU67</f>
        <v>-1.313558423595515E-14</v>
      </c>
      <c r="H137">
        <f>maluku_papua!AV67</f>
        <v>63.302651857921035</v>
      </c>
      <c r="I137">
        <f>maluku_papua!AW67</f>
        <v>125.88152515315213</v>
      </c>
      <c r="J137">
        <f>maluku_papua!AX67</f>
        <v>15.779113038997185</v>
      </c>
      <c r="K137">
        <f>maluku_papua!AY67</f>
        <v>40.188034161144472</v>
      </c>
      <c r="L137">
        <f>maluku_papua!AZ67</f>
        <v>0</v>
      </c>
      <c r="M137">
        <f>maluku_papua!BA67</f>
        <v>0.1123321442711894</v>
      </c>
      <c r="N137">
        <f>maluku_papua!BB67</f>
        <v>0</v>
      </c>
      <c r="O137">
        <f>maluku_papua!BC67</f>
        <v>9.8510281446660325E-2</v>
      </c>
      <c r="P137">
        <f>maluku_papua!BD67</f>
        <v>617.8645039314523</v>
      </c>
    </row>
    <row r="138" spans="1:16" x14ac:dyDescent="0.25">
      <c r="A138" t="str">
        <f>maluku_papua!AO68</f>
        <v>MALUKU_PAPUA</v>
      </c>
      <c r="B138">
        <f>maluku_papua!AP68</f>
        <v>2035</v>
      </c>
      <c r="C138">
        <f>maluku_papua!AQ68</f>
        <v>230.00537676280248</v>
      </c>
      <c r="D138">
        <f>maluku_papua!AR68</f>
        <v>9.0003300806413764E-2</v>
      </c>
      <c r="E138">
        <f>maluku_papua!AS68</f>
        <v>159.26464203077325</v>
      </c>
      <c r="F138">
        <f>maluku_papua!AT68</f>
        <v>7.0779698234787505</v>
      </c>
      <c r="G138">
        <f>maluku_papua!AU68</f>
        <v>-6.0166177483623776E-7</v>
      </c>
      <c r="H138">
        <f>maluku_papua!AV68</f>
        <v>151.25820396976783</v>
      </c>
      <c r="I138">
        <f>maluku_papua!AW68</f>
        <v>19.675358407043603</v>
      </c>
      <c r="J138">
        <f>maluku_papua!AX68</f>
        <v>100.5262109822652</v>
      </c>
      <c r="K138">
        <f>maluku_papua!AY68</f>
        <v>20.991207594023212</v>
      </c>
      <c r="L138">
        <f>maluku_papua!AZ68</f>
        <v>0</v>
      </c>
      <c r="M138">
        <f>maluku_papua!BA68</f>
        <v>0.98453551126290173</v>
      </c>
      <c r="N138">
        <f>maluku_papua!BB68</f>
        <v>0</v>
      </c>
      <c r="O138">
        <f>maluku_papua!BC68</f>
        <v>0.10859614225686452</v>
      </c>
      <c r="P138">
        <f>maluku_papua!BD68</f>
        <v>689.98210392281874</v>
      </c>
    </row>
    <row r="139" spans="1:16" x14ac:dyDescent="0.25">
      <c r="A139" t="str">
        <f>maluku_papua!AO69</f>
        <v>MALUKU_PAPUA</v>
      </c>
      <c r="B139">
        <f>maluku_papua!AP69</f>
        <v>2036</v>
      </c>
      <c r="C139">
        <f>maluku_papua!AQ69</f>
        <v>222.82695536654592</v>
      </c>
      <c r="D139">
        <f>maluku_papua!AR69</f>
        <v>9.0004027473078604E-2</v>
      </c>
      <c r="E139">
        <f>maluku_papua!AS69</f>
        <v>215.92310876303321</v>
      </c>
      <c r="F139">
        <f>maluku_papua!AT69</f>
        <v>7.0779698234787505</v>
      </c>
      <c r="G139">
        <f>maluku_papua!AU69</f>
        <v>5.9406959393848623E-7</v>
      </c>
      <c r="H139">
        <f>maluku_papua!AV69</f>
        <v>12.446832804887743</v>
      </c>
      <c r="I139">
        <f>maluku_papua!AW69</f>
        <v>318.25551894836445</v>
      </c>
      <c r="J139">
        <f>maluku_papua!AX69</f>
        <v>45.555157848211408</v>
      </c>
      <c r="K139">
        <f>maluku_papua!AY69</f>
        <v>54.572915793855259</v>
      </c>
      <c r="L139">
        <f>maluku_papua!AZ69</f>
        <v>0</v>
      </c>
      <c r="M139">
        <f>maluku_papua!BA69</f>
        <v>0.11348150328929087</v>
      </c>
      <c r="N139">
        <f>maluku_papua!BB69</f>
        <v>0</v>
      </c>
      <c r="O139">
        <f>maluku_papua!BC69</f>
        <v>0.14131456088694558</v>
      </c>
      <c r="P139">
        <f>maluku_papua!BD69</f>
        <v>877.00326003409555</v>
      </c>
    </row>
    <row r="140" spans="1:16" x14ac:dyDescent="0.25">
      <c r="A140" t="str">
        <f>maluku_papua!AO70</f>
        <v>MALUKU_PAPUA</v>
      </c>
      <c r="B140">
        <f>maluku_papua!AP70</f>
        <v>2037</v>
      </c>
      <c r="C140">
        <f>maluku_papua!AQ70</f>
        <v>239.68919477984022</v>
      </c>
      <c r="D140">
        <f>maluku_papua!AR70</f>
        <v>9.0003278305350695E-2</v>
      </c>
      <c r="E140">
        <f>maluku_papua!AS70</f>
        <v>230.38678482068252</v>
      </c>
      <c r="F140">
        <f>maluku_papua!AT70</f>
        <v>7.0779698234787505</v>
      </c>
      <c r="G140">
        <f>maluku_papua!AU70</f>
        <v>1.2969831045049725E-14</v>
      </c>
      <c r="H140">
        <f>maluku_papua!AV70</f>
        <v>73.565256512319209</v>
      </c>
      <c r="I140">
        <f>maluku_papua!AW70</f>
        <v>333.38780230264018</v>
      </c>
      <c r="J140">
        <f>maluku_papua!AX70</f>
        <v>20.354119957446976</v>
      </c>
      <c r="K140">
        <f>maluku_papua!AY70</f>
        <v>48.997889430611032</v>
      </c>
      <c r="L140">
        <f>maluku_papua!AZ70</f>
        <v>0</v>
      </c>
      <c r="M140">
        <f>maluku_papua!BA70</f>
        <v>1.0154970147510121</v>
      </c>
      <c r="N140">
        <f>maluku_papua!BB70</f>
        <v>0</v>
      </c>
      <c r="O140">
        <f>maluku_papua!BC70</f>
        <v>0.14975603528629575</v>
      </c>
      <c r="P140">
        <f>maluku_papua!BD70</f>
        <v>954.71427395536148</v>
      </c>
    </row>
    <row r="141" spans="1:16" x14ac:dyDescent="0.25">
      <c r="A141" t="str">
        <f>maluku_papua!AO71</f>
        <v>MALUKU_PAPUA</v>
      </c>
      <c r="B141">
        <f>maluku_papua!AP71</f>
        <v>2038</v>
      </c>
      <c r="C141">
        <f>maluku_papua!AQ71</f>
        <v>129.88832845011424</v>
      </c>
      <c r="D141">
        <f>maluku_papua!AR71</f>
        <v>9.0004004972015536E-2</v>
      </c>
      <c r="E141">
        <f>maluku_papua!AS71</f>
        <v>152.07424849458656</v>
      </c>
      <c r="F141">
        <f>maluku_papua!AT71</f>
        <v>58.137021997238698</v>
      </c>
      <c r="G141">
        <f>maluku_papua!AU71</f>
        <v>0</v>
      </c>
      <c r="H141">
        <f>maluku_papua!AV71</f>
        <v>13.475201278915728</v>
      </c>
      <c r="I141">
        <f>maluku_papua!AW71</f>
        <v>30.870424453527775</v>
      </c>
      <c r="J141">
        <f>maluku_papua!AX71</f>
        <v>6.9301011128120162</v>
      </c>
      <c r="K141">
        <f>maluku_papua!AY71</f>
        <v>23.200360490059396</v>
      </c>
      <c r="L141">
        <f>maluku_papua!AZ71</f>
        <v>0</v>
      </c>
      <c r="M141">
        <f>maluku_papua!BA71</f>
        <v>0.13772614915043346</v>
      </c>
      <c r="N141">
        <f>maluku_papua!BB71</f>
        <v>0</v>
      </c>
      <c r="O141">
        <f>maluku_papua!BC71</f>
        <v>6.8648184999335435E-2</v>
      </c>
      <c r="P141">
        <f>maluku_papua!BD71</f>
        <v>414.87206461637618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23429-C54B-47C9-9274-CEACDF445498}">
  <sheetPr codeName="Sheet20"/>
  <dimension ref="A1:P141"/>
  <sheetViews>
    <sheetView workbookViewId="0">
      <selection activeCell="Q25" sqref="Q25"/>
    </sheetView>
  </sheetViews>
  <sheetFormatPr defaultRowHeight="15" x14ac:dyDescent="0.25"/>
  <cols>
    <col min="1" max="1" width="18.5703125" customWidth="1"/>
  </cols>
  <sheetData>
    <row r="1" spans="1:16" x14ac:dyDescent="0.25">
      <c r="A1" t="str">
        <f>indonesia!B51</f>
        <v>region</v>
      </c>
      <c r="B1" t="str">
        <f>indonesia!C51</f>
        <v>year</v>
      </c>
      <c r="C1" t="str">
        <f>indonesia!D51</f>
        <v>coal</v>
      </c>
      <c r="D1" t="str">
        <f>indonesia!E51</f>
        <v>ocgt</v>
      </c>
      <c r="E1" t="str">
        <f>indonesia!F51</f>
        <v>ccgt</v>
      </c>
      <c r="F1" t="str">
        <f>indonesia!G51</f>
        <v>reciprocating</v>
      </c>
      <c r="G1" t="str">
        <f>indonesia!H51</f>
        <v>geothermal</v>
      </c>
      <c r="H1" t="str">
        <f>indonesia!I51</f>
        <v>lhydro</v>
      </c>
      <c r="I1" t="str">
        <f>indonesia!J51</f>
        <v>mhydro</v>
      </c>
      <c r="J1" t="str">
        <f>indonesia!K51</f>
        <v>solar</v>
      </c>
      <c r="K1" t="str">
        <f>indonesia!L51</f>
        <v>wind</v>
      </c>
      <c r="L1" t="str">
        <f>indonesia!M51</f>
        <v>biomass</v>
      </c>
      <c r="M1" t="str">
        <f>indonesia!N51</f>
        <v>ocean</v>
      </c>
      <c r="N1" t="str">
        <f>indonesia!O51</f>
        <v>waste</v>
      </c>
      <c r="O1" t="str">
        <f>indonesia!P51</f>
        <v>storage</v>
      </c>
      <c r="P1" t="str">
        <f>indonesia!Q51</f>
        <v>total</v>
      </c>
    </row>
    <row r="2" spans="1:16" x14ac:dyDescent="0.25">
      <c r="A2" t="str">
        <f>indonesia!B52</f>
        <v>INDONESIA</v>
      </c>
      <c r="B2">
        <f>indonesia!C52</f>
        <v>2019</v>
      </c>
      <c r="C2">
        <f>SUM(C22,C42,C62,C82,C102,C122)</f>
        <v>1555.6592401348964</v>
      </c>
      <c r="D2">
        <f t="shared" ref="D2:P2" si="0">SUM(D22,D42,D62,D82,D102,D122)</f>
        <v>170.13833105204085</v>
      </c>
      <c r="E2">
        <f t="shared" si="0"/>
        <v>196.8472859659675</v>
      </c>
      <c r="F2">
        <f t="shared" si="0"/>
        <v>259.03361579237458</v>
      </c>
      <c r="G2">
        <f t="shared" si="0"/>
        <v>163.39616037415385</v>
      </c>
      <c r="H2">
        <f t="shared" si="0"/>
        <v>95.714564584576536</v>
      </c>
      <c r="I2">
        <f t="shared" si="0"/>
        <v>4.5179628302769235</v>
      </c>
      <c r="J2">
        <f t="shared" si="0"/>
        <v>0.11602725120000001</v>
      </c>
      <c r="K2">
        <f t="shared" si="0"/>
        <v>0</v>
      </c>
      <c r="L2">
        <f t="shared" si="0"/>
        <v>4.1432945618858552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2449.5664825473727</v>
      </c>
    </row>
    <row r="3" spans="1:16" x14ac:dyDescent="0.25">
      <c r="A3" t="str">
        <f>indonesia!B53</f>
        <v>INDONESIA</v>
      </c>
      <c r="B3">
        <f>indonesia!C53</f>
        <v>2020</v>
      </c>
      <c r="C3">
        <f t="shared" ref="C3:P18" si="1">SUM(C23,C43,C63,C83,C103,C123)</f>
        <v>1650.1561389504204</v>
      </c>
      <c r="D3">
        <f t="shared" si="1"/>
        <v>170.13833099169443</v>
      </c>
      <c r="E3">
        <f t="shared" si="1"/>
        <v>258.57361466770658</v>
      </c>
      <c r="F3">
        <f t="shared" si="1"/>
        <v>259.03361579237458</v>
      </c>
      <c r="G3">
        <f t="shared" si="1"/>
        <v>186.20676362428361</v>
      </c>
      <c r="H3">
        <f t="shared" si="1"/>
        <v>131.0337468825671</v>
      </c>
      <c r="I3">
        <f t="shared" si="1"/>
        <v>6.0253563952391485</v>
      </c>
      <c r="J3">
        <f t="shared" si="1"/>
        <v>44.994603298243419</v>
      </c>
      <c r="K3">
        <f t="shared" si="1"/>
        <v>0.61660357788642628</v>
      </c>
      <c r="L3">
        <f t="shared" si="1"/>
        <v>4.1432945502729526</v>
      </c>
      <c r="M3">
        <f t="shared" si="1"/>
        <v>6.0371029769733027E-2</v>
      </c>
      <c r="N3">
        <f t="shared" si="1"/>
        <v>0</v>
      </c>
      <c r="O3">
        <f t="shared" si="1"/>
        <v>1.0004650382938103E-2</v>
      </c>
      <c r="P3">
        <f t="shared" si="1"/>
        <v>2710.9824397604584</v>
      </c>
    </row>
    <row r="4" spans="1:16" x14ac:dyDescent="0.25">
      <c r="A4" t="str">
        <f>indonesia!B54</f>
        <v>INDONESIA</v>
      </c>
      <c r="B4">
        <f>indonesia!C54</f>
        <v>2021</v>
      </c>
      <c r="C4">
        <f t="shared" si="1"/>
        <v>1661.9744317978489</v>
      </c>
      <c r="D4">
        <f t="shared" si="1"/>
        <v>196.8670105305979</v>
      </c>
      <c r="E4">
        <f t="shared" si="1"/>
        <v>418.73579057321882</v>
      </c>
      <c r="F4">
        <f t="shared" si="1"/>
        <v>259.35869887367386</v>
      </c>
      <c r="G4">
        <f t="shared" si="1"/>
        <v>186.20676345123991</v>
      </c>
      <c r="H4">
        <f t="shared" si="1"/>
        <v>138.32395867237776</v>
      </c>
      <c r="I4">
        <f t="shared" si="1"/>
        <v>8.0374879730970932</v>
      </c>
      <c r="J4">
        <f t="shared" si="1"/>
        <v>49.222227531157685</v>
      </c>
      <c r="K4">
        <f t="shared" si="1"/>
        <v>1.028399894155928</v>
      </c>
      <c r="L4">
        <f t="shared" si="1"/>
        <v>4.1432945618858552</v>
      </c>
      <c r="M4">
        <f t="shared" si="1"/>
        <v>6.2992311786440769E-2</v>
      </c>
      <c r="N4">
        <f t="shared" si="1"/>
        <v>0</v>
      </c>
      <c r="O4">
        <f t="shared" si="1"/>
        <v>1.1467636199044428E-2</v>
      </c>
      <c r="P4">
        <f t="shared" si="1"/>
        <v>2923.9610561710401</v>
      </c>
    </row>
    <row r="5" spans="1:16" x14ac:dyDescent="0.25">
      <c r="A5" t="str">
        <f>indonesia!B55</f>
        <v>INDONESIA</v>
      </c>
      <c r="B5">
        <f>indonesia!C55</f>
        <v>2022</v>
      </c>
      <c r="C5">
        <f t="shared" si="1"/>
        <v>1674.732992694597</v>
      </c>
      <c r="D5">
        <f t="shared" si="1"/>
        <v>210.75283981791321</v>
      </c>
      <c r="E5">
        <f t="shared" si="1"/>
        <v>507.00126036621316</v>
      </c>
      <c r="F5">
        <f t="shared" si="1"/>
        <v>262.9065789332065</v>
      </c>
      <c r="G5">
        <f t="shared" si="1"/>
        <v>186.20676345123991</v>
      </c>
      <c r="H5">
        <f t="shared" si="1"/>
        <v>140.63447624329805</v>
      </c>
      <c r="I5">
        <f t="shared" si="1"/>
        <v>8.8755694716575935</v>
      </c>
      <c r="J5">
        <f t="shared" si="1"/>
        <v>54.133389228276847</v>
      </c>
      <c r="K5">
        <f t="shared" si="1"/>
        <v>10.520180583612044</v>
      </c>
      <c r="L5">
        <f t="shared" si="1"/>
        <v>4.1432945618858552</v>
      </c>
      <c r="M5">
        <f t="shared" si="1"/>
        <v>6.338673788786775E-2</v>
      </c>
      <c r="N5">
        <f t="shared" si="1"/>
        <v>0</v>
      </c>
      <c r="O5">
        <f t="shared" si="1"/>
        <v>1.2781791702911046E-2</v>
      </c>
      <c r="P5">
        <f t="shared" si="1"/>
        <v>3059.9707320897883</v>
      </c>
    </row>
    <row r="6" spans="1:16" x14ac:dyDescent="0.25">
      <c r="A6" t="str">
        <f>indonesia!B56</f>
        <v>INDONESIA</v>
      </c>
      <c r="B6">
        <f>indonesia!C56</f>
        <v>2023</v>
      </c>
      <c r="C6">
        <f t="shared" si="1"/>
        <v>1679.5547538556084</v>
      </c>
      <c r="D6">
        <f t="shared" si="1"/>
        <v>241.6287286842103</v>
      </c>
      <c r="E6">
        <f t="shared" si="1"/>
        <v>560.46497052123914</v>
      </c>
      <c r="F6">
        <f t="shared" si="1"/>
        <v>287.77497965356969</v>
      </c>
      <c r="G6">
        <f t="shared" si="1"/>
        <v>186.21658101777012</v>
      </c>
      <c r="H6">
        <f t="shared" si="1"/>
        <v>144.56681256765697</v>
      </c>
      <c r="I6">
        <f t="shared" si="1"/>
        <v>8.8756602122616712</v>
      </c>
      <c r="J6">
        <f t="shared" si="1"/>
        <v>55.03158176708223</v>
      </c>
      <c r="K6">
        <f t="shared" si="1"/>
        <v>36.365374056094524</v>
      </c>
      <c r="L6">
        <f t="shared" si="1"/>
        <v>5.7778256701528514</v>
      </c>
      <c r="M6">
        <f t="shared" si="1"/>
        <v>6.3445393688486645E-2</v>
      </c>
      <c r="N6">
        <f t="shared" si="1"/>
        <v>0</v>
      </c>
      <c r="O6">
        <f t="shared" si="1"/>
        <v>1.3936556565660023E-2</v>
      </c>
      <c r="P6">
        <f t="shared" si="1"/>
        <v>3206.3207133993342</v>
      </c>
    </row>
    <row r="7" spans="1:16" x14ac:dyDescent="0.25">
      <c r="A7" t="str">
        <f>indonesia!B57</f>
        <v>INDONESIA</v>
      </c>
      <c r="B7">
        <f>indonesia!C57</f>
        <v>2024</v>
      </c>
      <c r="C7">
        <f t="shared" si="1"/>
        <v>1682.7556884519629</v>
      </c>
      <c r="D7">
        <f t="shared" si="1"/>
        <v>260.91887288353496</v>
      </c>
      <c r="E7">
        <f t="shared" si="1"/>
        <v>619.14014865731474</v>
      </c>
      <c r="F7">
        <f t="shared" si="1"/>
        <v>300.9555459918144</v>
      </c>
      <c r="G7">
        <f t="shared" si="1"/>
        <v>186.23222742856839</v>
      </c>
      <c r="H7">
        <f t="shared" si="1"/>
        <v>144.96698110857261</v>
      </c>
      <c r="I7">
        <f t="shared" si="1"/>
        <v>10.241587752741307</v>
      </c>
      <c r="J7">
        <f t="shared" si="1"/>
        <v>55.944183620033201</v>
      </c>
      <c r="K7">
        <f t="shared" si="1"/>
        <v>80.484895841155975</v>
      </c>
      <c r="L7">
        <f t="shared" si="1"/>
        <v>9.0908587881118113</v>
      </c>
      <c r="M7">
        <f t="shared" si="1"/>
        <v>6.3445393688486645E-2</v>
      </c>
      <c r="N7">
        <f t="shared" si="1"/>
        <v>0</v>
      </c>
      <c r="O7">
        <f t="shared" si="1"/>
        <v>1.4451528311524974E-2</v>
      </c>
      <c r="P7">
        <f t="shared" si="1"/>
        <v>3350.794435917499</v>
      </c>
    </row>
    <row r="8" spans="1:16" x14ac:dyDescent="0.25">
      <c r="A8" t="str">
        <f>indonesia!B58</f>
        <v>INDONESIA</v>
      </c>
      <c r="B8">
        <f>indonesia!C58</f>
        <v>2025</v>
      </c>
      <c r="C8">
        <f t="shared" si="1"/>
        <v>1691.1890686598201</v>
      </c>
      <c r="D8">
        <f t="shared" si="1"/>
        <v>276.67240422590072</v>
      </c>
      <c r="E8">
        <f t="shared" si="1"/>
        <v>671.33209816491603</v>
      </c>
      <c r="F8">
        <f t="shared" si="1"/>
        <v>314.37947635133139</v>
      </c>
      <c r="G8">
        <f t="shared" si="1"/>
        <v>186.23222742856839</v>
      </c>
      <c r="H8">
        <f t="shared" si="1"/>
        <v>149.84811267364185</v>
      </c>
      <c r="I8">
        <f t="shared" si="1"/>
        <v>10.412739852998635</v>
      </c>
      <c r="J8">
        <f t="shared" si="1"/>
        <v>57.208399537633994</v>
      </c>
      <c r="K8">
        <f t="shared" si="1"/>
        <v>125.21275172705396</v>
      </c>
      <c r="L8">
        <f t="shared" si="1"/>
        <v>12.348098590502746</v>
      </c>
      <c r="M8">
        <f t="shared" si="1"/>
        <v>6.3445555953653796E-2</v>
      </c>
      <c r="N8">
        <f t="shared" si="1"/>
        <v>0</v>
      </c>
      <c r="O8">
        <f t="shared" si="1"/>
        <v>1.5117557133840642E-2</v>
      </c>
      <c r="P8">
        <f t="shared" si="1"/>
        <v>3494.8988227683212</v>
      </c>
    </row>
    <row r="9" spans="1:16" x14ac:dyDescent="0.25">
      <c r="A9" t="str">
        <f>indonesia!B59</f>
        <v>INDONESIA</v>
      </c>
      <c r="B9">
        <f>indonesia!C59</f>
        <v>2026</v>
      </c>
      <c r="C9">
        <f t="shared" si="1"/>
        <v>1722.3045216800697</v>
      </c>
      <c r="D9">
        <f t="shared" si="1"/>
        <v>296.28189108113787</v>
      </c>
      <c r="E9">
        <f t="shared" si="1"/>
        <v>761.60176594023687</v>
      </c>
      <c r="F9">
        <f t="shared" si="1"/>
        <v>316.99254525169385</v>
      </c>
      <c r="G9">
        <f t="shared" si="1"/>
        <v>187.61963305958824</v>
      </c>
      <c r="H9">
        <f t="shared" si="1"/>
        <v>150.097500291774</v>
      </c>
      <c r="I9">
        <f t="shared" si="1"/>
        <v>10.916723156326023</v>
      </c>
      <c r="J9">
        <f t="shared" si="1"/>
        <v>59.101864019624188</v>
      </c>
      <c r="K9">
        <f t="shared" si="1"/>
        <v>166.77966717479399</v>
      </c>
      <c r="L9">
        <f t="shared" si="1"/>
        <v>14.536832510535401</v>
      </c>
      <c r="M9">
        <f t="shared" si="1"/>
        <v>6.4025997984060001E-2</v>
      </c>
      <c r="N9">
        <f t="shared" si="1"/>
        <v>0</v>
      </c>
      <c r="O9">
        <f t="shared" si="1"/>
        <v>1.5901125421110093E-2</v>
      </c>
      <c r="P9">
        <f t="shared" si="1"/>
        <v>3686.2969701637639</v>
      </c>
    </row>
    <row r="10" spans="1:16" x14ac:dyDescent="0.25">
      <c r="A10" t="str">
        <f>indonesia!B60</f>
        <v>INDONESIA</v>
      </c>
      <c r="B10">
        <f>indonesia!C60</f>
        <v>2027</v>
      </c>
      <c r="C10">
        <f t="shared" si="1"/>
        <v>1758.123457273733</v>
      </c>
      <c r="D10">
        <f t="shared" si="1"/>
        <v>315.71641188784929</v>
      </c>
      <c r="E10">
        <f t="shared" si="1"/>
        <v>855.02999848420166</v>
      </c>
      <c r="F10">
        <f t="shared" si="1"/>
        <v>320.82937719433124</v>
      </c>
      <c r="G10">
        <f t="shared" si="1"/>
        <v>187.61963303292157</v>
      </c>
      <c r="H10">
        <f t="shared" si="1"/>
        <v>150.34525917292189</v>
      </c>
      <c r="I10">
        <f t="shared" si="1"/>
        <v>19.278373096647783</v>
      </c>
      <c r="J10">
        <f t="shared" si="1"/>
        <v>62.008250408584615</v>
      </c>
      <c r="K10">
        <f t="shared" si="1"/>
        <v>210.59935242092359</v>
      </c>
      <c r="L10">
        <f t="shared" si="1"/>
        <v>16.616179626419509</v>
      </c>
      <c r="M10">
        <f t="shared" si="1"/>
        <v>6.4556334527487713E-2</v>
      </c>
      <c r="N10">
        <f t="shared" si="1"/>
        <v>0</v>
      </c>
      <c r="O10">
        <f t="shared" si="1"/>
        <v>1.6639576386051003E-2</v>
      </c>
      <c r="P10">
        <f t="shared" si="1"/>
        <v>3896.2308489330617</v>
      </c>
    </row>
    <row r="11" spans="1:16" x14ac:dyDescent="0.25">
      <c r="A11" t="str">
        <f>indonesia!B61</f>
        <v>INDONESIA</v>
      </c>
      <c r="B11">
        <f>indonesia!C61</f>
        <v>2028</v>
      </c>
      <c r="C11">
        <f t="shared" si="1"/>
        <v>1784.2492011126883</v>
      </c>
      <c r="D11">
        <f t="shared" si="1"/>
        <v>337.26855803373059</v>
      </c>
      <c r="E11">
        <f t="shared" si="1"/>
        <v>964.16725608002912</v>
      </c>
      <c r="F11">
        <f t="shared" si="1"/>
        <v>325.06684910517419</v>
      </c>
      <c r="G11">
        <f t="shared" si="1"/>
        <v>187.61963288654454</v>
      </c>
      <c r="H11">
        <f t="shared" si="1"/>
        <v>150.34525917292189</v>
      </c>
      <c r="I11">
        <f t="shared" si="1"/>
        <v>19.278373070011995</v>
      </c>
      <c r="J11">
        <f t="shared" si="1"/>
        <v>63.111568308405062</v>
      </c>
      <c r="K11">
        <f t="shared" si="1"/>
        <v>236.10618587875607</v>
      </c>
      <c r="L11">
        <f t="shared" si="1"/>
        <v>18.209138154764631</v>
      </c>
      <c r="M11">
        <f t="shared" si="1"/>
        <v>6.5194142909174191E-2</v>
      </c>
      <c r="N11">
        <f t="shared" si="1"/>
        <v>0</v>
      </c>
      <c r="O11">
        <f t="shared" si="1"/>
        <v>1.7478873672333455E-2</v>
      </c>
      <c r="P11">
        <f t="shared" si="1"/>
        <v>4085.4872159459355</v>
      </c>
    </row>
    <row r="12" spans="1:16" x14ac:dyDescent="0.25">
      <c r="A12" t="str">
        <f>indonesia!B62</f>
        <v>INDONESIA</v>
      </c>
      <c r="B12">
        <f>indonesia!C62</f>
        <v>2029</v>
      </c>
      <c r="C12">
        <f t="shared" si="1"/>
        <v>1812.0746120931665</v>
      </c>
      <c r="D12">
        <f t="shared" si="1"/>
        <v>356.56294242478339</v>
      </c>
      <c r="E12">
        <f t="shared" si="1"/>
        <v>1081.7515082666916</v>
      </c>
      <c r="F12">
        <f t="shared" si="1"/>
        <v>329.59060088981875</v>
      </c>
      <c r="G12">
        <f t="shared" si="1"/>
        <v>187.61963271350083</v>
      </c>
      <c r="H12">
        <f t="shared" si="1"/>
        <v>150.5756127283243</v>
      </c>
      <c r="I12">
        <f t="shared" si="1"/>
        <v>20.099858284933525</v>
      </c>
      <c r="J12">
        <f t="shared" si="1"/>
        <v>64.295718825058643</v>
      </c>
      <c r="K12">
        <f t="shared" si="1"/>
        <v>262.34421710082171</v>
      </c>
      <c r="L12">
        <f t="shared" si="1"/>
        <v>21.464972553513583</v>
      </c>
      <c r="M12">
        <f t="shared" si="1"/>
        <v>6.8835903039535254E-2</v>
      </c>
      <c r="N12">
        <f t="shared" si="1"/>
        <v>0</v>
      </c>
      <c r="O12">
        <f t="shared" si="1"/>
        <v>1.8349829441268239E-2</v>
      </c>
      <c r="P12">
        <f t="shared" si="1"/>
        <v>4286.4485117836521</v>
      </c>
    </row>
    <row r="13" spans="1:16" x14ac:dyDescent="0.25">
      <c r="A13" t="str">
        <f>indonesia!B63</f>
        <v>INDONESIA</v>
      </c>
      <c r="B13">
        <f>indonesia!C63</f>
        <v>2030</v>
      </c>
      <c r="C13">
        <f t="shared" si="1"/>
        <v>1840.7003005675763</v>
      </c>
      <c r="D13">
        <f t="shared" si="1"/>
        <v>382.91521260048637</v>
      </c>
      <c r="E13">
        <f t="shared" si="1"/>
        <v>1186.2119206631733</v>
      </c>
      <c r="F13">
        <f t="shared" si="1"/>
        <v>334.0511014723956</v>
      </c>
      <c r="G13">
        <f t="shared" si="1"/>
        <v>187.61963254045716</v>
      </c>
      <c r="H13">
        <f t="shared" si="1"/>
        <v>150.90357150291607</v>
      </c>
      <c r="I13">
        <f t="shared" si="1"/>
        <v>20.820171896754854</v>
      </c>
      <c r="J13">
        <f t="shared" si="1"/>
        <v>75.734574802325852</v>
      </c>
      <c r="K13">
        <f t="shared" si="1"/>
        <v>288.58870191798962</v>
      </c>
      <c r="L13">
        <f t="shared" si="1"/>
        <v>21.464972524509065</v>
      </c>
      <c r="M13">
        <f t="shared" si="1"/>
        <v>6.8835903039535254E-2</v>
      </c>
      <c r="N13">
        <f t="shared" si="1"/>
        <v>0</v>
      </c>
      <c r="O13">
        <f t="shared" si="1"/>
        <v>1.9265542834164436E-2</v>
      </c>
      <c r="P13">
        <f t="shared" si="1"/>
        <v>4489.0789963916231</v>
      </c>
    </row>
    <row r="14" spans="1:16" x14ac:dyDescent="0.25">
      <c r="A14" t="str">
        <f>indonesia!B64</f>
        <v>INDONESIA</v>
      </c>
      <c r="B14">
        <f>indonesia!C64</f>
        <v>2031</v>
      </c>
      <c r="C14">
        <f t="shared" si="1"/>
        <v>1874.5596856645514</v>
      </c>
      <c r="D14">
        <f t="shared" si="1"/>
        <v>407.86948533330172</v>
      </c>
      <c r="E14">
        <f t="shared" si="1"/>
        <v>1324.0121168198255</v>
      </c>
      <c r="F14">
        <f t="shared" si="1"/>
        <v>339.59040141008904</v>
      </c>
      <c r="G14">
        <f t="shared" si="1"/>
        <v>187.61963251379049</v>
      </c>
      <c r="H14">
        <f t="shared" si="1"/>
        <v>151.34144422907573</v>
      </c>
      <c r="I14">
        <f t="shared" si="1"/>
        <v>21.389312054914168</v>
      </c>
      <c r="J14">
        <f t="shared" si="1"/>
        <v>76.29735077752963</v>
      </c>
      <c r="K14">
        <f t="shared" si="1"/>
        <v>324.1654495524682</v>
      </c>
      <c r="L14">
        <f t="shared" si="1"/>
        <v>23.045478256009723</v>
      </c>
      <c r="M14">
        <f t="shared" si="1"/>
        <v>6.8835903039535254E-2</v>
      </c>
      <c r="N14">
        <f t="shared" si="1"/>
        <v>0</v>
      </c>
      <c r="O14">
        <f t="shared" si="1"/>
        <v>2.0397576996249167E-2</v>
      </c>
      <c r="P14">
        <f t="shared" si="1"/>
        <v>4729.9591925145942</v>
      </c>
    </row>
    <row r="15" spans="1:16" x14ac:dyDescent="0.25">
      <c r="A15" t="str">
        <f>indonesia!B65</f>
        <v>INDONESIA</v>
      </c>
      <c r="B15">
        <f>indonesia!C65</f>
        <v>2032</v>
      </c>
      <c r="C15">
        <f t="shared" si="1"/>
        <v>1914.6779569940365</v>
      </c>
      <c r="D15">
        <f t="shared" si="1"/>
        <v>435.34697451064949</v>
      </c>
      <c r="E15">
        <f t="shared" si="1"/>
        <v>1469.830947973966</v>
      </c>
      <c r="F15">
        <f t="shared" si="1"/>
        <v>342.23831874301305</v>
      </c>
      <c r="G15">
        <f t="shared" si="1"/>
        <v>187.61963251379049</v>
      </c>
      <c r="H15">
        <f t="shared" si="1"/>
        <v>152.4921678908859</v>
      </c>
      <c r="I15">
        <f t="shared" si="1"/>
        <v>26.971958314507006</v>
      </c>
      <c r="J15">
        <f t="shared" si="1"/>
        <v>77.030850963187845</v>
      </c>
      <c r="K15">
        <f t="shared" si="1"/>
        <v>358.66452227472058</v>
      </c>
      <c r="L15">
        <f t="shared" si="1"/>
        <v>23.941100230540705</v>
      </c>
      <c r="M15">
        <f t="shared" si="1"/>
        <v>7.0059818858247275E-2</v>
      </c>
      <c r="N15">
        <f t="shared" si="1"/>
        <v>0</v>
      </c>
      <c r="O15">
        <f t="shared" si="1"/>
        <v>2.1616534542199608E-2</v>
      </c>
      <c r="P15">
        <f t="shared" si="1"/>
        <v>4988.8844902281553</v>
      </c>
    </row>
    <row r="16" spans="1:16" x14ac:dyDescent="0.25">
      <c r="A16" t="str">
        <f>indonesia!B66</f>
        <v>INDONESIA</v>
      </c>
      <c r="B16">
        <f>indonesia!C66</f>
        <v>2033</v>
      </c>
      <c r="C16">
        <f t="shared" si="1"/>
        <v>1993.2295553400963</v>
      </c>
      <c r="D16">
        <f t="shared" si="1"/>
        <v>452.67967606738085</v>
      </c>
      <c r="E16">
        <f t="shared" si="1"/>
        <v>1597.2259261781257</v>
      </c>
      <c r="F16">
        <f t="shared" si="1"/>
        <v>344.397671715125</v>
      </c>
      <c r="G16">
        <f t="shared" si="1"/>
        <v>188.29159733883697</v>
      </c>
      <c r="H16">
        <f t="shared" si="1"/>
        <v>157.05003877619569</v>
      </c>
      <c r="I16">
        <f t="shared" si="1"/>
        <v>37.203833417939549</v>
      </c>
      <c r="J16">
        <f t="shared" si="1"/>
        <v>82.093524541109005</v>
      </c>
      <c r="K16">
        <f t="shared" si="1"/>
        <v>376.7726677184952</v>
      </c>
      <c r="L16">
        <f t="shared" si="1"/>
        <v>24.388911217806189</v>
      </c>
      <c r="M16">
        <f t="shared" si="1"/>
        <v>7.0059818858247275E-2</v>
      </c>
      <c r="N16">
        <f t="shared" si="1"/>
        <v>0</v>
      </c>
      <c r="O16">
        <f t="shared" si="1"/>
        <v>2.2701857869581295E-2</v>
      </c>
      <c r="P16">
        <f t="shared" si="1"/>
        <v>5253.4034621299697</v>
      </c>
    </row>
    <row r="17" spans="1:16" x14ac:dyDescent="0.25">
      <c r="A17" t="str">
        <f>indonesia!B67</f>
        <v>INDONESIA</v>
      </c>
      <c r="B17">
        <f>indonesia!C67</f>
        <v>2034</v>
      </c>
      <c r="C17">
        <f t="shared" si="1"/>
        <v>2133.2465433776961</v>
      </c>
      <c r="D17">
        <f t="shared" si="1"/>
        <v>483.3555730790066</v>
      </c>
      <c r="E17">
        <f t="shared" si="1"/>
        <v>1676.0621026885681</v>
      </c>
      <c r="F17">
        <f t="shared" si="1"/>
        <v>347.48910136596675</v>
      </c>
      <c r="G17">
        <f t="shared" si="1"/>
        <v>188.29159716579329</v>
      </c>
      <c r="H17">
        <f t="shared" si="1"/>
        <v>158.5838905786365</v>
      </c>
      <c r="I17">
        <f t="shared" si="1"/>
        <v>89.691171995793553</v>
      </c>
      <c r="J17">
        <f t="shared" si="1"/>
        <v>88.172581857753343</v>
      </c>
      <c r="K17">
        <f t="shared" si="1"/>
        <v>388.59464331871425</v>
      </c>
      <c r="L17">
        <f t="shared" si="1"/>
        <v>24.612816711438938</v>
      </c>
      <c r="M17">
        <f t="shared" si="1"/>
        <v>7.0111239665413563E-2</v>
      </c>
      <c r="N17">
        <f t="shared" si="1"/>
        <v>0</v>
      </c>
      <c r="O17">
        <f t="shared" si="1"/>
        <v>2.4072805071246064E-2</v>
      </c>
      <c r="P17">
        <f t="shared" si="1"/>
        <v>5578.1701333790324</v>
      </c>
    </row>
    <row r="18" spans="1:16" x14ac:dyDescent="0.25">
      <c r="A18" t="str">
        <f>indonesia!B68</f>
        <v>INDONESIA</v>
      </c>
      <c r="B18">
        <f>indonesia!C68</f>
        <v>2035</v>
      </c>
      <c r="C18">
        <f t="shared" si="1"/>
        <v>2220.2225194235593</v>
      </c>
      <c r="D18">
        <f t="shared" si="1"/>
        <v>494.98972808320752</v>
      </c>
      <c r="E18">
        <f t="shared" si="1"/>
        <v>1777.8230365249929</v>
      </c>
      <c r="F18">
        <f t="shared" si="1"/>
        <v>414.07918288234754</v>
      </c>
      <c r="G18">
        <f t="shared" si="1"/>
        <v>190.67936727133016</v>
      </c>
      <c r="H18">
        <f t="shared" si="1"/>
        <v>169.19236091215285</v>
      </c>
      <c r="I18">
        <f t="shared" si="1"/>
        <v>108.90973420491281</v>
      </c>
      <c r="J18">
        <f t="shared" si="1"/>
        <v>95.315389935432464</v>
      </c>
      <c r="K18">
        <f t="shared" si="1"/>
        <v>400.34593471695757</v>
      </c>
      <c r="L18">
        <f t="shared" si="1"/>
        <v>24.724769458255309</v>
      </c>
      <c r="M18">
        <f t="shared" si="1"/>
        <v>7.2066310899186692E-2</v>
      </c>
      <c r="N18">
        <f t="shared" si="1"/>
        <v>0</v>
      </c>
      <c r="O18">
        <f t="shared" si="1"/>
        <v>2.5409304822730273E-2</v>
      </c>
      <c r="P18">
        <f t="shared" si="1"/>
        <v>5896.3540897240473</v>
      </c>
    </row>
    <row r="19" spans="1:16" x14ac:dyDescent="0.25">
      <c r="A19" t="str">
        <f>indonesia!B69</f>
        <v>INDONESIA</v>
      </c>
      <c r="B19">
        <f>indonesia!C69</f>
        <v>2036</v>
      </c>
      <c r="C19">
        <f t="shared" ref="C19:P21" si="2">SUM(C39,C59,C79,C99,C119,C139)</f>
        <v>2345.1292679003986</v>
      </c>
      <c r="D19">
        <f t="shared" si="2"/>
        <v>508.07825026603467</v>
      </c>
      <c r="E19">
        <f t="shared" si="2"/>
        <v>1885.1604491221806</v>
      </c>
      <c r="F19">
        <f t="shared" si="2"/>
        <v>452.91335728551132</v>
      </c>
      <c r="G19">
        <f t="shared" si="2"/>
        <v>206.20708156160697</v>
      </c>
      <c r="H19">
        <f t="shared" si="2"/>
        <v>181.22454522524694</v>
      </c>
      <c r="I19">
        <f t="shared" si="2"/>
        <v>138.5480744022959</v>
      </c>
      <c r="J19">
        <f t="shared" si="2"/>
        <v>103.15906237890702</v>
      </c>
      <c r="K19">
        <f t="shared" si="2"/>
        <v>408.68918725729327</v>
      </c>
      <c r="L19">
        <f t="shared" si="2"/>
        <v>24.780745831663495</v>
      </c>
      <c r="M19">
        <f t="shared" si="2"/>
        <v>7.2066314499186698E-2</v>
      </c>
      <c r="N19">
        <f t="shared" si="2"/>
        <v>0</v>
      </c>
      <c r="O19">
        <f t="shared" si="2"/>
        <v>2.6838568492775432E-2</v>
      </c>
      <c r="P19">
        <f t="shared" si="2"/>
        <v>6253.9620875456376</v>
      </c>
    </row>
    <row r="20" spans="1:16" x14ac:dyDescent="0.25">
      <c r="A20" t="str">
        <f>indonesia!B70</f>
        <v>INDONESIA</v>
      </c>
      <c r="B20">
        <f>indonesia!C70</f>
        <v>2037</v>
      </c>
      <c r="C20">
        <f t="shared" si="2"/>
        <v>2473.1248353152214</v>
      </c>
      <c r="D20">
        <f t="shared" si="2"/>
        <v>527.72966511446168</v>
      </c>
      <c r="E20">
        <f t="shared" si="2"/>
        <v>2012.4955566919441</v>
      </c>
      <c r="F20">
        <f t="shared" si="2"/>
        <v>466.77128756365551</v>
      </c>
      <c r="G20">
        <f t="shared" si="2"/>
        <v>234.97167170575818</v>
      </c>
      <c r="H20">
        <f t="shared" si="2"/>
        <v>187.72679790036014</v>
      </c>
      <c r="I20">
        <f t="shared" si="2"/>
        <v>163.40701450960586</v>
      </c>
      <c r="J20">
        <f t="shared" si="2"/>
        <v>114.3226066182163</v>
      </c>
      <c r="K20">
        <f t="shared" si="2"/>
        <v>414.79161625168877</v>
      </c>
      <c r="L20">
        <f t="shared" si="2"/>
        <v>24.808734018367588</v>
      </c>
      <c r="M20">
        <f t="shared" si="2"/>
        <v>7.4036465274506857E-2</v>
      </c>
      <c r="N20">
        <f t="shared" si="2"/>
        <v>4.4626377743236628E-17</v>
      </c>
      <c r="O20">
        <f t="shared" si="2"/>
        <v>2.8356871560710133E-2</v>
      </c>
      <c r="P20">
        <f t="shared" si="2"/>
        <v>6620.2238221545531</v>
      </c>
    </row>
    <row r="21" spans="1:16" x14ac:dyDescent="0.25">
      <c r="A21" t="str">
        <f>indonesia!B71</f>
        <v>INDONESIA</v>
      </c>
      <c r="B21">
        <f>indonesia!C71</f>
        <v>2038</v>
      </c>
      <c r="C21">
        <f t="shared" si="2"/>
        <v>2616.9358435490531</v>
      </c>
      <c r="D21">
        <f t="shared" si="2"/>
        <v>560.92719722205879</v>
      </c>
      <c r="E21">
        <f t="shared" si="2"/>
        <v>2149.0881558264628</v>
      </c>
      <c r="F21">
        <f t="shared" si="2"/>
        <v>485.20952942454403</v>
      </c>
      <c r="G21">
        <f t="shared" si="2"/>
        <v>275.45211591859686</v>
      </c>
      <c r="H21">
        <f t="shared" si="2"/>
        <v>190.73488478741854</v>
      </c>
      <c r="I21">
        <f t="shared" si="2"/>
        <v>169.71164735450608</v>
      </c>
      <c r="J21">
        <f t="shared" si="2"/>
        <v>142.02025638006685</v>
      </c>
      <c r="K21">
        <f t="shared" si="2"/>
        <v>419.65781256009649</v>
      </c>
      <c r="L21">
        <f t="shared" si="2"/>
        <v>24.822728111719634</v>
      </c>
      <c r="M21">
        <f t="shared" si="2"/>
        <v>7.4036465274506982E-2</v>
      </c>
      <c r="N21">
        <f t="shared" si="2"/>
        <v>3.3973541539723405E-8</v>
      </c>
      <c r="O21">
        <f t="shared" si="2"/>
        <v>3.0134496699890302E-2</v>
      </c>
      <c r="P21">
        <f t="shared" si="2"/>
        <v>7034.6342076337705</v>
      </c>
    </row>
    <row r="22" spans="1:16" x14ac:dyDescent="0.25">
      <c r="A22" t="str">
        <f>sumatera!B52</f>
        <v>SUMATERA</v>
      </c>
      <c r="B22">
        <f>sumatera!C52</f>
        <v>2019</v>
      </c>
      <c r="C22">
        <f>sumatera!D52</f>
        <v>240.55029771889659</v>
      </c>
      <c r="D22">
        <f>sumatera!E52</f>
        <v>37.828164129437816</v>
      </c>
      <c r="E22">
        <f>sumatera!F52</f>
        <v>22.022617400355163</v>
      </c>
      <c r="F22">
        <f>sumatera!G52</f>
        <v>97.55939496497659</v>
      </c>
      <c r="G22">
        <f>sumatera!H52</f>
        <v>117.1505796923077</v>
      </c>
      <c r="H22">
        <f>sumatera!I52</f>
        <v>32.97163230067045</v>
      </c>
      <c r="I22">
        <f>sumatera!J52</f>
        <v>1.8714306594461543</v>
      </c>
      <c r="J22">
        <f>sumatera!K52</f>
        <v>7.4834928000000007E-3</v>
      </c>
      <c r="K22">
        <f>sumatera!L52</f>
        <v>0</v>
      </c>
      <c r="L22">
        <f>sumatera!M52</f>
        <v>1.0615651450124068</v>
      </c>
      <c r="M22">
        <f>sumatera!N52</f>
        <v>0</v>
      </c>
      <c r="N22">
        <f>sumatera!O52</f>
        <v>0</v>
      </c>
      <c r="O22">
        <f>sumatera!P52</f>
        <v>0</v>
      </c>
      <c r="P22">
        <f>sumatera!Q52</f>
        <v>551.02316550390287</v>
      </c>
    </row>
    <row r="23" spans="1:16" x14ac:dyDescent="0.25">
      <c r="A23" t="str">
        <f>sumatera!B53</f>
        <v>SUMATERA</v>
      </c>
      <c r="B23">
        <f>sumatera!C53</f>
        <v>2020</v>
      </c>
      <c r="C23">
        <f>sumatera!D53</f>
        <v>249.32550481849805</v>
      </c>
      <c r="D23">
        <f>sumatera!E53</f>
        <v>37.828164129437816</v>
      </c>
      <c r="E23">
        <f>sumatera!F53</f>
        <v>45.863020510194154</v>
      </c>
      <c r="F23">
        <f>sumatera!G53</f>
        <v>97.55939496497659</v>
      </c>
      <c r="G23">
        <f>sumatera!H53</f>
        <v>117.1505796923077</v>
      </c>
      <c r="H23">
        <f>sumatera!I53</f>
        <v>32.97163230067045</v>
      </c>
      <c r="I23">
        <f>sumatera!J53</f>
        <v>1.8714306594461543</v>
      </c>
      <c r="J23">
        <f>sumatera!K53</f>
        <v>2.6205247790665958</v>
      </c>
      <c r="K23">
        <f>sumatera!L53</f>
        <v>0</v>
      </c>
      <c r="L23">
        <f>sumatera!M53</f>
        <v>1.0615651450124068</v>
      </c>
      <c r="M23">
        <f>sumatera!N53</f>
        <v>0</v>
      </c>
      <c r="N23">
        <f>sumatera!O53</f>
        <v>0</v>
      </c>
      <c r="O23">
        <f>sumatera!P53</f>
        <v>0</v>
      </c>
      <c r="P23">
        <f>sumatera!Q53</f>
        <v>586.25181699960979</v>
      </c>
    </row>
    <row r="24" spans="1:16" x14ac:dyDescent="0.25">
      <c r="A24" t="str">
        <f>sumatera!B54</f>
        <v>SUMATERA</v>
      </c>
      <c r="B24">
        <f>sumatera!C54</f>
        <v>2021</v>
      </c>
      <c r="C24">
        <f>sumatera!D54</f>
        <v>249.32550481849805</v>
      </c>
      <c r="D24">
        <f>sumatera!E54</f>
        <v>61.631003444906455</v>
      </c>
      <c r="E24">
        <f>sumatera!F54</f>
        <v>45.863020510194154</v>
      </c>
      <c r="F24">
        <f>sumatera!G54</f>
        <v>97.55939496497659</v>
      </c>
      <c r="G24">
        <f>sumatera!H54</f>
        <v>117.1505796923077</v>
      </c>
      <c r="H24">
        <f>sumatera!I54</f>
        <v>32.97163230067045</v>
      </c>
      <c r="I24">
        <f>sumatera!J54</f>
        <v>1.8714306594461543</v>
      </c>
      <c r="J24">
        <f>sumatera!K54</f>
        <v>2.7589320940136219</v>
      </c>
      <c r="K24">
        <f>sumatera!L54</f>
        <v>0</v>
      </c>
      <c r="L24">
        <f>sumatera!M54</f>
        <v>1.0615651450124068</v>
      </c>
      <c r="M24">
        <f>sumatera!N54</f>
        <v>0</v>
      </c>
      <c r="N24">
        <f>sumatera!O54</f>
        <v>0</v>
      </c>
      <c r="O24">
        <f>sumatera!P54</f>
        <v>0</v>
      </c>
      <c r="P24">
        <f>sumatera!Q54</f>
        <v>610.19306363002545</v>
      </c>
    </row>
    <row r="25" spans="1:16" x14ac:dyDescent="0.25">
      <c r="A25" t="str">
        <f>sumatera!B55</f>
        <v>SUMATERA</v>
      </c>
      <c r="B25">
        <f>sumatera!C55</f>
        <v>2022</v>
      </c>
      <c r="C25">
        <f>sumatera!D55</f>
        <v>249.32550481849805</v>
      </c>
      <c r="D25">
        <f>sumatera!E55</f>
        <v>61.631003444906455</v>
      </c>
      <c r="E25">
        <f>sumatera!F55</f>
        <v>49.04631720212727</v>
      </c>
      <c r="F25">
        <f>sumatera!G55</f>
        <v>101.05823369744012</v>
      </c>
      <c r="G25">
        <f>sumatera!H55</f>
        <v>117.1505796923077</v>
      </c>
      <c r="H25">
        <f>sumatera!I55</f>
        <v>32.97163230067045</v>
      </c>
      <c r="I25">
        <f>sumatera!J55</f>
        <v>1.8714306594461543</v>
      </c>
      <c r="J25">
        <f>sumatera!K55</f>
        <v>2.9050646624260832</v>
      </c>
      <c r="K25">
        <f>sumatera!L55</f>
        <v>0</v>
      </c>
      <c r="L25">
        <f>sumatera!M55</f>
        <v>1.0615651450124068</v>
      </c>
      <c r="M25">
        <f>sumatera!N55</f>
        <v>0</v>
      </c>
      <c r="N25">
        <f>sumatera!O55</f>
        <v>0</v>
      </c>
      <c r="O25">
        <f>sumatera!P55</f>
        <v>0</v>
      </c>
      <c r="P25">
        <f>sumatera!Q55</f>
        <v>617.02133162283462</v>
      </c>
    </row>
    <row r="26" spans="1:16" x14ac:dyDescent="0.25">
      <c r="A26" t="str">
        <f>sumatera!B56</f>
        <v>SUMATERA</v>
      </c>
      <c r="B26">
        <f>sumatera!C56</f>
        <v>2023</v>
      </c>
      <c r="C26">
        <f>sumatera!D56</f>
        <v>249.32550481849805</v>
      </c>
      <c r="D26">
        <f>sumatera!E56</f>
        <v>61.631003444906455</v>
      </c>
      <c r="E26">
        <f>sumatera!F56</f>
        <v>77.123328560829876</v>
      </c>
      <c r="F26">
        <f>sumatera!G56</f>
        <v>112.81783095753315</v>
      </c>
      <c r="G26">
        <f>sumatera!H56</f>
        <v>117.1505796923077</v>
      </c>
      <c r="H26">
        <f>sumatera!I56</f>
        <v>32.97163230067045</v>
      </c>
      <c r="I26">
        <f>sumatera!J56</f>
        <v>1.8714306594461543</v>
      </c>
      <c r="J26">
        <f>sumatera!K56</f>
        <v>3.05939378081673</v>
      </c>
      <c r="K26">
        <f>sumatera!L56</f>
        <v>4.5153833476246082E-10</v>
      </c>
      <c r="L26">
        <f>sumatera!M56</f>
        <v>1.0615651450124068</v>
      </c>
      <c r="M26">
        <f>sumatera!N56</f>
        <v>0</v>
      </c>
      <c r="N26">
        <f>sumatera!O56</f>
        <v>0</v>
      </c>
      <c r="O26">
        <f>sumatera!P56</f>
        <v>0</v>
      </c>
      <c r="P26">
        <f>sumatera!Q56</f>
        <v>657.01226936047249</v>
      </c>
    </row>
    <row r="27" spans="1:16" x14ac:dyDescent="0.25">
      <c r="A27" t="str">
        <f>sumatera!B57</f>
        <v>SUMATERA</v>
      </c>
      <c r="B27">
        <f>sumatera!C57</f>
        <v>2024</v>
      </c>
      <c r="C27">
        <f>sumatera!D57</f>
        <v>249.32550481849805</v>
      </c>
      <c r="D27">
        <f>sumatera!E57</f>
        <v>61.631003444906455</v>
      </c>
      <c r="E27">
        <f>sumatera!F57</f>
        <v>101.96035063572438</v>
      </c>
      <c r="F27">
        <f>sumatera!G57</f>
        <v>122.89687601006479</v>
      </c>
      <c r="G27">
        <f>sumatera!H57</f>
        <v>117.1505796923077</v>
      </c>
      <c r="H27">
        <f>sumatera!I57</f>
        <v>32.97163230067045</v>
      </c>
      <c r="I27">
        <f>sumatera!J57</f>
        <v>1.8714306594461543</v>
      </c>
      <c r="J27">
        <f>sumatera!K57</f>
        <v>3.8729249656211642</v>
      </c>
      <c r="K27">
        <f>sumatera!L57</f>
        <v>9.8842446734475082</v>
      </c>
      <c r="L27">
        <f>sumatera!M57</f>
        <v>1.0615651450124068</v>
      </c>
      <c r="M27">
        <f>sumatera!N57</f>
        <v>0</v>
      </c>
      <c r="N27">
        <f>sumatera!O57</f>
        <v>0</v>
      </c>
      <c r="O27">
        <f>sumatera!P57</f>
        <v>0</v>
      </c>
      <c r="P27">
        <f>sumatera!Q57</f>
        <v>702.62611234569897</v>
      </c>
    </row>
    <row r="28" spans="1:16" x14ac:dyDescent="0.25">
      <c r="A28" t="str">
        <f>sumatera!B58</f>
        <v>SUMATERA</v>
      </c>
      <c r="B28">
        <f>sumatera!C58</f>
        <v>2025</v>
      </c>
      <c r="C28">
        <f>sumatera!D58</f>
        <v>254.0997928916907</v>
      </c>
      <c r="D28">
        <f>sumatera!E58</f>
        <v>61.631003444906455</v>
      </c>
      <c r="E28">
        <f>sumatera!F58</f>
        <v>121.50545513839823</v>
      </c>
      <c r="F28">
        <f>sumatera!G58</f>
        <v>132.75673953781163</v>
      </c>
      <c r="G28">
        <f>sumatera!H58</f>
        <v>117.1505796923077</v>
      </c>
      <c r="H28">
        <f>sumatera!I58</f>
        <v>32.97163230067045</v>
      </c>
      <c r="I28">
        <f>sumatera!J58</f>
        <v>1.8714306594461543</v>
      </c>
      <c r="J28">
        <f>sumatera!K58</f>
        <v>4.8837984076847114</v>
      </c>
      <c r="K28">
        <f>sumatera!L58</f>
        <v>21.478064889690391</v>
      </c>
      <c r="L28">
        <f>sumatera!M58</f>
        <v>1.0615651450124068</v>
      </c>
      <c r="M28">
        <f>sumatera!N58</f>
        <v>0</v>
      </c>
      <c r="N28">
        <f>sumatera!O58</f>
        <v>0</v>
      </c>
      <c r="O28">
        <f>sumatera!P58</f>
        <v>0</v>
      </c>
      <c r="P28">
        <f>sumatera!Q58</f>
        <v>749.41006210761873</v>
      </c>
    </row>
    <row r="29" spans="1:16" x14ac:dyDescent="0.25">
      <c r="A29" t="str">
        <f>sumatera!B59</f>
        <v>SUMATERA</v>
      </c>
      <c r="B29">
        <f>sumatera!C59</f>
        <v>2026</v>
      </c>
      <c r="C29">
        <f>sumatera!D59</f>
        <v>280.58066633920208</v>
      </c>
      <c r="D29">
        <f>sumatera!E59</f>
        <v>61.631003444906455</v>
      </c>
      <c r="E29">
        <f>sumatera!F59</f>
        <v>129.48660963645861</v>
      </c>
      <c r="F29">
        <f>sumatera!G59</f>
        <v>132.75673953781163</v>
      </c>
      <c r="G29">
        <f>sumatera!H59</f>
        <v>117.1505796923077</v>
      </c>
      <c r="H29">
        <f>sumatera!I59</f>
        <v>32.97163230067045</v>
      </c>
      <c r="I29">
        <f>sumatera!J59</f>
        <v>1.8714306594461543</v>
      </c>
      <c r="J29">
        <f>sumatera!K59</f>
        <v>6.6027428927072735</v>
      </c>
      <c r="K29">
        <f>sumatera!L59</f>
        <v>41.422176582120272</v>
      </c>
      <c r="L29">
        <f>sumatera!M59</f>
        <v>1.0615651450124068</v>
      </c>
      <c r="M29">
        <f>sumatera!N59</f>
        <v>0</v>
      </c>
      <c r="N29">
        <f>sumatera!O59</f>
        <v>0</v>
      </c>
      <c r="O29">
        <f>sumatera!P59</f>
        <v>0</v>
      </c>
      <c r="P29">
        <f>sumatera!Q59</f>
        <v>805.53514623064302</v>
      </c>
    </row>
    <row r="30" spans="1:16" x14ac:dyDescent="0.25">
      <c r="A30" t="str">
        <f>sumatera!B60</f>
        <v>SUMATERA</v>
      </c>
      <c r="B30">
        <f>sumatera!C60</f>
        <v>2027</v>
      </c>
      <c r="C30">
        <f>sumatera!D60</f>
        <v>311.72658181452903</v>
      </c>
      <c r="D30">
        <f>sumatera!E60</f>
        <v>61.631003444906455</v>
      </c>
      <c r="E30">
        <f>sumatera!F60</f>
        <v>133.3604252557605</v>
      </c>
      <c r="F30">
        <f>sumatera!G60</f>
        <v>132.75673953781163</v>
      </c>
      <c r="G30">
        <f>sumatera!H60</f>
        <v>117.1505796923077</v>
      </c>
      <c r="H30">
        <f>sumatera!I60</f>
        <v>32.97163230067045</v>
      </c>
      <c r="I30">
        <f>sumatera!J60</f>
        <v>9.6369838451117715</v>
      </c>
      <c r="J30">
        <f>sumatera!K60</f>
        <v>8.9946094827720628</v>
      </c>
      <c r="K30">
        <f>sumatera!L60</f>
        <v>61.661054177460144</v>
      </c>
      <c r="L30">
        <f>sumatera!M60</f>
        <v>1.0615651450124068</v>
      </c>
      <c r="M30">
        <f>sumatera!N60</f>
        <v>0</v>
      </c>
      <c r="N30">
        <f>sumatera!O60</f>
        <v>0</v>
      </c>
      <c r="O30">
        <f>sumatera!P60</f>
        <v>0</v>
      </c>
      <c r="P30">
        <f>sumatera!Q60</f>
        <v>870.95117469634215</v>
      </c>
    </row>
    <row r="31" spans="1:16" x14ac:dyDescent="0.25">
      <c r="A31" t="str">
        <f>sumatera!B61</f>
        <v>SUMATERA</v>
      </c>
      <c r="B31">
        <f>sumatera!C61</f>
        <v>2028</v>
      </c>
      <c r="C31">
        <f>sumatera!D61</f>
        <v>329.41877589773105</v>
      </c>
      <c r="D31">
        <f>sumatera!E61</f>
        <v>61.631003444906455</v>
      </c>
      <c r="E31">
        <f>sumatera!F61</f>
        <v>162.44872958274811</v>
      </c>
      <c r="F31">
        <f>sumatera!G61</f>
        <v>132.75673953781163</v>
      </c>
      <c r="G31">
        <f>sumatera!H61</f>
        <v>117.1505796923077</v>
      </c>
      <c r="H31">
        <f>sumatera!I61</f>
        <v>32.97163230067045</v>
      </c>
      <c r="I31">
        <f>sumatera!J61</f>
        <v>9.6369838451117715</v>
      </c>
      <c r="J31">
        <f>sumatera!K61</f>
        <v>9.6116894136978885</v>
      </c>
      <c r="K31">
        <f>sumatera!L61</f>
        <v>63.273655646459794</v>
      </c>
      <c r="L31">
        <f>sumatera!M61</f>
        <v>1.0615651450124068</v>
      </c>
      <c r="M31">
        <f>sumatera!N61</f>
        <v>0</v>
      </c>
      <c r="N31">
        <f>sumatera!O61</f>
        <v>0</v>
      </c>
      <c r="O31">
        <f>sumatera!P61</f>
        <v>0</v>
      </c>
      <c r="P31">
        <f>sumatera!Q61</f>
        <v>919.96135450645738</v>
      </c>
    </row>
    <row r="32" spans="1:16" x14ac:dyDescent="0.25">
      <c r="A32" t="str">
        <f>sumatera!B62</f>
        <v>SUMATERA</v>
      </c>
      <c r="B32">
        <f>sumatera!C62</f>
        <v>2029</v>
      </c>
      <c r="C32">
        <f>sumatera!D62</f>
        <v>347.99975601550238</v>
      </c>
      <c r="D32">
        <f>sumatera!E62</f>
        <v>61.631003444906455</v>
      </c>
      <c r="E32">
        <f>sumatera!F62</f>
        <v>193.96215839791031</v>
      </c>
      <c r="F32">
        <f>sumatera!G62</f>
        <v>132.75673953781163</v>
      </c>
      <c r="G32">
        <f>sumatera!H62</f>
        <v>117.1505796923077</v>
      </c>
      <c r="H32">
        <f>sumatera!I62</f>
        <v>32.97163230067045</v>
      </c>
      <c r="I32">
        <f>sumatera!J62</f>
        <v>9.6369848677476266</v>
      </c>
      <c r="J32">
        <f>sumatera!K62</f>
        <v>10.289838194826713</v>
      </c>
      <c r="K32">
        <f>sumatera!L62</f>
        <v>64.597914834074018</v>
      </c>
      <c r="L32">
        <f>sumatera!M62</f>
        <v>1.0615651450124068</v>
      </c>
      <c r="M32">
        <f>sumatera!N62</f>
        <v>2.4736261607189421E-3</v>
      </c>
      <c r="N32">
        <f>sumatera!O62</f>
        <v>0</v>
      </c>
      <c r="O32">
        <f>sumatera!P62</f>
        <v>0</v>
      </c>
      <c r="P32">
        <f>sumatera!Q62</f>
        <v>972.06064605693052</v>
      </c>
    </row>
    <row r="33" spans="1:16" x14ac:dyDescent="0.25">
      <c r="A33" t="str">
        <f>sumatera!B63</f>
        <v>SUMATERA</v>
      </c>
      <c r="B33">
        <f>sumatera!C63</f>
        <v>2030</v>
      </c>
      <c r="C33">
        <f>sumatera!D63</f>
        <v>366.85440267990975</v>
      </c>
      <c r="D33">
        <f>sumatera!E63</f>
        <v>61.631003444906455</v>
      </c>
      <c r="E33">
        <f>sumatera!F63</f>
        <v>211.24565146687763</v>
      </c>
      <c r="F33">
        <f>sumatera!G63</f>
        <v>132.75685192801399</v>
      </c>
      <c r="G33">
        <f>sumatera!H63</f>
        <v>117.1505796923077</v>
      </c>
      <c r="H33">
        <f>sumatera!I63</f>
        <v>32.971632310650584</v>
      </c>
      <c r="I33">
        <f>sumatera!J63</f>
        <v>9.6369848694247437</v>
      </c>
      <c r="J33">
        <f>sumatera!K63</f>
        <v>21.234888512526723</v>
      </c>
      <c r="K33">
        <f>sumatera!L63</f>
        <v>64.597913881022976</v>
      </c>
      <c r="L33">
        <f>sumatera!M63</f>
        <v>1.0615651450124068</v>
      </c>
      <c r="M33">
        <f>sumatera!N63</f>
        <v>2.4736261607189421E-3</v>
      </c>
      <c r="N33">
        <f>sumatera!O63</f>
        <v>0</v>
      </c>
      <c r="O33">
        <f>sumatera!P63</f>
        <v>0</v>
      </c>
      <c r="P33">
        <f>sumatera!Q63</f>
        <v>1019.1439475568135</v>
      </c>
    </row>
    <row r="34" spans="1:16" x14ac:dyDescent="0.25">
      <c r="A34" t="str">
        <f>sumatera!B64</f>
        <v>SUMATERA</v>
      </c>
      <c r="B34">
        <f>sumatera!C64</f>
        <v>2031</v>
      </c>
      <c r="C34">
        <f>sumatera!D64</f>
        <v>388.85095523241813</v>
      </c>
      <c r="D34">
        <f>sumatera!E64</f>
        <v>61.631003444906455</v>
      </c>
      <c r="E34">
        <f>sumatera!F64</f>
        <v>244.57140625328591</v>
      </c>
      <c r="F34">
        <f>sumatera!G64</f>
        <v>132.75685192801399</v>
      </c>
      <c r="G34">
        <f>sumatera!H64</f>
        <v>117.1505796923077</v>
      </c>
      <c r="H34">
        <f>sumatera!I64</f>
        <v>32.971632310650584</v>
      </c>
      <c r="I34">
        <f>sumatera!J64</f>
        <v>9.6369848694247437</v>
      </c>
      <c r="J34">
        <f>sumatera!K64</f>
        <v>21.234888512526723</v>
      </c>
      <c r="K34">
        <f>sumatera!L64</f>
        <v>69.58183321394057</v>
      </c>
      <c r="L34">
        <f>sumatera!M64</f>
        <v>1.0615651450124068</v>
      </c>
      <c r="M34">
        <f>sumatera!N64</f>
        <v>2.4736261607189421E-3</v>
      </c>
      <c r="N34">
        <f>sumatera!O64</f>
        <v>0</v>
      </c>
      <c r="O34">
        <f>sumatera!P64</f>
        <v>0</v>
      </c>
      <c r="P34">
        <f>sumatera!Q64</f>
        <v>1079.4501742286477</v>
      </c>
    </row>
    <row r="35" spans="1:16" x14ac:dyDescent="0.25">
      <c r="A35" t="str">
        <f>sumatera!B65</f>
        <v>SUMATERA</v>
      </c>
      <c r="B35">
        <f>sumatera!C65</f>
        <v>2032</v>
      </c>
      <c r="C35">
        <f>sumatera!D65</f>
        <v>412.21913367775767</v>
      </c>
      <c r="D35">
        <f>sumatera!E65</f>
        <v>61.631003444906455</v>
      </c>
      <c r="E35">
        <f>sumatera!F65</f>
        <v>280.29400774955866</v>
      </c>
      <c r="F35">
        <f>sumatera!G65</f>
        <v>132.75685192801399</v>
      </c>
      <c r="G35">
        <f>sumatera!H65</f>
        <v>117.1505796923077</v>
      </c>
      <c r="H35">
        <f>sumatera!I65</f>
        <v>32.971632310650584</v>
      </c>
      <c r="I35">
        <f>sumatera!J65</f>
        <v>9.6369848694247437</v>
      </c>
      <c r="J35">
        <f>sumatera!K65</f>
        <v>21.234888512526723</v>
      </c>
      <c r="K35">
        <f>sumatera!L65</f>
        <v>74.951835868898058</v>
      </c>
      <c r="L35">
        <f>sumatera!M65</f>
        <v>1.0615651450124068</v>
      </c>
      <c r="M35">
        <f>sumatera!N65</f>
        <v>2.4736261607189421E-3</v>
      </c>
      <c r="N35">
        <f>sumatera!O65</f>
        <v>0</v>
      </c>
      <c r="O35">
        <f>sumatera!P65</f>
        <v>0</v>
      </c>
      <c r="P35">
        <f>sumatera!Q65</f>
        <v>1143.9109568252179</v>
      </c>
    </row>
    <row r="36" spans="1:16" x14ac:dyDescent="0.25">
      <c r="A36" t="str">
        <f>sumatera!B66</f>
        <v>SUMATERA</v>
      </c>
      <c r="B36">
        <f>sumatera!C66</f>
        <v>2033</v>
      </c>
      <c r="C36">
        <f>sumatera!D66</f>
        <v>434.47945614581954</v>
      </c>
      <c r="D36">
        <f>sumatera!E66</f>
        <v>61.631003444906455</v>
      </c>
      <c r="E36">
        <f>sumatera!F66</f>
        <v>322.7031603599977</v>
      </c>
      <c r="F36">
        <f>sumatera!G66</f>
        <v>132.75685192801399</v>
      </c>
      <c r="G36">
        <f>sumatera!H66</f>
        <v>117.1505796923077</v>
      </c>
      <c r="H36">
        <f>sumatera!I66</f>
        <v>32.971632310650584</v>
      </c>
      <c r="I36">
        <f>sumatera!J66</f>
        <v>9.6369848694247437</v>
      </c>
      <c r="J36">
        <f>sumatera!K66</f>
        <v>21.234888512526723</v>
      </c>
      <c r="K36">
        <f>sumatera!L66</f>
        <v>75.838275687248796</v>
      </c>
      <c r="L36">
        <f>sumatera!M66</f>
        <v>1.0615651450124068</v>
      </c>
      <c r="M36">
        <f>sumatera!N66</f>
        <v>2.4736261607189421E-3</v>
      </c>
      <c r="N36">
        <f>sumatera!O66</f>
        <v>0</v>
      </c>
      <c r="O36">
        <f>sumatera!P66</f>
        <v>0</v>
      </c>
      <c r="P36">
        <f>sumatera!Q66</f>
        <v>1209.4668717220695</v>
      </c>
    </row>
    <row r="37" spans="1:16" x14ac:dyDescent="0.25">
      <c r="A37" t="str">
        <f>sumatera!B67</f>
        <v>SUMATERA</v>
      </c>
      <c r="B37">
        <f>sumatera!C67</f>
        <v>2034</v>
      </c>
      <c r="C37">
        <f>sumatera!D67</f>
        <v>486.41068361910067</v>
      </c>
      <c r="D37">
        <f>sumatera!E67</f>
        <v>61.63100987447794</v>
      </c>
      <c r="E37">
        <f>sumatera!F67</f>
        <v>322.70317074335793</v>
      </c>
      <c r="F37">
        <f>sumatera!G67</f>
        <v>132.75689203941187</v>
      </c>
      <c r="G37">
        <f>sumatera!H67</f>
        <v>117.1505796923077</v>
      </c>
      <c r="H37">
        <f>sumatera!I67</f>
        <v>32.971632310650584</v>
      </c>
      <c r="I37">
        <f>sumatera!J67</f>
        <v>34.599442179487035</v>
      </c>
      <c r="J37">
        <f>sumatera!K67</f>
        <v>21.234888512526723</v>
      </c>
      <c r="K37">
        <f>sumatera!L67</f>
        <v>75.83827764111696</v>
      </c>
      <c r="L37">
        <f>sumatera!M67</f>
        <v>1.0615651450124068</v>
      </c>
      <c r="M37">
        <f>sumatera!N67</f>
        <v>2.4736261607189421E-3</v>
      </c>
      <c r="N37">
        <f>sumatera!O67</f>
        <v>0</v>
      </c>
      <c r="O37">
        <f>sumatera!P67</f>
        <v>0</v>
      </c>
      <c r="P37">
        <f>sumatera!Q67</f>
        <v>1286.3606153836108</v>
      </c>
    </row>
    <row r="38" spans="1:16" x14ac:dyDescent="0.25">
      <c r="A38" t="str">
        <f>sumatera!B68</f>
        <v>SUMATERA</v>
      </c>
      <c r="B38">
        <f>sumatera!C68</f>
        <v>2035</v>
      </c>
      <c r="C38">
        <f>sumatera!D68</f>
        <v>486.41068361910067</v>
      </c>
      <c r="D38">
        <f>sumatera!E68</f>
        <v>61.63100987447794</v>
      </c>
      <c r="E38">
        <f>sumatera!F68</f>
        <v>334.43194310986246</v>
      </c>
      <c r="F38">
        <f>sumatera!G68</f>
        <v>196.57483198440954</v>
      </c>
      <c r="G38">
        <f>sumatera!H68</f>
        <v>117.1505796923077</v>
      </c>
      <c r="H38">
        <f>sumatera!I68</f>
        <v>32.971632310650584</v>
      </c>
      <c r="I38">
        <f>sumatera!J68</f>
        <v>35.450277337807648</v>
      </c>
      <c r="J38">
        <f>sumatera!K68</f>
        <v>21.234888512526723</v>
      </c>
      <c r="K38">
        <f>sumatera!L68</f>
        <v>78.869104706958467</v>
      </c>
      <c r="L38">
        <f>sumatera!M68</f>
        <v>1.0615651450124068</v>
      </c>
      <c r="M38">
        <f>sumatera!N68</f>
        <v>2.4736261607189421E-3</v>
      </c>
      <c r="N38">
        <f>sumatera!O68</f>
        <v>0</v>
      </c>
      <c r="O38">
        <f>sumatera!P68</f>
        <v>0</v>
      </c>
      <c r="P38">
        <f>sumatera!Q68</f>
        <v>1365.7889899192749</v>
      </c>
    </row>
    <row r="39" spans="1:16" x14ac:dyDescent="0.25">
      <c r="A39" t="str">
        <f>sumatera!B69</f>
        <v>SUMATERA</v>
      </c>
      <c r="B39">
        <f>sumatera!C69</f>
        <v>2036</v>
      </c>
      <c r="C39">
        <f>sumatera!D69</f>
        <v>515.09795583658388</v>
      </c>
      <c r="D39">
        <f>sumatera!E69</f>
        <v>61.63100987447794</v>
      </c>
      <c r="E39">
        <f>sumatera!F69</f>
        <v>340.36764790045561</v>
      </c>
      <c r="F39">
        <f>sumatera!G69</f>
        <v>232.04724414729111</v>
      </c>
      <c r="G39">
        <f>sumatera!H69</f>
        <v>117.1505796923077</v>
      </c>
      <c r="H39">
        <f>sumatera!I69</f>
        <v>32.971632310650584</v>
      </c>
      <c r="I39">
        <f>sumatera!J69</f>
        <v>51.139240141926308</v>
      </c>
      <c r="J39">
        <f>sumatera!K69</f>
        <v>21.234888512526723</v>
      </c>
      <c r="K39">
        <f>sumatera!L69</f>
        <v>80.384518239879242</v>
      </c>
      <c r="L39">
        <f>sumatera!M69</f>
        <v>1.0615651450124068</v>
      </c>
      <c r="M39">
        <f>sumatera!N69</f>
        <v>2.4736261607189421E-3</v>
      </c>
      <c r="N39">
        <f>sumatera!O69</f>
        <v>0</v>
      </c>
      <c r="O39">
        <f>sumatera!P69</f>
        <v>0</v>
      </c>
      <c r="P39">
        <f>sumatera!Q69</f>
        <v>1453.0887554272724</v>
      </c>
    </row>
    <row r="40" spans="1:16" x14ac:dyDescent="0.25">
      <c r="A40" t="str">
        <f>sumatera!B70</f>
        <v>SUMATERA</v>
      </c>
      <c r="B40">
        <f>sumatera!C70</f>
        <v>2037</v>
      </c>
      <c r="C40">
        <f>sumatera!D70</f>
        <v>544.42256245890201</v>
      </c>
      <c r="D40">
        <f>sumatera!E70</f>
        <v>61.63100987447794</v>
      </c>
      <c r="E40">
        <f>sumatera!F70</f>
        <v>366.70386369837564</v>
      </c>
      <c r="F40">
        <f>sumatera!G70</f>
        <v>242.61266332056678</v>
      </c>
      <c r="G40">
        <f>sumatera!H70</f>
        <v>117.1505796923077</v>
      </c>
      <c r="H40">
        <f>sumatera!I70</f>
        <v>32.971632310650584</v>
      </c>
      <c r="I40">
        <f>sumatera!J70</f>
        <v>65.331914888622578</v>
      </c>
      <c r="J40">
        <f>sumatera!K70</f>
        <v>23.835709052800951</v>
      </c>
      <c r="K40">
        <f>sumatera!L70</f>
        <v>81.142225006339615</v>
      </c>
      <c r="L40">
        <f>sumatera!M70</f>
        <v>1.0615651450124068</v>
      </c>
      <c r="M40">
        <f>sumatera!N70</f>
        <v>2.4736261607189421E-3</v>
      </c>
      <c r="N40">
        <f>sumatera!O70</f>
        <v>0</v>
      </c>
      <c r="O40">
        <f>sumatera!P70</f>
        <v>0</v>
      </c>
      <c r="P40">
        <f>sumatera!Q70</f>
        <v>1536.8661990742169</v>
      </c>
    </row>
    <row r="41" spans="1:16" x14ac:dyDescent="0.25">
      <c r="A41" t="str">
        <f>sumatera!B71</f>
        <v>SUMATERA</v>
      </c>
      <c r="B41">
        <f>sumatera!C71</f>
        <v>2038</v>
      </c>
      <c r="C41">
        <f>sumatera!D71</f>
        <v>578.44962551580488</v>
      </c>
      <c r="D41">
        <f>sumatera!E71</f>
        <v>61.63100987447794</v>
      </c>
      <c r="E41">
        <f>sumatera!F71</f>
        <v>396.29835142603434</v>
      </c>
      <c r="F41">
        <f>sumatera!G71</f>
        <v>254.46466705327478</v>
      </c>
      <c r="G41">
        <f>sumatera!H71</f>
        <v>117.1505796923479</v>
      </c>
      <c r="H41">
        <f>sumatera!I71</f>
        <v>32.971632310660759</v>
      </c>
      <c r="I41">
        <f>sumatera!J71</f>
        <v>65.331914888644334</v>
      </c>
      <c r="J41">
        <f>sumatera!K71</f>
        <v>41.54921223722198</v>
      </c>
      <c r="K41">
        <f>sumatera!L71</f>
        <v>81.142225006339615</v>
      </c>
      <c r="L41">
        <f>sumatera!M71</f>
        <v>1.0615651450124068</v>
      </c>
      <c r="M41">
        <f>sumatera!N71</f>
        <v>2.4736261607189421E-3</v>
      </c>
      <c r="N41">
        <f>sumatera!O71</f>
        <v>3.3973541495097024E-8</v>
      </c>
      <c r="O41">
        <f>sumatera!P71</f>
        <v>0</v>
      </c>
      <c r="P41">
        <f>sumatera!Q71</f>
        <v>1630.0532568099532</v>
      </c>
    </row>
    <row r="42" spans="1:16" x14ac:dyDescent="0.25">
      <c r="A42" t="str">
        <f>Jawa!B52</f>
        <v>JAWA</v>
      </c>
      <c r="B42">
        <f>Jawa!C52</f>
        <v>2019</v>
      </c>
      <c r="C42">
        <f>Jawa!D52</f>
        <v>1040.4178597241378</v>
      </c>
      <c r="D42">
        <f>Jawa!E52</f>
        <v>87.403969179474942</v>
      </c>
      <c r="E42">
        <f>Jawa!F52</f>
        <v>168.41991489528266</v>
      </c>
      <c r="F42">
        <f>Jawa!G52</f>
        <v>1.2956764941270904</v>
      </c>
      <c r="G42">
        <f>Jawa!H52</f>
        <v>28.145210466461535</v>
      </c>
      <c r="H42">
        <f>Jawa!I52</f>
        <v>43.727837517473688</v>
      </c>
      <c r="I42">
        <f>Jawa!J52</f>
        <v>0.46213096984615398</v>
      </c>
      <c r="J42">
        <f>Jawa!K52</f>
        <v>6.6225600000000004E-3</v>
      </c>
      <c r="K42">
        <f>Jawa!L52</f>
        <v>0</v>
      </c>
      <c r="L42">
        <f>Jawa!M52</f>
        <v>0.23203609727047148</v>
      </c>
      <c r="M42">
        <f>Jawa!N52</f>
        <v>0</v>
      </c>
      <c r="N42">
        <f>Jawa!O52</f>
        <v>0</v>
      </c>
      <c r="O42">
        <f>Jawa!P52</f>
        <v>0</v>
      </c>
      <c r="P42">
        <f>Jawa!Q52</f>
        <v>1370.1112579040744</v>
      </c>
    </row>
    <row r="43" spans="1:16" x14ac:dyDescent="0.25">
      <c r="A43" t="str">
        <f>Jawa!B53</f>
        <v>JAWA</v>
      </c>
      <c r="B43">
        <f>Jawa!C53</f>
        <v>2020</v>
      </c>
      <c r="C43">
        <f>Jawa!D53</f>
        <v>1110.1857738210829</v>
      </c>
      <c r="D43">
        <f>Jawa!E53</f>
        <v>87.403969179474942</v>
      </c>
      <c r="E43">
        <f>Jawa!F53</f>
        <v>185.59764013670659</v>
      </c>
      <c r="F43">
        <f>Jawa!G53</f>
        <v>1.2956764941270904</v>
      </c>
      <c r="G43">
        <f>Jawa!H53</f>
        <v>28.145210466461535</v>
      </c>
      <c r="H43">
        <f>Jawa!I53</f>
        <v>79.046900805288132</v>
      </c>
      <c r="I43">
        <f>Jawa!J53</f>
        <v>0.46213096984615398</v>
      </c>
      <c r="J43">
        <f>Jawa!K53</f>
        <v>34.515926771147306</v>
      </c>
      <c r="K43">
        <f>Jawa!L53</f>
        <v>0.24915745646936999</v>
      </c>
      <c r="L43">
        <f>Jawa!M53</f>
        <v>0.23203609727047148</v>
      </c>
      <c r="M43">
        <f>Jawa!N53</f>
        <v>6.0371036969733026E-2</v>
      </c>
      <c r="N43">
        <f>Jawa!O53</f>
        <v>0</v>
      </c>
      <c r="O43">
        <f>Jawa!P53</f>
        <v>0</v>
      </c>
      <c r="P43">
        <f>Jawa!Q53</f>
        <v>1527.1947932348442</v>
      </c>
    </row>
    <row r="44" spans="1:16" x14ac:dyDescent="0.25">
      <c r="A44" t="str">
        <f>Jawa!B54</f>
        <v>JAWA</v>
      </c>
      <c r="B44">
        <f>Jawa!C54</f>
        <v>2021</v>
      </c>
      <c r="C44">
        <f>Jawa!D54</f>
        <v>1110.1857738210829</v>
      </c>
      <c r="D44">
        <f>Jawa!E54</f>
        <v>90.329809463256211</v>
      </c>
      <c r="E44">
        <f>Jawa!F54</f>
        <v>315.30604948872974</v>
      </c>
      <c r="F44">
        <f>Jawa!G54</f>
        <v>1.6207596145352301</v>
      </c>
      <c r="G44">
        <f>Jawa!H54</f>
        <v>28.145210466461535</v>
      </c>
      <c r="H44">
        <f>Jawa!I54</f>
        <v>79.046900805288132</v>
      </c>
      <c r="I44">
        <f>Jawa!J54</f>
        <v>0.46213096984615398</v>
      </c>
      <c r="J44">
        <f>Jawa!K54</f>
        <v>34.515926771147306</v>
      </c>
      <c r="K44">
        <f>Jawa!L54</f>
        <v>0.24915745646936999</v>
      </c>
      <c r="L44">
        <f>Jawa!M54</f>
        <v>0.23203609727047148</v>
      </c>
      <c r="M44">
        <f>Jawa!N54</f>
        <v>6.0371036969733026E-2</v>
      </c>
      <c r="N44">
        <f>Jawa!O54</f>
        <v>0</v>
      </c>
      <c r="O44">
        <f>Jawa!P54</f>
        <v>0</v>
      </c>
      <c r="P44">
        <f>Jawa!Q54</f>
        <v>1660.1541259910568</v>
      </c>
    </row>
    <row r="45" spans="1:16" x14ac:dyDescent="0.25">
      <c r="A45" t="str">
        <f>Jawa!B55</f>
        <v>JAWA</v>
      </c>
      <c r="B45">
        <f>Jawa!C55</f>
        <v>2022</v>
      </c>
      <c r="C45">
        <f>Jawa!D55</f>
        <v>1110.1857738210829</v>
      </c>
      <c r="D45">
        <f>Jawa!E55</f>
        <v>104.21563881091795</v>
      </c>
      <c r="E45">
        <f>Jawa!F55</f>
        <v>368.13242140510863</v>
      </c>
      <c r="F45">
        <f>Jawa!G55</f>
        <v>1.6698009416043311</v>
      </c>
      <c r="G45">
        <f>Jawa!H55</f>
        <v>28.145210466461535</v>
      </c>
      <c r="H45">
        <f>Jawa!I55</f>
        <v>79.046900805288132</v>
      </c>
      <c r="I45">
        <f>Jawa!J55</f>
        <v>0.46213096984615398</v>
      </c>
      <c r="J45">
        <f>Jawa!K55</f>
        <v>34.515926771147306</v>
      </c>
      <c r="K45">
        <f>Jawa!L55</f>
        <v>4.6994094981410175</v>
      </c>
      <c r="L45">
        <f>Jawa!M55</f>
        <v>0.23203609727047148</v>
      </c>
      <c r="M45">
        <f>Jawa!N55</f>
        <v>6.0371036969733026E-2</v>
      </c>
      <c r="N45">
        <f>Jawa!O55</f>
        <v>0</v>
      </c>
      <c r="O45">
        <f>Jawa!P55</f>
        <v>0</v>
      </c>
      <c r="P45">
        <f>Jawa!Q55</f>
        <v>1731.3656206238381</v>
      </c>
    </row>
    <row r="46" spans="1:16" x14ac:dyDescent="0.25">
      <c r="A46" t="str">
        <f>Jawa!B56</f>
        <v>JAWA</v>
      </c>
      <c r="B46">
        <f>Jawa!C56</f>
        <v>2023</v>
      </c>
      <c r="C46">
        <f>Jawa!D56</f>
        <v>1110.1857738210829</v>
      </c>
      <c r="D46">
        <f>Jawa!E56</f>
        <v>118.10960979508253</v>
      </c>
      <c r="E46">
        <f>Jawa!F56</f>
        <v>387.89683767109619</v>
      </c>
      <c r="F46">
        <f>Jawa!G56</f>
        <v>1.7152250430050304</v>
      </c>
      <c r="G46">
        <f>Jawa!H56</f>
        <v>28.145210466461535</v>
      </c>
      <c r="H46">
        <f>Jawa!I56</f>
        <v>79.046900805288132</v>
      </c>
      <c r="I46">
        <f>Jawa!J56</f>
        <v>0.46213096984615398</v>
      </c>
      <c r="J46">
        <f>Jawa!K56</f>
        <v>34.515926771147306</v>
      </c>
      <c r="K46">
        <f>Jawa!L56</f>
        <v>27.9269553223725</v>
      </c>
      <c r="L46">
        <f>Jawa!M56</f>
        <v>0.23203609727047148</v>
      </c>
      <c r="M46">
        <f>Jawa!N56</f>
        <v>6.0371036969733026E-2</v>
      </c>
      <c r="N46">
        <f>Jawa!O56</f>
        <v>0</v>
      </c>
      <c r="O46">
        <f>Jawa!P56</f>
        <v>0</v>
      </c>
      <c r="P46">
        <f>Jawa!Q56</f>
        <v>1788.2969777996225</v>
      </c>
    </row>
    <row r="47" spans="1:16" x14ac:dyDescent="0.25">
      <c r="A47" t="str">
        <f>Jawa!B57</f>
        <v>JAWA</v>
      </c>
      <c r="B47">
        <f>Jawa!C57</f>
        <v>2024</v>
      </c>
      <c r="C47">
        <f>Jawa!D57</f>
        <v>1110.1857738210829</v>
      </c>
      <c r="D47">
        <f>Jawa!E57</f>
        <v>132.59113822546848</v>
      </c>
      <c r="E47">
        <f>Jawa!F57</f>
        <v>411.23176019188196</v>
      </c>
      <c r="F47">
        <f>Jawa!G57</f>
        <v>1.7675220069055761</v>
      </c>
      <c r="G47">
        <f>Jawa!H57</f>
        <v>28.145210466461535</v>
      </c>
      <c r="H47">
        <f>Jawa!I57</f>
        <v>79.046900805288132</v>
      </c>
      <c r="I47">
        <f>Jawa!J57</f>
        <v>0.46213096984615398</v>
      </c>
      <c r="J47">
        <f>Jawa!K57</f>
        <v>34.515926771147306</v>
      </c>
      <c r="K47">
        <f>Jawa!L57</f>
        <v>53.672550620943483</v>
      </c>
      <c r="L47">
        <f>Jawa!M57</f>
        <v>0.23203609727047148</v>
      </c>
      <c r="M47">
        <f>Jawa!N57</f>
        <v>6.0371036969733026E-2</v>
      </c>
      <c r="N47">
        <f>Jawa!O57</f>
        <v>0</v>
      </c>
      <c r="O47">
        <f>Jawa!P57</f>
        <v>0</v>
      </c>
      <c r="P47">
        <f>Jawa!Q57</f>
        <v>1851.9113210132657</v>
      </c>
    </row>
    <row r="48" spans="1:16" x14ac:dyDescent="0.25">
      <c r="A48" t="str">
        <f>Jawa!B58</f>
        <v>JAWA</v>
      </c>
      <c r="B48">
        <f>Jawa!C58</f>
        <v>2025</v>
      </c>
      <c r="C48">
        <f>Jawa!D58</f>
        <v>1110.1857738210829</v>
      </c>
      <c r="D48">
        <f>Jawa!E58</f>
        <v>147.84235247891428</v>
      </c>
      <c r="E48">
        <f>Jawa!F58</f>
        <v>428.18684965146923</v>
      </c>
      <c r="F48">
        <f>Jawa!G58</f>
        <v>1.8126698778862644</v>
      </c>
      <c r="G48">
        <f>Jawa!H58</f>
        <v>28.145210466461535</v>
      </c>
      <c r="H48">
        <f>Jawa!I58</f>
        <v>79.046900805288132</v>
      </c>
      <c r="I48">
        <f>Jawa!J58</f>
        <v>0.46213096984615398</v>
      </c>
      <c r="J48">
        <f>Jawa!K58</f>
        <v>34.515926771147306</v>
      </c>
      <c r="K48">
        <f>Jawa!L58</f>
        <v>80.574262605346618</v>
      </c>
      <c r="L48">
        <f>Jawa!M58</f>
        <v>0.23203609727047148</v>
      </c>
      <c r="M48">
        <f>Jawa!N58</f>
        <v>6.0371036969733026E-2</v>
      </c>
      <c r="N48">
        <f>Jawa!O58</f>
        <v>0</v>
      </c>
      <c r="O48">
        <f>Jawa!P58</f>
        <v>0</v>
      </c>
      <c r="P48">
        <f>Jawa!Q58</f>
        <v>1911.0644845816826</v>
      </c>
    </row>
    <row r="49" spans="1:16" x14ac:dyDescent="0.25">
      <c r="A49" t="str">
        <f>Jawa!B59</f>
        <v>JAWA</v>
      </c>
      <c r="B49">
        <f>Jawa!C59</f>
        <v>2026</v>
      </c>
      <c r="C49">
        <f>Jawa!D59</f>
        <v>1110.1857738210829</v>
      </c>
      <c r="D49">
        <f>Jawa!E59</f>
        <v>164.22292411231959</v>
      </c>
      <c r="E49">
        <f>Jawa!F59</f>
        <v>496.2319068241477</v>
      </c>
      <c r="F49">
        <f>Jawa!G59</f>
        <v>1.8947956275783431</v>
      </c>
      <c r="G49">
        <f>Jawa!H59</f>
        <v>28.145210466461535</v>
      </c>
      <c r="H49">
        <f>Jawa!I59</f>
        <v>79.046900805288132</v>
      </c>
      <c r="I49">
        <f>Jawa!J59</f>
        <v>0.46213096984615398</v>
      </c>
      <c r="J49">
        <f>Jawa!K59</f>
        <v>34.515926771147306</v>
      </c>
      <c r="K49">
        <f>Jawa!L59</f>
        <v>98.404653571164118</v>
      </c>
      <c r="L49">
        <f>Jawa!M59</f>
        <v>0.23203609727047148</v>
      </c>
      <c r="M49">
        <f>Jawa!N59</f>
        <v>6.0371036969733026E-2</v>
      </c>
      <c r="N49">
        <f>Jawa!O59</f>
        <v>0</v>
      </c>
      <c r="O49">
        <f>Jawa!P59</f>
        <v>0</v>
      </c>
      <c r="P49">
        <f>Jawa!Q59</f>
        <v>2013.4026301032759</v>
      </c>
    </row>
    <row r="50" spans="1:16" x14ac:dyDescent="0.25">
      <c r="A50" t="str">
        <f>Jawa!B60</f>
        <v>JAWA</v>
      </c>
      <c r="B50">
        <f>Jawa!C60</f>
        <v>2027</v>
      </c>
      <c r="C50">
        <f>Jawa!D60</f>
        <v>1110.1857738210829</v>
      </c>
      <c r="D50">
        <f>Jawa!E60</f>
        <v>180.86923539898896</v>
      </c>
      <c r="E50">
        <f>Jawa!F60</f>
        <v>568.28461394556734</v>
      </c>
      <c r="F50">
        <f>Jawa!G60</f>
        <v>1.9797150949428539</v>
      </c>
      <c r="G50">
        <f>Jawa!H60</f>
        <v>28.145210466461535</v>
      </c>
      <c r="H50">
        <f>Jawa!I60</f>
        <v>79.046900805288132</v>
      </c>
      <c r="I50">
        <f>Jawa!J60</f>
        <v>0.46213096984615398</v>
      </c>
      <c r="J50">
        <f>Jawa!K60</f>
        <v>34.515926771147306</v>
      </c>
      <c r="K50">
        <f>Jawa!L60</f>
        <v>117.51965564497331</v>
      </c>
      <c r="L50">
        <f>Jawa!M60</f>
        <v>0.23203609727047148</v>
      </c>
      <c r="M50">
        <f>Jawa!N60</f>
        <v>6.0371036969733026E-2</v>
      </c>
      <c r="N50">
        <f>Jawa!O60</f>
        <v>0</v>
      </c>
      <c r="O50">
        <f>Jawa!P60</f>
        <v>0</v>
      </c>
      <c r="P50">
        <f>Jawa!Q60</f>
        <v>2121.3015700525384</v>
      </c>
    </row>
    <row r="51" spans="1:16" x14ac:dyDescent="0.25">
      <c r="A51" t="str">
        <f>Jawa!B61</f>
        <v>JAWA</v>
      </c>
      <c r="B51">
        <f>Jawa!C61</f>
        <v>2028</v>
      </c>
      <c r="C51">
        <f>Jawa!D61</f>
        <v>1110.1857738210829</v>
      </c>
      <c r="D51">
        <f>Jawa!E61</f>
        <v>198.51732077398006</v>
      </c>
      <c r="E51">
        <f>Jawa!F61</f>
        <v>639.33298192671475</v>
      </c>
      <c r="F51">
        <f>Jawa!G61</f>
        <v>2.06095104358698</v>
      </c>
      <c r="G51">
        <f>Jawa!H61</f>
        <v>28.145210466461535</v>
      </c>
      <c r="H51">
        <f>Jawa!I61</f>
        <v>79.046900805288132</v>
      </c>
      <c r="I51">
        <f>Jawa!J61</f>
        <v>0.46213096984615398</v>
      </c>
      <c r="J51">
        <f>Jawa!K61</f>
        <v>34.515926771147306</v>
      </c>
      <c r="K51">
        <f>Jawa!L61</f>
        <v>137.12743933488852</v>
      </c>
      <c r="L51">
        <f>Jawa!M61</f>
        <v>0.23203609727047148</v>
      </c>
      <c r="M51">
        <f>Jawa!N61</f>
        <v>6.0371036969733026E-2</v>
      </c>
      <c r="N51">
        <f>Jawa!O61</f>
        <v>0</v>
      </c>
      <c r="O51">
        <f>Jawa!P61</f>
        <v>0</v>
      </c>
      <c r="P51">
        <f>Jawa!Q61</f>
        <v>2229.6870430472363</v>
      </c>
    </row>
    <row r="52" spans="1:16" x14ac:dyDescent="0.25">
      <c r="A52" t="str">
        <f>Jawa!B62</f>
        <v>JAWA</v>
      </c>
      <c r="B52">
        <f>Jawa!C62</f>
        <v>2029</v>
      </c>
      <c r="C52">
        <f>Jawa!D62</f>
        <v>1110.1857738210829</v>
      </c>
      <c r="D52">
        <f>Jawa!E62</f>
        <v>217.81170519520606</v>
      </c>
      <c r="E52">
        <f>Jawa!F62</f>
        <v>714.46471194339495</v>
      </c>
      <c r="F52">
        <f>Jawa!G62</f>
        <v>2.1460402362786026</v>
      </c>
      <c r="G52">
        <f>Jawa!H62</f>
        <v>28.145210466461535</v>
      </c>
      <c r="H52">
        <f>Jawa!I62</f>
        <v>79.046900805288132</v>
      </c>
      <c r="I52">
        <f>Jawa!J62</f>
        <v>0.46213096984615398</v>
      </c>
      <c r="J52">
        <f>Jawa!K62</f>
        <v>34.515926771147306</v>
      </c>
      <c r="K52">
        <f>Jawa!L62</f>
        <v>158.25706007034057</v>
      </c>
      <c r="L52">
        <f>Jawa!M62</f>
        <v>0.23203609727047148</v>
      </c>
      <c r="M52">
        <f>Jawa!N62</f>
        <v>6.0371036969733026E-2</v>
      </c>
      <c r="N52">
        <f>Jawa!O62</f>
        <v>0</v>
      </c>
      <c r="O52">
        <f>Jawa!P62</f>
        <v>0</v>
      </c>
      <c r="P52">
        <f>Jawa!Q62</f>
        <v>2345.3278674132862</v>
      </c>
    </row>
    <row r="53" spans="1:16" x14ac:dyDescent="0.25">
      <c r="A53" t="str">
        <f>Jawa!B63</f>
        <v>JAWA</v>
      </c>
      <c r="B53">
        <f>Jawa!C63</f>
        <v>2030</v>
      </c>
      <c r="C53">
        <f>Jawa!D63</f>
        <v>1110.1857738210829</v>
      </c>
      <c r="D53">
        <f>Jawa!E63</f>
        <v>238.20341706158877</v>
      </c>
      <c r="E53">
        <f>Jawa!F63</f>
        <v>791.72482895125188</v>
      </c>
      <c r="F53">
        <f>Jawa!G63</f>
        <v>2.231682695383113</v>
      </c>
      <c r="G53">
        <f>Jawa!H63</f>
        <v>28.145210466461535</v>
      </c>
      <c r="H53">
        <f>Jawa!I63</f>
        <v>79.046900805288132</v>
      </c>
      <c r="I53">
        <f>Jawa!J63</f>
        <v>0.46213096984615398</v>
      </c>
      <c r="J53">
        <f>Jawa!K63</f>
        <v>34.515926771147306</v>
      </c>
      <c r="K53">
        <f>Jawa!L63</f>
        <v>180.52982378749249</v>
      </c>
      <c r="L53">
        <f>Jawa!M63</f>
        <v>0.23203609727047148</v>
      </c>
      <c r="M53">
        <f>Jawa!N63</f>
        <v>6.0371036969733026E-2</v>
      </c>
      <c r="N53">
        <f>Jawa!O63</f>
        <v>0</v>
      </c>
      <c r="O53">
        <f>Jawa!P63</f>
        <v>0</v>
      </c>
      <c r="P53">
        <f>Jawa!Q63</f>
        <v>2465.338102463782</v>
      </c>
    </row>
    <row r="54" spans="1:16" x14ac:dyDescent="0.25">
      <c r="A54" t="str">
        <f>Jawa!B64</f>
        <v>JAWA</v>
      </c>
      <c r="B54">
        <f>Jawa!C64</f>
        <v>2031</v>
      </c>
      <c r="C54">
        <f>Jawa!D64</f>
        <v>1110.1857738210829</v>
      </c>
      <c r="D54">
        <f>Jawa!E64</f>
        <v>259.73554186075194</v>
      </c>
      <c r="E54">
        <f>Jawa!F64</f>
        <v>883.29265888178975</v>
      </c>
      <c r="F54">
        <f>Jawa!G64</f>
        <v>2.3338085713172454</v>
      </c>
      <c r="G54">
        <f>Jawa!H64</f>
        <v>28.145210466461535</v>
      </c>
      <c r="H54">
        <f>Jawa!I64</f>
        <v>79.046900805288132</v>
      </c>
      <c r="I54">
        <f>Jawa!J64</f>
        <v>0.46213096984615398</v>
      </c>
      <c r="J54">
        <f>Jawa!K64</f>
        <v>34.515926771147306</v>
      </c>
      <c r="K54">
        <f>Jawa!L64</f>
        <v>206.34668994795283</v>
      </c>
      <c r="L54">
        <f>Jawa!M64</f>
        <v>0.23203609727047148</v>
      </c>
      <c r="M54">
        <f>Jawa!N64</f>
        <v>6.0371036969733026E-2</v>
      </c>
      <c r="N54">
        <f>Jawa!O64</f>
        <v>0</v>
      </c>
      <c r="O54">
        <f>Jawa!P64</f>
        <v>0</v>
      </c>
      <c r="P54">
        <f>Jawa!Q64</f>
        <v>2604.3570492298772</v>
      </c>
    </row>
    <row r="55" spans="1:16" x14ac:dyDescent="0.25">
      <c r="A55" t="str">
        <f>Jawa!B65</f>
        <v>JAWA</v>
      </c>
      <c r="B55">
        <f>Jawa!C65</f>
        <v>2032</v>
      </c>
      <c r="C55">
        <f>Jawa!D65</f>
        <v>1110.1857738210829</v>
      </c>
      <c r="D55">
        <f>Jawa!E65</f>
        <v>282.48897373211128</v>
      </c>
      <c r="E55">
        <f>Jawa!F65</f>
        <v>980.95255494106073</v>
      </c>
      <c r="F55">
        <f>Jawa!G65</f>
        <v>2.4410167844098924</v>
      </c>
      <c r="G55">
        <f>Jawa!H65</f>
        <v>28.145210466461535</v>
      </c>
      <c r="H55">
        <f>Jawa!I65</f>
        <v>79.046900805288132</v>
      </c>
      <c r="I55">
        <f>Jawa!J65</f>
        <v>5.2099297105498925</v>
      </c>
      <c r="J55">
        <f>Jawa!K65</f>
        <v>34.515926771147306</v>
      </c>
      <c r="K55">
        <f>Jawa!L65</f>
        <v>230.45759746283798</v>
      </c>
      <c r="L55">
        <f>Jawa!M65</f>
        <v>0.23203609727047148</v>
      </c>
      <c r="M55">
        <f>Jawa!N65</f>
        <v>6.0371036969733026E-2</v>
      </c>
      <c r="N55">
        <f>Jawa!O65</f>
        <v>0</v>
      </c>
      <c r="O55">
        <f>Jawa!P65</f>
        <v>0</v>
      </c>
      <c r="P55">
        <f>Jawa!Q65</f>
        <v>2753.7362916291895</v>
      </c>
    </row>
    <row r="56" spans="1:16" x14ac:dyDescent="0.25">
      <c r="A56" t="str">
        <f>Jawa!B66</f>
        <v>JAWA</v>
      </c>
      <c r="B56">
        <f>Jawa!C66</f>
        <v>2033</v>
      </c>
      <c r="C56">
        <f>Jawa!D66</f>
        <v>1150.3905077969355</v>
      </c>
      <c r="D56">
        <f>Jawa!E66</f>
        <v>299.82167531901587</v>
      </c>
      <c r="E56">
        <f>Jawa!F66</f>
        <v>1050.8595223372754</v>
      </c>
      <c r="F56">
        <f>Jawa!G66</f>
        <v>2.5386808125197322</v>
      </c>
      <c r="G56">
        <f>Jawa!H66</f>
        <v>28.817175437885059</v>
      </c>
      <c r="H56">
        <f>Jawa!I66</f>
        <v>82.799585392302291</v>
      </c>
      <c r="I56">
        <f>Jawa!J66</f>
        <v>14.831630464443826</v>
      </c>
      <c r="J56">
        <f>Jawa!K66</f>
        <v>38.348577965697515</v>
      </c>
      <c r="K56">
        <f>Jawa!L66</f>
        <v>242.51305122028057</v>
      </c>
      <c r="L56">
        <f>Jawa!M66</f>
        <v>0.23203609727047148</v>
      </c>
      <c r="M56">
        <f>Jawa!N66</f>
        <v>6.0371036969733026E-2</v>
      </c>
      <c r="N56">
        <f>Jawa!O66</f>
        <v>0</v>
      </c>
      <c r="O56">
        <f>Jawa!P66</f>
        <v>0</v>
      </c>
      <c r="P56">
        <f>Jawa!Q66</f>
        <v>2911.2128138805956</v>
      </c>
    </row>
    <row r="57" spans="1:16" x14ac:dyDescent="0.25">
      <c r="A57" t="str">
        <f>Jawa!B67</f>
        <v>JAWA</v>
      </c>
      <c r="B57">
        <f>Jawa!C67</f>
        <v>2034</v>
      </c>
      <c r="C57">
        <f>Jawa!D67</f>
        <v>1219.2707990937067</v>
      </c>
      <c r="D57">
        <f>Jawa!E67</f>
        <v>325.23480071956232</v>
      </c>
      <c r="E57">
        <f>Jawa!F67</f>
        <v>1115.0997399037556</v>
      </c>
      <c r="F57">
        <f>Jawa!G67</f>
        <v>2.6555736750325964</v>
      </c>
      <c r="G57">
        <f>Jawa!H67</f>
        <v>28.817175437885059</v>
      </c>
      <c r="H57">
        <f>Jawa!I67</f>
        <v>82.799585392302291</v>
      </c>
      <c r="I57">
        <f>Jawa!J67</f>
        <v>41.247483607566707</v>
      </c>
      <c r="J57">
        <f>Jawa!K67</f>
        <v>43.51773130050141</v>
      </c>
      <c r="K57">
        <f>Jawa!L67</f>
        <v>248.54077809900178</v>
      </c>
      <c r="L57">
        <f>Jawa!M67</f>
        <v>0.23203609727047148</v>
      </c>
      <c r="M57">
        <f>Jawa!N67</f>
        <v>6.0371036969733026E-2</v>
      </c>
      <c r="N57">
        <f>Jawa!O67</f>
        <v>0</v>
      </c>
      <c r="O57">
        <f>Jawa!P67</f>
        <v>0</v>
      </c>
      <c r="P57">
        <f>Jawa!Q67</f>
        <v>3107.4760743635538</v>
      </c>
    </row>
    <row r="58" spans="1:16" x14ac:dyDescent="0.25">
      <c r="A58" t="str">
        <f>Jawa!B68</f>
        <v>JAWA</v>
      </c>
      <c r="B58">
        <f>Jawa!C68</f>
        <v>2035</v>
      </c>
      <c r="C58">
        <f>Jawa!D68</f>
        <v>1286.9076001680128</v>
      </c>
      <c r="D58">
        <f>Jawa!E68</f>
        <v>336.86895578410969</v>
      </c>
      <c r="E58">
        <f>Jawa!F68</f>
        <v>1187.170206996668</v>
      </c>
      <c r="F58">
        <f>Jawa!G68</f>
        <v>2.7664486684337208</v>
      </c>
      <c r="G58">
        <f>Jawa!H68</f>
        <v>30.339054060353217</v>
      </c>
      <c r="H58">
        <f>Jawa!I68</f>
        <v>91.292843196112059</v>
      </c>
      <c r="I58">
        <f>Jawa!J68</f>
        <v>59.609883526847298</v>
      </c>
      <c r="J58">
        <f>Jawa!K68</f>
        <v>49.173415427618245</v>
      </c>
      <c r="K58">
        <f>Jawa!L68</f>
        <v>251.55434903876784</v>
      </c>
      <c r="L58">
        <f>Jawa!M68</f>
        <v>0.23203609727047148</v>
      </c>
      <c r="M58">
        <f>Jawa!N68</f>
        <v>6.0371036969733026E-2</v>
      </c>
      <c r="N58">
        <f>Jawa!O68</f>
        <v>0</v>
      </c>
      <c r="O58">
        <f>Jawa!P68</f>
        <v>0</v>
      </c>
      <c r="P58">
        <f>Jawa!Q68</f>
        <v>3295.9751640011627</v>
      </c>
    </row>
    <row r="59" spans="1:16" x14ac:dyDescent="0.25">
      <c r="A59" t="str">
        <f>Jawa!B69</f>
        <v>JAWA</v>
      </c>
      <c r="B59">
        <f>Jawa!C69</f>
        <v>2036</v>
      </c>
      <c r="C59">
        <f>Jawa!D69</f>
        <v>1362.3158989804053</v>
      </c>
      <c r="D59">
        <f>Jawa!E69</f>
        <v>344.5581966603641</v>
      </c>
      <c r="E59">
        <f>Jawa!F69</f>
        <v>1270.8599490393258</v>
      </c>
      <c r="F59">
        <f>Jawa!G69</f>
        <v>2.8906287149952656</v>
      </c>
      <c r="G59">
        <f>Jawa!H69</f>
        <v>40.870436053406948</v>
      </c>
      <c r="H59">
        <f>Jawa!I69</f>
        <v>102.82939891679288</v>
      </c>
      <c r="I59">
        <f>Jawa!J69</f>
        <v>68.791082817577475</v>
      </c>
      <c r="J59">
        <f>Jawa!K69</f>
        <v>55.723137571280468</v>
      </c>
      <c r="K59">
        <f>Jawa!L69</f>
        <v>253.06142700824546</v>
      </c>
      <c r="L59">
        <f>Jawa!M69</f>
        <v>0.23203609727047148</v>
      </c>
      <c r="M59">
        <f>Jawa!N69</f>
        <v>6.0371036969733026E-2</v>
      </c>
      <c r="N59">
        <f>Jawa!O69</f>
        <v>0</v>
      </c>
      <c r="O59">
        <f>Jawa!P69</f>
        <v>0</v>
      </c>
      <c r="P59">
        <f>Jawa!Q69</f>
        <v>3502.1925628966337</v>
      </c>
    </row>
    <row r="60" spans="1:16" x14ac:dyDescent="0.25">
      <c r="A60" t="str">
        <f>Jawa!B70</f>
        <v>JAWA</v>
      </c>
      <c r="B60">
        <f>Jawa!C70</f>
        <v>2037</v>
      </c>
      <c r="C60">
        <f>Jawa!D70</f>
        <v>1439.225804115943</v>
      </c>
      <c r="D60">
        <f>Jawa!E70</f>
        <v>364.20961153896417</v>
      </c>
      <c r="E60">
        <f>Jawa!F70</f>
        <v>1349.7270841405862</v>
      </c>
      <c r="F60">
        <f>Jawa!G70</f>
        <v>3.0144294707488144</v>
      </c>
      <c r="G60">
        <f>Jawa!H70</f>
        <v>62.344398965825</v>
      </c>
      <c r="H60">
        <f>Jawa!I70</f>
        <v>108.597328287343</v>
      </c>
      <c r="I60">
        <f>Jawa!J70</f>
        <v>73.381682462942578</v>
      </c>
      <c r="J60">
        <f>Jawa!K70</f>
        <v>63.011579587189217</v>
      </c>
      <c r="K60">
        <f>Jawa!L70</f>
        <v>253.81496599298433</v>
      </c>
      <c r="L60">
        <f>Jawa!M70</f>
        <v>0.23203609727047148</v>
      </c>
      <c r="M60">
        <f>Jawa!N70</f>
        <v>6.0371036969733026E-2</v>
      </c>
      <c r="N60">
        <f>Jawa!O70</f>
        <v>4.4626377743236628E-17</v>
      </c>
      <c r="O60">
        <f>Jawa!P70</f>
        <v>0</v>
      </c>
      <c r="P60">
        <f>Jawa!Q70</f>
        <v>3717.6192916967661</v>
      </c>
    </row>
    <row r="61" spans="1:16" x14ac:dyDescent="0.25">
      <c r="A61" t="str">
        <f>Jawa!B71</f>
        <v>JAWA</v>
      </c>
      <c r="B61">
        <f>Jawa!C71</f>
        <v>2038</v>
      </c>
      <c r="C61">
        <f>Jawa!D71</f>
        <v>1527.7767912224208</v>
      </c>
      <c r="D61">
        <f>Jawa!E71</f>
        <v>390.71533036247706</v>
      </c>
      <c r="E61">
        <f>Jawa!F71</f>
        <v>1438.0658128468162</v>
      </c>
      <c r="F61">
        <f>Jawa!G71</f>
        <v>3.158789637828439</v>
      </c>
      <c r="G61">
        <f>Jawa!H71</f>
        <v>93.203118638256953</v>
      </c>
      <c r="H61">
        <f>Jawa!I71</f>
        <v>111.48164146240838</v>
      </c>
      <c r="I61">
        <f>Jawa!J71</f>
        <v>75.676982285625158</v>
      </c>
      <c r="J61">
        <f>Jawa!K71</f>
        <v>71.58902511156505</v>
      </c>
      <c r="K61">
        <f>Jawa!L71</f>
        <v>254.19173548535369</v>
      </c>
      <c r="L61">
        <f>Jawa!M71</f>
        <v>0.23203609727047148</v>
      </c>
      <c r="M61">
        <f>Jawa!N71</f>
        <v>6.0371036969733026E-2</v>
      </c>
      <c r="N61">
        <f>Jawa!O71</f>
        <v>4.4626377743236628E-17</v>
      </c>
      <c r="O61">
        <f>Jawa!P71</f>
        <v>0</v>
      </c>
      <c r="P61">
        <f>Jawa!Q71</f>
        <v>3966.151634186991</v>
      </c>
    </row>
    <row r="62" spans="1:16" x14ac:dyDescent="0.25">
      <c r="A62" t="str">
        <f>bali_nt!B52</f>
        <v>BALI_NT</v>
      </c>
      <c r="B62">
        <f>bali_nt!C52</f>
        <v>2019</v>
      </c>
      <c r="C62">
        <f>bali_nt!D52</f>
        <v>23.44676117462069</v>
      </c>
      <c r="D62">
        <f>bali_nt!E52</f>
        <v>19.930316066377571</v>
      </c>
      <c r="E62">
        <f>bali_nt!F52</f>
        <v>0</v>
      </c>
      <c r="F62">
        <f>bali_nt!G52</f>
        <v>22.763311301137129</v>
      </c>
      <c r="G62">
        <f>bali_nt!H52</f>
        <v>4.256874830769231</v>
      </c>
      <c r="H62">
        <f>bali_nt!I52</f>
        <v>0.12280501428340081</v>
      </c>
      <c r="I62">
        <f>bali_nt!J52</f>
        <v>0.42617265230769236</v>
      </c>
      <c r="J62">
        <f>bali_nt!K52</f>
        <v>2.73511728E-2</v>
      </c>
      <c r="K62">
        <f>bali_nt!L52</f>
        <v>0</v>
      </c>
      <c r="L62">
        <f>bali_nt!M52</f>
        <v>0</v>
      </c>
      <c r="M62">
        <f>bali_nt!N52</f>
        <v>0</v>
      </c>
      <c r="N62">
        <f>bali_nt!O52</f>
        <v>0</v>
      </c>
      <c r="O62">
        <f>bali_nt!P52</f>
        <v>0</v>
      </c>
      <c r="P62">
        <f>bali_nt!Q52</f>
        <v>70.973592212295713</v>
      </c>
    </row>
    <row r="63" spans="1:16" x14ac:dyDescent="0.25">
      <c r="A63" t="str">
        <f>bali_nt!B53</f>
        <v>BALI_NT</v>
      </c>
      <c r="B63">
        <f>bali_nt!C53</f>
        <v>2020</v>
      </c>
      <c r="C63">
        <f>bali_nt!D53</f>
        <v>26.998398653545443</v>
      </c>
      <c r="D63">
        <f>bali_nt!E53</f>
        <v>19.930316066377571</v>
      </c>
      <c r="E63">
        <f>bali_nt!F53</f>
        <v>0</v>
      </c>
      <c r="F63">
        <f>bali_nt!G53</f>
        <v>22.763311301137129</v>
      </c>
      <c r="G63">
        <f>bali_nt!H53</f>
        <v>27.067478080898969</v>
      </c>
      <c r="H63">
        <f>bali_nt!I53</f>
        <v>0.12280501428340081</v>
      </c>
      <c r="I63">
        <f>bali_nt!J53</f>
        <v>0.42617265230769236</v>
      </c>
      <c r="J63">
        <f>bali_nt!K53</f>
        <v>0.22005360233947349</v>
      </c>
      <c r="K63">
        <f>bali_nt!L53</f>
        <v>0</v>
      </c>
      <c r="L63">
        <f>bali_nt!M53</f>
        <v>-1.1612903225345552E-8</v>
      </c>
      <c r="M63">
        <f>bali_nt!N53</f>
        <v>-3.5999999999782484E-9</v>
      </c>
      <c r="N63">
        <f>bali_nt!O53</f>
        <v>0</v>
      </c>
      <c r="O63">
        <f>bali_nt!P53</f>
        <v>1.0004650382938103E-2</v>
      </c>
      <c r="P63">
        <f>bali_nt!Q53</f>
        <v>97.528535355676794</v>
      </c>
    </row>
    <row r="64" spans="1:16" x14ac:dyDescent="0.25">
      <c r="A64" t="str">
        <f>bali_nt!B54</f>
        <v>BALI_NT</v>
      </c>
      <c r="B64">
        <f>bali_nt!C54</f>
        <v>2021</v>
      </c>
      <c r="C64">
        <f>bali_nt!D54</f>
        <v>30.420373803627506</v>
      </c>
      <c r="D64">
        <f>bali_nt!E54</f>
        <v>19.930316066377571</v>
      </c>
      <c r="E64">
        <f>bali_nt!F54</f>
        <v>0.59125084872539757</v>
      </c>
      <c r="F64">
        <f>bali_nt!G54</f>
        <v>22.763311262028264</v>
      </c>
      <c r="G64">
        <f>bali_nt!H54</f>
        <v>27.067477907855274</v>
      </c>
      <c r="H64">
        <f>bali_nt!I54</f>
        <v>3.0531437575135469</v>
      </c>
      <c r="I64">
        <f>bali_nt!J54</f>
        <v>0.42617265230769236</v>
      </c>
      <c r="J64">
        <f>bali_nt!K54</f>
        <v>0.38853209675116507</v>
      </c>
      <c r="K64">
        <f>bali_nt!L54</f>
        <v>0</v>
      </c>
      <c r="L64">
        <f>bali_nt!M54</f>
        <v>0</v>
      </c>
      <c r="M64">
        <f>bali_nt!N54</f>
        <v>1.2696416349279053E-16</v>
      </c>
      <c r="N64">
        <f>bali_nt!O54</f>
        <v>0</v>
      </c>
      <c r="O64">
        <f>bali_nt!P54</f>
        <v>1.1467636199044428E-2</v>
      </c>
      <c r="P64">
        <f>bali_nt!Q54</f>
        <v>104.64057839518642</v>
      </c>
    </row>
    <row r="65" spans="1:16" x14ac:dyDescent="0.25">
      <c r="A65" t="str">
        <f>bali_nt!B55</f>
        <v>BALI_NT</v>
      </c>
      <c r="B65">
        <f>bali_nt!C55</f>
        <v>2022</v>
      </c>
      <c r="C65">
        <f>bali_nt!D55</f>
        <v>33.36575462195897</v>
      </c>
      <c r="D65">
        <f>bali_nt!E55</f>
        <v>19.930316036204349</v>
      </c>
      <c r="E65">
        <f>bali_nt!F55</f>
        <v>2.3555941539562104</v>
      </c>
      <c r="F65">
        <f>bali_nt!G55</f>
        <v>22.763311262028264</v>
      </c>
      <c r="G65">
        <f>bali_nt!H55</f>
        <v>27.067477907855274</v>
      </c>
      <c r="H65">
        <f>bali_nt!I55</f>
        <v>5.0184816219558979</v>
      </c>
      <c r="I65">
        <f>bali_nt!J55</f>
        <v>0.42617265230769236</v>
      </c>
      <c r="J65">
        <f>bali_nt!K55</f>
        <v>0.51988439355572058</v>
      </c>
      <c r="K65">
        <f>bali_nt!L55</f>
        <v>0</v>
      </c>
      <c r="L65">
        <f>bali_nt!M55</f>
        <v>0</v>
      </c>
      <c r="M65">
        <f>bali_nt!N55</f>
        <v>0</v>
      </c>
      <c r="N65">
        <f>bali_nt!O55</f>
        <v>0</v>
      </c>
      <c r="O65">
        <f>bali_nt!P55</f>
        <v>1.2781791702911046E-2</v>
      </c>
      <c r="P65">
        <f>bali_nt!Q55</f>
        <v>111.44699264982238</v>
      </c>
    </row>
    <row r="66" spans="1:16" x14ac:dyDescent="0.25">
      <c r="A66" t="str">
        <f>bali_nt!B56</f>
        <v>BALI_NT</v>
      </c>
      <c r="B66">
        <f>bali_nt!C56</f>
        <v>2023</v>
      </c>
      <c r="C66">
        <f>bali_nt!D56</f>
        <v>35.829224752705642</v>
      </c>
      <c r="D66">
        <f>bali_nt!E56</f>
        <v>19.930316036204349</v>
      </c>
      <c r="E66">
        <f>bali_nt!F56</f>
        <v>5.3288880382650499</v>
      </c>
      <c r="F66">
        <f>bali_nt!G56</f>
        <v>22.763311262028264</v>
      </c>
      <c r="G66">
        <f>bali_nt!H56</f>
        <v>27.067477734811586</v>
      </c>
      <c r="H66">
        <f>bali_nt!I56</f>
        <v>5.9808804239105831</v>
      </c>
      <c r="I66">
        <f>bali_nt!J56</f>
        <v>0.42617265230769236</v>
      </c>
      <c r="J66">
        <f>bali_nt!K56</f>
        <v>0.6046285029290972</v>
      </c>
      <c r="K66">
        <f>bali_nt!L56</f>
        <v>0</v>
      </c>
      <c r="L66">
        <f>bali_nt!M56</f>
        <v>0</v>
      </c>
      <c r="M66">
        <f>bali_nt!N56</f>
        <v>0</v>
      </c>
      <c r="N66">
        <f>bali_nt!O56</f>
        <v>0</v>
      </c>
      <c r="O66">
        <f>bali_nt!P56</f>
        <v>1.3936556565660023E-2</v>
      </c>
      <c r="P66">
        <f>bali_nt!Q56</f>
        <v>117.93089940316227</v>
      </c>
    </row>
    <row r="67" spans="1:16" x14ac:dyDescent="0.25">
      <c r="A67" t="str">
        <f>bali_nt!B57</f>
        <v>BALI_NT</v>
      </c>
      <c r="B67">
        <f>bali_nt!C57</f>
        <v>2024</v>
      </c>
      <c r="C67">
        <f>bali_nt!D57</f>
        <v>36.559142739927033</v>
      </c>
      <c r="D67">
        <f>bali_nt!E57</f>
        <v>19.930316006031134</v>
      </c>
      <c r="E67">
        <f>bali_nt!F57</f>
        <v>5.6888934652136287</v>
      </c>
      <c r="F67">
        <f>bali_nt!G57</f>
        <v>22.763311262028264</v>
      </c>
      <c r="G67">
        <f>bali_nt!H57</f>
        <v>27.067477734811586</v>
      </c>
      <c r="H67">
        <f>bali_nt!I57</f>
        <v>5.9808804239105831</v>
      </c>
      <c r="I67">
        <f>bali_nt!J57</f>
        <v>0.42617265230769236</v>
      </c>
      <c r="J67">
        <f>bali_nt!K57</f>
        <v>0.70294070784868223</v>
      </c>
      <c r="K67">
        <f>bali_nt!L57</f>
        <v>0</v>
      </c>
      <c r="L67">
        <f>bali_nt!M57</f>
        <v>3.2395150113243845</v>
      </c>
      <c r="M67">
        <f>bali_nt!N57</f>
        <v>0</v>
      </c>
      <c r="N67">
        <f>bali_nt!O57</f>
        <v>0</v>
      </c>
      <c r="O67">
        <f>bali_nt!P57</f>
        <v>1.4451528311524974E-2</v>
      </c>
      <c r="P67">
        <f>bali_nt!Q57</f>
        <v>122.358650003403</v>
      </c>
    </row>
    <row r="68" spans="1:16" x14ac:dyDescent="0.25">
      <c r="A68" t="str">
        <f>bali_nt!B58</f>
        <v>BALI_NT</v>
      </c>
      <c r="B68">
        <f>bali_nt!C58</f>
        <v>2025</v>
      </c>
      <c r="C68">
        <f>bali_nt!D58</f>
        <v>37.634275862071256</v>
      </c>
      <c r="D68">
        <f>bali_nt!E58</f>
        <v>19.930315975857912</v>
      </c>
      <c r="E68">
        <f>bali_nt!F58</f>
        <v>6.9527417283234767</v>
      </c>
      <c r="F68">
        <f>bali_nt!G58</f>
        <v>22.763311262028264</v>
      </c>
      <c r="G68">
        <f>bali_nt!H58</f>
        <v>27.067477734811586</v>
      </c>
      <c r="H68">
        <f>bali_nt!I58</f>
        <v>5.9808804070879784</v>
      </c>
      <c r="I68">
        <f>bali_nt!J58</f>
        <v>0.42617265230769236</v>
      </c>
      <c r="J68">
        <f>bali_nt!K58</f>
        <v>0.79871086677032521</v>
      </c>
      <c r="K68">
        <f>bali_nt!L58</f>
        <v>0</v>
      </c>
      <c r="L68">
        <f>bali_nt!M58</f>
        <v>5.9468276677639569</v>
      </c>
      <c r="M68">
        <f>bali_nt!N58</f>
        <v>0</v>
      </c>
      <c r="N68">
        <f>bali_nt!O58</f>
        <v>0</v>
      </c>
      <c r="O68">
        <f>bali_nt!P58</f>
        <v>1.5117557133840642E-2</v>
      </c>
      <c r="P68">
        <f>bali_nt!Q58</f>
        <v>127.50071415702246</v>
      </c>
    </row>
    <row r="69" spans="1:16" x14ac:dyDescent="0.25">
      <c r="A69" t="str">
        <f>bali_nt!B59</f>
        <v>BALI_NT</v>
      </c>
      <c r="B69">
        <f>bali_nt!C59</f>
        <v>2026</v>
      </c>
      <c r="C69">
        <f>bali_nt!D59</f>
        <v>39.289450338870246</v>
      </c>
      <c r="D69">
        <f>bali_nt!E59</f>
        <v>19.930315975857912</v>
      </c>
      <c r="E69">
        <f>bali_nt!F59</f>
        <v>8.7838113631774704</v>
      </c>
      <c r="F69">
        <f>bali_nt!G59</f>
        <v>22.763311262028264</v>
      </c>
      <c r="G69">
        <f>bali_nt!H59</f>
        <v>27.067477561767895</v>
      </c>
      <c r="H69">
        <f>bali_nt!I59</f>
        <v>5.9808804070879784</v>
      </c>
      <c r="I69">
        <f>bali_nt!J59</f>
        <v>0.42617265230769236</v>
      </c>
      <c r="J69">
        <f>bali_nt!K59</f>
        <v>0.89073031968803162</v>
      </c>
      <c r="K69">
        <f>bali_nt!L59</f>
        <v>0</v>
      </c>
      <c r="L69">
        <f>bali_nt!M59</f>
        <v>8.1179755263073901</v>
      </c>
      <c r="M69">
        <f>bali_nt!N59</f>
        <v>0</v>
      </c>
      <c r="N69">
        <f>bali_nt!O59</f>
        <v>0</v>
      </c>
      <c r="O69">
        <f>bali_nt!P59</f>
        <v>1.5901125421110093E-2</v>
      </c>
      <c r="P69">
        <f>bali_nt!Q59</f>
        <v>133.2501254070929</v>
      </c>
    </row>
    <row r="70" spans="1:16" x14ac:dyDescent="0.25">
      <c r="A70" t="str">
        <f>bali_nt!B60</f>
        <v>BALI_NT</v>
      </c>
      <c r="B70">
        <f>bali_nt!C60</f>
        <v>2027</v>
      </c>
      <c r="C70">
        <f>bali_nt!D60</f>
        <v>40.803293785896777</v>
      </c>
      <c r="D70">
        <f>bali_nt!E60</f>
        <v>22.718525526073186</v>
      </c>
      <c r="E70">
        <f>bali_nt!F60</f>
        <v>8.7838113460981297</v>
      </c>
      <c r="F70">
        <f>bali_nt!G60</f>
        <v>22.763311262028264</v>
      </c>
      <c r="G70">
        <f>bali_nt!H60</f>
        <v>27.067477561767895</v>
      </c>
      <c r="H70">
        <f>bali_nt!I60</f>
        <v>5.9808803902653729</v>
      </c>
      <c r="I70">
        <f>bali_nt!J60</f>
        <v>0.42617265230769236</v>
      </c>
      <c r="J70">
        <f>bali_nt!K60</f>
        <v>0.98831852277769261</v>
      </c>
      <c r="K70">
        <f>bali_nt!L60</f>
        <v>0</v>
      </c>
      <c r="L70">
        <f>bali_nt!M60</f>
        <v>10.197322642191498</v>
      </c>
      <c r="M70">
        <f>bali_nt!N60</f>
        <v>0</v>
      </c>
      <c r="N70">
        <f>bali_nt!O60</f>
        <v>0</v>
      </c>
      <c r="O70">
        <f>bali_nt!P60</f>
        <v>1.6639576386051003E-2</v>
      </c>
      <c r="P70">
        <f>bali_nt!Q60</f>
        <v>139.72911368940652</v>
      </c>
    </row>
    <row r="71" spans="1:16" x14ac:dyDescent="0.25">
      <c r="A71" t="str">
        <f>bali_nt!B61</f>
        <v>BALI_NT</v>
      </c>
      <c r="B71">
        <f>bali_nt!C61</f>
        <v>2028</v>
      </c>
      <c r="C71">
        <f>bali_nt!D61</f>
        <v>42.544942777710617</v>
      </c>
      <c r="D71">
        <f>bali_nt!E61</f>
        <v>26.62258632713662</v>
      </c>
      <c r="E71">
        <f>bali_nt!F61</f>
        <v>8.7838113290187856</v>
      </c>
      <c r="F71">
        <f>bali_nt!G61</f>
        <v>22.763311262028264</v>
      </c>
      <c r="G71">
        <f>bali_nt!H61</f>
        <v>27.0674773887242</v>
      </c>
      <c r="H71">
        <f>bali_nt!I61</f>
        <v>5.9808803902653729</v>
      </c>
      <c r="I71">
        <f>bali_nt!J61</f>
        <v>0.42617265230769236</v>
      </c>
      <c r="J71">
        <f>bali_nt!K61</f>
        <v>1.081815447096883</v>
      </c>
      <c r="K71">
        <f>bali_nt!L61</f>
        <v>0</v>
      </c>
      <c r="L71">
        <f>bali_nt!M61</f>
        <v>11.790281170536623</v>
      </c>
      <c r="M71">
        <f>bali_nt!N61</f>
        <v>0</v>
      </c>
      <c r="N71">
        <f>bali_nt!O61</f>
        <v>0</v>
      </c>
      <c r="O71">
        <f>bali_nt!P61</f>
        <v>1.7478873672333455E-2</v>
      </c>
      <c r="P71">
        <f>bali_nt!Q61</f>
        <v>147.06127874482505</v>
      </c>
    </row>
    <row r="72" spans="1:16" x14ac:dyDescent="0.25">
      <c r="A72" t="str">
        <f>bali_nt!B62</f>
        <v>BALI_NT</v>
      </c>
      <c r="B72">
        <f>bali_nt!C62</f>
        <v>2029</v>
      </c>
      <c r="C72">
        <f>bali_nt!D62</f>
        <v>44.305361347922833</v>
      </c>
      <c r="D72">
        <f>bali_nt!E62</f>
        <v>26.62258632713662</v>
      </c>
      <c r="E72">
        <f>bali_nt!F62</f>
        <v>10.291238041806647</v>
      </c>
      <c r="F72">
        <f>bali_nt!G62</f>
        <v>22.763311262028264</v>
      </c>
      <c r="G72">
        <f>bali_nt!H62</f>
        <v>27.067477215680505</v>
      </c>
      <c r="H72">
        <f>bali_nt!I62</f>
        <v>5.9808803734427682</v>
      </c>
      <c r="I72">
        <f>bali_nt!J62</f>
        <v>0.42617265230769236</v>
      </c>
      <c r="J72">
        <f>bali_nt!K62</f>
        <v>1.2268793649255512</v>
      </c>
      <c r="K72">
        <f>bali_nt!L62</f>
        <v>0</v>
      </c>
      <c r="L72">
        <f>bali_nt!M62</f>
        <v>15.046115569285572</v>
      </c>
      <c r="M72">
        <f>bali_nt!N62</f>
        <v>0</v>
      </c>
      <c r="N72">
        <f>bali_nt!O62</f>
        <v>0</v>
      </c>
      <c r="O72">
        <f>bali_nt!P62</f>
        <v>1.8349829441268239E-2</v>
      </c>
      <c r="P72">
        <f>bali_nt!Q62</f>
        <v>153.73002215453644</v>
      </c>
    </row>
    <row r="73" spans="1:16" x14ac:dyDescent="0.25">
      <c r="A73" t="str">
        <f>bali_nt!B63</f>
        <v>BALI_NT</v>
      </c>
      <c r="B73">
        <f>bali_nt!C63</f>
        <v>2030</v>
      </c>
      <c r="C73">
        <f>bali_nt!D63</f>
        <v>46.194299988973967</v>
      </c>
      <c r="D73">
        <f>bali_nt!E63</f>
        <v>32.583144636456908</v>
      </c>
      <c r="E73">
        <f>bali_nt!F63</f>
        <v>10.291238041806647</v>
      </c>
      <c r="F73">
        <f>bali_nt!G63</f>
        <v>22.763311262028264</v>
      </c>
      <c r="G73">
        <f>bali_nt!H63</f>
        <v>27.067477042636817</v>
      </c>
      <c r="H73">
        <f>bali_nt!I63</f>
        <v>5.9808803734427682</v>
      </c>
      <c r="I73">
        <f>bali_nt!J63</f>
        <v>0.42617265230769236</v>
      </c>
      <c r="J73">
        <f>bali_nt!K63</f>
        <v>1.2937573825578219</v>
      </c>
      <c r="K73">
        <f>bali_nt!L63</f>
        <v>0</v>
      </c>
      <c r="L73">
        <f>bali_nt!M63</f>
        <v>15.046115540281058</v>
      </c>
      <c r="M73">
        <f>bali_nt!N63</f>
        <v>0</v>
      </c>
      <c r="N73">
        <f>bali_nt!O63</f>
        <v>0</v>
      </c>
      <c r="O73">
        <f>bali_nt!P63</f>
        <v>1.9265542834164436E-2</v>
      </c>
      <c r="P73">
        <f>bali_nt!Q63</f>
        <v>161.64639692049195</v>
      </c>
    </row>
    <row r="74" spans="1:16" x14ac:dyDescent="0.25">
      <c r="A74" t="str">
        <f>bali_nt!B64</f>
        <v>BALI_NT</v>
      </c>
      <c r="B74">
        <f>bali_nt!C64</f>
        <v>2031</v>
      </c>
      <c r="C74">
        <f>bali_nt!D64</f>
        <v>48.546372413788042</v>
      </c>
      <c r="D74">
        <f>bali_nt!E64</f>
        <v>36.005292570109084</v>
      </c>
      <c r="E74">
        <f>bali_nt!F64</f>
        <v>11.745201490509308</v>
      </c>
      <c r="F74">
        <f>bali_nt!G64</f>
        <v>22.763311262028264</v>
      </c>
      <c r="G74">
        <f>bali_nt!H64</f>
        <v>27.067477042636817</v>
      </c>
      <c r="H74">
        <f>bali_nt!I64</f>
        <v>5.9808803734427682</v>
      </c>
      <c r="I74">
        <f>bali_nt!J64</f>
        <v>0.42617265230769236</v>
      </c>
      <c r="J74">
        <f>bali_nt!K64</f>
        <v>1.4112211283710545</v>
      </c>
      <c r="K74">
        <f>bali_nt!L64</f>
        <v>0</v>
      </c>
      <c r="L74">
        <f>bali_nt!M64</f>
        <v>16.626621271781712</v>
      </c>
      <c r="M74">
        <f>bali_nt!N64</f>
        <v>0</v>
      </c>
      <c r="N74">
        <f>bali_nt!O64</f>
        <v>0</v>
      </c>
      <c r="O74">
        <f>bali_nt!P64</f>
        <v>2.0397576996249167E-2</v>
      </c>
      <c r="P74">
        <f>bali_nt!Q64</f>
        <v>170.57255020497476</v>
      </c>
    </row>
    <row r="75" spans="1:16" x14ac:dyDescent="0.25">
      <c r="A75" t="str">
        <f>bali_nt!B65</f>
        <v>BALI_NT</v>
      </c>
      <c r="B75">
        <f>bali_nt!C65</f>
        <v>2032</v>
      </c>
      <c r="C75">
        <f>bali_nt!D65</f>
        <v>51.034431723586444</v>
      </c>
      <c r="D75">
        <f>bali_nt!E65</f>
        <v>40.729349876097487</v>
      </c>
      <c r="E75">
        <f>bali_nt!F65</f>
        <v>11.745201490509308</v>
      </c>
      <c r="F75">
        <f>bali_nt!G65</f>
        <v>22.763311262028264</v>
      </c>
      <c r="G75">
        <f>bali_nt!H65</f>
        <v>27.067477042636817</v>
      </c>
      <c r="H75">
        <f>bali_nt!I65</f>
        <v>6.7360948007682184</v>
      </c>
      <c r="I75">
        <f>bali_nt!J65</f>
        <v>0.42617265230769236</v>
      </c>
      <c r="J75">
        <f>bali_nt!K65</f>
        <v>1.5887612397229642</v>
      </c>
      <c r="K75">
        <f>bali_nt!L65</f>
        <v>0</v>
      </c>
      <c r="L75">
        <f>bali_nt!M65</f>
        <v>17.522243246312694</v>
      </c>
      <c r="M75">
        <f>bali_nt!N65</f>
        <v>0</v>
      </c>
      <c r="N75">
        <f>bali_nt!O65</f>
        <v>0</v>
      </c>
      <c r="O75">
        <f>bali_nt!P65</f>
        <v>2.1616534542199608E-2</v>
      </c>
      <c r="P75">
        <f>bali_nt!Q65</f>
        <v>179.6130433339699</v>
      </c>
    </row>
    <row r="76" spans="1:16" x14ac:dyDescent="0.25">
      <c r="A76" t="str">
        <f>bali_nt!B66</f>
        <v>BALI_NT</v>
      </c>
      <c r="B76">
        <f>bali_nt!C66</f>
        <v>2033</v>
      </c>
      <c r="C76">
        <f>bali_nt!D66</f>
        <v>53.160393103448271</v>
      </c>
      <c r="D76">
        <f>bali_nt!E66</f>
        <v>40.729349876097487</v>
      </c>
      <c r="E76">
        <f>bali_nt!F66</f>
        <v>14.271268425683965</v>
      </c>
      <c r="F76">
        <f>bali_nt!G66</f>
        <v>22.763311222919405</v>
      </c>
      <c r="G76">
        <f>bali_nt!H66</f>
        <v>27.067476869593122</v>
      </c>
      <c r="H76">
        <f>bali_nt!I66</f>
        <v>7.5388810245274147</v>
      </c>
      <c r="I76">
        <f>bali_nt!J66</f>
        <v>0.42617265230769236</v>
      </c>
      <c r="J76">
        <f>bali_nt!K66</f>
        <v>1.7721155150484962</v>
      </c>
      <c r="K76">
        <f>bali_nt!L66</f>
        <v>0</v>
      </c>
      <c r="L76">
        <f>bali_nt!M66</f>
        <v>17.970054233578182</v>
      </c>
      <c r="M76">
        <f>bali_nt!N66</f>
        <v>0</v>
      </c>
      <c r="N76">
        <f>bali_nt!O66</f>
        <v>0</v>
      </c>
      <c r="O76">
        <f>bali_nt!P66</f>
        <v>2.2701857869581295E-2</v>
      </c>
      <c r="P76">
        <f>bali_nt!Q66</f>
        <v>185.69902292320404</v>
      </c>
    </row>
    <row r="77" spans="1:16" x14ac:dyDescent="0.25">
      <c r="A77" t="str">
        <f>bali_nt!B67</f>
        <v>BALI_NT</v>
      </c>
      <c r="B77">
        <f>bali_nt!C67</f>
        <v>2034</v>
      </c>
      <c r="C77">
        <f>bali_nt!D67</f>
        <v>55.905138594844587</v>
      </c>
      <c r="D77">
        <f>bali_nt!E67</f>
        <v>45.992115057605346</v>
      </c>
      <c r="E77">
        <f>bali_nt!F67</f>
        <v>14.271268425683965</v>
      </c>
      <c r="F77">
        <f>bali_nt!G67</f>
        <v>22.763311222919405</v>
      </c>
      <c r="G77">
        <f>bali_nt!H67</f>
        <v>27.067476696549438</v>
      </c>
      <c r="H77">
        <f>bali_nt!I67</f>
        <v>8.6397309530836086</v>
      </c>
      <c r="I77">
        <f>bali_nt!J67</f>
        <v>0.42617265230769236</v>
      </c>
      <c r="J77">
        <f>bali_nt!K67</f>
        <v>1.9953428352262852</v>
      </c>
      <c r="K77">
        <f>bali_nt!L67</f>
        <v>0</v>
      </c>
      <c r="L77">
        <f>bali_nt!M67</f>
        <v>18.193959727210927</v>
      </c>
      <c r="M77">
        <f>bali_nt!N67</f>
        <v>0</v>
      </c>
      <c r="N77">
        <f>bali_nt!O67</f>
        <v>0</v>
      </c>
      <c r="O77">
        <f>bali_nt!P67</f>
        <v>2.4072805071246064E-2</v>
      </c>
      <c r="P77">
        <f>bali_nt!Q67</f>
        <v>195.25451616543128</v>
      </c>
    </row>
    <row r="78" spans="1:16" x14ac:dyDescent="0.25">
      <c r="A78" t="str">
        <f>bali_nt!B68</f>
        <v>BALI_NT</v>
      </c>
      <c r="B78">
        <f>bali_nt!C68</f>
        <v>2035</v>
      </c>
      <c r="C78">
        <f>bali_nt!D68</f>
        <v>58.514399968772288</v>
      </c>
      <c r="D78">
        <f>bali_nt!E68</f>
        <v>45.992115027432121</v>
      </c>
      <c r="E78">
        <f>bali_nt!F68</f>
        <v>17.372549618977999</v>
      </c>
      <c r="F78">
        <f>bali_nt!G68</f>
        <v>22.763311222919405</v>
      </c>
      <c r="G78">
        <f>bali_nt!H68</f>
        <v>27.933368206284825</v>
      </c>
      <c r="H78">
        <f>bali_nt!I68</f>
        <v>9.6299206489466656</v>
      </c>
      <c r="I78">
        <f>bali_nt!J68</f>
        <v>0.42617265230769236</v>
      </c>
      <c r="J78">
        <f>bali_nt!K68</f>
        <v>2.2358669143825005</v>
      </c>
      <c r="K78">
        <f>bali_nt!L68</f>
        <v>0</v>
      </c>
      <c r="L78">
        <f>bali_nt!M68</f>
        <v>18.305912474027298</v>
      </c>
      <c r="M78">
        <f>bali_nt!N68</f>
        <v>-3.5999999999406096E-9</v>
      </c>
      <c r="N78">
        <f>bali_nt!O68</f>
        <v>0</v>
      </c>
      <c r="O78">
        <f>bali_nt!P68</f>
        <v>2.5409304822730273E-2</v>
      </c>
      <c r="P78">
        <f>bali_nt!Q68</f>
        <v>203.17361673045079</v>
      </c>
    </row>
    <row r="79" spans="1:16" x14ac:dyDescent="0.25">
      <c r="A79" t="str">
        <f>bali_nt!B69</f>
        <v>BALI_NT</v>
      </c>
      <c r="B79">
        <f>bali_nt!C69</f>
        <v>2036</v>
      </c>
      <c r="C79">
        <f>bali_nt!D69</f>
        <v>61.280019312043919</v>
      </c>
      <c r="D79">
        <f>bali_nt!E69</f>
        <v>51.391396334004845</v>
      </c>
      <c r="E79">
        <f>bali_nt!F69</f>
        <v>17.372549618977999</v>
      </c>
      <c r="F79">
        <f>bali_nt!G69</f>
        <v>22.763311222919405</v>
      </c>
      <c r="G79">
        <f>bali_nt!H69</f>
        <v>32.929700476841248</v>
      </c>
      <c r="H79">
        <f>bali_nt!I69</f>
        <v>10.12501549687819</v>
      </c>
      <c r="I79">
        <f>bali_nt!J69</f>
        <v>0.42617265230769236</v>
      </c>
      <c r="J79">
        <f>bali_nt!K69</f>
        <v>2.5065527508703132</v>
      </c>
      <c r="K79">
        <f>bali_nt!L69</f>
        <v>0</v>
      </c>
      <c r="L79">
        <f>bali_nt!M69</f>
        <v>18.361888847435488</v>
      </c>
      <c r="M79">
        <f>bali_nt!N69</f>
        <v>0</v>
      </c>
      <c r="N79">
        <f>bali_nt!O69</f>
        <v>0</v>
      </c>
      <c r="O79">
        <f>bali_nt!P69</f>
        <v>2.6838568492775432E-2</v>
      </c>
      <c r="P79">
        <f>bali_nt!Q69</f>
        <v>217.15660671227911</v>
      </c>
    </row>
    <row r="80" spans="1:16" x14ac:dyDescent="0.25">
      <c r="A80" t="str">
        <f>bali_nt!B70</f>
        <v>BALI_NT</v>
      </c>
      <c r="B80">
        <f>bali_nt!C70</f>
        <v>2037</v>
      </c>
      <c r="C80">
        <f>bali_nt!D70</f>
        <v>64.187416551724127</v>
      </c>
      <c r="D80">
        <f>bali_nt!E70</f>
        <v>51.391396334004845</v>
      </c>
      <c r="E80">
        <f>bali_nt!F70</f>
        <v>20.860860805117895</v>
      </c>
      <c r="F80">
        <f>bali_nt!G70</f>
        <v>22.763311183810547</v>
      </c>
      <c r="G80">
        <f>bali_nt!H70</f>
        <v>40.220327708574395</v>
      </c>
      <c r="H80">
        <f>bali_nt!I70</f>
        <v>10.372562920843952</v>
      </c>
      <c r="I80">
        <f>bali_nt!J70</f>
        <v>0.42617265230769236</v>
      </c>
      <c r="J80">
        <f>bali_nt!K70</f>
        <v>2.8102299421112744</v>
      </c>
      <c r="K80">
        <f>bali_nt!L70</f>
        <v>0</v>
      </c>
      <c r="L80">
        <f>bali_nt!M70</f>
        <v>18.38987703413958</v>
      </c>
      <c r="M80">
        <f>bali_nt!N70</f>
        <v>0</v>
      </c>
      <c r="N80">
        <f>bali_nt!O70</f>
        <v>0</v>
      </c>
      <c r="O80">
        <f>bali_nt!P70</f>
        <v>2.8356871560710133E-2</v>
      </c>
      <c r="P80">
        <f>bali_nt!Q70</f>
        <v>231.42215513263429</v>
      </c>
    </row>
    <row r="81" spans="1:16" x14ac:dyDescent="0.25">
      <c r="A81" t="str">
        <f>bali_nt!B71</f>
        <v>BALI_NT</v>
      </c>
      <c r="B81">
        <f>bali_nt!C71</f>
        <v>2038</v>
      </c>
      <c r="C81">
        <f>bali_nt!D71</f>
        <v>67.612617931034507</v>
      </c>
      <c r="D81">
        <f>bali_nt!E71</f>
        <v>58.083209618089093</v>
      </c>
      <c r="E81">
        <f>bali_nt!F71</f>
        <v>20.860860805117895</v>
      </c>
      <c r="F81">
        <f>bali_nt!G71</f>
        <v>22.763311144701689</v>
      </c>
      <c r="G81">
        <f>bali_nt!H71</f>
        <v>49.842052248940881</v>
      </c>
      <c r="H81">
        <f>bali_nt!I71</f>
        <v>10.496336632826836</v>
      </c>
      <c r="I81">
        <f>bali_nt!J71</f>
        <v>0.42617265230769236</v>
      </c>
      <c r="J81">
        <f>bali_nt!K71</f>
        <v>3.1682160138389341</v>
      </c>
      <c r="K81">
        <f>bali_nt!L71</f>
        <v>0</v>
      </c>
      <c r="L81">
        <f>bali_nt!M71</f>
        <v>18.403871127491627</v>
      </c>
      <c r="M81">
        <f>bali_nt!N71</f>
        <v>1.2696416349279053E-16</v>
      </c>
      <c r="N81">
        <f>bali_nt!O71</f>
        <v>0</v>
      </c>
      <c r="O81">
        <f>bali_nt!P71</f>
        <v>3.0134496699890302E-2</v>
      </c>
      <c r="P81">
        <f>bali_nt!Q71</f>
        <v>251.65664817434913</v>
      </c>
    </row>
    <row r="82" spans="1:16" x14ac:dyDescent="0.25">
      <c r="A82" t="str">
        <f>kalimantan!B52</f>
        <v>KALIMANTAN</v>
      </c>
      <c r="B82">
        <f>kalimantan!C52</f>
        <v>2019</v>
      </c>
      <c r="C82">
        <f>kalimantan!D52</f>
        <v>110.63328120000001</v>
      </c>
      <c r="D82">
        <f>kalimantan!E52</f>
        <v>16.143577135018838</v>
      </c>
      <c r="E82">
        <f>kalimantan!F52</f>
        <v>1.0247605872527472</v>
      </c>
      <c r="F82">
        <f>kalimantan!G52</f>
        <v>67.449875615036788</v>
      </c>
      <c r="G82">
        <f>kalimantan!H52</f>
        <v>0</v>
      </c>
      <c r="H82">
        <f>kalimantan!I52</f>
        <v>4.4457097431060726</v>
      </c>
      <c r="I82">
        <f>kalimantan!J52</f>
        <v>9.2159836061538492E-2</v>
      </c>
      <c r="J82">
        <f>kalimantan!K52</f>
        <v>4.0397616000000004E-3</v>
      </c>
      <c r="K82">
        <f>kalimantan!L52</f>
        <v>0</v>
      </c>
      <c r="L82">
        <f>kalimantan!M52</f>
        <v>2.8351910635235731</v>
      </c>
      <c r="M82">
        <f>kalimantan!N52</f>
        <v>0</v>
      </c>
      <c r="N82">
        <f>kalimantan!O52</f>
        <v>0</v>
      </c>
      <c r="O82">
        <f>kalimantan!P52</f>
        <v>0</v>
      </c>
      <c r="P82">
        <f>kalimantan!Q52</f>
        <v>202.6285949415996</v>
      </c>
    </row>
    <row r="83" spans="1:16" x14ac:dyDescent="0.25">
      <c r="A83" t="str">
        <f>kalimantan!B53</f>
        <v>KALIMANTAN</v>
      </c>
      <c r="B83">
        <f>kalimantan!C53</f>
        <v>2020</v>
      </c>
      <c r="C83">
        <f>kalimantan!D53</f>
        <v>120.19911416537671</v>
      </c>
      <c r="D83">
        <f>kalimantan!E53</f>
        <v>16.143577135018838</v>
      </c>
      <c r="E83">
        <f>kalimantan!F53</f>
        <v>4.5310807184577415</v>
      </c>
      <c r="F83">
        <f>kalimantan!G53</f>
        <v>67.449875615036788</v>
      </c>
      <c r="G83">
        <f>kalimantan!H53</f>
        <v>0</v>
      </c>
      <c r="H83">
        <f>kalimantan!I53</f>
        <v>4.4458287532821803</v>
      </c>
      <c r="I83">
        <f>kalimantan!J53</f>
        <v>1.5995534010237626</v>
      </c>
      <c r="J83">
        <f>kalimantan!K53</f>
        <v>6.7150293591014467</v>
      </c>
      <c r="K83">
        <f>kalimantan!L53</f>
        <v>0.36744612141705624</v>
      </c>
      <c r="L83">
        <f>kalimantan!M53</f>
        <v>2.8351910635235731</v>
      </c>
      <c r="M83">
        <f>kalimantan!N53</f>
        <v>0</v>
      </c>
      <c r="N83">
        <f>kalimantan!O53</f>
        <v>0</v>
      </c>
      <c r="O83">
        <f>kalimantan!P53</f>
        <v>0</v>
      </c>
      <c r="P83">
        <f>kalimantan!Q53</f>
        <v>224.28669633223808</v>
      </c>
    </row>
    <row r="84" spans="1:16" x14ac:dyDescent="0.25">
      <c r="A84" t="str">
        <f>kalimantan!B54</f>
        <v>KALIMANTAN</v>
      </c>
      <c r="B84">
        <f>kalimantan!C54</f>
        <v>2021</v>
      </c>
      <c r="C84">
        <f>kalimantan!D54</f>
        <v>125.67019443394099</v>
      </c>
      <c r="D84">
        <f>kalimantan!E54</f>
        <v>16.143577135018838</v>
      </c>
      <c r="E84">
        <f>kalimantan!F54</f>
        <v>15.876838907100984</v>
      </c>
      <c r="F84">
        <f>kalimantan!G54</f>
        <v>67.449875615036788</v>
      </c>
      <c r="G84">
        <f>kalimantan!H54</f>
        <v>0</v>
      </c>
      <c r="H84">
        <f>kalimantan!I54</f>
        <v>8.4623965272407382</v>
      </c>
      <c r="I84">
        <f>kalimantan!J54</f>
        <v>1.599553374387972</v>
      </c>
      <c r="J84">
        <f>kalimantan!K54</f>
        <v>6.715025563483457</v>
      </c>
      <c r="K84">
        <f>kalimantan!L54</f>
        <v>0.36744610129797273</v>
      </c>
      <c r="L84">
        <f>kalimantan!M54</f>
        <v>2.8351910635235731</v>
      </c>
      <c r="M84">
        <f>kalimantan!N54</f>
        <v>0</v>
      </c>
      <c r="N84">
        <f>kalimantan!O54</f>
        <v>0</v>
      </c>
      <c r="O84">
        <f>kalimantan!P54</f>
        <v>0</v>
      </c>
      <c r="P84">
        <f>kalimantan!Q54</f>
        <v>245.12009872103135</v>
      </c>
    </row>
    <row r="85" spans="1:16" x14ac:dyDescent="0.25">
      <c r="A85" t="str">
        <f>kalimantan!B55</f>
        <v>KALIMANTAN</v>
      </c>
      <c r="B85">
        <f>kalimantan!C55</f>
        <v>2022</v>
      </c>
      <c r="C85">
        <f>kalimantan!D55</f>
        <v>130.78802874091841</v>
      </c>
      <c r="D85">
        <f>kalimantan!E55</f>
        <v>16.143577135018838</v>
      </c>
      <c r="E85">
        <f>kalimantan!F55</f>
        <v>29.138629548587595</v>
      </c>
      <c r="F85">
        <f>kalimantan!G55</f>
        <v>67.449875615036788</v>
      </c>
      <c r="G85">
        <f>kalimantan!H55</f>
        <v>0</v>
      </c>
      <c r="H85">
        <f>kalimantan!I55</f>
        <v>8.4784530847491233</v>
      </c>
      <c r="I85">
        <f>kalimantan!J55</f>
        <v>1.5995500508572504</v>
      </c>
      <c r="J85">
        <f>kalimantan!K55</f>
        <v>11.294985809040352</v>
      </c>
      <c r="K85">
        <f>kalimantan!L55</f>
        <v>0.36744438629224635</v>
      </c>
      <c r="L85">
        <f>kalimantan!M55</f>
        <v>2.8351910635235731</v>
      </c>
      <c r="M85">
        <f>kalimantan!N55</f>
        <v>0</v>
      </c>
      <c r="N85">
        <f>kalimantan!O55</f>
        <v>0</v>
      </c>
      <c r="O85">
        <f>kalimantan!P55</f>
        <v>0</v>
      </c>
      <c r="P85">
        <f>kalimantan!Q55</f>
        <v>268.09573543402416</v>
      </c>
    </row>
    <row r="86" spans="1:16" x14ac:dyDescent="0.25">
      <c r="A86" t="str">
        <f>kalimantan!B56</f>
        <v>KALIMANTAN</v>
      </c>
      <c r="B86">
        <f>kalimantan!C56</f>
        <v>2023</v>
      </c>
      <c r="C86">
        <f>kalimantan!D56</f>
        <v>130.78802874091841</v>
      </c>
      <c r="D86">
        <f>kalimantan!E56</f>
        <v>33.125495017151344</v>
      </c>
      <c r="E86">
        <f>kalimantan!F56</f>
        <v>29.138631485899083</v>
      </c>
      <c r="F86">
        <f>kalimantan!G56</f>
        <v>67.449875615036831</v>
      </c>
      <c r="G86">
        <f>kalimantan!H56</f>
        <v>9.8177395739074916E-3</v>
      </c>
      <c r="H86">
        <f>kalimantan!I56</f>
        <v>11.439333040253539</v>
      </c>
      <c r="I86">
        <f>kalimantan!J56</f>
        <v>1.5995484155507156</v>
      </c>
      <c r="J86">
        <f>kalimantan!K56</f>
        <v>11.911761001448284</v>
      </c>
      <c r="K86">
        <f>kalimantan!L56</f>
        <v>0.82429478437083215</v>
      </c>
      <c r="L86">
        <f>kalimantan!M56</f>
        <v>4.4697221717905693</v>
      </c>
      <c r="M86">
        <f>kalimantan!N56</f>
        <v>0</v>
      </c>
      <c r="N86">
        <f>kalimantan!O56</f>
        <v>0</v>
      </c>
      <c r="O86">
        <f>kalimantan!P56</f>
        <v>0</v>
      </c>
      <c r="P86">
        <f>kalimantan!Q56</f>
        <v>290.7565080119935</v>
      </c>
    </row>
    <row r="87" spans="1:16" x14ac:dyDescent="0.25">
      <c r="A87" t="str">
        <f>kalimantan!B57</f>
        <v>KALIMANTAN</v>
      </c>
      <c r="B87">
        <f>kalimantan!C57</f>
        <v>2024</v>
      </c>
      <c r="C87">
        <f>kalimantan!D57</f>
        <v>130.78802874091841</v>
      </c>
      <c r="D87">
        <f>kalimantan!E57</f>
        <v>37.934110846436532</v>
      </c>
      <c r="E87">
        <f>kalimantan!F57</f>
        <v>29.344379959483465</v>
      </c>
      <c r="F87">
        <f>kalimantan!G57</f>
        <v>67.449875615036831</v>
      </c>
      <c r="G87">
        <f>kalimantan!H57</f>
        <v>2.5464177038848228E-2</v>
      </c>
      <c r="H87">
        <f>kalimantan!I57</f>
        <v>11.61610427101612</v>
      </c>
      <c r="I87">
        <f>kalimantan!J57</f>
        <v>1.6225390210002415</v>
      </c>
      <c r="J87">
        <f>kalimantan!K57</f>
        <v>11.912519464675224</v>
      </c>
      <c r="K87">
        <f>kalimantan!L57</f>
        <v>4.3778841100887051</v>
      </c>
      <c r="L87">
        <f>kalimantan!M57</f>
        <v>4.5432402784251433</v>
      </c>
      <c r="M87">
        <f>kalimantan!N57</f>
        <v>0</v>
      </c>
      <c r="N87">
        <f>kalimantan!O57</f>
        <v>0</v>
      </c>
      <c r="O87">
        <f>kalimantan!P57</f>
        <v>0</v>
      </c>
      <c r="P87">
        <f>kalimantan!Q57</f>
        <v>299.61414648411949</v>
      </c>
    </row>
    <row r="88" spans="1:16" x14ac:dyDescent="0.25">
      <c r="A88" t="str">
        <f>kalimantan!B58</f>
        <v>KALIMANTAN</v>
      </c>
      <c r="B88">
        <f>kalimantan!C58</f>
        <v>2025</v>
      </c>
      <c r="C88">
        <f>kalimantan!D58</f>
        <v>130.78802874091841</v>
      </c>
      <c r="D88">
        <f>kalimantan!E58</f>
        <v>38.436427995702836</v>
      </c>
      <c r="E88">
        <f>kalimantan!F58</f>
        <v>32.451998940954056</v>
      </c>
      <c r="F88">
        <f>kalimantan!G58</f>
        <v>67.449875615036831</v>
      </c>
      <c r="G88">
        <f>kalimantan!H58</f>
        <v>2.5464177038848228E-2</v>
      </c>
      <c r="H88">
        <f>kalimantan!I58</f>
        <v>15.502150862688692</v>
      </c>
      <c r="I88">
        <f>kalimantan!J58</f>
        <v>1.6225390210002415</v>
      </c>
      <c r="J88">
        <f>kalimantan!K58</f>
        <v>11.912519464675224</v>
      </c>
      <c r="K88">
        <f>kalimantan!L58</f>
        <v>4.603017571938369</v>
      </c>
      <c r="L88">
        <f>kalimantan!M58</f>
        <v>5.0931674243765039</v>
      </c>
      <c r="M88">
        <f>kalimantan!N58</f>
        <v>0</v>
      </c>
      <c r="N88">
        <f>kalimantan!O58</f>
        <v>0</v>
      </c>
      <c r="O88">
        <f>kalimantan!P58</f>
        <v>0</v>
      </c>
      <c r="P88">
        <f>kalimantan!Q58</f>
        <v>307.88518981432998</v>
      </c>
    </row>
    <row r="89" spans="1:16" x14ac:dyDescent="0.25">
      <c r="A89" t="str">
        <f>kalimantan!B59</f>
        <v>KALIMANTAN</v>
      </c>
      <c r="B89">
        <f>kalimantan!C59</f>
        <v>2026</v>
      </c>
      <c r="C89">
        <f>kalimantan!D59</f>
        <v>130.78802874091841</v>
      </c>
      <c r="D89">
        <f>kalimantan!E59</f>
        <v>41.665343217534719</v>
      </c>
      <c r="E89">
        <f>kalimantan!F59</f>
        <v>32.469368848067035</v>
      </c>
      <c r="F89">
        <f>kalimantan!G59</f>
        <v>67.449875615036831</v>
      </c>
      <c r="G89">
        <f>kalimantan!H59</f>
        <v>1.4128699544357077</v>
      </c>
      <c r="H89">
        <f>kalimantan!I59</f>
        <v>15.502150862688692</v>
      </c>
      <c r="I89">
        <f>kalimantan!J59</f>
        <v>1.6225382527966217</v>
      </c>
      <c r="J89">
        <f>kalimantan!K59</f>
        <v>11.912519466469853</v>
      </c>
      <c r="K89">
        <f>kalimantan!L59</f>
        <v>5.3827241857441477</v>
      </c>
      <c r="L89">
        <f>kalimantan!M59</f>
        <v>5.1107534858657271</v>
      </c>
      <c r="M89">
        <f>kalimantan!N59</f>
        <v>0</v>
      </c>
      <c r="N89">
        <f>kalimantan!O59</f>
        <v>0</v>
      </c>
      <c r="O89">
        <f>kalimantan!P59</f>
        <v>0</v>
      </c>
      <c r="P89">
        <f>kalimantan!Q59</f>
        <v>313.31617262955774</v>
      </c>
    </row>
    <row r="90" spans="1:16" x14ac:dyDescent="0.25">
      <c r="A90" t="str">
        <f>kalimantan!B60</f>
        <v>KALIMANTAN</v>
      </c>
      <c r="B90">
        <f>kalimantan!C60</f>
        <v>2027</v>
      </c>
      <c r="C90">
        <f>kalimantan!D60</f>
        <v>130.78802874091841</v>
      </c>
      <c r="D90">
        <f>kalimantan!E60</f>
        <v>41.665343217534719</v>
      </c>
      <c r="E90">
        <f>kalimantan!F60</f>
        <v>34.667373037641802</v>
      </c>
      <c r="F90">
        <f>kalimantan!G60</f>
        <v>67.88776394885717</v>
      </c>
      <c r="G90">
        <f>kalimantan!H60</f>
        <v>1.4128699544357077</v>
      </c>
      <c r="H90">
        <f>kalimantan!I60</f>
        <v>15.502150862688692</v>
      </c>
      <c r="I90">
        <f>kalimantan!J60</f>
        <v>1.6225382527966217</v>
      </c>
      <c r="J90">
        <f>kalimantan!K60</f>
        <v>11.912519466469853</v>
      </c>
      <c r="K90">
        <f>kalimantan!L60</f>
        <v>6.4727009901944745</v>
      </c>
      <c r="L90">
        <f>kalimantan!M60</f>
        <v>5.1107534858657271</v>
      </c>
      <c r="M90">
        <f>kalimantan!N60</f>
        <v>0</v>
      </c>
      <c r="N90">
        <f>kalimantan!O60</f>
        <v>0</v>
      </c>
      <c r="O90">
        <f>kalimantan!P60</f>
        <v>0</v>
      </c>
      <c r="P90">
        <f>kalimantan!Q60</f>
        <v>317.04204195740317</v>
      </c>
    </row>
    <row r="91" spans="1:16" x14ac:dyDescent="0.25">
      <c r="A91" t="str">
        <f>kalimantan!B61</f>
        <v>KALIMANTAN</v>
      </c>
      <c r="B91">
        <f>kalimantan!C61</f>
        <v>2028</v>
      </c>
      <c r="C91">
        <f>kalimantan!D61</f>
        <v>130.78802874091841</v>
      </c>
      <c r="D91">
        <f>kalimantan!E61</f>
        <v>41.665343217534719</v>
      </c>
      <c r="E91">
        <f>kalimantan!F61</f>
        <v>37.965160148639264</v>
      </c>
      <c r="F91">
        <f>kalimantan!G61</f>
        <v>71.263901718385867</v>
      </c>
      <c r="G91">
        <f>kalimantan!H61</f>
        <v>1.4128699544357077</v>
      </c>
      <c r="H91">
        <f>kalimantan!I61</f>
        <v>15.502150862688692</v>
      </c>
      <c r="I91">
        <f>kalimantan!J61</f>
        <v>1.6225382527966217</v>
      </c>
      <c r="J91">
        <f>kalimantan!K61</f>
        <v>11.912519466469853</v>
      </c>
      <c r="K91">
        <f>kalimantan!L61</f>
        <v>8.2123696063524712</v>
      </c>
      <c r="L91">
        <f>kalimantan!M61</f>
        <v>5.1107534858657271</v>
      </c>
      <c r="M91">
        <f>kalimantan!N61</f>
        <v>0</v>
      </c>
      <c r="N91">
        <f>kalimantan!O61</f>
        <v>0</v>
      </c>
      <c r="O91">
        <f>kalimantan!P61</f>
        <v>0</v>
      </c>
      <c r="P91">
        <f>kalimantan!Q61</f>
        <v>325.45563545408731</v>
      </c>
    </row>
    <row r="92" spans="1:16" x14ac:dyDescent="0.25">
      <c r="A92" t="str">
        <f>kalimantan!B62</f>
        <v>KALIMANTAN</v>
      </c>
      <c r="B92">
        <f>kalimantan!C62</f>
        <v>2029</v>
      </c>
      <c r="C92">
        <f>kalimantan!D62</f>
        <v>130.78802874091841</v>
      </c>
      <c r="D92">
        <f>kalimantan!E62</f>
        <v>41.665343217534719</v>
      </c>
      <c r="E92">
        <f>kalimantan!F62</f>
        <v>41.47763100888951</v>
      </c>
      <c r="F92">
        <f>kalimantan!G62</f>
        <v>74.828548843640377</v>
      </c>
      <c r="G92">
        <f>kalimantan!H62</f>
        <v>1.4128699544357077</v>
      </c>
      <c r="H92">
        <f>kalimantan!I62</f>
        <v>15.502150862688692</v>
      </c>
      <c r="I92">
        <f>kalimantan!J62</f>
        <v>1.6225382527966217</v>
      </c>
      <c r="J92">
        <f>kalimantan!K62</f>
        <v>11.912519466469853</v>
      </c>
      <c r="K92">
        <f>kalimantan!L62</f>
        <v>10.064089939329103</v>
      </c>
      <c r="L92">
        <f>kalimantan!M62</f>
        <v>5.1107534858657271</v>
      </c>
      <c r="M92">
        <f>kalimantan!N62</f>
        <v>0</v>
      </c>
      <c r="N92">
        <f>kalimantan!O62</f>
        <v>0</v>
      </c>
      <c r="O92">
        <f>kalimantan!P62</f>
        <v>0</v>
      </c>
      <c r="P92">
        <f>kalimantan!Q62</f>
        <v>334.3844737725687</v>
      </c>
    </row>
    <row r="93" spans="1:16" x14ac:dyDescent="0.25">
      <c r="A93" t="str">
        <f>kalimantan!B63</f>
        <v>KALIMANTAN</v>
      </c>
      <c r="B93">
        <f>kalimantan!C63</f>
        <v>2030</v>
      </c>
      <c r="C93">
        <f>kalimantan!D63</f>
        <v>130.78802874091841</v>
      </c>
      <c r="D93">
        <f>kalimantan!E63</f>
        <v>41.665343217534719</v>
      </c>
      <c r="E93">
        <f>kalimantan!F63</f>
        <v>45.10597514199312</v>
      </c>
      <c r="F93">
        <f>kalimantan!G63</f>
        <v>78.281287953021902</v>
      </c>
      <c r="G93">
        <f>kalimantan!H63</f>
        <v>1.4128699544357077</v>
      </c>
      <c r="H93">
        <f>kalimantan!I63</f>
        <v>15.502150862688692</v>
      </c>
      <c r="I93">
        <f>kalimantan!J63</f>
        <v>1.6225382527966217</v>
      </c>
      <c r="J93">
        <f>kalimantan!K63</f>
        <v>11.912519466469853</v>
      </c>
      <c r="K93">
        <f>kalimantan!L63</f>
        <v>11.968095210693104</v>
      </c>
      <c r="L93">
        <f>kalimantan!M63</f>
        <v>5.1107534858657271</v>
      </c>
      <c r="M93">
        <f>kalimantan!N63</f>
        <v>0</v>
      </c>
      <c r="N93">
        <f>kalimantan!O63</f>
        <v>0</v>
      </c>
      <c r="O93">
        <f>kalimantan!P63</f>
        <v>0</v>
      </c>
      <c r="P93">
        <f>kalimantan!Q63</f>
        <v>343.36956228641782</v>
      </c>
    </row>
    <row r="94" spans="1:16" x14ac:dyDescent="0.25">
      <c r="A94" t="str">
        <f>kalimantan!B64</f>
        <v>KALIMANTAN</v>
      </c>
      <c r="B94">
        <f>kalimantan!C64</f>
        <v>2031</v>
      </c>
      <c r="C94">
        <f>kalimantan!D64</f>
        <v>131.23203927023476</v>
      </c>
      <c r="D94">
        <f>kalimantan!E64</f>
        <v>41.665343217534719</v>
      </c>
      <c r="E94">
        <f>kalimantan!F64</f>
        <v>49.310225210412106</v>
      </c>
      <c r="F94">
        <f>kalimantan!G64</f>
        <v>82.426839462265221</v>
      </c>
      <c r="G94">
        <f>kalimantan!H64</f>
        <v>1.4128699544357077</v>
      </c>
      <c r="H94">
        <f>kalimantan!I64</f>
        <v>15.502150862688692</v>
      </c>
      <c r="I94">
        <f>kalimantan!J64</f>
        <v>1.6225382527966217</v>
      </c>
      <c r="J94">
        <f>kalimantan!K64</f>
        <v>11.912519466469853</v>
      </c>
      <c r="K94">
        <f>kalimantan!L64</f>
        <v>14.194178240639848</v>
      </c>
      <c r="L94">
        <f>kalimantan!M64</f>
        <v>5.1107534858657271</v>
      </c>
      <c r="M94">
        <f>kalimantan!N64</f>
        <v>0</v>
      </c>
      <c r="N94">
        <f>kalimantan!O64</f>
        <v>0</v>
      </c>
      <c r="O94">
        <f>kalimantan!P64</f>
        <v>0</v>
      </c>
      <c r="P94">
        <f>kalimantan!Q64</f>
        <v>354.38945742334329</v>
      </c>
    </row>
    <row r="95" spans="1:16" x14ac:dyDescent="0.25">
      <c r="A95" t="str">
        <f>kalimantan!B65</f>
        <v>KALIMANTAN</v>
      </c>
      <c r="B95">
        <f>kalimantan!C65</f>
        <v>2032</v>
      </c>
      <c r="C95">
        <f>kalimantan!D65</f>
        <v>135.69415222185432</v>
      </c>
      <c r="D95">
        <f>kalimantan!E65</f>
        <v>41.665343217534719</v>
      </c>
      <c r="E95">
        <f>kalimantan!F65</f>
        <v>53.8405026449772</v>
      </c>
      <c r="F95">
        <f>kalimantan!G65</f>
        <v>83.512361746851937</v>
      </c>
      <c r="G95">
        <f>kalimantan!H65</f>
        <v>1.4128699544357077</v>
      </c>
      <c r="H95">
        <f>kalimantan!I65</f>
        <v>15.502150862688692</v>
      </c>
      <c r="I95">
        <f>kalimantan!J65</f>
        <v>1.6225382527966217</v>
      </c>
      <c r="J95">
        <f>kalimantan!K65</f>
        <v>11.912519466469853</v>
      </c>
      <c r="K95">
        <f>kalimantan!L65</f>
        <v>16.591625485143275</v>
      </c>
      <c r="L95">
        <f>kalimantan!M65</f>
        <v>5.1107534858657271</v>
      </c>
      <c r="M95">
        <f>kalimantan!N65</f>
        <v>0</v>
      </c>
      <c r="N95">
        <f>kalimantan!O65</f>
        <v>0</v>
      </c>
      <c r="O95">
        <f>kalimantan!P65</f>
        <v>0</v>
      </c>
      <c r="P95">
        <f>kalimantan!Q65</f>
        <v>366.86481733861802</v>
      </c>
    </row>
    <row r="96" spans="1:16" x14ac:dyDescent="0.25">
      <c r="A96" t="str">
        <f>kalimantan!B66</f>
        <v>KALIMANTAN</v>
      </c>
      <c r="B96">
        <f>kalimantan!C66</f>
        <v>2033</v>
      </c>
      <c r="C96">
        <f>kalimantan!D66</f>
        <v>139.79025681191843</v>
      </c>
      <c r="D96">
        <f>kalimantan!E66</f>
        <v>41.665343217534719</v>
      </c>
      <c r="E96">
        <f>kalimantan!F66</f>
        <v>58.311026685821396</v>
      </c>
      <c r="F96">
        <f>kalimantan!G66</f>
        <v>84.239410874331142</v>
      </c>
      <c r="G96">
        <f>kalimantan!H66</f>
        <v>1.4128699544357077</v>
      </c>
      <c r="H96">
        <f>kalimantan!I66</f>
        <v>15.502150862688692</v>
      </c>
      <c r="I96">
        <f>kalimantan!J66</f>
        <v>1.6225382527966217</v>
      </c>
      <c r="J96">
        <f>kalimantan!K66</f>
        <v>11.912519466469853</v>
      </c>
      <c r="K96">
        <f>kalimantan!L66</f>
        <v>18.934350253367626</v>
      </c>
      <c r="L96">
        <f>kalimantan!M66</f>
        <v>5.1107534858657271</v>
      </c>
      <c r="M96">
        <f>kalimantan!N66</f>
        <v>0</v>
      </c>
      <c r="N96">
        <f>kalimantan!O66</f>
        <v>0</v>
      </c>
      <c r="O96">
        <f>kalimantan!P66</f>
        <v>0</v>
      </c>
      <c r="P96">
        <f>kalimantan!Q66</f>
        <v>378.50121986522987</v>
      </c>
    </row>
    <row r="97" spans="1:16" x14ac:dyDescent="0.25">
      <c r="A97" t="str">
        <f>kalimantan!B67</f>
        <v>KALIMANTAN</v>
      </c>
      <c r="B97">
        <f>kalimantan!C67</f>
        <v>2034</v>
      </c>
      <c r="C97">
        <f>kalimantan!D67</f>
        <v>144.8838913583283</v>
      </c>
      <c r="D97">
        <f>kalimantan!E67</f>
        <v>41.665343217534719</v>
      </c>
      <c r="E97">
        <f>kalimantan!F67</f>
        <v>63.546458148721236</v>
      </c>
      <c r="F97">
        <f>kalimantan!G67</f>
        <v>85.423284237513926</v>
      </c>
      <c r="G97">
        <f>kalimantan!H67</f>
        <v>1.4128699544357077</v>
      </c>
      <c r="H97">
        <f>kalimantan!I67</f>
        <v>15.502150862688692</v>
      </c>
      <c r="I97">
        <f>kalimantan!J67</f>
        <v>1.6225382527966217</v>
      </c>
      <c r="J97">
        <f>kalimantan!K67</f>
        <v>11.912519466469853</v>
      </c>
      <c r="K97">
        <f>kalimantan!L67</f>
        <v>21.700228717662004</v>
      </c>
      <c r="L97">
        <f>kalimantan!M67</f>
        <v>5.1107534858657271</v>
      </c>
      <c r="M97">
        <f>kalimantan!N67</f>
        <v>0</v>
      </c>
      <c r="N97">
        <f>kalimantan!O67</f>
        <v>0</v>
      </c>
      <c r="O97">
        <f>kalimantan!P67</f>
        <v>0</v>
      </c>
      <c r="P97">
        <f>kalimantan!Q67</f>
        <v>392.78003770201678</v>
      </c>
    </row>
    <row r="98" spans="1:16" x14ac:dyDescent="0.25">
      <c r="A98" t="str">
        <f>kalimantan!B68</f>
        <v>KALIMANTAN</v>
      </c>
      <c r="B98">
        <f>kalimantan!C68</f>
        <v>2035</v>
      </c>
      <c r="C98">
        <f>kalimantan!D68</f>
        <v>149.7453245855715</v>
      </c>
      <c r="D98">
        <f>kalimantan!E68</f>
        <v>41.665343217534719</v>
      </c>
      <c r="E98">
        <f>kalimantan!F68</f>
        <v>68.821398562401754</v>
      </c>
      <c r="F98">
        <f>kalimantan!G68</f>
        <v>86.312846164640192</v>
      </c>
      <c r="G98">
        <f>kalimantan!H68</f>
        <v>1.4128699544357077</v>
      </c>
      <c r="H98">
        <f>kalimantan!I68</f>
        <v>15.502150862688692</v>
      </c>
      <c r="I98">
        <f>kalimantan!J68</f>
        <v>1.6225382527966217</v>
      </c>
      <c r="J98">
        <f>kalimantan!K68</f>
        <v>11.912519466469853</v>
      </c>
      <c r="K98">
        <f>kalimantan!L68</f>
        <v>24.466626110315772</v>
      </c>
      <c r="L98">
        <f>kalimantan!M68</f>
        <v>5.1107534858657271</v>
      </c>
      <c r="M98">
        <f>kalimantan!N68</f>
        <v>0</v>
      </c>
      <c r="N98">
        <f>kalimantan!O68</f>
        <v>0</v>
      </c>
      <c r="O98">
        <f>kalimantan!P68</f>
        <v>0</v>
      </c>
      <c r="P98">
        <f>kalimantan!Q68</f>
        <v>406.57237066272052</v>
      </c>
    </row>
    <row r="99" spans="1:16" x14ac:dyDescent="0.25">
      <c r="A99" t="str">
        <f>kalimantan!B69</f>
        <v>KALIMANTAN</v>
      </c>
      <c r="B99">
        <f>kalimantan!C69</f>
        <v>2036</v>
      </c>
      <c r="C99">
        <f>kalimantan!D69</f>
        <v>155.35864121389852</v>
      </c>
      <c r="D99">
        <f>kalimantan!E69</f>
        <v>41.665343217534719</v>
      </c>
      <c r="E99">
        <f>kalimantan!F69</f>
        <v>74.764005302375892</v>
      </c>
      <c r="F99">
        <f>kalimantan!G69</f>
        <v>87.468015512683579</v>
      </c>
      <c r="G99">
        <f>kalimantan!H69</f>
        <v>1.4128699544357077</v>
      </c>
      <c r="H99">
        <f>kalimantan!I69</f>
        <v>15.502150862688692</v>
      </c>
      <c r="I99">
        <f>kalimantan!J69</f>
        <v>3.3427101346037138</v>
      </c>
      <c r="J99">
        <f>kalimantan!K69</f>
        <v>11.912519466469853</v>
      </c>
      <c r="K99">
        <f>kalimantan!L69</f>
        <v>26.217308435588656</v>
      </c>
      <c r="L99">
        <f>kalimantan!M69</f>
        <v>5.1107534858657271</v>
      </c>
      <c r="M99">
        <f>kalimantan!N69</f>
        <v>0</v>
      </c>
      <c r="N99">
        <f>kalimantan!O69</f>
        <v>0</v>
      </c>
      <c r="O99">
        <f>kalimantan!P69</f>
        <v>0</v>
      </c>
      <c r="P99">
        <f>kalimantan!Q69</f>
        <v>422.75431758614502</v>
      </c>
    </row>
    <row r="100" spans="1:16" x14ac:dyDescent="0.25">
      <c r="A100" t="str">
        <f>kalimantan!B70</f>
        <v>KALIMANTAN</v>
      </c>
      <c r="B100">
        <f>kalimantan!C70</f>
        <v>2037</v>
      </c>
      <c r="C100">
        <f>kalimantan!D70</f>
        <v>160.96830650579597</v>
      </c>
      <c r="D100">
        <f>kalimantan!E70</f>
        <v>41.665343217534762</v>
      </c>
      <c r="E100">
        <f>kalimantan!F70</f>
        <v>80.914355083445983</v>
      </c>
      <c r="F100">
        <f>kalimantan!G70</f>
        <v>88.439609104883175</v>
      </c>
      <c r="G100">
        <f>kalimantan!H70</f>
        <v>1.4128699544357077</v>
      </c>
      <c r="H100">
        <f>kalimantan!I70</f>
        <v>15.502150862688692</v>
      </c>
      <c r="I100">
        <f>kalimantan!J70</f>
        <v>6.2748948691844504</v>
      </c>
      <c r="J100">
        <f>kalimantan!K70</f>
        <v>11.912519466469853</v>
      </c>
      <c r="K100">
        <f>kalimantan!L70</f>
        <v>27.092649598225098</v>
      </c>
      <c r="L100">
        <f>kalimantan!M70</f>
        <v>5.1107534858657271</v>
      </c>
      <c r="M100">
        <f>kalimantan!N70</f>
        <v>0</v>
      </c>
      <c r="N100">
        <f>kalimantan!O70</f>
        <v>0</v>
      </c>
      <c r="O100">
        <f>kalimantan!P70</f>
        <v>0</v>
      </c>
      <c r="P100">
        <f>kalimantan!Q70</f>
        <v>439.29345214852935</v>
      </c>
    </row>
    <row r="101" spans="1:16" x14ac:dyDescent="0.25">
      <c r="A101" t="str">
        <f>kalimantan!B71</f>
        <v>KALIMANTAN</v>
      </c>
      <c r="B101">
        <f>kalimantan!C71</f>
        <v>2038</v>
      </c>
      <c r="C101">
        <f>kalimantan!D71</f>
        <v>167.42947079799194</v>
      </c>
      <c r="D101">
        <f>kalimantan!E71</f>
        <v>41.665343217534762</v>
      </c>
      <c r="E101">
        <f>kalimantan!F71</f>
        <v>87.855698942567642</v>
      </c>
      <c r="F101">
        <f>kalimantan!G71</f>
        <v>89.681854620018953</v>
      </c>
      <c r="G101">
        <f>kalimantan!H71</f>
        <v>1.4128699544357077</v>
      </c>
      <c r="H101">
        <f>kalimantan!I71</f>
        <v>15.502150862688692</v>
      </c>
      <c r="I101">
        <f>kalimantan!J71</f>
        <v>10.284227891380345</v>
      </c>
      <c r="J101">
        <f>kalimantan!K71</f>
        <v>11.912519466469853</v>
      </c>
      <c r="K101">
        <f>kalimantan!L71</f>
        <v>27.530320179543317</v>
      </c>
      <c r="L101">
        <f>kalimantan!M71</f>
        <v>5.1107534858657271</v>
      </c>
      <c r="M101">
        <f>kalimantan!N71</f>
        <v>0</v>
      </c>
      <c r="N101">
        <f>kalimantan!O71</f>
        <v>0</v>
      </c>
      <c r="O101">
        <f>kalimantan!P71</f>
        <v>0</v>
      </c>
      <c r="P101">
        <f>kalimantan!Q71</f>
        <v>458.38520941849691</v>
      </c>
    </row>
    <row r="102" spans="1:16" x14ac:dyDescent="0.25">
      <c r="A102" t="str">
        <f>sulawesi!B52</f>
        <v>SULAWESI</v>
      </c>
      <c r="B102">
        <f>sulawesi!C52</f>
        <v>2019</v>
      </c>
      <c r="C102">
        <f>sulawesi!D52</f>
        <v>128.01496382068964</v>
      </c>
      <c r="D102">
        <f>sulawesi!E52</f>
        <v>8.7116116674254496</v>
      </c>
      <c r="E102">
        <f>sulawesi!F52</f>
        <v>5.3799930830769229</v>
      </c>
      <c r="F102">
        <f>sulawesi!G52</f>
        <v>35.038799921016725</v>
      </c>
      <c r="G102">
        <f>sulawesi!H52</f>
        <v>13.843495384615382</v>
      </c>
      <c r="H102">
        <f>sulawesi!I52</f>
        <v>13.945434615138463</v>
      </c>
      <c r="I102">
        <f>sulawesi!J52</f>
        <v>1.6660687126153846</v>
      </c>
      <c r="J102">
        <f>sulawesi!K52</f>
        <v>2.8079654399999997E-2</v>
      </c>
      <c r="K102">
        <f>sulawesi!L52</f>
        <v>0</v>
      </c>
      <c r="L102">
        <f>sulawesi!M52</f>
        <v>1.4502256079404467E-2</v>
      </c>
      <c r="M102">
        <f>sulawesi!N52</f>
        <v>0</v>
      </c>
      <c r="N102">
        <f>sulawesi!O52</f>
        <v>0</v>
      </c>
      <c r="O102">
        <f>sulawesi!P52</f>
        <v>0</v>
      </c>
      <c r="P102">
        <f>sulawesi!Q52</f>
        <v>206.64294911505735</v>
      </c>
    </row>
    <row r="103" spans="1:16" x14ac:dyDescent="0.25">
      <c r="A103" t="str">
        <f>sulawesi!B53</f>
        <v>SULAWESI</v>
      </c>
      <c r="B103">
        <f>sulawesi!C53</f>
        <v>2020</v>
      </c>
      <c r="C103">
        <f>sulawesi!D53</f>
        <v>130.85127099536592</v>
      </c>
      <c r="D103">
        <f>sulawesi!E53</f>
        <v>8.7116116372522328</v>
      </c>
      <c r="E103">
        <f>sulawesi!F53</f>
        <v>18.386006251315223</v>
      </c>
      <c r="F103">
        <f>sulawesi!G53</f>
        <v>35.038799921016725</v>
      </c>
      <c r="G103">
        <f>sulawesi!H53</f>
        <v>13.843495384615382</v>
      </c>
      <c r="H103">
        <f>sulawesi!I53</f>
        <v>13.945434615138463</v>
      </c>
      <c r="I103">
        <f>sulawesi!J53</f>
        <v>1.6660687126153846</v>
      </c>
      <c r="J103">
        <f>sulawesi!K53</f>
        <v>0.88061818361114863</v>
      </c>
      <c r="K103">
        <f>sulawesi!L53</f>
        <v>0</v>
      </c>
      <c r="L103">
        <f>sulawesi!M53</f>
        <v>1.4502256079404467E-2</v>
      </c>
      <c r="M103">
        <f>sulawesi!N53</f>
        <v>0</v>
      </c>
      <c r="N103">
        <f>sulawesi!O53</f>
        <v>0</v>
      </c>
      <c r="O103">
        <f>sulawesi!P53</f>
        <v>0</v>
      </c>
      <c r="P103">
        <f>sulawesi!Q53</f>
        <v>223.33780795700986</v>
      </c>
    </row>
    <row r="104" spans="1:16" x14ac:dyDescent="0.25">
      <c r="A104" t="str">
        <f>sulawesi!B54</f>
        <v>SULAWESI</v>
      </c>
      <c r="B104">
        <f>sulawesi!C54</f>
        <v>2021</v>
      </c>
      <c r="C104">
        <f>sulawesi!D54</f>
        <v>133.77650842414789</v>
      </c>
      <c r="D104">
        <f>sulawesi!E54</f>
        <v>8.7116116070790159</v>
      </c>
      <c r="E104">
        <f>sulawesi!F54</f>
        <v>32.425773627836961</v>
      </c>
      <c r="F104">
        <f>sulawesi!G54</f>
        <v>35.038799921016725</v>
      </c>
      <c r="G104">
        <f>sulawesi!H54</f>
        <v>13.843495384615382</v>
      </c>
      <c r="H104">
        <f>sulawesi!I54</f>
        <v>14.288731385053492</v>
      </c>
      <c r="I104">
        <f>sulawesi!J54</f>
        <v>1.6669103362049182</v>
      </c>
      <c r="J104">
        <f>sulawesi!K54</f>
        <v>2.5884497593907763</v>
      </c>
      <c r="K104">
        <f>sulawesi!L54</f>
        <v>4.0351084133872578E-4</v>
      </c>
      <c r="L104">
        <f>sulawesi!M54</f>
        <v>1.4502256079404467E-2</v>
      </c>
      <c r="M104">
        <f>sulawesi!N54</f>
        <v>0</v>
      </c>
      <c r="N104">
        <f>sulawesi!O54</f>
        <v>0</v>
      </c>
      <c r="O104">
        <f>sulawesi!P54</f>
        <v>0</v>
      </c>
      <c r="P104">
        <f>sulawesi!Q54</f>
        <v>242.35518621226595</v>
      </c>
    </row>
    <row r="105" spans="1:16" x14ac:dyDescent="0.25">
      <c r="A105" t="str">
        <f>sulawesi!B55</f>
        <v>SULAWESI</v>
      </c>
      <c r="B105">
        <f>sulawesi!C55</f>
        <v>2022</v>
      </c>
      <c r="C105">
        <f>sulawesi!D55</f>
        <v>137.59762058762155</v>
      </c>
      <c r="D105">
        <f>sulawesi!E55</f>
        <v>8.7116116070790159</v>
      </c>
      <c r="E105">
        <f>sulawesi!F55</f>
        <v>46.282334209527086</v>
      </c>
      <c r="F105">
        <f>sulawesi!G55</f>
        <v>35.038799921016725</v>
      </c>
      <c r="G105">
        <f>sulawesi!H55</f>
        <v>13.843495384615382</v>
      </c>
      <c r="H105">
        <f>sulawesi!I55</f>
        <v>14.288731385053492</v>
      </c>
      <c r="I105">
        <f>sulawesi!J55</f>
        <v>1.6669103362049182</v>
      </c>
      <c r="J105">
        <f>sulawesi!K55</f>
        <v>2.5884497593907763</v>
      </c>
      <c r="K105">
        <f>sulawesi!L55</f>
        <v>4.8918377848039745</v>
      </c>
      <c r="L105">
        <f>sulawesi!M55</f>
        <v>1.4502256079404467E-2</v>
      </c>
      <c r="M105">
        <f>sulawesi!N55</f>
        <v>0</v>
      </c>
      <c r="N105">
        <f>sulawesi!O55</f>
        <v>0</v>
      </c>
      <c r="O105">
        <f>sulawesi!P55</f>
        <v>0</v>
      </c>
      <c r="P105">
        <f>sulawesi!Q55</f>
        <v>264.92429323139231</v>
      </c>
    </row>
    <row r="106" spans="1:16" x14ac:dyDescent="0.25">
      <c r="A106" t="str">
        <f>sulawesi!B56</f>
        <v>SULAWESI</v>
      </c>
      <c r="B106">
        <f>sulawesi!C56</f>
        <v>2023</v>
      </c>
      <c r="C106">
        <f>sulawesi!D56</f>
        <v>137.59762058762155</v>
      </c>
      <c r="D106">
        <f>sulawesi!E56</f>
        <v>8.7116116070790159</v>
      </c>
      <c r="E106">
        <f>sulawesi!F56</f>
        <v>47.62125382813484</v>
      </c>
      <c r="F106">
        <f>sulawesi!G56</f>
        <v>48.102179279886187</v>
      </c>
      <c r="G106">
        <f>sulawesi!H56</f>
        <v>13.843495384615382</v>
      </c>
      <c r="H106">
        <f>sulawesi!I56</f>
        <v>14.288731385053492</v>
      </c>
      <c r="I106">
        <f>sulawesi!J56</f>
        <v>1.6669103362049182</v>
      </c>
      <c r="J106">
        <f>sulawesi!K56</f>
        <v>2.5884497593907763</v>
      </c>
      <c r="K106">
        <f>sulawesi!L56</f>
        <v>5.9027376438365602</v>
      </c>
      <c r="L106">
        <f>sulawesi!M56</f>
        <v>1.4502256079404467E-2</v>
      </c>
      <c r="M106">
        <f>sulawesi!N56</f>
        <v>0</v>
      </c>
      <c r="N106">
        <f>sulawesi!O56</f>
        <v>0</v>
      </c>
      <c r="O106">
        <f>sulawesi!P56</f>
        <v>0</v>
      </c>
      <c r="P106">
        <f>sulawesi!Q56</f>
        <v>280.33749206790213</v>
      </c>
    </row>
    <row r="107" spans="1:16" x14ac:dyDescent="0.25">
      <c r="A107" t="str">
        <f>sulawesi!B57</f>
        <v>SULAWESI</v>
      </c>
      <c r="B107">
        <f>sulawesi!C57</f>
        <v>2024</v>
      </c>
      <c r="C107">
        <f>sulawesi!D57</f>
        <v>137.59762058762155</v>
      </c>
      <c r="D107">
        <f>sulawesi!E57</f>
        <v>8.7116116070790159</v>
      </c>
      <c r="E107">
        <f>sulawesi!F57</f>
        <v>56.088181503478729</v>
      </c>
      <c r="F107">
        <f>sulawesi!G57</f>
        <v>51.151403601698689</v>
      </c>
      <c r="G107">
        <f>sulawesi!H57</f>
        <v>13.843495384615382</v>
      </c>
      <c r="H107">
        <f>sulawesi!I57</f>
        <v>14.288731385053492</v>
      </c>
      <c r="I107">
        <f>sulawesi!J57</f>
        <v>1.6669103362049182</v>
      </c>
      <c r="J107">
        <f>sulawesi!K57</f>
        <v>2.5884497593907763</v>
      </c>
      <c r="K107">
        <f>sulawesi!L57</f>
        <v>10.749854527197412</v>
      </c>
      <c r="L107">
        <f>sulawesi!M57</f>
        <v>1.4502256079404467E-2</v>
      </c>
      <c r="M107">
        <f>sulawesi!N57</f>
        <v>0</v>
      </c>
      <c r="N107">
        <f>sulawesi!O57</f>
        <v>0</v>
      </c>
      <c r="O107">
        <f>sulawesi!P57</f>
        <v>0</v>
      </c>
      <c r="P107">
        <f>sulawesi!Q57</f>
        <v>296.70076094841937</v>
      </c>
    </row>
    <row r="108" spans="1:16" x14ac:dyDescent="0.25">
      <c r="A108" t="str">
        <f>sulawesi!B58</f>
        <v>SULAWESI</v>
      </c>
      <c r="B108">
        <f>sulawesi!C58</f>
        <v>2025</v>
      </c>
      <c r="C108">
        <f>sulawesi!D58</f>
        <v>137.59762058762155</v>
      </c>
      <c r="D108">
        <f>sulawesi!E58</f>
        <v>8.7116116070790159</v>
      </c>
      <c r="E108">
        <f>sulawesi!F58</f>
        <v>65.754900620868071</v>
      </c>
      <c r="F108">
        <f>sulawesi!G58</f>
        <v>54.67032256248816</v>
      </c>
      <c r="G108">
        <f>sulawesi!H58</f>
        <v>13.843495384615382</v>
      </c>
      <c r="H108">
        <f>sulawesi!I58</f>
        <v>14.288731385053492</v>
      </c>
      <c r="I108">
        <f>sulawesi!J58</f>
        <v>1.6669103362049182</v>
      </c>
      <c r="J108">
        <f>sulawesi!K58</f>
        <v>2.5884497593907763</v>
      </c>
      <c r="K108">
        <f>sulawesi!L58</f>
        <v>16.419831610057159</v>
      </c>
      <c r="L108">
        <f>sulawesi!M58</f>
        <v>1.4502256079404467E-2</v>
      </c>
      <c r="M108">
        <f>sulawesi!N58</f>
        <v>0</v>
      </c>
      <c r="N108">
        <f>sulawesi!O58</f>
        <v>0</v>
      </c>
      <c r="O108">
        <f>sulawesi!P58</f>
        <v>0</v>
      </c>
      <c r="P108">
        <f>sulawesi!Q58</f>
        <v>315.55637610945791</v>
      </c>
    </row>
    <row r="109" spans="1:16" x14ac:dyDescent="0.25">
      <c r="A109" t="str">
        <f>sulawesi!B59</f>
        <v>SULAWESI</v>
      </c>
      <c r="B109">
        <f>sulawesi!C59</f>
        <v>2026</v>
      </c>
      <c r="C109">
        <f>sulawesi!D59</f>
        <v>137.59762058762155</v>
      </c>
      <c r="D109">
        <f>sulawesi!E59</f>
        <v>8.7116116070790159</v>
      </c>
      <c r="E109">
        <f>sulawesi!F59</f>
        <v>76.742561110974279</v>
      </c>
      <c r="F109">
        <f>sulawesi!G59</f>
        <v>57.201265713158548</v>
      </c>
      <c r="G109">
        <f>sulawesi!H59</f>
        <v>13.843495384615382</v>
      </c>
      <c r="H109">
        <f>sulawesi!I59</f>
        <v>14.288731385053492</v>
      </c>
      <c r="I109">
        <f>sulawesi!J59</f>
        <v>1.6669103362049182</v>
      </c>
      <c r="J109">
        <f>sulawesi!K59</f>
        <v>2.6374451505472609</v>
      </c>
      <c r="K109">
        <f>sulawesi!L59</f>
        <v>19.323533166402143</v>
      </c>
      <c r="L109">
        <f>sulawesi!M59</f>
        <v>1.4502256079404467E-2</v>
      </c>
      <c r="M109">
        <f>sulawesi!N59</f>
        <v>0</v>
      </c>
      <c r="N109">
        <f>sulawesi!O59</f>
        <v>0</v>
      </c>
      <c r="O109">
        <f>sulawesi!P59</f>
        <v>0</v>
      </c>
      <c r="P109">
        <f>sulawesi!Q59</f>
        <v>332.02767669773601</v>
      </c>
    </row>
    <row r="110" spans="1:16" x14ac:dyDescent="0.25">
      <c r="A110" t="str">
        <f>sulawesi!B60</f>
        <v>SULAWESI</v>
      </c>
      <c r="B110">
        <f>sulawesi!C60</f>
        <v>2027</v>
      </c>
      <c r="C110">
        <f>sulawesi!D60</f>
        <v>137.59762058762155</v>
      </c>
      <c r="D110">
        <f>sulawesi!E60</f>
        <v>8.7116116070790159</v>
      </c>
      <c r="E110">
        <f>sulawesi!F60</f>
        <v>90.512745010395108</v>
      </c>
      <c r="F110">
        <f>sulawesi!G60</f>
        <v>60.515289854611062</v>
      </c>
      <c r="G110">
        <f>sulawesi!H60</f>
        <v>13.843495384615382</v>
      </c>
      <c r="H110">
        <f>sulawesi!I60</f>
        <v>14.288731385053492</v>
      </c>
      <c r="I110">
        <f>sulawesi!J60</f>
        <v>1.6669103362049182</v>
      </c>
      <c r="J110">
        <f>sulawesi!K60</f>
        <v>3.0305764429664017</v>
      </c>
      <c r="K110">
        <f>sulawesi!L60</f>
        <v>22.585343430427308</v>
      </c>
      <c r="L110">
        <f>sulawesi!M60</f>
        <v>1.4502256079404467E-2</v>
      </c>
      <c r="M110">
        <f>sulawesi!N60</f>
        <v>0</v>
      </c>
      <c r="N110">
        <f>sulawesi!O60</f>
        <v>0</v>
      </c>
      <c r="O110">
        <f>sulawesi!P60</f>
        <v>0</v>
      </c>
      <c r="P110">
        <f>sulawesi!Q60</f>
        <v>352.76682629505365</v>
      </c>
    </row>
    <row r="111" spans="1:16" x14ac:dyDescent="0.25">
      <c r="A111" t="str">
        <f>sulawesi!B61</f>
        <v>SULAWESI</v>
      </c>
      <c r="B111">
        <f>sulawesi!C61</f>
        <v>2028</v>
      </c>
      <c r="C111">
        <f>sulawesi!D61</f>
        <v>140.94055876888157</v>
      </c>
      <c r="D111">
        <f>sulawesi!E61</f>
        <v>8.7116116070790159</v>
      </c>
      <c r="E111">
        <f>sulawesi!F61</f>
        <v>94.54414240548445</v>
      </c>
      <c r="F111">
        <f>sulawesi!G61</f>
        <v>61.295388047281229</v>
      </c>
      <c r="G111">
        <f>sulawesi!H61</f>
        <v>13.843495384615382</v>
      </c>
      <c r="H111">
        <f>sulawesi!I61</f>
        <v>14.288731385053492</v>
      </c>
      <c r="I111">
        <f>sulawesi!J61</f>
        <v>1.6669103362049182</v>
      </c>
      <c r="J111">
        <f>sulawesi!K61</f>
        <v>3.3334221179968728</v>
      </c>
      <c r="K111">
        <f>sulawesi!L61</f>
        <v>24.298601730468476</v>
      </c>
      <c r="L111">
        <f>sulawesi!M61</f>
        <v>1.4502256079404467E-2</v>
      </c>
      <c r="M111">
        <f>sulawesi!N61</f>
        <v>0</v>
      </c>
      <c r="N111">
        <f>sulawesi!O61</f>
        <v>0</v>
      </c>
      <c r="O111">
        <f>sulawesi!P61</f>
        <v>0</v>
      </c>
      <c r="P111">
        <f>sulawesi!Q61</f>
        <v>362.93736403914482</v>
      </c>
    </row>
    <row r="112" spans="1:16" x14ac:dyDescent="0.25">
      <c r="A112" t="str">
        <f>sulawesi!B62</f>
        <v>SULAWESI</v>
      </c>
      <c r="B112">
        <f>sulawesi!C62</f>
        <v>2029</v>
      </c>
      <c r="C112">
        <f>sulawesi!D62</f>
        <v>144.8752960287847</v>
      </c>
      <c r="D112">
        <f>sulawesi!E62</f>
        <v>8.7116116070790159</v>
      </c>
      <c r="E112">
        <f>sulawesi!F62</f>
        <v>98.641305143199062</v>
      </c>
      <c r="F112">
        <f>sulawesi!G62</f>
        <v>62.169403513979653</v>
      </c>
      <c r="G112">
        <f>sulawesi!H62</f>
        <v>13.843495384615382</v>
      </c>
      <c r="H112">
        <f>sulawesi!I62</f>
        <v>14.288731385053492</v>
      </c>
      <c r="I112">
        <f>sulawesi!J62</f>
        <v>1.6669103362049182</v>
      </c>
      <c r="J112">
        <f>sulawesi!K62</f>
        <v>3.6708302833115174</v>
      </c>
      <c r="K112">
        <f>sulawesi!L62</f>
        <v>26.127702173808647</v>
      </c>
      <c r="L112">
        <f>sulawesi!M62</f>
        <v>1.4502256079404467E-2</v>
      </c>
      <c r="M112">
        <f>sulawesi!N62</f>
        <v>0</v>
      </c>
      <c r="N112">
        <f>sulawesi!O62</f>
        <v>0</v>
      </c>
      <c r="O112">
        <f>sulawesi!P62</f>
        <v>0</v>
      </c>
      <c r="P112">
        <f>sulawesi!Q62</f>
        <v>374.00978811211587</v>
      </c>
    </row>
    <row r="113" spans="1:16" x14ac:dyDescent="0.25">
      <c r="A113" t="str">
        <f>sulawesi!B63</f>
        <v>SULAWESI</v>
      </c>
      <c r="B113">
        <f>sulawesi!C63</f>
        <v>2030</v>
      </c>
      <c r="C113">
        <f>sulawesi!D63</f>
        <v>148.99679991386853</v>
      </c>
      <c r="D113">
        <f>sulawesi!E63</f>
        <v>8.7116116070790159</v>
      </c>
      <c r="E113">
        <f>sulawesi!F63</f>
        <v>102.94313713160055</v>
      </c>
      <c r="F113">
        <f>sulawesi!G63</f>
        <v>63.091410137868081</v>
      </c>
      <c r="G113">
        <f>sulawesi!H63</f>
        <v>13.843495384615382</v>
      </c>
      <c r="H113">
        <f>sulawesi!I63</f>
        <v>14.288731385053492</v>
      </c>
      <c r="I113">
        <f>sulawesi!J63</f>
        <v>1.6669103362049182</v>
      </c>
      <c r="J113">
        <f>sulawesi!K63</f>
        <v>4.0439659306456237</v>
      </c>
      <c r="K113">
        <f>sulawesi!L63</f>
        <v>28.045793734820148</v>
      </c>
      <c r="L113">
        <f>sulawesi!M63</f>
        <v>1.4502256079404467E-2</v>
      </c>
      <c r="M113">
        <f>sulawesi!N63</f>
        <v>0</v>
      </c>
      <c r="N113">
        <f>sulawesi!O63</f>
        <v>0</v>
      </c>
      <c r="O113">
        <f>sulawesi!P63</f>
        <v>0</v>
      </c>
      <c r="P113">
        <f>sulawesi!Q63</f>
        <v>385.64635781783522</v>
      </c>
    </row>
    <row r="114" spans="1:16" x14ac:dyDescent="0.25">
      <c r="A114" t="str">
        <f>sulawesi!B64</f>
        <v>SULAWESI</v>
      </c>
      <c r="B114">
        <f>sulawesi!C64</f>
        <v>2031</v>
      </c>
      <c r="C114">
        <f>sulawesi!D64</f>
        <v>154.08009966519418</v>
      </c>
      <c r="D114">
        <f>sulawesi!E64</f>
        <v>8.7116116070790159</v>
      </c>
      <c r="E114">
        <f>sulawesi!F64</f>
        <v>108.02506078025277</v>
      </c>
      <c r="F114">
        <f>sulawesi!G64</f>
        <v>64.383032690384098</v>
      </c>
      <c r="G114">
        <f>sulawesi!H64</f>
        <v>13.843495384615382</v>
      </c>
      <c r="H114">
        <f>sulawesi!I64</f>
        <v>14.288731385053492</v>
      </c>
      <c r="I114">
        <f>sulawesi!J64</f>
        <v>1.6669103362049182</v>
      </c>
      <c r="J114">
        <f>sulawesi!K64</f>
        <v>4.4790389316771044</v>
      </c>
      <c r="K114">
        <f>sulawesi!L64</f>
        <v>30.290976995854013</v>
      </c>
      <c r="L114">
        <f>sulawesi!M64</f>
        <v>1.4502256079404467E-2</v>
      </c>
      <c r="M114">
        <f>sulawesi!N64</f>
        <v>0</v>
      </c>
      <c r="N114">
        <f>sulawesi!O64</f>
        <v>0</v>
      </c>
      <c r="O114">
        <f>sulawesi!P64</f>
        <v>0</v>
      </c>
      <c r="P114">
        <f>sulawesi!Q64</f>
        <v>399.78346003239437</v>
      </c>
    </row>
    <row r="115" spans="1:16" x14ac:dyDescent="0.25">
      <c r="A115" t="str">
        <f>sulawesi!B65</f>
        <v>SULAWESI</v>
      </c>
      <c r="B115">
        <f>sulawesi!C65</f>
        <v>2032</v>
      </c>
      <c r="C115">
        <f>sulawesi!D65</f>
        <v>159.66167002867209</v>
      </c>
      <c r="D115">
        <f>sulawesi!E65</f>
        <v>8.7116116070790159</v>
      </c>
      <c r="E115">
        <f>sulawesi!F65</f>
        <v>113.56811830219003</v>
      </c>
      <c r="F115">
        <f>sulawesi!G65</f>
        <v>65.838219525628745</v>
      </c>
      <c r="G115">
        <f>sulawesi!H65</f>
        <v>13.843495384615382</v>
      </c>
      <c r="H115">
        <f>sulawesi!I65</f>
        <v>14.288731385053492</v>
      </c>
      <c r="I115">
        <f>sulawesi!J65</f>
        <v>1.6669103362049182</v>
      </c>
      <c r="J115">
        <f>sulawesi!K65</f>
        <v>4.9704535598774084</v>
      </c>
      <c r="K115">
        <f>sulawesi!L65</f>
        <v>32.731318895984117</v>
      </c>
      <c r="L115">
        <f>sulawesi!M65</f>
        <v>1.4502256079404467E-2</v>
      </c>
      <c r="M115">
        <f>sulawesi!N65</f>
        <v>0</v>
      </c>
      <c r="N115">
        <f>sulawesi!O65</f>
        <v>0</v>
      </c>
      <c r="O115">
        <f>sulawesi!P65</f>
        <v>0</v>
      </c>
      <c r="P115">
        <f>sulawesi!Q65</f>
        <v>415.29503128138464</v>
      </c>
    </row>
    <row r="116" spans="1:16" x14ac:dyDescent="0.25">
      <c r="A116" t="str">
        <f>sulawesi!B66</f>
        <v>SULAWESI</v>
      </c>
      <c r="B116">
        <f>sulawesi!C66</f>
        <v>2033</v>
      </c>
      <c r="C116">
        <f>sulawesi!D66</f>
        <v>165.06031033271981</v>
      </c>
      <c r="D116">
        <f>sulawesi!E66</f>
        <v>8.7116116070790159</v>
      </c>
      <c r="E116">
        <f>sulawesi!F66</f>
        <v>119.07263165319171</v>
      </c>
      <c r="F116">
        <f>sulawesi!G66</f>
        <v>67.172859381260466</v>
      </c>
      <c r="G116">
        <f>sulawesi!H66</f>
        <v>13.843495384615382</v>
      </c>
      <c r="H116">
        <f>sulawesi!I66</f>
        <v>14.288731385053492</v>
      </c>
      <c r="I116">
        <f>sulawesi!J66</f>
        <v>1.6669103362049182</v>
      </c>
      <c r="J116">
        <f>sulawesi!K66</f>
        <v>5.5023283223332298</v>
      </c>
      <c r="K116">
        <f>sulawesi!L66</f>
        <v>35.157469008585402</v>
      </c>
      <c r="L116">
        <f>sulawesi!M66</f>
        <v>1.4502256079404467E-2</v>
      </c>
      <c r="M116">
        <f>sulawesi!N66</f>
        <v>0</v>
      </c>
      <c r="N116">
        <f>sulawesi!O66</f>
        <v>0</v>
      </c>
      <c r="O116">
        <f>sulawesi!P66</f>
        <v>0</v>
      </c>
      <c r="P116">
        <f>sulawesi!Q66</f>
        <v>430.49084966712292</v>
      </c>
    </row>
    <row r="117" spans="1:16" x14ac:dyDescent="0.25">
      <c r="A117" t="str">
        <f>sulawesi!B67</f>
        <v>SULAWESI</v>
      </c>
      <c r="B117">
        <f>sulawesi!C67</f>
        <v>2034</v>
      </c>
      <c r="C117">
        <f>sulawesi!D67</f>
        <v>171.70095056680515</v>
      </c>
      <c r="D117">
        <f>sulawesi!E67</f>
        <v>8.7116116070790159</v>
      </c>
      <c r="E117">
        <f>sulawesi!F67</f>
        <v>125.62070545759742</v>
      </c>
      <c r="F117">
        <f>sulawesi!G67</f>
        <v>68.963482695008693</v>
      </c>
      <c r="G117">
        <f>sulawesi!H67</f>
        <v>13.843495384615382</v>
      </c>
      <c r="H117">
        <f>sulawesi!I67</f>
        <v>14.288731385053492</v>
      </c>
      <c r="I117">
        <f>sulawesi!J67</f>
        <v>1.6669103362049182</v>
      </c>
      <c r="J117">
        <f>sulawesi!K67</f>
        <v>6.128278572728429</v>
      </c>
      <c r="K117">
        <f>sulawesi!L67</f>
        <v>38.019607630239008</v>
      </c>
      <c r="L117">
        <f>sulawesi!M67</f>
        <v>1.4502256079404467E-2</v>
      </c>
      <c r="M117">
        <f>sulawesi!N67</f>
        <v>0</v>
      </c>
      <c r="N117">
        <f>sulawesi!O67</f>
        <v>0</v>
      </c>
      <c r="O117">
        <f>sulawesi!P67</f>
        <v>0</v>
      </c>
      <c r="P117">
        <f>sulawesi!Q67</f>
        <v>448.95827589141095</v>
      </c>
    </row>
    <row r="118" spans="1:16" x14ac:dyDescent="0.25">
      <c r="A118" t="str">
        <f>sulawesi!B68</f>
        <v>SULAWESI</v>
      </c>
      <c r="B118">
        <f>sulawesi!C68</f>
        <v>2035</v>
      </c>
      <c r="C118">
        <f>sulawesi!D68</f>
        <v>178.43164082054989</v>
      </c>
      <c r="D118">
        <f>sulawesi!E68</f>
        <v>8.7116116070790159</v>
      </c>
      <c r="E118">
        <f>sulawesi!F68</f>
        <v>132.35732042487157</v>
      </c>
      <c r="F118">
        <f>sulawesi!G68</f>
        <v>70.735187345864404</v>
      </c>
      <c r="G118">
        <f>sulawesi!H68</f>
        <v>13.843495384615382</v>
      </c>
      <c r="H118">
        <f>sulawesi!I68</f>
        <v>14.288731385053492</v>
      </c>
      <c r="I118">
        <f>sulawesi!J68</f>
        <v>1.6669103362049182</v>
      </c>
      <c r="J118">
        <f>sulawesi!K68</f>
        <v>6.817969614993534</v>
      </c>
      <c r="K118">
        <f>sulawesi!L68</f>
        <v>40.95910665139612</v>
      </c>
      <c r="L118">
        <f>sulawesi!M68</f>
        <v>1.4502256079404467E-2</v>
      </c>
      <c r="M118">
        <f>sulawesi!N68</f>
        <v>0</v>
      </c>
      <c r="N118">
        <f>sulawesi!O68</f>
        <v>0</v>
      </c>
      <c r="O118">
        <f>sulawesi!P68</f>
        <v>0</v>
      </c>
      <c r="P118">
        <f>sulawesi!Q68</f>
        <v>467.82647582670774</v>
      </c>
    </row>
    <row r="119" spans="1:16" x14ac:dyDescent="0.25">
      <c r="A119" t="str">
        <f>sulawesi!B69</f>
        <v>SULAWESI</v>
      </c>
      <c r="B119">
        <f>sulawesi!C69</f>
        <v>2036</v>
      </c>
      <c r="C119">
        <f>sulawesi!D69</f>
        <v>186.09444612399747</v>
      </c>
      <c r="D119">
        <f>sulawesi!E69</f>
        <v>8.7116116070790159</v>
      </c>
      <c r="E119">
        <f>sulawesi!F69</f>
        <v>139.94267990667183</v>
      </c>
      <c r="F119">
        <f>sulawesi!G69</f>
        <v>72.8176001915417</v>
      </c>
      <c r="G119">
        <f>sulawesi!H69</f>
        <v>13.843495384615382</v>
      </c>
      <c r="H119">
        <f>sulawesi!I69</f>
        <v>14.288731385053492</v>
      </c>
      <c r="I119">
        <f>sulawesi!J69</f>
        <v>1.6669103362049182</v>
      </c>
      <c r="J119">
        <f>sulawesi!K69</f>
        <v>7.6118732337745172</v>
      </c>
      <c r="K119">
        <f>sulawesi!L69</f>
        <v>44.250349457927058</v>
      </c>
      <c r="L119">
        <f>sulawesi!M69</f>
        <v>1.4502256079404467E-2</v>
      </c>
      <c r="M119">
        <f>sulawesi!N69</f>
        <v>0</v>
      </c>
      <c r="N119">
        <f>sulawesi!O69</f>
        <v>0</v>
      </c>
      <c r="O119">
        <f>sulawesi!P69</f>
        <v>0</v>
      </c>
      <c r="P119">
        <f>sulawesi!Q69</f>
        <v>489.24219988294482</v>
      </c>
    </row>
    <row r="120" spans="1:16" x14ac:dyDescent="0.25">
      <c r="A120" t="str">
        <f>sulawesi!B70</f>
        <v>SULAWESI</v>
      </c>
      <c r="B120">
        <f>sulawesi!C70</f>
        <v>2037</v>
      </c>
      <c r="C120">
        <f>sulawesi!D70</f>
        <v>194.21453797556009</v>
      </c>
      <c r="D120">
        <f>sulawesi!E70</f>
        <v>8.7116116070790159</v>
      </c>
      <c r="E120">
        <f>sulawesi!F70</f>
        <v>148.02751082030377</v>
      </c>
      <c r="F120">
        <f>sulawesi!G70</f>
        <v>75.014716987565933</v>
      </c>
      <c r="G120">
        <f>sulawesi!H70</f>
        <v>13.843495384615382</v>
      </c>
      <c r="H120">
        <f>sulawesi!I70</f>
        <v>14.288731385053492</v>
      </c>
      <c r="I120">
        <f>sulawesi!J70</f>
        <v>1.6669103362049182</v>
      </c>
      <c r="J120">
        <f>sulawesi!K70</f>
        <v>8.5030305672686843</v>
      </c>
      <c r="K120">
        <f>sulawesi!L70</f>
        <v>47.74419818099171</v>
      </c>
      <c r="L120">
        <f>sulawesi!M70</f>
        <v>1.4502256079404467E-2</v>
      </c>
      <c r="M120">
        <f>sulawesi!N70</f>
        <v>0</v>
      </c>
      <c r="N120">
        <f>sulawesi!O70</f>
        <v>0</v>
      </c>
      <c r="O120">
        <f>sulawesi!P70</f>
        <v>0</v>
      </c>
      <c r="P120">
        <f>sulawesi!Q70</f>
        <v>512.02924550072237</v>
      </c>
    </row>
    <row r="121" spans="1:16" x14ac:dyDescent="0.25">
      <c r="A121" t="str">
        <f>sulawesi!B71</f>
        <v>SULAWESI</v>
      </c>
      <c r="B121">
        <f>sulawesi!C71</f>
        <v>2038</v>
      </c>
      <c r="C121">
        <f>sulawesi!D71</f>
        <v>203.84296140769999</v>
      </c>
      <c r="D121">
        <f>sulawesi!E71</f>
        <v>8.7116116070790159</v>
      </c>
      <c r="E121">
        <f>sulawesi!F71</f>
        <v>157.46413754754036</v>
      </c>
      <c r="F121">
        <f>sulawesi!G71</f>
        <v>77.722194480448906</v>
      </c>
      <c r="G121">
        <f>sulawesi!H71</f>
        <v>13.843495384615382</v>
      </c>
      <c r="H121">
        <f>sulawesi!I71</f>
        <v>14.288731385053492</v>
      </c>
      <c r="I121">
        <f>sulawesi!J71</f>
        <v>1.6669103362049182</v>
      </c>
      <c r="J121">
        <f>sulawesi!K71</f>
        <v>9.5517455485947114</v>
      </c>
      <c r="K121">
        <f>sulawesi!L71</f>
        <v>51.795954415711805</v>
      </c>
      <c r="L121">
        <f>sulawesi!M71</f>
        <v>1.4502256079404467E-2</v>
      </c>
      <c r="M121">
        <f>sulawesi!N71</f>
        <v>0</v>
      </c>
      <c r="N121">
        <f>sulawesi!O71</f>
        <v>0</v>
      </c>
      <c r="O121">
        <f>sulawesi!P71</f>
        <v>0</v>
      </c>
      <c r="P121">
        <f>sulawesi!Q71</f>
        <v>538.90224436902804</v>
      </c>
    </row>
    <row r="122" spans="1:16" x14ac:dyDescent="0.25">
      <c r="A122" t="str">
        <f>maluku_papua!B52</f>
        <v>MALUKU_PAPUA</v>
      </c>
      <c r="B122">
        <f>maluku_papua!C52</f>
        <v>2019</v>
      </c>
      <c r="C122">
        <f>maluku_papua!D52</f>
        <v>12.596076496551724</v>
      </c>
      <c r="D122">
        <f>maluku_papua!E52</f>
        <v>0.12069287430625449</v>
      </c>
      <c r="E122">
        <f>maluku_papua!F52</f>
        <v>0</v>
      </c>
      <c r="F122">
        <f>maluku_papua!G52</f>
        <v>34.926557496080264</v>
      </c>
      <c r="G122">
        <f>maluku_papua!H52</f>
        <v>0</v>
      </c>
      <c r="H122">
        <f>maluku_papua!I52</f>
        <v>0.50114539390445345</v>
      </c>
      <c r="I122">
        <f>maluku_papua!J52</f>
        <v>0</v>
      </c>
      <c r="J122">
        <f>maluku_papua!K52</f>
        <v>4.2450609600000008E-2</v>
      </c>
      <c r="K122">
        <f>maluku_papua!L52</f>
        <v>0</v>
      </c>
      <c r="L122">
        <f>maluku_papua!M52</f>
        <v>0</v>
      </c>
      <c r="M122">
        <f>maluku_papua!N52</f>
        <v>0</v>
      </c>
      <c r="N122">
        <f>maluku_papua!O52</f>
        <v>0</v>
      </c>
      <c r="O122">
        <f>maluku_papua!P52</f>
        <v>0</v>
      </c>
      <c r="P122">
        <f>maluku_papua!Q52</f>
        <v>48.186922870442693</v>
      </c>
    </row>
    <row r="123" spans="1:16" x14ac:dyDescent="0.25">
      <c r="A123" t="str">
        <f>maluku_papua!B53</f>
        <v>MALUKU_PAPUA</v>
      </c>
      <c r="B123">
        <f>maluku_papua!C53</f>
        <v>2020</v>
      </c>
      <c r="C123">
        <f>maluku_papua!D53</f>
        <v>12.596076496551724</v>
      </c>
      <c r="D123">
        <f>maluku_papua!E53</f>
        <v>0.12069284413303601</v>
      </c>
      <c r="E123">
        <f>maluku_papua!F53</f>
        <v>4.1958670510328977</v>
      </c>
      <c r="F123">
        <f>maluku_papua!G53</f>
        <v>34.926557496080264</v>
      </c>
      <c r="G123">
        <f>maluku_papua!H53</f>
        <v>0</v>
      </c>
      <c r="H123">
        <f>maluku_papua!I53</f>
        <v>0.50114539390445345</v>
      </c>
      <c r="I123">
        <f>maluku_papua!J53</f>
        <v>0</v>
      </c>
      <c r="J123">
        <f>maluku_papua!K53</f>
        <v>4.2450602977440008E-2</v>
      </c>
      <c r="K123">
        <f>maluku_papua!L53</f>
        <v>0</v>
      </c>
      <c r="L123">
        <f>maluku_papua!M53</f>
        <v>0</v>
      </c>
      <c r="M123">
        <f>maluku_papua!N53</f>
        <v>-3.5999999999970664E-9</v>
      </c>
      <c r="N123">
        <f>maluku_papua!O53</f>
        <v>0</v>
      </c>
      <c r="O123">
        <f>maluku_papua!P53</f>
        <v>0</v>
      </c>
      <c r="P123">
        <f>maluku_papua!Q53</f>
        <v>52.382789881079809</v>
      </c>
    </row>
    <row r="124" spans="1:16" x14ac:dyDescent="0.25">
      <c r="A124" t="str">
        <f>maluku_papua!B54</f>
        <v>MALUKU_PAPUA</v>
      </c>
      <c r="B124">
        <f>maluku_papua!C54</f>
        <v>2021</v>
      </c>
      <c r="C124">
        <f>maluku_papua!D54</f>
        <v>12.596076496551724</v>
      </c>
      <c r="D124">
        <f>maluku_papua!E54</f>
        <v>0.12069281395981744</v>
      </c>
      <c r="E124">
        <f>maluku_papua!F54</f>
        <v>8.6728571906315821</v>
      </c>
      <c r="F124">
        <f>maluku_papua!G54</f>
        <v>34.926557496080264</v>
      </c>
      <c r="G124">
        <f>maluku_papua!H54</f>
        <v>-5.8219113738729918E-16</v>
      </c>
      <c r="H124">
        <f>maluku_papua!I54</f>
        <v>0.50115389661138454</v>
      </c>
      <c r="I124">
        <f>maluku_papua!J54</f>
        <v>2.0112899809042024</v>
      </c>
      <c r="J124">
        <f>maluku_papua!K54</f>
        <v>2.2553612463713599</v>
      </c>
      <c r="K124">
        <f>maluku_papua!L54</f>
        <v>0.41139282554724649</v>
      </c>
      <c r="L124">
        <f>maluku_papua!M54</f>
        <v>0</v>
      </c>
      <c r="M124">
        <f>maluku_papua!N54</f>
        <v>2.6212748167076128E-3</v>
      </c>
      <c r="N124">
        <f>maluku_papua!O54</f>
        <v>0</v>
      </c>
      <c r="O124">
        <f>maluku_papua!P54</f>
        <v>0</v>
      </c>
      <c r="P124">
        <f>maluku_papua!Q54</f>
        <v>61.498003221474292</v>
      </c>
    </row>
    <row r="125" spans="1:16" x14ac:dyDescent="0.25">
      <c r="A125" t="str">
        <f>maluku_papua!B55</f>
        <v>MALUKU_PAPUA</v>
      </c>
      <c r="B125">
        <f>maluku_papua!C55</f>
        <v>2022</v>
      </c>
      <c r="C125">
        <f>maluku_papua!D55</f>
        <v>13.470310104516907</v>
      </c>
      <c r="D125">
        <f>maluku_papua!E55</f>
        <v>0.12069278378659895</v>
      </c>
      <c r="E125">
        <f>maluku_papua!F55</f>
        <v>12.045963846906382</v>
      </c>
      <c r="F125">
        <f>maluku_papua!G55</f>
        <v>34.926557496080264</v>
      </c>
      <c r="G125">
        <f>maluku_papua!H55</f>
        <v>0</v>
      </c>
      <c r="H125">
        <f>maluku_papua!I55</f>
        <v>0.83027704558096938</v>
      </c>
      <c r="I125">
        <f>maluku_papua!J55</f>
        <v>2.8493748029954244</v>
      </c>
      <c r="J125">
        <f>maluku_papua!K55</f>
        <v>2.3090778327166097</v>
      </c>
      <c r="K125">
        <f>maluku_papua!L55</f>
        <v>0.5614889143748063</v>
      </c>
      <c r="L125">
        <f>maluku_papua!M55</f>
        <v>0</v>
      </c>
      <c r="M125">
        <f>maluku_papua!N55</f>
        <v>3.0157009181347194E-3</v>
      </c>
      <c r="N125">
        <f>maluku_papua!O55</f>
        <v>0</v>
      </c>
      <c r="O125">
        <f>maluku_papua!P55</f>
        <v>0</v>
      </c>
      <c r="P125">
        <f>maluku_papua!Q55</f>
        <v>67.116758527876101</v>
      </c>
    </row>
    <row r="126" spans="1:16" x14ac:dyDescent="0.25">
      <c r="A126" t="str">
        <f>maluku_papua!B56</f>
        <v>MALUKU_PAPUA</v>
      </c>
      <c r="B126">
        <f>maluku_papua!C56</f>
        <v>2023</v>
      </c>
      <c r="C126">
        <f>maluku_papua!D56</f>
        <v>15.828601134781856</v>
      </c>
      <c r="D126">
        <f>maluku_papua!E56</f>
        <v>0.12069278378659895</v>
      </c>
      <c r="E126">
        <f>maluku_papua!F56</f>
        <v>13.356030937014088</v>
      </c>
      <c r="F126">
        <f>maluku_papua!G56</f>
        <v>34.926557496080264</v>
      </c>
      <c r="G126">
        <f>maluku_papua!H56</f>
        <v>-5.8219124731758072E-16</v>
      </c>
      <c r="H126">
        <f>maluku_papua!I56</f>
        <v>0.83933461248077224</v>
      </c>
      <c r="I126">
        <f>maluku_papua!J56</f>
        <v>2.8494671789060377</v>
      </c>
      <c r="J126">
        <f>maluku_papua!K56</f>
        <v>2.3514219513500394</v>
      </c>
      <c r="K126">
        <f>maluku_papua!L56</f>
        <v>1.7113863050630906</v>
      </c>
      <c r="L126">
        <f>maluku_papua!M56</f>
        <v>0</v>
      </c>
      <c r="M126">
        <f>maluku_papua!N56</f>
        <v>3.0743567187536129E-3</v>
      </c>
      <c r="N126">
        <f>maluku_papua!O56</f>
        <v>0</v>
      </c>
      <c r="O126">
        <f>maluku_papua!P56</f>
        <v>0</v>
      </c>
      <c r="P126">
        <f>maluku_papua!Q56</f>
        <v>71.986566756181489</v>
      </c>
    </row>
    <row r="127" spans="1:16" x14ac:dyDescent="0.25">
      <c r="A127" t="str">
        <f>maluku_papua!B57</f>
        <v>MALUKU_PAPUA</v>
      </c>
      <c r="B127">
        <f>maluku_papua!C57</f>
        <v>2024</v>
      </c>
      <c r="C127">
        <f>maluku_papua!D57</f>
        <v>18.299617743914979</v>
      </c>
      <c r="D127">
        <f>maluku_papua!E57</f>
        <v>0.12069275361338036</v>
      </c>
      <c r="E127">
        <f>maluku_papua!F57</f>
        <v>14.826582901532571</v>
      </c>
      <c r="F127">
        <f>maluku_papua!G57</f>
        <v>34.926557496080264</v>
      </c>
      <c r="G127">
        <f>maluku_papua!H57</f>
        <v>-2.6666666531998792E-8</v>
      </c>
      <c r="H127">
        <f>maluku_papua!I57</f>
        <v>1.062731922633857</v>
      </c>
      <c r="I127">
        <f>maluku_papua!J57</f>
        <v>4.1924041139361465</v>
      </c>
      <c r="J127">
        <f>maluku_papua!K57</f>
        <v>2.3514219513500394</v>
      </c>
      <c r="K127">
        <f>maluku_papua!L57</f>
        <v>1.8003619094788643</v>
      </c>
      <c r="L127">
        <f>maluku_papua!M57</f>
        <v>0</v>
      </c>
      <c r="M127">
        <f>maluku_papua!N57</f>
        <v>3.0743567187536129E-3</v>
      </c>
      <c r="N127">
        <f>maluku_papua!O57</f>
        <v>0</v>
      </c>
      <c r="O127">
        <f>maluku_papua!P57</f>
        <v>0</v>
      </c>
      <c r="P127">
        <f>maluku_papua!Q57</f>
        <v>77.583445122592195</v>
      </c>
    </row>
    <row r="128" spans="1:16" x14ac:dyDescent="0.25">
      <c r="A128" t="str">
        <f>maluku_papua!B58</f>
        <v>MALUKU_PAPUA</v>
      </c>
      <c r="B128">
        <f>maluku_papua!C58</f>
        <v>2025</v>
      </c>
      <c r="C128">
        <f>maluku_papua!D58</f>
        <v>20.883576756435385</v>
      </c>
      <c r="D128">
        <f>maluku_papua!E58</f>
        <v>0.12069272344016184</v>
      </c>
      <c r="E128">
        <f>maluku_papua!F58</f>
        <v>16.480152084902979</v>
      </c>
      <c r="F128">
        <f>maluku_papua!G58</f>
        <v>34.926557496080264</v>
      </c>
      <c r="G128">
        <f>maluku_papua!H58</f>
        <v>-2.6666666531998792E-8</v>
      </c>
      <c r="H128">
        <f>maluku_papua!I58</f>
        <v>2.0578169128531045</v>
      </c>
      <c r="I128">
        <f>maluku_papua!J58</f>
        <v>4.3635562141934745</v>
      </c>
      <c r="J128">
        <f>maluku_papua!K58</f>
        <v>2.5089942679656581</v>
      </c>
      <c r="K128">
        <f>maluku_papua!L58</f>
        <v>2.1375750500214319</v>
      </c>
      <c r="L128">
        <f>maluku_papua!M58</f>
        <v>0</v>
      </c>
      <c r="M128">
        <f>maluku_papua!N58</f>
        <v>3.0745189839207756E-3</v>
      </c>
      <c r="N128">
        <f>maluku_papua!O58</f>
        <v>0</v>
      </c>
      <c r="O128">
        <f>maluku_papua!P58</f>
        <v>0</v>
      </c>
      <c r="P128">
        <f>maluku_papua!Q58</f>
        <v>83.481995998209712</v>
      </c>
    </row>
    <row r="129" spans="1:16" x14ac:dyDescent="0.25">
      <c r="A129" t="str">
        <f>maluku_papua!B59</f>
        <v>MALUKU_PAPUA</v>
      </c>
      <c r="B129">
        <f>maluku_papua!C59</f>
        <v>2026</v>
      </c>
      <c r="C129">
        <f>maluku_papua!D59</f>
        <v>23.862981852374666</v>
      </c>
      <c r="D129">
        <f>maluku_papua!E59</f>
        <v>0.12069272344016184</v>
      </c>
      <c r="E129">
        <f>maluku_papua!F59</f>
        <v>17.887508157411688</v>
      </c>
      <c r="F129">
        <f>maluku_papua!G59</f>
        <v>34.926557496080264</v>
      </c>
      <c r="G129">
        <f>maluku_papua!H59</f>
        <v>0</v>
      </c>
      <c r="H129">
        <f>maluku_papua!I59</f>
        <v>2.3072045309852514</v>
      </c>
      <c r="I129">
        <f>maluku_papua!J59</f>
        <v>4.8675402857244823</v>
      </c>
      <c r="J129">
        <f>maluku_papua!K59</f>
        <v>2.5424994190644599</v>
      </c>
      <c r="K129">
        <f>maluku_papua!L59</f>
        <v>2.2465796693633155</v>
      </c>
      <c r="L129">
        <f>maluku_papua!M59</f>
        <v>0</v>
      </c>
      <c r="M129">
        <f>maluku_papua!N59</f>
        <v>3.6549610143269788E-3</v>
      </c>
      <c r="N129">
        <f>maluku_papua!O59</f>
        <v>0</v>
      </c>
      <c r="O129">
        <f>maluku_papua!P59</f>
        <v>0</v>
      </c>
      <c r="P129">
        <f>maluku_papua!Q59</f>
        <v>88.765219095458619</v>
      </c>
    </row>
    <row r="130" spans="1:16" x14ac:dyDescent="0.25">
      <c r="A130" t="str">
        <f>maluku_papua!B60</f>
        <v>MALUKU_PAPUA</v>
      </c>
      <c r="B130">
        <f>maluku_papua!C60</f>
        <v>2027</v>
      </c>
      <c r="C130">
        <f>maluku_papua!D60</f>
        <v>27.022158523684386</v>
      </c>
      <c r="D130">
        <f>maluku_papua!E60</f>
        <v>0.12069269326694325</v>
      </c>
      <c r="E130">
        <f>maluku_papua!F60</f>
        <v>19.421029888738882</v>
      </c>
      <c r="F130">
        <f>maluku_papua!G60</f>
        <v>34.926557496080264</v>
      </c>
      <c r="G130">
        <f>maluku_papua!H60</f>
        <v>-2.6666666564582243E-8</v>
      </c>
      <c r="H130">
        <f>maluku_papua!I60</f>
        <v>2.5549634289557566</v>
      </c>
      <c r="I130">
        <f>maluku_papua!J60</f>
        <v>5.4636370403806289</v>
      </c>
      <c r="J130">
        <f>maluku_papua!K60</f>
        <v>2.5662997224513018</v>
      </c>
      <c r="K130">
        <f>maluku_papua!L60</f>
        <v>2.3605981778683391</v>
      </c>
      <c r="L130">
        <f>maluku_papua!M60</f>
        <v>0</v>
      </c>
      <c r="M130">
        <f>maluku_papua!N60</f>
        <v>4.1852975577546855E-3</v>
      </c>
      <c r="N130">
        <f>maluku_papua!O60</f>
        <v>0</v>
      </c>
      <c r="O130">
        <f>maluku_papua!P60</f>
        <v>0</v>
      </c>
      <c r="P130">
        <f>maluku_papua!Q60</f>
        <v>94.440122242317599</v>
      </c>
    </row>
    <row r="131" spans="1:16" x14ac:dyDescent="0.25">
      <c r="A131" t="str">
        <f>maluku_papua!B61</f>
        <v>MALUKU_PAPUA</v>
      </c>
      <c r="B131">
        <f>maluku_papua!C61</f>
        <v>2028</v>
      </c>
      <c r="C131">
        <f>maluku_papua!D61</f>
        <v>30.371121106363656</v>
      </c>
      <c r="D131">
        <f>maluku_papua!E61</f>
        <v>0.12069266309372469</v>
      </c>
      <c r="E131">
        <f>maluku_papua!F61</f>
        <v>21.092430687423743</v>
      </c>
      <c r="F131">
        <f>maluku_papua!G61</f>
        <v>34.926557496080264</v>
      </c>
      <c r="G131">
        <f>maluku_papua!H61</f>
        <v>-5.8219123815672382E-16</v>
      </c>
      <c r="H131">
        <f>maluku_papua!I61</f>
        <v>2.5549634289557566</v>
      </c>
      <c r="I131">
        <f>maluku_papua!J61</f>
        <v>5.4636370137448376</v>
      </c>
      <c r="J131">
        <f>maluku_papua!K61</f>
        <v>2.6561950919962558</v>
      </c>
      <c r="K131">
        <f>maluku_papua!L61</f>
        <v>3.1941195605868167</v>
      </c>
      <c r="L131">
        <f>maluku_papua!M61</f>
        <v>0</v>
      </c>
      <c r="M131">
        <f>maluku_papua!N61</f>
        <v>4.8231059394411675E-3</v>
      </c>
      <c r="N131">
        <f>maluku_papua!O61</f>
        <v>0</v>
      </c>
      <c r="O131">
        <f>maluku_papua!P61</f>
        <v>0</v>
      </c>
      <c r="P131">
        <f>maluku_papua!Q61</f>
        <v>100.38454015418449</v>
      </c>
    </row>
    <row r="132" spans="1:16" x14ac:dyDescent="0.25">
      <c r="A132" t="str">
        <f>maluku_papua!B62</f>
        <v>MALUKU_PAPUA</v>
      </c>
      <c r="B132">
        <f>maluku_papua!C62</f>
        <v>2029</v>
      </c>
      <c r="C132">
        <f>maluku_papua!D62</f>
        <v>33.920396138955176</v>
      </c>
      <c r="D132">
        <f>maluku_papua!E62</f>
        <v>0.12069263292050614</v>
      </c>
      <c r="E132">
        <f>maluku_papua!F62</f>
        <v>22.914463731491239</v>
      </c>
      <c r="F132">
        <f>maluku_papua!G62</f>
        <v>34.926557496080264</v>
      </c>
      <c r="G132">
        <f>maluku_papua!H62</f>
        <v>-5.8219123815672382E-16</v>
      </c>
      <c r="H132">
        <f>maluku_papua!I62</f>
        <v>2.7853170011807613</v>
      </c>
      <c r="I132">
        <f>maluku_papua!J62</f>
        <v>6.2851212060305128</v>
      </c>
      <c r="J132">
        <f>maluku_papua!K62</f>
        <v>2.6797247443777041</v>
      </c>
      <c r="K132">
        <f>maluku_papua!L62</f>
        <v>3.2974500832693789</v>
      </c>
      <c r="L132">
        <f>maluku_papua!M62</f>
        <v>0</v>
      </c>
      <c r="M132">
        <f>maluku_papua!N62</f>
        <v>5.9912399090832876E-3</v>
      </c>
      <c r="N132">
        <f>maluku_papua!O62</f>
        <v>0</v>
      </c>
      <c r="O132">
        <f>maluku_papua!P62</f>
        <v>0</v>
      </c>
      <c r="P132">
        <f>maluku_papua!Q62</f>
        <v>106.93571427421462</v>
      </c>
    </row>
    <row r="133" spans="1:16" x14ac:dyDescent="0.25">
      <c r="A133" t="str">
        <f>maluku_papua!B63</f>
        <v>MALUKU_PAPUA</v>
      </c>
      <c r="B133">
        <f>maluku_papua!C63</f>
        <v>2030</v>
      </c>
      <c r="C133">
        <f>maluku_papua!D63</f>
        <v>37.680995422822612</v>
      </c>
      <c r="D133">
        <f>maluku_papua!E63</f>
        <v>0.12069263292050614</v>
      </c>
      <c r="E133">
        <f>maluku_papua!F63</f>
        <v>24.901089929643639</v>
      </c>
      <c r="F133">
        <f>maluku_papua!G63</f>
        <v>34.926557496080264</v>
      </c>
      <c r="G133">
        <f>maluku_papua!H63</f>
        <v>0</v>
      </c>
      <c r="H133">
        <f>maluku_papua!I63</f>
        <v>3.1132757657923831</v>
      </c>
      <c r="I133">
        <f>maluku_papua!J63</f>
        <v>7.0054348161747262</v>
      </c>
      <c r="J133">
        <f>maluku_papua!K63</f>
        <v>2.7335167389785218</v>
      </c>
      <c r="K133">
        <f>maluku_papua!L63</f>
        <v>3.4470753039608897</v>
      </c>
      <c r="L133">
        <f>maluku_papua!M63</f>
        <v>0</v>
      </c>
      <c r="M133">
        <f>maluku_papua!N63</f>
        <v>5.9912399090832876E-3</v>
      </c>
      <c r="N133">
        <f>maluku_papua!O63</f>
        <v>0</v>
      </c>
      <c r="O133">
        <f>maluku_papua!P63</f>
        <v>0</v>
      </c>
      <c r="P133">
        <f>maluku_papua!Q63</f>
        <v>113.93462934628262</v>
      </c>
    </row>
    <row r="134" spans="1:16" x14ac:dyDescent="0.25">
      <c r="A134" t="str">
        <f>maluku_papua!B64</f>
        <v>MALUKU_PAPUA</v>
      </c>
      <c r="B134">
        <f>maluku_papua!C64</f>
        <v>2031</v>
      </c>
      <c r="C134">
        <f>maluku_papua!D64</f>
        <v>41.6644452618334</v>
      </c>
      <c r="D134">
        <f>maluku_papua!E64</f>
        <v>0.12069263292050614</v>
      </c>
      <c r="E134">
        <f>maluku_papua!F64</f>
        <v>27.067564203575873</v>
      </c>
      <c r="F134">
        <f>maluku_papua!G64</f>
        <v>34.926557496080264</v>
      </c>
      <c r="G134">
        <f>maluku_papua!H64</f>
        <v>-2.6666666564582243E-8</v>
      </c>
      <c r="H134">
        <f>maluku_papua!I64</f>
        <v>3.5511484919520635</v>
      </c>
      <c r="I134">
        <f>maluku_papua!J64</f>
        <v>7.5745749743340385</v>
      </c>
      <c r="J134">
        <f>maluku_papua!K64</f>
        <v>2.7437559673375871</v>
      </c>
      <c r="K134">
        <f>maluku_papua!L64</f>
        <v>3.7517711540809446</v>
      </c>
      <c r="L134">
        <f>maluku_papua!M64</f>
        <v>0</v>
      </c>
      <c r="M134">
        <f>maluku_papua!N64</f>
        <v>5.9912399090832876E-3</v>
      </c>
      <c r="N134">
        <f>maluku_papua!O64</f>
        <v>0</v>
      </c>
      <c r="O134">
        <f>maluku_papua!P64</f>
        <v>0</v>
      </c>
      <c r="P134">
        <f>maluku_papua!Q64</f>
        <v>121.4065013953571</v>
      </c>
    </row>
    <row r="135" spans="1:16" x14ac:dyDescent="0.25">
      <c r="A135" t="str">
        <f>maluku_papua!B65</f>
        <v>MALUKU_PAPUA</v>
      </c>
      <c r="B135">
        <f>maluku_papua!C65</f>
        <v>2032</v>
      </c>
      <c r="C135">
        <f>maluku_papua!D65</f>
        <v>45.882795521083168</v>
      </c>
      <c r="D135">
        <f>maluku_papua!E65</f>
        <v>0.12069263292050614</v>
      </c>
      <c r="E135">
        <f>maluku_papua!F65</f>
        <v>29.430562845669947</v>
      </c>
      <c r="F135">
        <f>maluku_papua!G65</f>
        <v>34.926557496080264</v>
      </c>
      <c r="G135">
        <f>maluku_papua!H65</f>
        <v>-2.6666666564582243E-8</v>
      </c>
      <c r="H135">
        <f>maluku_papua!I65</f>
        <v>3.9466577264367917</v>
      </c>
      <c r="I135">
        <f>maluku_papua!J65</f>
        <v>8.4094224932231345</v>
      </c>
      <c r="J135">
        <f>maluku_papua!K65</f>
        <v>2.8083014134435813</v>
      </c>
      <c r="K135">
        <f>maluku_papua!L65</f>
        <v>3.9321445618570898</v>
      </c>
      <c r="L135">
        <f>maluku_papua!M65</f>
        <v>0</v>
      </c>
      <c r="M135">
        <f>maluku_papua!N65</f>
        <v>7.2151557277953179E-3</v>
      </c>
      <c r="N135">
        <f>maluku_papua!O65</f>
        <v>0</v>
      </c>
      <c r="O135">
        <f>maluku_papua!P65</f>
        <v>0</v>
      </c>
      <c r="P135">
        <f>maluku_papua!Q65</f>
        <v>129.46434981977563</v>
      </c>
    </row>
    <row r="136" spans="1:16" x14ac:dyDescent="0.25">
      <c r="A136" t="str">
        <f>maluku_papua!B66</f>
        <v>MALUKU_PAPUA</v>
      </c>
      <c r="B136">
        <f>maluku_papua!C66</f>
        <v>2033</v>
      </c>
      <c r="C136">
        <f>maluku_papua!D66</f>
        <v>50.34863114925475</v>
      </c>
      <c r="D136">
        <f>maluku_papua!E66</f>
        <v>0.12069260274728762</v>
      </c>
      <c r="E136">
        <f>maluku_papua!F66</f>
        <v>32.008316716155896</v>
      </c>
      <c r="F136">
        <f>maluku_papua!G66</f>
        <v>34.926557496080264</v>
      </c>
      <c r="G136">
        <f>maluku_papua!H66</f>
        <v>0</v>
      </c>
      <c r="H136">
        <f>maluku_papua!I66</f>
        <v>3.949057800973232</v>
      </c>
      <c r="I136">
        <f>maluku_papua!J66</f>
        <v>9.0195968427617448</v>
      </c>
      <c r="J136">
        <f>maluku_papua!K66</f>
        <v>3.3230947590331903</v>
      </c>
      <c r="K136">
        <f>maluku_papua!L66</f>
        <v>4.3295215490128269</v>
      </c>
      <c r="L136">
        <f>maluku_papua!M66</f>
        <v>0</v>
      </c>
      <c r="M136">
        <f>maluku_papua!N66</f>
        <v>7.2151557277953179E-3</v>
      </c>
      <c r="N136">
        <f>maluku_papua!O66</f>
        <v>0</v>
      </c>
      <c r="O136">
        <f>maluku_papua!P66</f>
        <v>0</v>
      </c>
      <c r="P136">
        <f>maluku_papua!Q66</f>
        <v>138.03268407174701</v>
      </c>
    </row>
    <row r="137" spans="1:16" x14ac:dyDescent="0.25">
      <c r="A137" t="str">
        <f>maluku_papua!B67</f>
        <v>MALUKU_PAPUA</v>
      </c>
      <c r="B137">
        <f>maluku_papua!C67</f>
        <v>2034</v>
      </c>
      <c r="C137">
        <f>maluku_papua!D67</f>
        <v>55.075080144910764</v>
      </c>
      <c r="D137">
        <f>maluku_papua!E67</f>
        <v>0.12069260274728762</v>
      </c>
      <c r="E137">
        <f>maluku_papua!F67</f>
        <v>34.820760009451796</v>
      </c>
      <c r="F137">
        <f>maluku_papua!G67</f>
        <v>34.926557496080264</v>
      </c>
      <c r="G137">
        <f>maluku_papua!H67</f>
        <v>-5.8219127021972278E-16</v>
      </c>
      <c r="H137">
        <f>maluku_papua!I67</f>
        <v>4.3820596748578273</v>
      </c>
      <c r="I137">
        <f>maluku_papua!J67</f>
        <v>10.128624967430572</v>
      </c>
      <c r="J137">
        <f>maluku_papua!K67</f>
        <v>3.383821170300656</v>
      </c>
      <c r="K137">
        <f>maluku_papua!L67</f>
        <v>4.4957512306944691</v>
      </c>
      <c r="L137">
        <f>maluku_papua!M67</f>
        <v>0</v>
      </c>
      <c r="M137">
        <f>maluku_papua!N67</f>
        <v>7.2665765349616005E-3</v>
      </c>
      <c r="N137">
        <f>maluku_papua!O67</f>
        <v>0</v>
      </c>
      <c r="O137">
        <f>maluku_papua!P67</f>
        <v>0</v>
      </c>
      <c r="P137">
        <f>maluku_papua!Q67</f>
        <v>147.34061387300858</v>
      </c>
    </row>
    <row r="138" spans="1:16" x14ac:dyDescent="0.25">
      <c r="A138" t="str">
        <f>maluku_papua!B68</f>
        <v>MALUKU_PAPUA</v>
      </c>
      <c r="B138">
        <f>maluku_papua!C68</f>
        <v>2035</v>
      </c>
      <c r="C138">
        <f>maluku_papua!D68</f>
        <v>60.212870261552212</v>
      </c>
      <c r="D138">
        <f>maluku_papua!E68</f>
        <v>0.1206925725740691</v>
      </c>
      <c r="E138">
        <f>maluku_papua!F68</f>
        <v>37.669617812211072</v>
      </c>
      <c r="F138">
        <f>maluku_papua!G68</f>
        <v>34.926557496080264</v>
      </c>
      <c r="G138">
        <f>maluku_papua!H68</f>
        <v>-2.6666666224611475E-8</v>
      </c>
      <c r="H138">
        <f>maluku_papua!I68</f>
        <v>5.5070825087013633</v>
      </c>
      <c r="I138">
        <f>maluku_papua!J68</f>
        <v>10.133952098948626</v>
      </c>
      <c r="J138">
        <f>maluku_papua!K68</f>
        <v>3.9407299994416216</v>
      </c>
      <c r="K138">
        <f>maluku_papua!L68</f>
        <v>4.4967482095194109</v>
      </c>
      <c r="L138">
        <f>maluku_papua!M68</f>
        <v>0</v>
      </c>
      <c r="M138">
        <f>maluku_papua!N68</f>
        <v>9.2216513687347294E-3</v>
      </c>
      <c r="N138">
        <f>maluku_papua!O68</f>
        <v>0</v>
      </c>
      <c r="O138">
        <f>maluku_papua!P68</f>
        <v>0</v>
      </c>
      <c r="P138">
        <f>maluku_papua!Q68</f>
        <v>157.01747258373069</v>
      </c>
    </row>
    <row r="139" spans="1:16" x14ac:dyDescent="0.25">
      <c r="A139" t="str">
        <f>maluku_papua!B69</f>
        <v>MALUKU_PAPUA</v>
      </c>
      <c r="B139">
        <f>maluku_papua!C69</f>
        <v>2036</v>
      </c>
      <c r="C139">
        <f>maluku_papua!D69</f>
        <v>64.982306433469546</v>
      </c>
      <c r="D139">
        <f>maluku_papua!E69</f>
        <v>0.1206925725740691</v>
      </c>
      <c r="E139">
        <f>maluku_papua!F69</f>
        <v>41.853617354373554</v>
      </c>
      <c r="F139">
        <f>maluku_papua!G69</f>
        <v>34.926557496080264</v>
      </c>
      <c r="G139">
        <f>maluku_papua!H69</f>
        <v>-5.8219129770229299E-16</v>
      </c>
      <c r="H139">
        <f>maluku_papua!I69</f>
        <v>5.5076162531830901</v>
      </c>
      <c r="I139">
        <f>maluku_papua!J69</f>
        <v>13.181958319675779</v>
      </c>
      <c r="J139">
        <f>maluku_papua!K69</f>
        <v>4.170090843985153</v>
      </c>
      <c r="K139">
        <f>maluku_papua!L69</f>
        <v>4.7755841156528076</v>
      </c>
      <c r="L139">
        <f>maluku_papua!M69</f>
        <v>0</v>
      </c>
      <c r="M139">
        <f>maluku_papua!N69</f>
        <v>9.2216513687347294E-3</v>
      </c>
      <c r="N139">
        <f>maluku_papua!O69</f>
        <v>0</v>
      </c>
      <c r="O139">
        <f>maluku_papua!P69</f>
        <v>0</v>
      </c>
      <c r="P139">
        <f>maluku_papua!Q69</f>
        <v>169.52764504036298</v>
      </c>
    </row>
    <row r="140" spans="1:16" x14ac:dyDescent="0.25">
      <c r="A140" t="str">
        <f>maluku_papua!B70</f>
        <v>MALUKU_PAPUA</v>
      </c>
      <c r="B140">
        <f>maluku_papua!C70</f>
        <v>2037</v>
      </c>
      <c r="C140">
        <f>maluku_papua!D70</f>
        <v>70.106207707296036</v>
      </c>
      <c r="D140">
        <f>maluku_papua!E70</f>
        <v>0.12069254240085059</v>
      </c>
      <c r="E140">
        <f>maluku_papua!F70</f>
        <v>46.261882144114523</v>
      </c>
      <c r="F140">
        <f>maluku_papua!G70</f>
        <v>34.926557496080264</v>
      </c>
      <c r="G140">
        <f>maluku_papua!H70</f>
        <v>0</v>
      </c>
      <c r="H140">
        <f>maluku_papua!I70</f>
        <v>5.9943921337804076</v>
      </c>
      <c r="I140">
        <f>maluku_papua!J70</f>
        <v>16.325439300343643</v>
      </c>
      <c r="J140">
        <f>maluku_papua!K70</f>
        <v>4.2495380023763278</v>
      </c>
      <c r="K140">
        <f>maluku_papua!L70</f>
        <v>4.9975774731480405</v>
      </c>
      <c r="L140">
        <f>maluku_papua!M70</f>
        <v>0</v>
      </c>
      <c r="M140">
        <f>maluku_papua!N70</f>
        <v>1.1191802144054894E-2</v>
      </c>
      <c r="N140">
        <f>maluku_papua!O70</f>
        <v>0</v>
      </c>
      <c r="O140">
        <f>maluku_papua!P70</f>
        <v>0</v>
      </c>
      <c r="P140">
        <f>maluku_papua!Q70</f>
        <v>182.99347860168413</v>
      </c>
    </row>
    <row r="141" spans="1:16" x14ac:dyDescent="0.25">
      <c r="A141" t="str">
        <f>maluku_papua!B71</f>
        <v>MALUKU_PAPUA</v>
      </c>
      <c r="B141">
        <f>maluku_papua!C71</f>
        <v>2038</v>
      </c>
      <c r="C141">
        <f>maluku_papua!D71</f>
        <v>71.824376674101075</v>
      </c>
      <c r="D141">
        <f>maluku_papua!E71</f>
        <v>0.12069254240085059</v>
      </c>
      <c r="E141">
        <f>maluku_papua!F71</f>
        <v>48.543294258386027</v>
      </c>
      <c r="F141">
        <f>maluku_papua!G71</f>
        <v>37.418712488271247</v>
      </c>
      <c r="G141">
        <f>maluku_papua!H71</f>
        <v>0</v>
      </c>
      <c r="H141">
        <f>maluku_papua!I71</f>
        <v>5.9943921337804076</v>
      </c>
      <c r="I141">
        <f>maluku_papua!J71</f>
        <v>16.325439300343643</v>
      </c>
      <c r="J141">
        <f>maluku_papua!K71</f>
        <v>4.2495380023763278</v>
      </c>
      <c r="K141">
        <f>maluku_papua!L71</f>
        <v>4.9975774731480405</v>
      </c>
      <c r="L141">
        <f>maluku_papua!M71</f>
        <v>0</v>
      </c>
      <c r="M141">
        <f>maluku_papua!N71</f>
        <v>1.1191802144054894E-2</v>
      </c>
      <c r="N141">
        <f>maluku_papua!O71</f>
        <v>0</v>
      </c>
      <c r="O141">
        <f>maluku_papua!P71</f>
        <v>0</v>
      </c>
      <c r="P141">
        <f>maluku_papua!Q71</f>
        <v>189.48521467495166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EC35-A2FD-4D54-A9E3-C993CB6A19B4}">
  <sheetPr codeName="Sheet21"/>
  <dimension ref="A1:P141"/>
  <sheetViews>
    <sheetView workbookViewId="0">
      <selection activeCell="C2" sqref="C2"/>
    </sheetView>
  </sheetViews>
  <sheetFormatPr defaultRowHeight="15" x14ac:dyDescent="0.25"/>
  <cols>
    <col min="1" max="1" width="16.85546875" customWidth="1"/>
  </cols>
  <sheetData>
    <row r="1" spans="1:16" x14ac:dyDescent="0.25">
      <c r="A1" t="str">
        <f>indonesia!B75</f>
        <v>region</v>
      </c>
      <c r="B1" t="str">
        <f>indonesia!C75</f>
        <v>year</v>
      </c>
      <c r="C1" t="str">
        <f>indonesia!D75</f>
        <v>coal</v>
      </c>
      <c r="D1" t="str">
        <f>indonesia!E75</f>
        <v>ocgt</v>
      </c>
      <c r="E1" t="str">
        <f>indonesia!F75</f>
        <v>ccgt</v>
      </c>
      <c r="F1" t="str">
        <f>indonesia!G75</f>
        <v>reciprocating</v>
      </c>
      <c r="G1" t="str">
        <f>indonesia!H75</f>
        <v>geothermal</v>
      </c>
      <c r="H1" t="str">
        <f>indonesia!I75</f>
        <v>lhydro</v>
      </c>
      <c r="I1" t="str">
        <f>indonesia!J75</f>
        <v>mhydro</v>
      </c>
      <c r="J1" t="str">
        <f>indonesia!K75</f>
        <v>solar</v>
      </c>
      <c r="K1" t="str">
        <f>indonesia!L75</f>
        <v>wind</v>
      </c>
      <c r="L1" t="str">
        <f>indonesia!M75</f>
        <v>biomass</v>
      </c>
      <c r="M1" t="str">
        <f>indonesia!N75</f>
        <v>ocean</v>
      </c>
      <c r="N1" t="str">
        <f>indonesia!O75</f>
        <v>waste</v>
      </c>
      <c r="O1" t="str">
        <f>indonesia!P75</f>
        <v>storage</v>
      </c>
      <c r="P1" t="str">
        <f>indonesia!Q75</f>
        <v>total</v>
      </c>
    </row>
    <row r="2" spans="1:16" x14ac:dyDescent="0.25">
      <c r="A2" t="str">
        <f>indonesia!B76</f>
        <v>INDONESIA</v>
      </c>
      <c r="B2">
        <f>indonesia!C76</f>
        <v>2019</v>
      </c>
      <c r="C2">
        <f>SUM(C22,C42,C62,C82,C102,C122)</f>
        <v>601.52157285216003</v>
      </c>
      <c r="D2">
        <f t="shared" ref="D2:P2" si="0">SUM(D22,D42,D62,D82,D102,D122)</f>
        <v>60.682671408561241</v>
      </c>
      <c r="E2">
        <f t="shared" si="0"/>
        <v>114.82758348014771</v>
      </c>
      <c r="F2">
        <f t="shared" si="0"/>
        <v>119.15546326449233</v>
      </c>
      <c r="G2">
        <f t="shared" si="0"/>
        <v>46.404088704000003</v>
      </c>
      <c r="H2">
        <f t="shared" si="0"/>
        <v>90.928836355347713</v>
      </c>
      <c r="I2">
        <f t="shared" si="0"/>
        <v>3.614370264221539</v>
      </c>
      <c r="J2">
        <f t="shared" si="0"/>
        <v>0.11602725120000001</v>
      </c>
      <c r="K2">
        <f t="shared" si="0"/>
        <v>0</v>
      </c>
      <c r="L2">
        <f t="shared" si="0"/>
        <v>1.2844213141846155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1038.535034894315</v>
      </c>
    </row>
    <row r="3" spans="1:16" x14ac:dyDescent="0.25">
      <c r="A3" t="str">
        <f>indonesia!B77</f>
        <v>INDONESIA</v>
      </c>
      <c r="B3">
        <f>indonesia!C77</f>
        <v>2020</v>
      </c>
      <c r="C3">
        <f t="shared" ref="C3:P18" si="1">SUM(C23,C43,C63,C83,C103,C123)</f>
        <v>638.06037372749608</v>
      </c>
      <c r="D3">
        <f t="shared" si="1"/>
        <v>60.682671387037679</v>
      </c>
      <c r="E3">
        <f t="shared" si="1"/>
        <v>150.83460855616221</v>
      </c>
      <c r="F3">
        <f t="shared" si="1"/>
        <v>119.15546326449233</v>
      </c>
      <c r="G3">
        <f t="shared" si="1"/>
        <v>49.483520142767517</v>
      </c>
      <c r="H3">
        <f t="shared" si="1"/>
        <v>124.48205953843872</v>
      </c>
      <c r="I3">
        <f t="shared" si="1"/>
        <v>4.8202851161913181</v>
      </c>
      <c r="J3">
        <f t="shared" si="1"/>
        <v>44.994603298243419</v>
      </c>
      <c r="K3">
        <f t="shared" si="1"/>
        <v>0.61660357788642628</v>
      </c>
      <c r="L3">
        <f t="shared" si="1"/>
        <v>1.2844213105846154</v>
      </c>
      <c r="M3">
        <f t="shared" si="1"/>
        <v>6.0371029769733027E-2</v>
      </c>
      <c r="N3">
        <f t="shared" si="1"/>
        <v>0</v>
      </c>
      <c r="O3">
        <f t="shared" si="1"/>
        <v>4.5020926723221463E-5</v>
      </c>
      <c r="P3">
        <f t="shared" si="1"/>
        <v>1194.47498094907</v>
      </c>
    </row>
    <row r="4" spans="1:16" x14ac:dyDescent="0.25">
      <c r="A4" t="str">
        <f>indonesia!B78</f>
        <v>INDONESIA</v>
      </c>
      <c r="B4">
        <f>indonesia!C78</f>
        <v>2021</v>
      </c>
      <c r="C4">
        <f t="shared" si="1"/>
        <v>642.6301136285017</v>
      </c>
      <c r="D4">
        <f t="shared" si="1"/>
        <v>70.215900422579921</v>
      </c>
      <c r="E4">
        <f t="shared" si="1"/>
        <v>244.26254450104432</v>
      </c>
      <c r="F4">
        <f t="shared" si="1"/>
        <v>119.30500148188999</v>
      </c>
      <c r="G4">
        <f t="shared" si="1"/>
        <v>49.48352011940662</v>
      </c>
      <c r="H4">
        <f t="shared" si="1"/>
        <v>131.40776073875884</v>
      </c>
      <c r="I4">
        <f t="shared" si="1"/>
        <v>6.4299903784776751</v>
      </c>
      <c r="J4">
        <f t="shared" si="1"/>
        <v>49.222227531157685</v>
      </c>
      <c r="K4">
        <f t="shared" si="1"/>
        <v>1.028399894155928</v>
      </c>
      <c r="L4">
        <f t="shared" si="1"/>
        <v>1.2844213141846155</v>
      </c>
      <c r="M4">
        <f t="shared" si="1"/>
        <v>6.2992311786440769E-2</v>
      </c>
      <c r="N4">
        <f t="shared" si="1"/>
        <v>0</v>
      </c>
      <c r="O4">
        <f t="shared" si="1"/>
        <v>5.1604362895699923E-5</v>
      </c>
      <c r="P4">
        <f t="shared" si="1"/>
        <v>1315.3328723219436</v>
      </c>
    </row>
    <row r="5" spans="1:16" x14ac:dyDescent="0.25">
      <c r="A5" t="str">
        <f>indonesia!B79</f>
        <v>INDONESIA</v>
      </c>
      <c r="B5">
        <f>indonesia!C79</f>
        <v>2022</v>
      </c>
      <c r="C5">
        <f t="shared" si="1"/>
        <v>647.56342384191078</v>
      </c>
      <c r="D5">
        <f t="shared" si="1"/>
        <v>75.168512868389044</v>
      </c>
      <c r="E5">
        <f t="shared" si="1"/>
        <v>295.75073521362435</v>
      </c>
      <c r="F5">
        <f t="shared" si="1"/>
        <v>120.93702630927497</v>
      </c>
      <c r="G5">
        <f t="shared" si="1"/>
        <v>49.48352011940662</v>
      </c>
      <c r="H5">
        <f t="shared" si="1"/>
        <v>133.60275243113315</v>
      </c>
      <c r="I5">
        <f t="shared" si="1"/>
        <v>7.100455577326076</v>
      </c>
      <c r="J5">
        <f t="shared" si="1"/>
        <v>54.133389228276847</v>
      </c>
      <c r="K5">
        <f t="shared" si="1"/>
        <v>10.520180583612044</v>
      </c>
      <c r="L5">
        <f t="shared" si="1"/>
        <v>1.2844213141846155</v>
      </c>
      <c r="M5">
        <f t="shared" si="1"/>
        <v>6.338673788786775E-2</v>
      </c>
      <c r="N5">
        <f t="shared" si="1"/>
        <v>0</v>
      </c>
      <c r="O5">
        <f t="shared" si="1"/>
        <v>5.7518062663099699E-5</v>
      </c>
      <c r="P5">
        <f t="shared" si="1"/>
        <v>1395.6078042250265</v>
      </c>
    </row>
    <row r="6" spans="1:16" x14ac:dyDescent="0.25">
      <c r="A6" t="str">
        <f>indonesia!B80</f>
        <v>INDONESIA</v>
      </c>
      <c r="B6">
        <f>indonesia!C80</f>
        <v>2023</v>
      </c>
      <c r="C6">
        <f t="shared" si="1"/>
        <v>649.42783815750192</v>
      </c>
      <c r="D6">
        <f t="shared" si="1"/>
        <v>86.180913230701663</v>
      </c>
      <c r="E6">
        <f t="shared" si="1"/>
        <v>326.93789947072281</v>
      </c>
      <c r="F6">
        <f t="shared" si="1"/>
        <v>132.37649064064206</v>
      </c>
      <c r="G6">
        <f t="shared" si="1"/>
        <v>49.484845490888191</v>
      </c>
      <c r="H6">
        <f t="shared" si="1"/>
        <v>137.33847193927411</v>
      </c>
      <c r="I6">
        <f t="shared" si="1"/>
        <v>7.1005281698093379</v>
      </c>
      <c r="J6">
        <f t="shared" si="1"/>
        <v>55.03158176708223</v>
      </c>
      <c r="K6">
        <f t="shared" si="1"/>
        <v>36.365374056094524</v>
      </c>
      <c r="L6">
        <f t="shared" si="1"/>
        <v>1.7911259577473841</v>
      </c>
      <c r="M6">
        <f t="shared" si="1"/>
        <v>6.3445393688486645E-2</v>
      </c>
      <c r="N6">
        <f t="shared" si="1"/>
        <v>0</v>
      </c>
      <c r="O6">
        <f t="shared" si="1"/>
        <v>6.2714504545470111E-5</v>
      </c>
      <c r="P6">
        <f t="shared" si="1"/>
        <v>1482.0985142741526</v>
      </c>
    </row>
    <row r="7" spans="1:16" x14ac:dyDescent="0.25">
      <c r="A7" t="str">
        <f>indonesia!B81</f>
        <v>INDONESIA</v>
      </c>
      <c r="B7">
        <f>indonesia!C81</f>
        <v>2024</v>
      </c>
      <c r="C7">
        <f t="shared" si="1"/>
        <v>650.66553286809233</v>
      </c>
      <c r="D7">
        <f t="shared" si="1"/>
        <v>93.061064661794134</v>
      </c>
      <c r="E7">
        <f t="shared" si="1"/>
        <v>361.16508671676695</v>
      </c>
      <c r="F7">
        <f t="shared" si="1"/>
        <v>138.43955115623464</v>
      </c>
      <c r="G7">
        <f t="shared" si="1"/>
        <v>49.486957756345966</v>
      </c>
      <c r="H7">
        <f t="shared" si="1"/>
        <v>137.71863205314398</v>
      </c>
      <c r="I7">
        <f t="shared" si="1"/>
        <v>8.1932702021930446</v>
      </c>
      <c r="J7">
        <f t="shared" si="1"/>
        <v>55.944183620033201</v>
      </c>
      <c r="K7">
        <f t="shared" si="1"/>
        <v>80.484895841155975</v>
      </c>
      <c r="L7">
        <f t="shared" si="1"/>
        <v>2.8181662243146612</v>
      </c>
      <c r="M7">
        <f t="shared" si="1"/>
        <v>6.3445393688486645E-2</v>
      </c>
      <c r="N7">
        <f t="shared" si="1"/>
        <v>0</v>
      </c>
      <c r="O7">
        <f t="shared" si="1"/>
        <v>6.5031877401862382E-5</v>
      </c>
      <c r="P7">
        <f t="shared" si="1"/>
        <v>1578.0407864937636</v>
      </c>
    </row>
    <row r="8" spans="1:16" x14ac:dyDescent="0.25">
      <c r="A8" t="str">
        <f>indonesia!B82</f>
        <v>INDONESIA</v>
      </c>
      <c r="B8">
        <f>indonesia!C82</f>
        <v>2025</v>
      </c>
      <c r="C8">
        <f t="shared" si="1"/>
        <v>653.92643988179714</v>
      </c>
      <c r="D8">
        <f t="shared" si="1"/>
        <v>98.679824173904549</v>
      </c>
      <c r="E8">
        <f t="shared" si="1"/>
        <v>391.610390596201</v>
      </c>
      <c r="F8">
        <f t="shared" si="1"/>
        <v>144.61455912161244</v>
      </c>
      <c r="G8">
        <f t="shared" si="1"/>
        <v>49.486957756345966</v>
      </c>
      <c r="H8">
        <f t="shared" si="1"/>
        <v>142.35570703995973</v>
      </c>
      <c r="I8">
        <f t="shared" si="1"/>
        <v>8.330191882398907</v>
      </c>
      <c r="J8">
        <f t="shared" si="1"/>
        <v>57.208399537633994</v>
      </c>
      <c r="K8">
        <f t="shared" si="1"/>
        <v>125.21275172705396</v>
      </c>
      <c r="L8">
        <f t="shared" si="1"/>
        <v>3.827910563055851</v>
      </c>
      <c r="M8">
        <f t="shared" si="1"/>
        <v>6.3445555953653796E-2</v>
      </c>
      <c r="N8">
        <f t="shared" si="1"/>
        <v>0</v>
      </c>
      <c r="O8">
        <f t="shared" si="1"/>
        <v>6.8029007102282896E-5</v>
      </c>
      <c r="P8">
        <f t="shared" si="1"/>
        <v>1675.3165778359173</v>
      </c>
    </row>
    <row r="9" spans="1:16" x14ac:dyDescent="0.25">
      <c r="A9" t="str">
        <f>indonesia!B83</f>
        <v>INDONESIA</v>
      </c>
      <c r="B9">
        <f>indonesia!C83</f>
        <v>2026</v>
      </c>
      <c r="C9">
        <f t="shared" si="1"/>
        <v>665.9577483829604</v>
      </c>
      <c r="D9">
        <f t="shared" si="1"/>
        <v>105.67387448560584</v>
      </c>
      <c r="E9">
        <f t="shared" si="1"/>
        <v>444.26769679847149</v>
      </c>
      <c r="F9">
        <f t="shared" si="1"/>
        <v>145.81657081577919</v>
      </c>
      <c r="G9">
        <f t="shared" si="1"/>
        <v>49.674257516533643</v>
      </c>
      <c r="H9">
        <f t="shared" si="1"/>
        <v>142.59262527718528</v>
      </c>
      <c r="I9">
        <f t="shared" si="1"/>
        <v>8.7333785250608198</v>
      </c>
      <c r="J9">
        <f t="shared" si="1"/>
        <v>59.101864019624188</v>
      </c>
      <c r="K9">
        <f t="shared" si="1"/>
        <v>166.77966717479399</v>
      </c>
      <c r="L9">
        <f t="shared" si="1"/>
        <v>4.5064180782659733</v>
      </c>
      <c r="M9">
        <f t="shared" si="1"/>
        <v>6.4025997984060001E-2</v>
      </c>
      <c r="N9">
        <f t="shared" si="1"/>
        <v>0</v>
      </c>
      <c r="O9">
        <f t="shared" si="1"/>
        <v>7.1555064394995428E-5</v>
      </c>
      <c r="P9">
        <f t="shared" si="1"/>
        <v>1793.1681270722647</v>
      </c>
    </row>
    <row r="10" spans="1:16" x14ac:dyDescent="0.25">
      <c r="A10" t="str">
        <f>indonesia!B84</f>
        <v>INDONESIA</v>
      </c>
      <c r="B10">
        <f>indonesia!C84</f>
        <v>2027</v>
      </c>
      <c r="C10">
        <f t="shared" si="1"/>
        <v>679.80773681251003</v>
      </c>
      <c r="D10">
        <f t="shared" si="1"/>
        <v>112.60552023999956</v>
      </c>
      <c r="E10">
        <f t="shared" si="1"/>
        <v>498.76749911578435</v>
      </c>
      <c r="F10">
        <f t="shared" si="1"/>
        <v>147.58151350939238</v>
      </c>
      <c r="G10">
        <f t="shared" si="1"/>
        <v>49.674257512933643</v>
      </c>
      <c r="H10">
        <f t="shared" si="1"/>
        <v>142.8279962142758</v>
      </c>
      <c r="I10">
        <f t="shared" si="1"/>
        <v>15.42269847731823</v>
      </c>
      <c r="J10">
        <f t="shared" si="1"/>
        <v>62.008250408584615</v>
      </c>
      <c r="K10">
        <f t="shared" si="1"/>
        <v>210.59935242092359</v>
      </c>
      <c r="L10">
        <f t="shared" si="1"/>
        <v>5.1510156841900478</v>
      </c>
      <c r="M10">
        <f t="shared" si="1"/>
        <v>6.4556334527487713E-2</v>
      </c>
      <c r="N10">
        <f t="shared" si="1"/>
        <v>0</v>
      </c>
      <c r="O10">
        <f t="shared" si="1"/>
        <v>7.487809373722951E-5</v>
      </c>
      <c r="P10">
        <f t="shared" si="1"/>
        <v>1924.5103967304397</v>
      </c>
    </row>
    <row r="11" spans="1:16" x14ac:dyDescent="0.25">
      <c r="A11" t="str">
        <f>indonesia!B85</f>
        <v>INDONESIA</v>
      </c>
      <c r="B11">
        <f>indonesia!C85</f>
        <v>2028</v>
      </c>
      <c r="C11">
        <f t="shared" si="1"/>
        <v>689.90969109690616</v>
      </c>
      <c r="D11">
        <f t="shared" si="1"/>
        <v>120.2924523653639</v>
      </c>
      <c r="E11">
        <f t="shared" si="1"/>
        <v>562.43089938001697</v>
      </c>
      <c r="F11">
        <f t="shared" si="1"/>
        <v>149.53075058838016</v>
      </c>
      <c r="G11">
        <f t="shared" si="1"/>
        <v>49.674257493172732</v>
      </c>
      <c r="H11">
        <f t="shared" si="1"/>
        <v>142.8279962142758</v>
      </c>
      <c r="I11">
        <f t="shared" si="1"/>
        <v>15.422698456009597</v>
      </c>
      <c r="J11">
        <f t="shared" si="1"/>
        <v>63.111568308405062</v>
      </c>
      <c r="K11">
        <f t="shared" si="1"/>
        <v>236.10618587875607</v>
      </c>
      <c r="L11">
        <f t="shared" si="1"/>
        <v>5.6448328279770372</v>
      </c>
      <c r="M11">
        <f t="shared" si="1"/>
        <v>6.5194142909174191E-2</v>
      </c>
      <c r="N11">
        <f t="shared" si="1"/>
        <v>0</v>
      </c>
      <c r="O11">
        <f t="shared" si="1"/>
        <v>7.8654931525500544E-5</v>
      </c>
      <c r="P11">
        <f t="shared" si="1"/>
        <v>2035.0165267521729</v>
      </c>
    </row>
    <row r="12" spans="1:16" x14ac:dyDescent="0.25">
      <c r="A12" t="str">
        <f>indonesia!B86</f>
        <v>INDONESIA</v>
      </c>
      <c r="B12">
        <f>indonesia!C86</f>
        <v>2029</v>
      </c>
      <c r="C12">
        <f t="shared" si="1"/>
        <v>700.6688500093577</v>
      </c>
      <c r="D12">
        <f t="shared" si="1"/>
        <v>127.17411613150607</v>
      </c>
      <c r="E12">
        <f t="shared" si="1"/>
        <v>631.02171315557018</v>
      </c>
      <c r="F12">
        <f t="shared" si="1"/>
        <v>151.61167640931663</v>
      </c>
      <c r="G12">
        <f t="shared" si="1"/>
        <v>49.674257469811835</v>
      </c>
      <c r="H12">
        <f t="shared" si="1"/>
        <v>143.04683209190807</v>
      </c>
      <c r="I12">
        <f t="shared" si="1"/>
        <v>16.079886627946824</v>
      </c>
      <c r="J12">
        <f t="shared" si="1"/>
        <v>64.295718825058643</v>
      </c>
      <c r="K12">
        <f t="shared" si="1"/>
        <v>262.34421710082171</v>
      </c>
      <c r="L12">
        <f t="shared" si="1"/>
        <v>6.6541414915892112</v>
      </c>
      <c r="M12">
        <f t="shared" si="1"/>
        <v>6.8835903039535254E-2</v>
      </c>
      <c r="N12">
        <f t="shared" si="1"/>
        <v>0</v>
      </c>
      <c r="O12">
        <f t="shared" si="1"/>
        <v>8.2574232485707063E-5</v>
      </c>
      <c r="P12">
        <f t="shared" si="1"/>
        <v>2152.6402452159264</v>
      </c>
    </row>
    <row r="13" spans="1:16" x14ac:dyDescent="0.25">
      <c r="A13" t="str">
        <f>indonesia!B87</f>
        <v>INDONESIA</v>
      </c>
      <c r="B13">
        <f>indonesia!C87</f>
        <v>2030</v>
      </c>
      <c r="C13">
        <f t="shared" si="1"/>
        <v>711.73744955279608</v>
      </c>
      <c r="D13">
        <f t="shared" si="1"/>
        <v>136.57309249417347</v>
      </c>
      <c r="E13">
        <f t="shared" si="1"/>
        <v>691.95695372018463</v>
      </c>
      <c r="F13">
        <f t="shared" si="1"/>
        <v>153.663506677302</v>
      </c>
      <c r="G13">
        <f t="shared" si="1"/>
        <v>49.674257446450937</v>
      </c>
      <c r="H13">
        <f t="shared" si="1"/>
        <v>143.35839292777021</v>
      </c>
      <c r="I13">
        <f t="shared" si="1"/>
        <v>16.656137517403884</v>
      </c>
      <c r="J13">
        <f t="shared" si="1"/>
        <v>75.734574802325852</v>
      </c>
      <c r="K13">
        <f t="shared" si="1"/>
        <v>288.58870191798962</v>
      </c>
      <c r="L13">
        <f t="shared" si="1"/>
        <v>6.6541414825978116</v>
      </c>
      <c r="M13">
        <f t="shared" si="1"/>
        <v>6.8835903039535254E-2</v>
      </c>
      <c r="N13">
        <f t="shared" si="1"/>
        <v>0</v>
      </c>
      <c r="O13">
        <f t="shared" si="1"/>
        <v>8.6694942753739963E-5</v>
      </c>
      <c r="P13">
        <f t="shared" si="1"/>
        <v>2274.666044442034</v>
      </c>
    </row>
    <row r="14" spans="1:16" x14ac:dyDescent="0.25">
      <c r="A14" t="str">
        <f>indonesia!B88</f>
        <v>INDONESIA</v>
      </c>
      <c r="B14">
        <f>indonesia!C88</f>
        <v>2031</v>
      </c>
      <c r="C14">
        <f t="shared" si="1"/>
        <v>724.82974512362648</v>
      </c>
      <c r="D14">
        <f t="shared" si="1"/>
        <v>145.47344976887763</v>
      </c>
      <c r="E14">
        <f t="shared" si="1"/>
        <v>772.34040147823168</v>
      </c>
      <c r="F14">
        <f t="shared" si="1"/>
        <v>156.21158464864098</v>
      </c>
      <c r="G14">
        <f t="shared" si="1"/>
        <v>49.674257442850937</v>
      </c>
      <c r="H14">
        <f t="shared" si="1"/>
        <v>143.77437201762191</v>
      </c>
      <c r="I14">
        <f t="shared" si="1"/>
        <v>17.111449643931337</v>
      </c>
      <c r="J14">
        <f t="shared" si="1"/>
        <v>76.29735077752963</v>
      </c>
      <c r="K14">
        <f t="shared" si="1"/>
        <v>324.1654495524682</v>
      </c>
      <c r="L14">
        <f t="shared" si="1"/>
        <v>7.1440982593630133</v>
      </c>
      <c r="M14">
        <f t="shared" si="1"/>
        <v>6.8835903039535254E-2</v>
      </c>
      <c r="N14">
        <f t="shared" si="1"/>
        <v>0</v>
      </c>
      <c r="O14">
        <f t="shared" si="1"/>
        <v>9.1789096483121255E-5</v>
      </c>
      <c r="P14">
        <f t="shared" si="1"/>
        <v>2417.0909946161814</v>
      </c>
    </row>
    <row r="15" spans="1:16" x14ac:dyDescent="0.25">
      <c r="A15" t="str">
        <f>indonesia!B89</f>
        <v>INDONESIA</v>
      </c>
      <c r="B15">
        <f>indonesia!C89</f>
        <v>2032</v>
      </c>
      <c r="C15">
        <f t="shared" si="1"/>
        <v>740.34214337102753</v>
      </c>
      <c r="D15">
        <f t="shared" si="1"/>
        <v>155.27375424213164</v>
      </c>
      <c r="E15">
        <f t="shared" si="1"/>
        <v>857.40138631814682</v>
      </c>
      <c r="F15">
        <f t="shared" si="1"/>
        <v>157.42962662178601</v>
      </c>
      <c r="G15">
        <f t="shared" si="1"/>
        <v>49.674257442850937</v>
      </c>
      <c r="H15">
        <f t="shared" si="1"/>
        <v>144.86755949634161</v>
      </c>
      <c r="I15">
        <f t="shared" si="1"/>
        <v>21.577566651605604</v>
      </c>
      <c r="J15">
        <f t="shared" si="1"/>
        <v>77.030850963187845</v>
      </c>
      <c r="K15">
        <f t="shared" si="1"/>
        <v>358.66452227472058</v>
      </c>
      <c r="L15">
        <f t="shared" si="1"/>
        <v>7.4217410714676184</v>
      </c>
      <c r="M15">
        <f t="shared" si="1"/>
        <v>7.0059818858247275E-2</v>
      </c>
      <c r="N15">
        <f t="shared" si="1"/>
        <v>0</v>
      </c>
      <c r="O15">
        <f t="shared" si="1"/>
        <v>9.7274405439898238E-5</v>
      </c>
      <c r="P15">
        <f t="shared" si="1"/>
        <v>2569.7534682721239</v>
      </c>
    </row>
    <row r="16" spans="1:16" x14ac:dyDescent="0.25">
      <c r="A16" t="str">
        <f>indonesia!B90</f>
        <v>INDONESIA</v>
      </c>
      <c r="B16">
        <f>indonesia!C90</f>
        <v>2033</v>
      </c>
      <c r="C16">
        <f t="shared" si="1"/>
        <v>770.71542806483728</v>
      </c>
      <c r="D16">
        <f t="shared" si="1"/>
        <v>161.45575113069916</v>
      </c>
      <c r="E16">
        <f t="shared" si="1"/>
        <v>931.71512360390693</v>
      </c>
      <c r="F16">
        <f t="shared" si="1"/>
        <v>158.42292898895749</v>
      </c>
      <c r="G16">
        <f t="shared" si="1"/>
        <v>50.346222394513575</v>
      </c>
      <c r="H16">
        <f t="shared" si="1"/>
        <v>149.19753683738591</v>
      </c>
      <c r="I16">
        <f t="shared" si="1"/>
        <v>29.763066734351639</v>
      </c>
      <c r="J16">
        <f t="shared" si="1"/>
        <v>82.093524541109005</v>
      </c>
      <c r="K16">
        <f t="shared" si="1"/>
        <v>376.7726677184952</v>
      </c>
      <c r="L16">
        <f t="shared" si="1"/>
        <v>7.5605624775199205</v>
      </c>
      <c r="M16">
        <f t="shared" si="1"/>
        <v>7.0059818858247275E-2</v>
      </c>
      <c r="N16">
        <f t="shared" si="1"/>
        <v>0</v>
      </c>
      <c r="O16">
        <f t="shared" si="1"/>
        <v>1.0215836041311582E-4</v>
      </c>
      <c r="P16">
        <f t="shared" si="1"/>
        <v>2718.1128723106344</v>
      </c>
    </row>
    <row r="17" spans="1:16" x14ac:dyDescent="0.25">
      <c r="A17" t="str">
        <f>indonesia!B91</f>
        <v>INDONESIA</v>
      </c>
      <c r="B17">
        <f>indonesia!C91</f>
        <v>2034</v>
      </c>
      <c r="C17">
        <f t="shared" si="1"/>
        <v>824.85533010604252</v>
      </c>
      <c r="D17">
        <f t="shared" si="1"/>
        <v>172.39682106484568</v>
      </c>
      <c r="E17">
        <f t="shared" si="1"/>
        <v>977.70289323499787</v>
      </c>
      <c r="F17">
        <f t="shared" si="1"/>
        <v>159.84498662834471</v>
      </c>
      <c r="G17">
        <f t="shared" si="1"/>
        <v>50.346222371152678</v>
      </c>
      <c r="H17">
        <f t="shared" si="1"/>
        <v>150.65469604970468</v>
      </c>
      <c r="I17">
        <f t="shared" si="1"/>
        <v>71.752937596634837</v>
      </c>
      <c r="J17">
        <f t="shared" si="1"/>
        <v>88.172581857753343</v>
      </c>
      <c r="K17">
        <f t="shared" si="1"/>
        <v>388.59464331871425</v>
      </c>
      <c r="L17">
        <f t="shared" si="1"/>
        <v>7.629973180546072</v>
      </c>
      <c r="M17">
        <f t="shared" si="1"/>
        <v>7.0111239665413563E-2</v>
      </c>
      <c r="N17">
        <f t="shared" si="1"/>
        <v>0</v>
      </c>
      <c r="O17">
        <f t="shared" si="1"/>
        <v>1.0832762282060727E-4</v>
      </c>
      <c r="P17">
        <f t="shared" si="1"/>
        <v>2892.0211966484017</v>
      </c>
    </row>
    <row r="18" spans="1:16" x14ac:dyDescent="0.25">
      <c r="A18" t="str">
        <f>indonesia!B92</f>
        <v>INDONESIA</v>
      </c>
      <c r="B18">
        <f>indonesia!C92</f>
        <v>2035</v>
      </c>
      <c r="C18">
        <f t="shared" si="1"/>
        <v>858.48604084377632</v>
      </c>
      <c r="D18">
        <f t="shared" si="1"/>
        <v>176.54633634967738</v>
      </c>
      <c r="E18">
        <f t="shared" si="1"/>
        <v>1037.0634379729127</v>
      </c>
      <c r="F18">
        <f t="shared" si="1"/>
        <v>190.47642412587987</v>
      </c>
      <c r="G18">
        <f t="shared" si="1"/>
        <v>51.9849963438351</v>
      </c>
      <c r="H18">
        <f t="shared" si="1"/>
        <v>160.73274286654521</v>
      </c>
      <c r="I18">
        <f t="shared" si="1"/>
        <v>87.127787363930253</v>
      </c>
      <c r="J18">
        <f t="shared" si="1"/>
        <v>95.315389935432464</v>
      </c>
      <c r="K18">
        <f t="shared" si="1"/>
        <v>400.34593471695757</v>
      </c>
      <c r="L18">
        <f t="shared" si="1"/>
        <v>7.6646785320591464</v>
      </c>
      <c r="M18">
        <f t="shared" si="1"/>
        <v>7.2066310899186692E-2</v>
      </c>
      <c r="N18">
        <f t="shared" si="1"/>
        <v>0</v>
      </c>
      <c r="O18">
        <f t="shared" si="1"/>
        <v>1.1434187170228622E-4</v>
      </c>
      <c r="P18">
        <f t="shared" si="1"/>
        <v>3065.8158353619051</v>
      </c>
    </row>
    <row r="19" spans="1:16" x14ac:dyDescent="0.25">
      <c r="A19" t="str">
        <f>indonesia!B93</f>
        <v>INDONESIA</v>
      </c>
      <c r="B19">
        <f>indonesia!C93</f>
        <v>2036</v>
      </c>
      <c r="C19">
        <f t="shared" ref="C19:P21" si="2">SUM(C39,C59,C79,C99,C119,C139)</f>
        <v>906.78331692148754</v>
      </c>
      <c r="D19">
        <f t="shared" si="2"/>
        <v>181.21457592821903</v>
      </c>
      <c r="E19">
        <f t="shared" si="2"/>
        <v>1099.6769286546055</v>
      </c>
      <c r="F19">
        <f t="shared" si="2"/>
        <v>208.34014435133523</v>
      </c>
      <c r="G19">
        <f t="shared" si="2"/>
        <v>63.190883197013946</v>
      </c>
      <c r="H19">
        <f t="shared" si="2"/>
        <v>172.16331796398455</v>
      </c>
      <c r="I19">
        <f t="shared" si="2"/>
        <v>110.83845952183673</v>
      </c>
      <c r="J19">
        <f t="shared" si="2"/>
        <v>103.15906237890702</v>
      </c>
      <c r="K19">
        <f t="shared" si="2"/>
        <v>408.68918725729327</v>
      </c>
      <c r="L19">
        <f t="shared" si="2"/>
        <v>7.682031207815684</v>
      </c>
      <c r="M19">
        <f t="shared" si="2"/>
        <v>7.2066314499186698E-2</v>
      </c>
      <c r="N19">
        <f t="shared" si="2"/>
        <v>0</v>
      </c>
      <c r="O19">
        <f t="shared" si="2"/>
        <v>1.2077355821748945E-4</v>
      </c>
      <c r="P19">
        <f t="shared" si="2"/>
        <v>3261.8099736969975</v>
      </c>
    </row>
    <row r="20" spans="1:16" x14ac:dyDescent="0.25">
      <c r="A20" t="str">
        <f>indonesia!B94</f>
        <v>INDONESIA</v>
      </c>
      <c r="B20">
        <f>indonesia!C94</f>
        <v>2037</v>
      </c>
      <c r="C20">
        <f t="shared" si="2"/>
        <v>956.27493632188543</v>
      </c>
      <c r="D20">
        <f t="shared" si="2"/>
        <v>188.22358055749129</v>
      </c>
      <c r="E20">
        <f t="shared" si="2"/>
        <v>1173.9557414036342</v>
      </c>
      <c r="F20">
        <f t="shared" si="2"/>
        <v>214.71479227928154</v>
      </c>
      <c r="G20">
        <f t="shared" si="2"/>
        <v>85.649080785715981</v>
      </c>
      <c r="H20">
        <f t="shared" si="2"/>
        <v>178.3404580053421</v>
      </c>
      <c r="I20">
        <f t="shared" si="2"/>
        <v>130.7256116076847</v>
      </c>
      <c r="J20">
        <f t="shared" si="2"/>
        <v>114.3226066182163</v>
      </c>
      <c r="K20">
        <f t="shared" si="2"/>
        <v>414.79161625168877</v>
      </c>
      <c r="L20">
        <f t="shared" si="2"/>
        <v>7.6907075456939529</v>
      </c>
      <c r="M20">
        <f t="shared" si="2"/>
        <v>7.4036465274506857E-2</v>
      </c>
      <c r="N20">
        <f t="shared" si="2"/>
        <v>1.2792894953061166E-17</v>
      </c>
      <c r="O20">
        <f t="shared" si="2"/>
        <v>1.276059220231956E-4</v>
      </c>
      <c r="P20">
        <f t="shared" si="2"/>
        <v>3464.7631678419089</v>
      </c>
    </row>
    <row r="21" spans="1:16" x14ac:dyDescent="0.25">
      <c r="A21" t="str">
        <f>indonesia!B95</f>
        <v>INDONESIA</v>
      </c>
      <c r="B21">
        <f>indonesia!C95</f>
        <v>2038</v>
      </c>
      <c r="C21">
        <f t="shared" si="2"/>
        <v>1011.8818595056339</v>
      </c>
      <c r="D21">
        <f t="shared" si="2"/>
        <v>200.06403367586756</v>
      </c>
      <c r="E21">
        <f t="shared" si="2"/>
        <v>1253.6347575654365</v>
      </c>
      <c r="F21">
        <f t="shared" si="2"/>
        <v>223.19638353529027</v>
      </c>
      <c r="G21">
        <f t="shared" si="2"/>
        <v>117.80673327110283</v>
      </c>
      <c r="H21">
        <f t="shared" si="2"/>
        <v>181.1981405480476</v>
      </c>
      <c r="I21">
        <f t="shared" si="2"/>
        <v>135.76931788360486</v>
      </c>
      <c r="J21">
        <f t="shared" si="2"/>
        <v>142.02025638006685</v>
      </c>
      <c r="K21">
        <f t="shared" si="2"/>
        <v>419.65781256009649</v>
      </c>
      <c r="L21">
        <f t="shared" si="2"/>
        <v>7.6950457146330882</v>
      </c>
      <c r="M21">
        <f t="shared" si="2"/>
        <v>7.4036465274506982E-2</v>
      </c>
      <c r="N21">
        <f t="shared" si="2"/>
        <v>9.7390819080540426E-9</v>
      </c>
      <c r="O21">
        <f t="shared" si="2"/>
        <v>1.3560523514950635E-4</v>
      </c>
      <c r="P21">
        <f t="shared" si="2"/>
        <v>3692.9983771147931</v>
      </c>
    </row>
    <row r="22" spans="1:16" x14ac:dyDescent="0.25">
      <c r="A22" t="str">
        <f>sumatera!B76</f>
        <v>SUMATERA</v>
      </c>
      <c r="B22">
        <f>sumatera!C76</f>
        <v>2019</v>
      </c>
      <c r="C22">
        <f>sumatera!D76</f>
        <v>93.012781784640012</v>
      </c>
      <c r="D22">
        <f>sumatera!E76</f>
        <v>13.49204520616615</v>
      </c>
      <c r="E22">
        <f>sumatera!F76</f>
        <v>12.846526816873848</v>
      </c>
      <c r="F22">
        <f>sumatera!G76</f>
        <v>44.877321683889235</v>
      </c>
      <c r="G22">
        <f>sumatera!H76</f>
        <v>15.815328258461541</v>
      </c>
      <c r="H22">
        <f>sumatera!I76</f>
        <v>31.323050685636925</v>
      </c>
      <c r="I22">
        <f>sumatera!J76</f>
        <v>1.4971445275569235</v>
      </c>
      <c r="J22">
        <f>sumatera!K76</f>
        <v>7.4834928000000007E-3</v>
      </c>
      <c r="K22">
        <f>sumatera!L76</f>
        <v>0</v>
      </c>
      <c r="L22">
        <f>sumatera!M76</f>
        <v>0.32908519495384614</v>
      </c>
      <c r="M22">
        <f>sumatera!N76</f>
        <v>0</v>
      </c>
      <c r="N22">
        <f>sumatera!O76</f>
        <v>0</v>
      </c>
      <c r="O22">
        <f>sumatera!P76</f>
        <v>0</v>
      </c>
      <c r="P22">
        <f>sumatera!Q76</f>
        <v>213.20076765097846</v>
      </c>
    </row>
    <row r="23" spans="1:16" x14ac:dyDescent="0.25">
      <c r="A23" t="str">
        <f>sumatera!B77</f>
        <v>SUMATERA</v>
      </c>
      <c r="B23">
        <f>sumatera!C77</f>
        <v>2020</v>
      </c>
      <c r="C23">
        <f>sumatera!D77</f>
        <v>96.40586186315258</v>
      </c>
      <c r="D23">
        <f>sumatera!E77</f>
        <v>13.49204520616615</v>
      </c>
      <c r="E23">
        <f>sumatera!F77</f>
        <v>26.753428630946591</v>
      </c>
      <c r="F23">
        <f>sumatera!G77</f>
        <v>44.877321683889235</v>
      </c>
      <c r="G23">
        <f>sumatera!H77</f>
        <v>15.815328258461541</v>
      </c>
      <c r="H23">
        <f>sumatera!I77</f>
        <v>31.323050685636925</v>
      </c>
      <c r="I23">
        <f>sumatera!J77</f>
        <v>1.4971445275569235</v>
      </c>
      <c r="J23">
        <f>sumatera!K77</f>
        <v>2.6205247790665958</v>
      </c>
      <c r="K23">
        <f>sumatera!L77</f>
        <v>0</v>
      </c>
      <c r="L23">
        <f>sumatera!M77</f>
        <v>0.32908519495384614</v>
      </c>
      <c r="M23">
        <f>sumatera!N77</f>
        <v>0</v>
      </c>
      <c r="N23">
        <f>sumatera!O77</f>
        <v>0</v>
      </c>
      <c r="O23">
        <f>sumatera!P77</f>
        <v>0</v>
      </c>
      <c r="P23">
        <f>sumatera!Q77</f>
        <v>233.11379082983035</v>
      </c>
    </row>
    <row r="24" spans="1:16" x14ac:dyDescent="0.25">
      <c r="A24" t="str">
        <f>sumatera!B78</f>
        <v>SUMATERA</v>
      </c>
      <c r="B24">
        <f>sumatera!C78</f>
        <v>2021</v>
      </c>
      <c r="C24">
        <f>sumatera!D78</f>
        <v>96.40586186315258</v>
      </c>
      <c r="D24">
        <f>sumatera!E78</f>
        <v>21.981724562016634</v>
      </c>
      <c r="E24">
        <f>sumatera!F78</f>
        <v>26.753428630946591</v>
      </c>
      <c r="F24">
        <f>sumatera!G78</f>
        <v>44.877321683889235</v>
      </c>
      <c r="G24">
        <f>sumatera!H78</f>
        <v>15.815328258461541</v>
      </c>
      <c r="H24">
        <f>sumatera!I78</f>
        <v>31.323050685636925</v>
      </c>
      <c r="I24">
        <f>sumatera!J78</f>
        <v>1.4971445275569235</v>
      </c>
      <c r="J24">
        <f>sumatera!K78</f>
        <v>2.7589320940136219</v>
      </c>
      <c r="K24">
        <f>sumatera!L78</f>
        <v>0</v>
      </c>
      <c r="L24">
        <f>sumatera!M78</f>
        <v>0.32908519495384614</v>
      </c>
      <c r="M24">
        <f>sumatera!N78</f>
        <v>0</v>
      </c>
      <c r="N24">
        <f>sumatera!O78</f>
        <v>0</v>
      </c>
      <c r="O24">
        <f>sumatera!P78</f>
        <v>0</v>
      </c>
      <c r="P24">
        <f>sumatera!Q78</f>
        <v>241.74187750062791</v>
      </c>
    </row>
    <row r="25" spans="1:16" x14ac:dyDescent="0.25">
      <c r="A25" t="str">
        <f>sumatera!B79</f>
        <v>SUMATERA</v>
      </c>
      <c r="B25">
        <f>sumatera!C79</f>
        <v>2022</v>
      </c>
      <c r="C25">
        <f>sumatera!D79</f>
        <v>96.40586186315258</v>
      </c>
      <c r="D25">
        <f>sumatera!E79</f>
        <v>21.981724562016634</v>
      </c>
      <c r="E25">
        <f>sumatera!F79</f>
        <v>28.610351701240909</v>
      </c>
      <c r="F25">
        <f>sumatera!G79</f>
        <v>46.486787500822452</v>
      </c>
      <c r="G25">
        <f>sumatera!H79</f>
        <v>15.815328258461541</v>
      </c>
      <c r="H25">
        <f>sumatera!I79</f>
        <v>31.323050685636925</v>
      </c>
      <c r="I25">
        <f>sumatera!J79</f>
        <v>1.4971445275569235</v>
      </c>
      <c r="J25">
        <f>sumatera!K79</f>
        <v>2.9050646624260832</v>
      </c>
      <c r="K25">
        <f>sumatera!L79</f>
        <v>0</v>
      </c>
      <c r="L25">
        <f>sumatera!M79</f>
        <v>0.32908519495384614</v>
      </c>
      <c r="M25">
        <f>sumatera!N79</f>
        <v>0</v>
      </c>
      <c r="N25">
        <f>sumatera!O79</f>
        <v>0</v>
      </c>
      <c r="O25">
        <f>sumatera!P79</f>
        <v>0</v>
      </c>
      <c r="P25">
        <f>sumatera!Q79</f>
        <v>245.35439895626789</v>
      </c>
    </row>
    <row r="26" spans="1:16" x14ac:dyDescent="0.25">
      <c r="A26" t="str">
        <f>sumatera!B80</f>
        <v>SUMATERA</v>
      </c>
      <c r="B26">
        <f>sumatera!C80</f>
        <v>2023</v>
      </c>
      <c r="C26">
        <f>sumatera!D80</f>
        <v>96.40586186315258</v>
      </c>
      <c r="D26">
        <f>sumatera!E80</f>
        <v>21.981724562016634</v>
      </c>
      <c r="E26">
        <f>sumatera!F80</f>
        <v>44.988608327150757</v>
      </c>
      <c r="F26">
        <f>sumatera!G80</f>
        <v>51.89620224046525</v>
      </c>
      <c r="G26">
        <f>sumatera!H80</f>
        <v>15.815328258461541</v>
      </c>
      <c r="H26">
        <f>sumatera!I80</f>
        <v>31.323050685636925</v>
      </c>
      <c r="I26">
        <f>sumatera!J80</f>
        <v>1.4971445275569235</v>
      </c>
      <c r="J26">
        <f>sumatera!K80</f>
        <v>3.05939378081673</v>
      </c>
      <c r="K26">
        <f>sumatera!L80</f>
        <v>4.5153833476246082E-10</v>
      </c>
      <c r="L26">
        <f>sumatera!M80</f>
        <v>0.32908519495384614</v>
      </c>
      <c r="M26">
        <f>sumatera!N80</f>
        <v>0</v>
      </c>
      <c r="N26">
        <f>sumatera!O80</f>
        <v>0</v>
      </c>
      <c r="O26">
        <f>sumatera!P80</f>
        <v>0</v>
      </c>
      <c r="P26">
        <f>sumatera!Q80</f>
        <v>267.29639944066275</v>
      </c>
    </row>
    <row r="27" spans="1:16" x14ac:dyDescent="0.25">
      <c r="A27" t="str">
        <f>sumatera!B81</f>
        <v>SUMATERA</v>
      </c>
      <c r="B27">
        <f>sumatera!C81</f>
        <v>2024</v>
      </c>
      <c r="C27">
        <f>sumatera!D81</f>
        <v>96.40586186315258</v>
      </c>
      <c r="D27">
        <f>sumatera!E81</f>
        <v>21.981724562016634</v>
      </c>
      <c r="E27">
        <f>sumatera!F81</f>
        <v>59.476871204172554</v>
      </c>
      <c r="F27">
        <f>sumatera!G81</f>
        <v>56.532562964629804</v>
      </c>
      <c r="G27">
        <f>sumatera!H81</f>
        <v>15.815328258461541</v>
      </c>
      <c r="H27">
        <f>sumatera!I81</f>
        <v>31.323050685636925</v>
      </c>
      <c r="I27">
        <f>sumatera!J81</f>
        <v>1.4971445275569235</v>
      </c>
      <c r="J27">
        <f>sumatera!K81</f>
        <v>3.8729249656211642</v>
      </c>
      <c r="K27">
        <f>sumatera!L81</f>
        <v>9.8842446734475082</v>
      </c>
      <c r="L27">
        <f>sumatera!M81</f>
        <v>0.32908519495384614</v>
      </c>
      <c r="M27">
        <f>sumatera!N81</f>
        <v>0</v>
      </c>
      <c r="N27">
        <f>sumatera!O81</f>
        <v>0</v>
      </c>
      <c r="O27">
        <f>sumatera!P81</f>
        <v>0</v>
      </c>
      <c r="P27">
        <f>sumatera!Q81</f>
        <v>297.11879889964945</v>
      </c>
    </row>
    <row r="28" spans="1:16" x14ac:dyDescent="0.25">
      <c r="A28" t="str">
        <f>sumatera!B82</f>
        <v>SUMATERA</v>
      </c>
      <c r="B28">
        <f>sumatera!C82</f>
        <v>2025</v>
      </c>
      <c r="C28">
        <f>sumatera!D82</f>
        <v>98.251919918120407</v>
      </c>
      <c r="D28">
        <f>sumatera!E82</f>
        <v>21.981724562016634</v>
      </c>
      <c r="E28">
        <f>sumatera!F82</f>
        <v>70.878182164065635</v>
      </c>
      <c r="F28">
        <f>sumatera!G82</f>
        <v>61.068100187393355</v>
      </c>
      <c r="G28">
        <f>sumatera!H82</f>
        <v>15.815328258461541</v>
      </c>
      <c r="H28">
        <f>sumatera!I82</f>
        <v>31.323050685636925</v>
      </c>
      <c r="I28">
        <f>sumatera!J82</f>
        <v>1.4971445275569235</v>
      </c>
      <c r="J28">
        <f>sumatera!K82</f>
        <v>4.8837984076847114</v>
      </c>
      <c r="K28">
        <f>sumatera!L82</f>
        <v>21.478064889690391</v>
      </c>
      <c r="L28">
        <f>sumatera!M82</f>
        <v>0.32908519495384614</v>
      </c>
      <c r="M28">
        <f>sumatera!N82</f>
        <v>0</v>
      </c>
      <c r="N28">
        <f>sumatera!O82</f>
        <v>0</v>
      </c>
      <c r="O28">
        <f>sumatera!P82</f>
        <v>0</v>
      </c>
      <c r="P28">
        <f>sumatera!Q82</f>
        <v>327.50639879558042</v>
      </c>
    </row>
    <row r="29" spans="1:16" x14ac:dyDescent="0.25">
      <c r="A29" t="str">
        <f>sumatera!B83</f>
        <v>SUMATERA</v>
      </c>
      <c r="B29">
        <f>sumatera!C83</f>
        <v>2026</v>
      </c>
      <c r="C29">
        <f>sumatera!D83</f>
        <v>108.49119098449147</v>
      </c>
      <c r="D29">
        <f>sumatera!E83</f>
        <v>21.981724562016634</v>
      </c>
      <c r="E29">
        <f>sumatera!F83</f>
        <v>75.533855621267534</v>
      </c>
      <c r="F29">
        <f>sumatera!G83</f>
        <v>61.068100187393355</v>
      </c>
      <c r="G29">
        <f>sumatera!H83</f>
        <v>15.815328258461541</v>
      </c>
      <c r="H29">
        <f>sumatera!I83</f>
        <v>31.323050685636925</v>
      </c>
      <c r="I29">
        <f>sumatera!J83</f>
        <v>1.4971445275569235</v>
      </c>
      <c r="J29">
        <f>sumatera!K83</f>
        <v>6.6027428927072735</v>
      </c>
      <c r="K29">
        <f>sumatera!L83</f>
        <v>41.422176582120272</v>
      </c>
      <c r="L29">
        <f>sumatera!M83</f>
        <v>0.32908519495384614</v>
      </c>
      <c r="M29">
        <f>sumatera!N83</f>
        <v>0</v>
      </c>
      <c r="N29">
        <f>sumatera!O83</f>
        <v>0</v>
      </c>
      <c r="O29">
        <f>sumatera!P83</f>
        <v>0</v>
      </c>
      <c r="P29">
        <f>sumatera!Q83</f>
        <v>364.06439949660574</v>
      </c>
    </row>
    <row r="30" spans="1:16" x14ac:dyDescent="0.25">
      <c r="A30" t="str">
        <f>sumatera!B84</f>
        <v>SUMATERA</v>
      </c>
      <c r="B30">
        <f>sumatera!C84</f>
        <v>2027</v>
      </c>
      <c r="C30">
        <f>sumatera!D84</f>
        <v>120.53427830161789</v>
      </c>
      <c r="D30">
        <f>sumatera!E84</f>
        <v>21.981724562016634</v>
      </c>
      <c r="E30">
        <f>sumatera!F84</f>
        <v>77.793581399193627</v>
      </c>
      <c r="F30">
        <f>sumatera!G84</f>
        <v>61.068100187393355</v>
      </c>
      <c r="G30">
        <f>sumatera!H84</f>
        <v>15.815328258461541</v>
      </c>
      <c r="H30">
        <f>sumatera!I84</f>
        <v>31.323050685636925</v>
      </c>
      <c r="I30">
        <f>sumatera!J84</f>
        <v>7.7095870760894174</v>
      </c>
      <c r="J30">
        <f>sumatera!K84</f>
        <v>8.9946094827720628</v>
      </c>
      <c r="K30">
        <f>sumatera!L84</f>
        <v>61.661054177460144</v>
      </c>
      <c r="L30">
        <f>sumatera!M84</f>
        <v>0.32908519495384614</v>
      </c>
      <c r="M30">
        <f>sumatera!N84</f>
        <v>0</v>
      </c>
      <c r="N30">
        <f>sumatera!O84</f>
        <v>0</v>
      </c>
      <c r="O30">
        <f>sumatera!P84</f>
        <v>0</v>
      </c>
      <c r="P30">
        <f>sumatera!Q84</f>
        <v>407.2103993255954</v>
      </c>
    </row>
    <row r="31" spans="1:16" x14ac:dyDescent="0.25">
      <c r="A31" t="str">
        <f>sumatera!B85</f>
        <v>SUMATERA</v>
      </c>
      <c r="B31">
        <f>sumatera!C85</f>
        <v>2028</v>
      </c>
      <c r="C31">
        <f>sumatera!D85</f>
        <v>127.37526001378934</v>
      </c>
      <c r="D31">
        <f>sumatera!E85</f>
        <v>21.981724562016634</v>
      </c>
      <c r="E31">
        <f>sumatera!F85</f>
        <v>94.761758923269738</v>
      </c>
      <c r="F31">
        <f>sumatera!G85</f>
        <v>61.068100187393355</v>
      </c>
      <c r="G31">
        <f>sumatera!H85</f>
        <v>15.815328258461541</v>
      </c>
      <c r="H31">
        <f>sumatera!I85</f>
        <v>31.323050685636925</v>
      </c>
      <c r="I31">
        <f>sumatera!J85</f>
        <v>7.7095870760894174</v>
      </c>
      <c r="J31">
        <f>sumatera!K85</f>
        <v>9.6116894136978885</v>
      </c>
      <c r="K31">
        <f>sumatera!L85</f>
        <v>63.273655646459794</v>
      </c>
      <c r="L31">
        <f>sumatera!M85</f>
        <v>0.32908519495384614</v>
      </c>
      <c r="M31">
        <f>sumatera!N85</f>
        <v>0</v>
      </c>
      <c r="N31">
        <f>sumatera!O85</f>
        <v>0</v>
      </c>
      <c r="O31">
        <f>sumatera!P85</f>
        <v>0</v>
      </c>
      <c r="P31">
        <f>sumatera!Q85</f>
        <v>433.24923996176847</v>
      </c>
    </row>
    <row r="32" spans="1:16" x14ac:dyDescent="0.25">
      <c r="A32" t="str">
        <f>sumatera!B86</f>
        <v>SUMATERA</v>
      </c>
      <c r="B32">
        <f>sumatera!C86</f>
        <v>2029</v>
      </c>
      <c r="C32">
        <f>sumatera!D86</f>
        <v>134.55990565932757</v>
      </c>
      <c r="D32">
        <f>sumatera!E86</f>
        <v>21.981724562016634</v>
      </c>
      <c r="E32">
        <f>sumatera!F86</f>
        <v>113.14459239878103</v>
      </c>
      <c r="F32">
        <f>sumatera!G86</f>
        <v>61.068100187393355</v>
      </c>
      <c r="G32">
        <f>sumatera!H86</f>
        <v>15.815328258461541</v>
      </c>
      <c r="H32">
        <f>sumatera!I86</f>
        <v>31.323050685636925</v>
      </c>
      <c r="I32">
        <f>sumatera!J86</f>
        <v>7.7095878941981031</v>
      </c>
      <c r="J32">
        <f>sumatera!K86</f>
        <v>10.289838194826713</v>
      </c>
      <c r="K32">
        <f>sumatera!L86</f>
        <v>64.597914834074018</v>
      </c>
      <c r="L32">
        <f>sumatera!M86</f>
        <v>0.32908519495384614</v>
      </c>
      <c r="M32">
        <f>sumatera!N86</f>
        <v>2.4736261607189421E-3</v>
      </c>
      <c r="N32">
        <f>sumatera!O86</f>
        <v>0</v>
      </c>
      <c r="O32">
        <f>sumatera!P86</f>
        <v>0</v>
      </c>
      <c r="P32">
        <f>sumatera!Q86</f>
        <v>460.82160149583046</v>
      </c>
    </row>
    <row r="33" spans="1:16" x14ac:dyDescent="0.25">
      <c r="A33" t="str">
        <f>sumatera!B87</f>
        <v>SUMATERA</v>
      </c>
      <c r="B33">
        <f>sumatera!C87</f>
        <v>2030</v>
      </c>
      <c r="C33">
        <f>sumatera!D87</f>
        <v>141.85036903623177</v>
      </c>
      <c r="D33">
        <f>sumatera!E87</f>
        <v>21.981724562016634</v>
      </c>
      <c r="E33">
        <f>sumatera!F87</f>
        <v>123.2266300223453</v>
      </c>
      <c r="F33">
        <f>sumatera!G87</f>
        <v>61.06815188688644</v>
      </c>
      <c r="G33">
        <f>sumatera!H87</f>
        <v>15.815328258461541</v>
      </c>
      <c r="H33">
        <f>sumatera!I87</f>
        <v>31.323050695118049</v>
      </c>
      <c r="I33">
        <f>sumatera!J87</f>
        <v>7.7095878955397952</v>
      </c>
      <c r="J33">
        <f>sumatera!K87</f>
        <v>21.234888512526723</v>
      </c>
      <c r="K33">
        <f>sumatera!L87</f>
        <v>64.597913881022976</v>
      </c>
      <c r="L33">
        <f>sumatera!M87</f>
        <v>0.32908519495384614</v>
      </c>
      <c r="M33">
        <f>sumatera!N87</f>
        <v>2.4736261607189421E-3</v>
      </c>
      <c r="N33">
        <f>sumatera!O87</f>
        <v>0</v>
      </c>
      <c r="O33">
        <f>sumatera!P87</f>
        <v>0</v>
      </c>
      <c r="P33">
        <f>sumatera!Q87</f>
        <v>489.13920357126381</v>
      </c>
    </row>
    <row r="34" spans="1:16" x14ac:dyDescent="0.25">
      <c r="A34" t="str">
        <f>sumatera!B88</f>
        <v>SUMATERA</v>
      </c>
      <c r="B34">
        <f>sumatera!C88</f>
        <v>2031</v>
      </c>
      <c r="C34">
        <f>sumatera!D88</f>
        <v>150.35570268986834</v>
      </c>
      <c r="D34">
        <f>sumatera!E88</f>
        <v>21.981724562016634</v>
      </c>
      <c r="E34">
        <f>sumatera!F88</f>
        <v>142.66665364775011</v>
      </c>
      <c r="F34">
        <f>sumatera!G88</f>
        <v>61.06815188688644</v>
      </c>
      <c r="G34">
        <f>sumatera!H88</f>
        <v>15.815328258461541</v>
      </c>
      <c r="H34">
        <f>sumatera!I88</f>
        <v>31.323050695118049</v>
      </c>
      <c r="I34">
        <f>sumatera!J88</f>
        <v>7.7095878955397952</v>
      </c>
      <c r="J34">
        <f>sumatera!K88</f>
        <v>21.234888512526723</v>
      </c>
      <c r="K34">
        <f>sumatera!L88</f>
        <v>69.58183321394057</v>
      </c>
      <c r="L34">
        <f>sumatera!M88</f>
        <v>0.32908519495384614</v>
      </c>
      <c r="M34">
        <f>sumatera!N88</f>
        <v>2.4736261607189421E-3</v>
      </c>
      <c r="N34">
        <f>sumatera!O88</f>
        <v>0</v>
      </c>
      <c r="O34">
        <f>sumatera!P88</f>
        <v>0</v>
      </c>
      <c r="P34">
        <f>sumatera!Q88</f>
        <v>522.06848018322273</v>
      </c>
    </row>
    <row r="35" spans="1:16" x14ac:dyDescent="0.25">
      <c r="A35" t="str">
        <f>sumatera!B89</f>
        <v>SUMATERA</v>
      </c>
      <c r="B35">
        <f>sumatera!C89</f>
        <v>2032</v>
      </c>
      <c r="C35">
        <f>sumatera!D89</f>
        <v>159.39139835539964</v>
      </c>
      <c r="D35">
        <f>sumatera!E89</f>
        <v>21.981724562016634</v>
      </c>
      <c r="E35">
        <f>sumatera!F89</f>
        <v>163.50483785390924</v>
      </c>
      <c r="F35">
        <f>sumatera!G89</f>
        <v>61.06815188688644</v>
      </c>
      <c r="G35">
        <f>sumatera!H89</f>
        <v>15.815328258461541</v>
      </c>
      <c r="H35">
        <f>sumatera!I89</f>
        <v>31.323050695118049</v>
      </c>
      <c r="I35">
        <f>sumatera!J89</f>
        <v>7.7095878955397952</v>
      </c>
      <c r="J35">
        <f>sumatera!K89</f>
        <v>21.234888512526723</v>
      </c>
      <c r="K35">
        <f>sumatera!L89</f>
        <v>74.951835868898058</v>
      </c>
      <c r="L35">
        <f>sumatera!M89</f>
        <v>0.32908519495384614</v>
      </c>
      <c r="M35">
        <f>sumatera!N89</f>
        <v>2.4736261607189421E-3</v>
      </c>
      <c r="N35">
        <f>sumatera!O89</f>
        <v>0</v>
      </c>
      <c r="O35">
        <f>sumatera!P89</f>
        <v>0</v>
      </c>
      <c r="P35">
        <f>sumatera!Q89</f>
        <v>557.31236270987063</v>
      </c>
    </row>
    <row r="36" spans="1:16" x14ac:dyDescent="0.25">
      <c r="A36" t="str">
        <f>sumatera!B90</f>
        <v>SUMATERA</v>
      </c>
      <c r="B36">
        <f>sumatera!C90</f>
        <v>2033</v>
      </c>
      <c r="C36">
        <f>sumatera!D90</f>
        <v>167.99872304305023</v>
      </c>
      <c r="D36">
        <f>sumatera!E90</f>
        <v>21.981724562016634</v>
      </c>
      <c r="E36">
        <f>sumatera!F90</f>
        <v>188.24351020999868</v>
      </c>
      <c r="F36">
        <f>sumatera!G90</f>
        <v>61.06815188688644</v>
      </c>
      <c r="G36">
        <f>sumatera!H90</f>
        <v>15.815328258461541</v>
      </c>
      <c r="H36">
        <f>sumatera!I90</f>
        <v>31.323050695118049</v>
      </c>
      <c r="I36">
        <f>sumatera!J90</f>
        <v>7.7095878955397952</v>
      </c>
      <c r="J36">
        <f>sumatera!K90</f>
        <v>21.234888512526723</v>
      </c>
      <c r="K36">
        <f>sumatera!L90</f>
        <v>75.838275687248796</v>
      </c>
      <c r="L36">
        <f>sumatera!M90</f>
        <v>0.32908519495384614</v>
      </c>
      <c r="M36">
        <f>sumatera!N90</f>
        <v>2.4736261607189421E-3</v>
      </c>
      <c r="N36">
        <f>sumatera!O90</f>
        <v>0</v>
      </c>
      <c r="O36">
        <f>sumatera!P90</f>
        <v>0</v>
      </c>
      <c r="P36">
        <f>sumatera!Q90</f>
        <v>591.54479957196145</v>
      </c>
    </row>
    <row r="37" spans="1:16" x14ac:dyDescent="0.25">
      <c r="A37" t="str">
        <f>sumatera!B91</f>
        <v>SUMATERA</v>
      </c>
      <c r="B37">
        <f>sumatera!C91</f>
        <v>2034</v>
      </c>
      <c r="C37">
        <f>sumatera!D91</f>
        <v>188.07879766605225</v>
      </c>
      <c r="D37">
        <f>sumatera!E91</f>
        <v>21.981726855230463</v>
      </c>
      <c r="E37">
        <f>sumatera!F91</f>
        <v>188.24351626695878</v>
      </c>
      <c r="F37">
        <f>sumatera!G91</f>
        <v>61.06817033812947</v>
      </c>
      <c r="G37">
        <f>sumatera!H91</f>
        <v>15.815328258461541</v>
      </c>
      <c r="H37">
        <f>sumatera!I91</f>
        <v>31.323050695118049</v>
      </c>
      <c r="I37">
        <f>sumatera!J91</f>
        <v>27.679553743589629</v>
      </c>
      <c r="J37">
        <f>sumatera!K91</f>
        <v>21.234888512526723</v>
      </c>
      <c r="K37">
        <f>sumatera!L91</f>
        <v>75.83827764111696</v>
      </c>
      <c r="L37">
        <f>sumatera!M91</f>
        <v>0.32908519495384614</v>
      </c>
      <c r="M37">
        <f>sumatera!N91</f>
        <v>2.4736261607189421E-3</v>
      </c>
      <c r="N37">
        <f>sumatera!O91</f>
        <v>0</v>
      </c>
      <c r="O37">
        <f>sumatera!P91</f>
        <v>0</v>
      </c>
      <c r="P37">
        <f>sumatera!Q91</f>
        <v>631.59486879829842</v>
      </c>
    </row>
    <row r="38" spans="1:16" x14ac:dyDescent="0.25">
      <c r="A38" t="str">
        <f>sumatera!B92</f>
        <v>SUMATERA</v>
      </c>
      <c r="B38">
        <f>sumatera!C92</f>
        <v>2035</v>
      </c>
      <c r="C38">
        <f>sumatera!D92</f>
        <v>188.07879766605225</v>
      </c>
      <c r="D38">
        <f>sumatera!E92</f>
        <v>21.981726855230463</v>
      </c>
      <c r="E38">
        <f>sumatera!F92</f>
        <v>195.08530014741976</v>
      </c>
      <c r="F38">
        <f>sumatera!G92</f>
        <v>90.424422712828402</v>
      </c>
      <c r="G38">
        <f>sumatera!H92</f>
        <v>15.815328258461541</v>
      </c>
      <c r="H38">
        <f>sumatera!I92</f>
        <v>31.323050695118049</v>
      </c>
      <c r="I38">
        <f>sumatera!J92</f>
        <v>28.360221870246118</v>
      </c>
      <c r="J38">
        <f>sumatera!K92</f>
        <v>21.234888512526723</v>
      </c>
      <c r="K38">
        <f>sumatera!L92</f>
        <v>78.869104706958467</v>
      </c>
      <c r="L38">
        <f>sumatera!M92</f>
        <v>0.32908519495384614</v>
      </c>
      <c r="M38">
        <f>sumatera!N92</f>
        <v>2.4736261607189421E-3</v>
      </c>
      <c r="N38">
        <f>sumatera!O92</f>
        <v>0</v>
      </c>
      <c r="O38">
        <f>sumatera!P92</f>
        <v>0</v>
      </c>
      <c r="P38">
        <f>sumatera!Q92</f>
        <v>671.50440024595639</v>
      </c>
    </row>
    <row r="39" spans="1:16" x14ac:dyDescent="0.25">
      <c r="A39" t="str">
        <f>sumatera!B93</f>
        <v>SUMATERA</v>
      </c>
      <c r="B39">
        <f>sumatera!C93</f>
        <v>2036</v>
      </c>
      <c r="C39">
        <f>sumatera!D93</f>
        <v>199.17120959014576</v>
      </c>
      <c r="D39">
        <f>sumatera!E93</f>
        <v>21.981726855230463</v>
      </c>
      <c r="E39">
        <f>sumatera!F93</f>
        <v>198.54779460859913</v>
      </c>
      <c r="F39">
        <f>sumatera!G93</f>
        <v>106.74173230775392</v>
      </c>
      <c r="G39">
        <f>sumatera!H93</f>
        <v>15.815328258461541</v>
      </c>
      <c r="H39">
        <f>sumatera!I93</f>
        <v>31.323050695118049</v>
      </c>
      <c r="I39">
        <f>sumatera!J93</f>
        <v>40.911392113541048</v>
      </c>
      <c r="J39">
        <f>sumatera!K93</f>
        <v>21.234888512526723</v>
      </c>
      <c r="K39">
        <f>sumatera!L93</f>
        <v>80.384518239879242</v>
      </c>
      <c r="L39">
        <f>sumatera!M93</f>
        <v>0.32908519495384614</v>
      </c>
      <c r="M39">
        <f>sumatera!N93</f>
        <v>2.4736261607189421E-3</v>
      </c>
      <c r="N39">
        <f>sumatera!O93</f>
        <v>0</v>
      </c>
      <c r="O39">
        <f>sumatera!P93</f>
        <v>0</v>
      </c>
      <c r="P39">
        <f>sumatera!Q93</f>
        <v>716.44320000237042</v>
      </c>
    </row>
    <row r="40" spans="1:16" x14ac:dyDescent="0.25">
      <c r="A40" t="str">
        <f>sumatera!B94</f>
        <v>SUMATERA</v>
      </c>
      <c r="B40">
        <f>sumatera!C94</f>
        <v>2037</v>
      </c>
      <c r="C40">
        <f>sumatera!D94</f>
        <v>210.51005748410878</v>
      </c>
      <c r="D40">
        <f>sumatera!E94</f>
        <v>21.981726855230463</v>
      </c>
      <c r="E40">
        <f>sumatera!F94</f>
        <v>213.91058715738581</v>
      </c>
      <c r="F40">
        <f>sumatera!G94</f>
        <v>111.60182512746073</v>
      </c>
      <c r="G40">
        <f>sumatera!H94</f>
        <v>15.815328258461541</v>
      </c>
      <c r="H40">
        <f>sumatera!I94</f>
        <v>31.323050695118049</v>
      </c>
      <c r="I40">
        <f>sumatera!J94</f>
        <v>52.265531910898069</v>
      </c>
      <c r="J40">
        <f>sumatera!K94</f>
        <v>23.835709052800951</v>
      </c>
      <c r="K40">
        <f>sumatera!L94</f>
        <v>81.142225006339615</v>
      </c>
      <c r="L40">
        <f>sumatera!M94</f>
        <v>0.32908519495384614</v>
      </c>
      <c r="M40">
        <f>sumatera!N94</f>
        <v>2.4736261607189421E-3</v>
      </c>
      <c r="N40">
        <f>sumatera!O94</f>
        <v>0</v>
      </c>
      <c r="O40">
        <f>sumatera!P94</f>
        <v>0</v>
      </c>
      <c r="P40">
        <f>sumatera!Q94</f>
        <v>762.71760036891851</v>
      </c>
    </row>
    <row r="41" spans="1:16" x14ac:dyDescent="0.25">
      <c r="A41" t="str">
        <f>sumatera!B95</f>
        <v>SUMATERA</v>
      </c>
      <c r="B41">
        <f>sumatera!C95</f>
        <v>2038</v>
      </c>
      <c r="C41">
        <f>sumatera!D95</f>
        <v>223.66718853277786</v>
      </c>
      <c r="D41">
        <f>sumatera!E95</f>
        <v>21.981726855230463</v>
      </c>
      <c r="E41">
        <f>sumatera!F95</f>
        <v>231.17403833185338</v>
      </c>
      <c r="F41">
        <f>sumatera!G95</f>
        <v>117.05374684450641</v>
      </c>
      <c r="G41">
        <f>sumatera!H95</f>
        <v>15.815328258466968</v>
      </c>
      <c r="H41">
        <f>sumatera!I95</f>
        <v>31.323050695127719</v>
      </c>
      <c r="I41">
        <f>sumatera!J95</f>
        <v>52.265531910915463</v>
      </c>
      <c r="J41">
        <f>sumatera!K95</f>
        <v>41.54921223722198</v>
      </c>
      <c r="K41">
        <f>sumatera!L95</f>
        <v>81.142225006339615</v>
      </c>
      <c r="L41">
        <f>sumatera!M95</f>
        <v>0.32908519495384614</v>
      </c>
      <c r="M41">
        <f>sumatera!N95</f>
        <v>2.4736261607189421E-3</v>
      </c>
      <c r="N41">
        <f>sumatera!O95</f>
        <v>9.7390818952611468E-9</v>
      </c>
      <c r="O41">
        <f>sumatera!P95</f>
        <v>0</v>
      </c>
      <c r="P41">
        <f>sumatera!Q95</f>
        <v>816.30360750329328</v>
      </c>
    </row>
    <row r="42" spans="1:16" x14ac:dyDescent="0.25">
      <c r="A42" t="str">
        <f>Jawa!B76</f>
        <v>JAWA</v>
      </c>
      <c r="B42">
        <f>Jawa!C76</f>
        <v>2019</v>
      </c>
      <c r="C42">
        <f>Jawa!D76</f>
        <v>402.29490575999995</v>
      </c>
      <c r="D42">
        <f>Jawa!E76</f>
        <v>31.174082340679391</v>
      </c>
      <c r="E42">
        <f>Jawa!F76</f>
        <v>98.244950355581551</v>
      </c>
      <c r="F42">
        <f>Jawa!G76</f>
        <v>0.59601118729846159</v>
      </c>
      <c r="G42">
        <f>Jawa!H76</f>
        <v>28.145210466461535</v>
      </c>
      <c r="H42">
        <f>Jawa!I76</f>
        <v>41.541445641600006</v>
      </c>
      <c r="I42">
        <f>Jawa!J76</f>
        <v>0.36970477587692319</v>
      </c>
      <c r="J42">
        <f>Jawa!K76</f>
        <v>6.6225600000000004E-3</v>
      </c>
      <c r="K42">
        <f>Jawa!L76</f>
        <v>0</v>
      </c>
      <c r="L42">
        <f>Jawa!M76</f>
        <v>7.1931190153846164E-2</v>
      </c>
      <c r="M42">
        <f>Jawa!N76</f>
        <v>0</v>
      </c>
      <c r="N42">
        <f>Jawa!O76</f>
        <v>0</v>
      </c>
      <c r="O42">
        <f>Jawa!P76</f>
        <v>0</v>
      </c>
      <c r="P42">
        <f>Jawa!Q76</f>
        <v>602.44486427765162</v>
      </c>
    </row>
    <row r="43" spans="1:16" x14ac:dyDescent="0.25">
      <c r="A43" t="str">
        <f>Jawa!B77</f>
        <v>JAWA</v>
      </c>
      <c r="B43">
        <f>Jawa!C77</f>
        <v>2020</v>
      </c>
      <c r="C43">
        <f>Jawa!D77</f>
        <v>429.27183254415206</v>
      </c>
      <c r="D43">
        <f>Jawa!E77</f>
        <v>31.174082340679391</v>
      </c>
      <c r="E43">
        <f>Jawa!F77</f>
        <v>108.26529007974553</v>
      </c>
      <c r="F43">
        <f>Jawa!G77</f>
        <v>0.59601118729846159</v>
      </c>
      <c r="G43">
        <f>Jawa!H77</f>
        <v>28.145210466461535</v>
      </c>
      <c r="H43">
        <f>Jawa!I77</f>
        <v>75.094555765023713</v>
      </c>
      <c r="I43">
        <f>Jawa!J77</f>
        <v>0.36970477587692319</v>
      </c>
      <c r="J43">
        <f>Jawa!K77</f>
        <v>34.515926771147306</v>
      </c>
      <c r="K43">
        <f>Jawa!L77</f>
        <v>0.24915745646936999</v>
      </c>
      <c r="L43">
        <f>Jawa!M77</f>
        <v>7.1931190153846164E-2</v>
      </c>
      <c r="M43">
        <f>Jawa!N77</f>
        <v>6.0371036969733026E-2</v>
      </c>
      <c r="N43">
        <f>Jawa!O77</f>
        <v>0</v>
      </c>
      <c r="O43">
        <f>Jawa!P77</f>
        <v>0</v>
      </c>
      <c r="P43">
        <f>Jawa!Q77</f>
        <v>707.81407361397783</v>
      </c>
    </row>
    <row r="44" spans="1:16" x14ac:dyDescent="0.25">
      <c r="A44" t="str">
        <f>Jawa!B78</f>
        <v>JAWA</v>
      </c>
      <c r="B44">
        <f>Jawa!C78</f>
        <v>2021</v>
      </c>
      <c r="C44">
        <f>Jawa!D78</f>
        <v>429.27183254415206</v>
      </c>
      <c r="D44">
        <f>Jawa!E78</f>
        <v>32.217632041894717</v>
      </c>
      <c r="E44">
        <f>Jawa!F78</f>
        <v>183.9285288684257</v>
      </c>
      <c r="F44">
        <f>Jawa!G78</f>
        <v>0.74554942268620594</v>
      </c>
      <c r="G44">
        <f>Jawa!H78</f>
        <v>28.145210466461535</v>
      </c>
      <c r="H44">
        <f>Jawa!I78</f>
        <v>75.094555765023713</v>
      </c>
      <c r="I44">
        <f>Jawa!J78</f>
        <v>0.36970477587692319</v>
      </c>
      <c r="J44">
        <f>Jawa!K78</f>
        <v>34.515926771147306</v>
      </c>
      <c r="K44">
        <f>Jawa!L78</f>
        <v>0.24915745646936999</v>
      </c>
      <c r="L44">
        <f>Jawa!M78</f>
        <v>7.1931190153846164E-2</v>
      </c>
      <c r="M44">
        <f>Jawa!N78</f>
        <v>6.0371036969733026E-2</v>
      </c>
      <c r="N44">
        <f>Jawa!O78</f>
        <v>0</v>
      </c>
      <c r="O44">
        <f>Jawa!P78</f>
        <v>0</v>
      </c>
      <c r="P44">
        <f>Jawa!Q78</f>
        <v>784.67040033926105</v>
      </c>
    </row>
    <row r="45" spans="1:16" x14ac:dyDescent="0.25">
      <c r="A45" t="str">
        <f>Jawa!B79</f>
        <v>JAWA</v>
      </c>
      <c r="B45">
        <f>Jawa!C79</f>
        <v>2022</v>
      </c>
      <c r="C45">
        <f>Jawa!D79</f>
        <v>429.27183254415206</v>
      </c>
      <c r="D45">
        <f>Jawa!E79</f>
        <v>37.170244509227402</v>
      </c>
      <c r="E45">
        <f>Jawa!F79</f>
        <v>214.74391248631338</v>
      </c>
      <c r="F45">
        <f>Jawa!G79</f>
        <v>0.76810843313799237</v>
      </c>
      <c r="G45">
        <f>Jawa!H79</f>
        <v>28.145210466461535</v>
      </c>
      <c r="H45">
        <f>Jawa!I79</f>
        <v>75.094555765023713</v>
      </c>
      <c r="I45">
        <f>Jawa!J79</f>
        <v>0.36970477587692319</v>
      </c>
      <c r="J45">
        <f>Jawa!K79</f>
        <v>34.515926771147306</v>
      </c>
      <c r="K45">
        <f>Jawa!L79</f>
        <v>4.6994094981410175</v>
      </c>
      <c r="L45">
        <f>Jawa!M79</f>
        <v>7.1931190153846164E-2</v>
      </c>
      <c r="M45">
        <f>Jawa!N79</f>
        <v>6.0371036969733026E-2</v>
      </c>
      <c r="N45">
        <f>Jawa!O79</f>
        <v>0</v>
      </c>
      <c r="O45">
        <f>Jawa!P79</f>
        <v>0</v>
      </c>
      <c r="P45">
        <f>Jawa!Q79</f>
        <v>824.91120747660489</v>
      </c>
    </row>
    <row r="46" spans="1:16" x14ac:dyDescent="0.25">
      <c r="A46" t="str">
        <f>Jawa!B80</f>
        <v>JAWA</v>
      </c>
      <c r="B46">
        <f>Jawa!C80</f>
        <v>2023</v>
      </c>
      <c r="C46">
        <f>Jawa!D80</f>
        <v>429.27183254415206</v>
      </c>
      <c r="D46">
        <f>Jawa!E80</f>
        <v>42.125760826912767</v>
      </c>
      <c r="E46">
        <f>Jawa!F80</f>
        <v>226.27315530813948</v>
      </c>
      <c r="F46">
        <f>Jawa!G80</f>
        <v>0.78900351978231398</v>
      </c>
      <c r="G46">
        <f>Jawa!H80</f>
        <v>28.145210466461535</v>
      </c>
      <c r="H46">
        <f>Jawa!I80</f>
        <v>75.094555765023713</v>
      </c>
      <c r="I46">
        <f>Jawa!J80</f>
        <v>0.36970477587692319</v>
      </c>
      <c r="J46">
        <f>Jawa!K80</f>
        <v>34.515926771147306</v>
      </c>
      <c r="K46">
        <f>Jawa!L80</f>
        <v>27.9269553223725</v>
      </c>
      <c r="L46">
        <f>Jawa!M80</f>
        <v>7.1931190153846164E-2</v>
      </c>
      <c r="M46">
        <f>Jawa!N80</f>
        <v>6.0371036969733026E-2</v>
      </c>
      <c r="N46">
        <f>Jawa!O80</f>
        <v>0</v>
      </c>
      <c r="O46">
        <f>Jawa!P80</f>
        <v>0</v>
      </c>
      <c r="P46">
        <f>Jawa!Q80</f>
        <v>864.64440752699215</v>
      </c>
    </row>
    <row r="47" spans="1:16" x14ac:dyDescent="0.25">
      <c r="A47" t="str">
        <f>Jawa!B81</f>
        <v>JAWA</v>
      </c>
      <c r="B47">
        <f>Jawa!C81</f>
        <v>2024</v>
      </c>
      <c r="C47">
        <f>Jawa!D81</f>
        <v>429.27183254415206</v>
      </c>
      <c r="D47">
        <f>Jawa!E81</f>
        <v>47.290839300417083</v>
      </c>
      <c r="E47">
        <f>Jawa!F81</f>
        <v>239.88519344526452</v>
      </c>
      <c r="F47">
        <f>Jawa!G81</f>
        <v>0.81306012317656506</v>
      </c>
      <c r="G47">
        <f>Jawa!H81</f>
        <v>28.145210466461535</v>
      </c>
      <c r="H47">
        <f>Jawa!I81</f>
        <v>75.094555765023713</v>
      </c>
      <c r="I47">
        <f>Jawa!J81</f>
        <v>0.36970477587692319</v>
      </c>
      <c r="J47">
        <f>Jawa!K81</f>
        <v>34.515926771147306</v>
      </c>
      <c r="K47">
        <f>Jawa!L81</f>
        <v>53.672550620943483</v>
      </c>
      <c r="L47">
        <f>Jawa!M81</f>
        <v>7.1931190153846164E-2</v>
      </c>
      <c r="M47">
        <f>Jawa!N81</f>
        <v>6.0371036969733026E-2</v>
      </c>
      <c r="N47">
        <f>Jawa!O81</f>
        <v>0</v>
      </c>
      <c r="O47">
        <f>Jawa!P81</f>
        <v>0</v>
      </c>
      <c r="P47">
        <f>Jawa!Q81</f>
        <v>909.19117603958682</v>
      </c>
    </row>
    <row r="48" spans="1:16" x14ac:dyDescent="0.25">
      <c r="A48" t="str">
        <f>Jawa!B82</f>
        <v>JAWA</v>
      </c>
      <c r="B48">
        <f>Jawa!C82</f>
        <v>2025</v>
      </c>
      <c r="C48">
        <f>Jawa!D82</f>
        <v>429.27183254415206</v>
      </c>
      <c r="D48">
        <f>Jawa!E82</f>
        <v>52.730439050812755</v>
      </c>
      <c r="E48">
        <f>Jawa!F82</f>
        <v>249.7756622966904</v>
      </c>
      <c r="F48">
        <f>Jawa!G82</f>
        <v>0.83382814382768167</v>
      </c>
      <c r="G48">
        <f>Jawa!H82</f>
        <v>28.145210466461535</v>
      </c>
      <c r="H48">
        <f>Jawa!I82</f>
        <v>75.094555765023713</v>
      </c>
      <c r="I48">
        <f>Jawa!J82</f>
        <v>0.36970477587692319</v>
      </c>
      <c r="J48">
        <f>Jawa!K82</f>
        <v>34.515926771147306</v>
      </c>
      <c r="K48">
        <f>Jawa!L82</f>
        <v>80.574262605346618</v>
      </c>
      <c r="L48">
        <f>Jawa!M82</f>
        <v>7.1931190153846164E-2</v>
      </c>
      <c r="M48">
        <f>Jawa!N82</f>
        <v>6.0371036969733026E-2</v>
      </c>
      <c r="N48">
        <f>Jawa!O82</f>
        <v>0</v>
      </c>
      <c r="O48">
        <f>Jawa!P82</f>
        <v>0</v>
      </c>
      <c r="P48">
        <f>Jawa!Q82</f>
        <v>951.44372464646256</v>
      </c>
    </row>
    <row r="49" spans="1:16" x14ac:dyDescent="0.25">
      <c r="A49" t="str">
        <f>Jawa!B83</f>
        <v>JAWA</v>
      </c>
      <c r="B49">
        <f>Jawa!C83</f>
        <v>2026</v>
      </c>
      <c r="C49">
        <f>Jawa!D83</f>
        <v>429.27183254415206</v>
      </c>
      <c r="D49">
        <f>Jawa!E83</f>
        <v>58.572842933393986</v>
      </c>
      <c r="E49">
        <f>Jawa!F83</f>
        <v>289.46861231408616</v>
      </c>
      <c r="F49">
        <f>Jawa!G83</f>
        <v>0.87160598868603789</v>
      </c>
      <c r="G49">
        <f>Jawa!H83</f>
        <v>28.145210466461535</v>
      </c>
      <c r="H49">
        <f>Jawa!I83</f>
        <v>75.094555765023713</v>
      </c>
      <c r="I49">
        <f>Jawa!J83</f>
        <v>0.36970477587692319</v>
      </c>
      <c r="J49">
        <f>Jawa!K83</f>
        <v>34.515926771147306</v>
      </c>
      <c r="K49">
        <f>Jawa!L83</f>
        <v>98.404653571164118</v>
      </c>
      <c r="L49">
        <f>Jawa!M83</f>
        <v>7.1931190153846164E-2</v>
      </c>
      <c r="M49">
        <f>Jawa!N83</f>
        <v>6.0371036969733026E-2</v>
      </c>
      <c r="N49">
        <f>Jawa!O83</f>
        <v>0</v>
      </c>
      <c r="O49">
        <f>Jawa!P83</f>
        <v>0</v>
      </c>
      <c r="P49">
        <f>Jawa!Q83</f>
        <v>1014.8472473571154</v>
      </c>
    </row>
    <row r="50" spans="1:16" x14ac:dyDescent="0.25">
      <c r="A50" t="str">
        <f>Jawa!B84</f>
        <v>JAWA</v>
      </c>
      <c r="B50">
        <f>Jawa!C84</f>
        <v>2027</v>
      </c>
      <c r="C50">
        <f>Jawa!D84</f>
        <v>429.27183254415206</v>
      </c>
      <c r="D50">
        <f>Jawa!E84</f>
        <v>64.510027292306049</v>
      </c>
      <c r="E50">
        <f>Jawa!F84</f>
        <v>331.4993581349143</v>
      </c>
      <c r="F50">
        <f>Jawa!G84</f>
        <v>0.91066894367371287</v>
      </c>
      <c r="G50">
        <f>Jawa!H84</f>
        <v>28.145210466461535</v>
      </c>
      <c r="H50">
        <f>Jawa!I84</f>
        <v>75.094555765023713</v>
      </c>
      <c r="I50">
        <f>Jawa!J84</f>
        <v>0.36970477587692319</v>
      </c>
      <c r="J50">
        <f>Jawa!K84</f>
        <v>34.515926771147306</v>
      </c>
      <c r="K50">
        <f>Jawa!L84</f>
        <v>117.51965564497331</v>
      </c>
      <c r="L50">
        <f>Jawa!M84</f>
        <v>7.1931190153846164E-2</v>
      </c>
      <c r="M50">
        <f>Jawa!N84</f>
        <v>6.0371036969733026E-2</v>
      </c>
      <c r="N50">
        <f>Jawa!O84</f>
        <v>0</v>
      </c>
      <c r="O50">
        <f>Jawa!P84</f>
        <v>0</v>
      </c>
      <c r="P50">
        <f>Jawa!Q84</f>
        <v>1081.9692425656524</v>
      </c>
    </row>
    <row r="51" spans="1:16" x14ac:dyDescent="0.25">
      <c r="A51" t="str">
        <f>Jawa!B85</f>
        <v>JAWA</v>
      </c>
      <c r="B51">
        <f>Jawa!C85</f>
        <v>2028</v>
      </c>
      <c r="C51">
        <f>Jawa!D85</f>
        <v>429.27183254415206</v>
      </c>
      <c r="D51">
        <f>Jawa!E85</f>
        <v>70.804511076052876</v>
      </c>
      <c r="E51">
        <f>Jawa!F85</f>
        <v>372.94423945725026</v>
      </c>
      <c r="F51">
        <f>Jawa!G85</f>
        <v>0.94803748005001098</v>
      </c>
      <c r="G51">
        <f>Jawa!H85</f>
        <v>28.145210466461535</v>
      </c>
      <c r="H51">
        <f>Jawa!I85</f>
        <v>75.094555765023713</v>
      </c>
      <c r="I51">
        <f>Jawa!J85</f>
        <v>0.36970477587692319</v>
      </c>
      <c r="J51">
        <f>Jawa!K85</f>
        <v>34.515926771147306</v>
      </c>
      <c r="K51">
        <f>Jawa!L85</f>
        <v>137.12743933488852</v>
      </c>
      <c r="L51">
        <f>Jawa!M85</f>
        <v>7.1931190153846164E-2</v>
      </c>
      <c r="M51">
        <f>Jawa!N85</f>
        <v>6.0371036969733026E-2</v>
      </c>
      <c r="N51">
        <f>Jawa!O85</f>
        <v>0</v>
      </c>
      <c r="O51">
        <f>Jawa!P85</f>
        <v>0</v>
      </c>
      <c r="P51">
        <f>Jawa!Q85</f>
        <v>1149.353759898027</v>
      </c>
    </row>
    <row r="52" spans="1:16" x14ac:dyDescent="0.25">
      <c r="A52" t="str">
        <f>Jawa!B86</f>
        <v>JAWA</v>
      </c>
      <c r="B52">
        <f>Jawa!C86</f>
        <v>2029</v>
      </c>
      <c r="C52">
        <f>Jawa!D86</f>
        <v>429.27183254415206</v>
      </c>
      <c r="D52">
        <f>Jawa!E86</f>
        <v>77.686174852956825</v>
      </c>
      <c r="E52">
        <f>Jawa!F86</f>
        <v>416.77108196698043</v>
      </c>
      <c r="F52">
        <f>Jawa!G86</f>
        <v>0.98717850868815715</v>
      </c>
      <c r="G52">
        <f>Jawa!H86</f>
        <v>28.145210466461535</v>
      </c>
      <c r="H52">
        <f>Jawa!I86</f>
        <v>75.094555765023713</v>
      </c>
      <c r="I52">
        <f>Jawa!J86</f>
        <v>0.36970477587692319</v>
      </c>
      <c r="J52">
        <f>Jawa!K86</f>
        <v>34.515926771147306</v>
      </c>
      <c r="K52">
        <f>Jawa!L86</f>
        <v>158.25706007034057</v>
      </c>
      <c r="L52">
        <f>Jawa!M86</f>
        <v>7.1931190153846164E-2</v>
      </c>
      <c r="M52">
        <f>Jawa!N86</f>
        <v>6.0371036969733026E-2</v>
      </c>
      <c r="N52">
        <f>Jawa!O86</f>
        <v>0</v>
      </c>
      <c r="O52">
        <f>Jawa!P86</f>
        <v>0</v>
      </c>
      <c r="P52">
        <f>Jawa!Q86</f>
        <v>1221.231027948751</v>
      </c>
    </row>
    <row r="53" spans="1:16" x14ac:dyDescent="0.25">
      <c r="A53" t="str">
        <f>Jawa!B87</f>
        <v>JAWA</v>
      </c>
      <c r="B53">
        <f>Jawa!C87</f>
        <v>2030</v>
      </c>
      <c r="C53">
        <f>Jawa!D87</f>
        <v>429.27183254415206</v>
      </c>
      <c r="D53">
        <f>Jawa!E87</f>
        <v>84.959218751966645</v>
      </c>
      <c r="E53">
        <f>Jawa!F87</f>
        <v>461.83948355489701</v>
      </c>
      <c r="F53">
        <f>Jawa!G87</f>
        <v>1.026574039876232</v>
      </c>
      <c r="G53">
        <f>Jawa!H87</f>
        <v>28.145210466461535</v>
      </c>
      <c r="H53">
        <f>Jawa!I87</f>
        <v>75.094555765023713</v>
      </c>
      <c r="I53">
        <f>Jawa!J87</f>
        <v>0.36970477587692319</v>
      </c>
      <c r="J53">
        <f>Jawa!K87</f>
        <v>34.515926771147306</v>
      </c>
      <c r="K53">
        <f>Jawa!L87</f>
        <v>180.52982378749249</v>
      </c>
      <c r="L53">
        <f>Jawa!M87</f>
        <v>7.1931190153846164E-2</v>
      </c>
      <c r="M53">
        <f>Jawa!N87</f>
        <v>6.0371036969733026E-2</v>
      </c>
      <c r="N53">
        <f>Jawa!O87</f>
        <v>0</v>
      </c>
      <c r="O53">
        <f>Jawa!P87</f>
        <v>0</v>
      </c>
      <c r="P53">
        <f>Jawa!Q87</f>
        <v>1295.8846326840176</v>
      </c>
    </row>
    <row r="54" spans="1:16" x14ac:dyDescent="0.25">
      <c r="A54" t="str">
        <f>Jawa!B88</f>
        <v>JAWA</v>
      </c>
      <c r="B54">
        <f>Jawa!C88</f>
        <v>2031</v>
      </c>
      <c r="C54">
        <f>Jawa!D88</f>
        <v>429.27183254415206</v>
      </c>
      <c r="D54">
        <f>Jawa!E88</f>
        <v>92.639009930334851</v>
      </c>
      <c r="E54">
        <f>Jawa!F88</f>
        <v>515.25405101437741</v>
      </c>
      <c r="F54">
        <f>Jawa!G88</f>
        <v>1.0735519428059328</v>
      </c>
      <c r="G54">
        <f>Jawa!H88</f>
        <v>28.145210466461535</v>
      </c>
      <c r="H54">
        <f>Jawa!I88</f>
        <v>75.094555765023713</v>
      </c>
      <c r="I54">
        <f>Jawa!J88</f>
        <v>0.36970477587692319</v>
      </c>
      <c r="J54">
        <f>Jawa!K88</f>
        <v>34.515926771147306</v>
      </c>
      <c r="K54">
        <f>Jawa!L88</f>
        <v>206.34668994795283</v>
      </c>
      <c r="L54">
        <f>Jawa!M88</f>
        <v>7.1931190153846164E-2</v>
      </c>
      <c r="M54">
        <f>Jawa!N88</f>
        <v>6.0371036969733026E-2</v>
      </c>
      <c r="N54">
        <f>Jawa!O88</f>
        <v>0</v>
      </c>
      <c r="O54">
        <f>Jawa!P88</f>
        <v>0</v>
      </c>
      <c r="P54">
        <f>Jawa!Q88</f>
        <v>1382.8428353852564</v>
      </c>
    </row>
    <row r="55" spans="1:16" x14ac:dyDescent="0.25">
      <c r="A55" t="str">
        <f>Jawa!B89</f>
        <v>JAWA</v>
      </c>
      <c r="B55">
        <f>Jawa!C89</f>
        <v>2032</v>
      </c>
      <c r="C55">
        <f>Jawa!D89</f>
        <v>429.27183254415206</v>
      </c>
      <c r="D55">
        <f>Jawa!E89</f>
        <v>100.75440063111967</v>
      </c>
      <c r="E55">
        <f>Jawa!F89</f>
        <v>572.22232371561881</v>
      </c>
      <c r="F55">
        <f>Jawa!G89</f>
        <v>1.1228677208285505</v>
      </c>
      <c r="G55">
        <f>Jawa!H89</f>
        <v>28.145210466461535</v>
      </c>
      <c r="H55">
        <f>Jawa!I89</f>
        <v>75.094555765023713</v>
      </c>
      <c r="I55">
        <f>Jawa!J89</f>
        <v>4.1679437684399145</v>
      </c>
      <c r="J55">
        <f>Jawa!K89</f>
        <v>34.515926771147306</v>
      </c>
      <c r="K55">
        <f>Jawa!L89</f>
        <v>230.45759746283798</v>
      </c>
      <c r="L55">
        <f>Jawa!M89</f>
        <v>7.1931190153846164E-2</v>
      </c>
      <c r="M55">
        <f>Jawa!N89</f>
        <v>6.0371036969733026E-2</v>
      </c>
      <c r="N55">
        <f>Jawa!O89</f>
        <v>0</v>
      </c>
      <c r="O55">
        <f>Jawa!P89</f>
        <v>0</v>
      </c>
      <c r="P55">
        <f>Jawa!Q89</f>
        <v>1475.8849610727532</v>
      </c>
    </row>
    <row r="56" spans="1:16" x14ac:dyDescent="0.25">
      <c r="A56" t="str">
        <f>Jawa!B90</f>
        <v>JAWA</v>
      </c>
      <c r="B56">
        <f>Jawa!C90</f>
        <v>2033</v>
      </c>
      <c r="C56">
        <f>Jawa!D90</f>
        <v>444.81766301481508</v>
      </c>
      <c r="D56">
        <f>Jawa!E90</f>
        <v>106.93639753044899</v>
      </c>
      <c r="E56">
        <f>Jawa!F90</f>
        <v>613.00138803007735</v>
      </c>
      <c r="F56">
        <f>Jawa!G90</f>
        <v>1.1677931737590768</v>
      </c>
      <c r="G56">
        <f>Jawa!H90</f>
        <v>28.817175437885059</v>
      </c>
      <c r="H56">
        <f>Jawa!I90</f>
        <v>78.65960612268718</v>
      </c>
      <c r="I56">
        <f>Jawa!J90</f>
        <v>11.865304371555061</v>
      </c>
      <c r="J56">
        <f>Jawa!K90</f>
        <v>38.348577965697515</v>
      </c>
      <c r="K56">
        <f>Jawa!L90</f>
        <v>242.51305122028057</v>
      </c>
      <c r="L56">
        <f>Jawa!M90</f>
        <v>7.1931190153846164E-2</v>
      </c>
      <c r="M56">
        <f>Jawa!N90</f>
        <v>6.0371036969733026E-2</v>
      </c>
      <c r="N56">
        <f>Jawa!O90</f>
        <v>0</v>
      </c>
      <c r="O56">
        <f>Jawa!P90</f>
        <v>0</v>
      </c>
      <c r="P56">
        <f>Jawa!Q90</f>
        <v>1566.2592590943295</v>
      </c>
    </row>
    <row r="57" spans="1:16" x14ac:dyDescent="0.25">
      <c r="A57" t="str">
        <f>Jawa!B91</f>
        <v>JAWA</v>
      </c>
      <c r="B57">
        <f>Jawa!C91</f>
        <v>2034</v>
      </c>
      <c r="C57">
        <f>Jawa!D91</f>
        <v>471.45137564956661</v>
      </c>
      <c r="D57">
        <f>Jawa!E91</f>
        <v>116.00041225664388</v>
      </c>
      <c r="E57">
        <f>Jawa!F91</f>
        <v>650.47484827719074</v>
      </c>
      <c r="F57">
        <f>Jawa!G91</f>
        <v>1.2215638905149944</v>
      </c>
      <c r="G57">
        <f>Jawa!H91</f>
        <v>28.817175437885059</v>
      </c>
      <c r="H57">
        <f>Jawa!I91</f>
        <v>78.65960612268718</v>
      </c>
      <c r="I57">
        <f>Jawa!J91</f>
        <v>32.997986886053368</v>
      </c>
      <c r="J57">
        <f>Jawa!K91</f>
        <v>43.51773130050141</v>
      </c>
      <c r="K57">
        <f>Jawa!L91</f>
        <v>248.54077809900178</v>
      </c>
      <c r="L57">
        <f>Jawa!M91</f>
        <v>7.1931190153846164E-2</v>
      </c>
      <c r="M57">
        <f>Jawa!N91</f>
        <v>6.0371036969733026E-2</v>
      </c>
      <c r="N57">
        <f>Jawa!O91</f>
        <v>0</v>
      </c>
      <c r="O57">
        <f>Jawa!P91</f>
        <v>0</v>
      </c>
      <c r="P57">
        <f>Jawa!Q91</f>
        <v>1671.8137801471685</v>
      </c>
    </row>
    <row r="58" spans="1:16" x14ac:dyDescent="0.25">
      <c r="A58" t="str">
        <f>Jawa!B92</f>
        <v>JAWA</v>
      </c>
      <c r="B58">
        <f>Jawa!C92</f>
        <v>2035</v>
      </c>
      <c r="C58">
        <f>Jawa!D92</f>
        <v>497.6042720649649</v>
      </c>
      <c r="D58">
        <f>Jawa!E92</f>
        <v>120.14992756299911</v>
      </c>
      <c r="E58">
        <f>Jawa!F92</f>
        <v>692.51595408138974</v>
      </c>
      <c r="F58">
        <f>Jawa!G92</f>
        <v>1.2725663874795117</v>
      </c>
      <c r="G58">
        <f>Jawa!H92</f>
        <v>30.339054060353217</v>
      </c>
      <c r="H58">
        <f>Jawa!I92</f>
        <v>86.728201036306459</v>
      </c>
      <c r="I58">
        <f>Jawa!J92</f>
        <v>47.687906821477839</v>
      </c>
      <c r="J58">
        <f>Jawa!K92</f>
        <v>49.173415427618245</v>
      </c>
      <c r="K58">
        <f>Jawa!L92</f>
        <v>251.55434903876784</v>
      </c>
      <c r="L58">
        <f>Jawa!M92</f>
        <v>7.1931190153846164E-2</v>
      </c>
      <c r="M58">
        <f>Jawa!N92</f>
        <v>6.0371036969733026E-2</v>
      </c>
      <c r="N58">
        <f>Jawa!O92</f>
        <v>0</v>
      </c>
      <c r="O58">
        <f>Jawa!P92</f>
        <v>0</v>
      </c>
      <c r="P58">
        <f>Jawa!Q92</f>
        <v>1777.1579487084803</v>
      </c>
    </row>
    <row r="59" spans="1:16" x14ac:dyDescent="0.25">
      <c r="A59" t="str">
        <f>Jawa!B93</f>
        <v>JAWA</v>
      </c>
      <c r="B59">
        <f>Jawa!C93</f>
        <v>2036</v>
      </c>
      <c r="C59">
        <f>Jawa!D93</f>
        <v>526.76214760575681</v>
      </c>
      <c r="D59">
        <f>Jawa!E93</f>
        <v>122.89242347552985</v>
      </c>
      <c r="E59">
        <f>Jawa!F93</f>
        <v>741.33497027294015</v>
      </c>
      <c r="F59">
        <f>Jawa!G93</f>
        <v>1.3296892088978223</v>
      </c>
      <c r="G59">
        <f>Jawa!H93</f>
        <v>40.870436053406948</v>
      </c>
      <c r="H59">
        <f>Jawa!I93</f>
        <v>97.687928970953237</v>
      </c>
      <c r="I59">
        <f>Jawa!J93</f>
        <v>55.032866254061993</v>
      </c>
      <c r="J59">
        <f>Jawa!K93</f>
        <v>55.723137571280468</v>
      </c>
      <c r="K59">
        <f>Jawa!L93</f>
        <v>253.06142700824546</v>
      </c>
      <c r="L59">
        <f>Jawa!M93</f>
        <v>7.1931190153846164E-2</v>
      </c>
      <c r="M59">
        <f>Jawa!N93</f>
        <v>6.0371036969733026E-2</v>
      </c>
      <c r="N59">
        <f>Jawa!O93</f>
        <v>0</v>
      </c>
      <c r="O59">
        <f>Jawa!P93</f>
        <v>0</v>
      </c>
      <c r="P59">
        <f>Jawa!Q93</f>
        <v>1894.8273286481963</v>
      </c>
    </row>
    <row r="60" spans="1:16" x14ac:dyDescent="0.25">
      <c r="A60" t="str">
        <f>Jawa!B94</f>
        <v>JAWA</v>
      </c>
      <c r="B60">
        <f>Jawa!C94</f>
        <v>2037</v>
      </c>
      <c r="C60">
        <f>Jawa!D94</f>
        <v>556.50064425816458</v>
      </c>
      <c r="D60">
        <f>Jawa!E94</f>
        <v>129.90142811556387</v>
      </c>
      <c r="E60">
        <f>Jawa!F94</f>
        <v>787.34079908200863</v>
      </c>
      <c r="F60">
        <f>Jawa!G94</f>
        <v>1.3866375565444546</v>
      </c>
      <c r="G60">
        <f>Jawa!H94</f>
        <v>62.344398965825</v>
      </c>
      <c r="H60">
        <f>Jawa!I94</f>
        <v>103.16746187297585</v>
      </c>
      <c r="I60">
        <f>Jawa!J94</f>
        <v>58.705345970354074</v>
      </c>
      <c r="J60">
        <f>Jawa!K94</f>
        <v>63.011579587189217</v>
      </c>
      <c r="K60">
        <f>Jawa!L94</f>
        <v>253.81496599298433</v>
      </c>
      <c r="L60">
        <f>Jawa!M94</f>
        <v>7.1931190153846164E-2</v>
      </c>
      <c r="M60">
        <f>Jawa!N94</f>
        <v>6.0371036969733026E-2</v>
      </c>
      <c r="N60">
        <f>Jawa!O94</f>
        <v>1.2792894953061166E-17</v>
      </c>
      <c r="O60">
        <f>Jawa!P94</f>
        <v>0</v>
      </c>
      <c r="P60">
        <f>Jawa!Q94</f>
        <v>2016.3055636287336</v>
      </c>
    </row>
    <row r="61" spans="1:16" x14ac:dyDescent="0.25">
      <c r="A61" t="str">
        <f>Jawa!B95</f>
        <v>JAWA</v>
      </c>
      <c r="B61">
        <f>Jawa!C95</f>
        <v>2038</v>
      </c>
      <c r="C61">
        <f>Jawa!D95</f>
        <v>590.74035927266925</v>
      </c>
      <c r="D61">
        <f>Jawa!E95</f>
        <v>139.35513449595013</v>
      </c>
      <c r="E61">
        <f>Jawa!F95</f>
        <v>838.87172416064288</v>
      </c>
      <c r="F61">
        <f>Jawa!G95</f>
        <v>1.4530432334010821</v>
      </c>
      <c r="G61">
        <f>Jawa!H95</f>
        <v>93.203118638256953</v>
      </c>
      <c r="H61">
        <f>Jawa!I95</f>
        <v>105.90755938928794</v>
      </c>
      <c r="I61">
        <f>Jawa!J95</f>
        <v>60.541585828500132</v>
      </c>
      <c r="J61">
        <f>Jawa!K95</f>
        <v>71.58902511156505</v>
      </c>
      <c r="K61">
        <f>Jawa!L95</f>
        <v>254.19173548535369</v>
      </c>
      <c r="L61">
        <f>Jawa!M95</f>
        <v>7.1931190153846164E-2</v>
      </c>
      <c r="M61">
        <f>Jawa!N95</f>
        <v>6.0371036969733026E-2</v>
      </c>
      <c r="N61">
        <f>Jawa!O95</f>
        <v>1.2792894953061166E-17</v>
      </c>
      <c r="O61">
        <f>Jawa!P95</f>
        <v>0</v>
      </c>
      <c r="P61">
        <f>Jawa!Q95</f>
        <v>2155.9855878427506</v>
      </c>
    </row>
    <row r="62" spans="1:16" x14ac:dyDescent="0.25">
      <c r="A62" t="str">
        <f>bali_nt!B76</f>
        <v>BALI_NT</v>
      </c>
      <c r="B62">
        <f>bali_nt!C76</f>
        <v>2019</v>
      </c>
      <c r="C62">
        <f>bali_nt!D76</f>
        <v>9.0660809875199995</v>
      </c>
      <c r="D62">
        <f>bali_nt!E76</f>
        <v>7.1084793970079989</v>
      </c>
      <c r="E62">
        <f>bali_nt!F76</f>
        <v>0</v>
      </c>
      <c r="F62">
        <f>bali_nt!G76</f>
        <v>10.471123198523079</v>
      </c>
      <c r="G62">
        <f>bali_nt!H76</f>
        <v>0.57467810215384618</v>
      </c>
      <c r="H62">
        <f>bali_nt!I76</f>
        <v>0.11666476356923075</v>
      </c>
      <c r="I62">
        <f>bali_nt!J76</f>
        <v>0.34093812184615391</v>
      </c>
      <c r="J62">
        <f>bali_nt!K76</f>
        <v>2.73511728E-2</v>
      </c>
      <c r="K62">
        <f>bali_nt!L76</f>
        <v>0</v>
      </c>
      <c r="L62">
        <f>bali_nt!M76</f>
        <v>0</v>
      </c>
      <c r="M62">
        <f>bali_nt!N76</f>
        <v>0</v>
      </c>
      <c r="N62">
        <f>bali_nt!O76</f>
        <v>0</v>
      </c>
      <c r="O62">
        <f>bali_nt!P76</f>
        <v>0</v>
      </c>
      <c r="P62">
        <f>bali_nt!Q76</f>
        <v>27.705315743420311</v>
      </c>
    </row>
    <row r="63" spans="1:16" x14ac:dyDescent="0.25">
      <c r="A63" t="str">
        <f>bali_nt!B77</f>
        <v>BALI_NT</v>
      </c>
      <c r="B63">
        <f>bali_nt!C77</f>
        <v>2020</v>
      </c>
      <c r="C63">
        <f>bali_nt!D77</f>
        <v>10.439380812704238</v>
      </c>
      <c r="D63">
        <f>bali_nt!E77</f>
        <v>7.1084793970079989</v>
      </c>
      <c r="E63">
        <f>bali_nt!F77</f>
        <v>0</v>
      </c>
      <c r="F63">
        <f>bali_nt!G77</f>
        <v>10.471123198523079</v>
      </c>
      <c r="G63">
        <f>bali_nt!H77</f>
        <v>3.6541095409213606</v>
      </c>
      <c r="H63">
        <f>bali_nt!I77</f>
        <v>0.11666476356923075</v>
      </c>
      <c r="I63">
        <f>bali_nt!J77</f>
        <v>0.34093812184615391</v>
      </c>
      <c r="J63">
        <f>bali_nt!K77</f>
        <v>0.22005360233947349</v>
      </c>
      <c r="K63">
        <f>bali_nt!L77</f>
        <v>0</v>
      </c>
      <c r="L63">
        <f>bali_nt!M77</f>
        <v>-3.5999999998571211E-9</v>
      </c>
      <c r="M63">
        <f>bali_nt!N77</f>
        <v>-3.5999999999782484E-9</v>
      </c>
      <c r="N63">
        <f>bali_nt!O77</f>
        <v>0</v>
      </c>
      <c r="O63">
        <f>bali_nt!P77</f>
        <v>4.5020926723221463E-5</v>
      </c>
      <c r="P63">
        <f>bali_nt!Q77</f>
        <v>32.350749429711534</v>
      </c>
    </row>
    <row r="64" spans="1:16" x14ac:dyDescent="0.25">
      <c r="A64" t="str">
        <f>bali_nt!B78</f>
        <v>BALI_NT</v>
      </c>
      <c r="B64">
        <f>bali_nt!C78</f>
        <v>2021</v>
      </c>
      <c r="C64">
        <f>bali_nt!D78</f>
        <v>11.762544537402635</v>
      </c>
      <c r="D64">
        <f>bali_nt!E78</f>
        <v>7.1084793970079989</v>
      </c>
      <c r="E64">
        <f>bali_nt!F78</f>
        <v>0.3448963284231486</v>
      </c>
      <c r="F64">
        <f>bali_nt!G78</f>
        <v>10.471123180533001</v>
      </c>
      <c r="G64">
        <f>bali_nt!H78</f>
        <v>3.6541095175604625</v>
      </c>
      <c r="H64">
        <f>bali_nt!I78</f>
        <v>2.9004865696378692</v>
      </c>
      <c r="I64">
        <f>bali_nt!J78</f>
        <v>0.34093812184615391</v>
      </c>
      <c r="J64">
        <f>bali_nt!K78</f>
        <v>0.38853209675116507</v>
      </c>
      <c r="K64">
        <f>bali_nt!L78</f>
        <v>0</v>
      </c>
      <c r="L64">
        <f>bali_nt!M78</f>
        <v>0</v>
      </c>
      <c r="M64">
        <f>bali_nt!N78</f>
        <v>1.2696416349279053E-16</v>
      </c>
      <c r="N64">
        <f>bali_nt!O78</f>
        <v>0</v>
      </c>
      <c r="O64">
        <f>bali_nt!P78</f>
        <v>5.1604362895699923E-5</v>
      </c>
      <c r="P64">
        <f>bali_nt!Q78</f>
        <v>36.97110974916243</v>
      </c>
    </row>
    <row r="65" spans="1:16" x14ac:dyDescent="0.25">
      <c r="A65" t="str">
        <f>bali_nt!B79</f>
        <v>BALI_NT</v>
      </c>
      <c r="B65">
        <f>bali_nt!C79</f>
        <v>2022</v>
      </c>
      <c r="C65">
        <f>bali_nt!D79</f>
        <v>12.901425120490803</v>
      </c>
      <c r="D65">
        <f>bali_nt!E79</f>
        <v>7.1084793862462172</v>
      </c>
      <c r="E65">
        <f>bali_nt!F79</f>
        <v>1.3740965898077895</v>
      </c>
      <c r="F65">
        <f>bali_nt!G79</f>
        <v>10.471123180533001</v>
      </c>
      <c r="G65">
        <f>bali_nt!H79</f>
        <v>3.6541095175604625</v>
      </c>
      <c r="H65">
        <f>bali_nt!I79</f>
        <v>4.7675575408581023</v>
      </c>
      <c r="I65">
        <f>bali_nt!J79</f>
        <v>0.34093812184615391</v>
      </c>
      <c r="J65">
        <f>bali_nt!K79</f>
        <v>0.51988439355572058</v>
      </c>
      <c r="K65">
        <f>bali_nt!L79</f>
        <v>0</v>
      </c>
      <c r="L65">
        <f>bali_nt!M79</f>
        <v>0</v>
      </c>
      <c r="M65">
        <f>bali_nt!N79</f>
        <v>0</v>
      </c>
      <c r="N65">
        <f>bali_nt!O79</f>
        <v>0</v>
      </c>
      <c r="O65">
        <f>bali_nt!P79</f>
        <v>5.7518062663099699E-5</v>
      </c>
      <c r="P65">
        <f>bali_nt!Q79</f>
        <v>41.137613850898241</v>
      </c>
    </row>
    <row r="66" spans="1:16" x14ac:dyDescent="0.25">
      <c r="A66" t="str">
        <f>bali_nt!B80</f>
        <v>BALI_NT</v>
      </c>
      <c r="B66">
        <f>bali_nt!C80</f>
        <v>2023</v>
      </c>
      <c r="C66">
        <f>bali_nt!D80</f>
        <v>13.853966904379513</v>
      </c>
      <c r="D66">
        <f>bali_nt!E80</f>
        <v>7.1084793862462172</v>
      </c>
      <c r="E66">
        <f>bali_nt!F80</f>
        <v>3.1085180223212792</v>
      </c>
      <c r="F66">
        <f>bali_nt!G80</f>
        <v>10.471123180533001</v>
      </c>
      <c r="G66">
        <f>bali_nt!H80</f>
        <v>3.6541094941995644</v>
      </c>
      <c r="H66">
        <f>bali_nt!I80</f>
        <v>5.6818364027150539</v>
      </c>
      <c r="I66">
        <f>bali_nt!J80</f>
        <v>0.34093812184615391</v>
      </c>
      <c r="J66">
        <f>bali_nt!K80</f>
        <v>0.6046285029290972</v>
      </c>
      <c r="K66">
        <f>bali_nt!L80</f>
        <v>0</v>
      </c>
      <c r="L66">
        <f>bali_nt!M80</f>
        <v>0</v>
      </c>
      <c r="M66">
        <f>bali_nt!N80</f>
        <v>0</v>
      </c>
      <c r="N66">
        <f>bali_nt!O80</f>
        <v>0</v>
      </c>
      <c r="O66">
        <f>bali_nt!P80</f>
        <v>6.2714504545470111E-5</v>
      </c>
      <c r="P66">
        <f>bali_nt!Q80</f>
        <v>44.82360001516988</v>
      </c>
    </row>
    <row r="67" spans="1:16" x14ac:dyDescent="0.25">
      <c r="A67" t="str">
        <f>bali_nt!B81</f>
        <v>BALI_NT</v>
      </c>
      <c r="B67">
        <f>bali_nt!C81</f>
        <v>2024</v>
      </c>
      <c r="C67">
        <f>bali_nt!D81</f>
        <v>14.136201859438454</v>
      </c>
      <c r="D67">
        <f>bali_nt!E81</f>
        <v>7.1084793754844364</v>
      </c>
      <c r="E67">
        <f>bali_nt!F81</f>
        <v>3.3185211880412835</v>
      </c>
      <c r="F67">
        <f>bali_nt!G81</f>
        <v>10.471123180533001</v>
      </c>
      <c r="G67">
        <f>bali_nt!H81</f>
        <v>3.6541094941995644</v>
      </c>
      <c r="H67">
        <f>bali_nt!I81</f>
        <v>5.6818364027150539</v>
      </c>
      <c r="I67">
        <f>bali_nt!J81</f>
        <v>0.34093812184615391</v>
      </c>
      <c r="J67">
        <f>bali_nt!K81</f>
        <v>0.70294070784868223</v>
      </c>
      <c r="K67">
        <f>bali_nt!L81</f>
        <v>0</v>
      </c>
      <c r="L67">
        <f>bali_nt!M81</f>
        <v>1.0042496535105592</v>
      </c>
      <c r="M67">
        <f>bali_nt!N81</f>
        <v>0</v>
      </c>
      <c r="N67">
        <f>bali_nt!O81</f>
        <v>0</v>
      </c>
      <c r="O67">
        <f>bali_nt!P81</f>
        <v>6.5031877401862382E-5</v>
      </c>
      <c r="P67">
        <f>bali_nt!Q81</f>
        <v>46.418399983617192</v>
      </c>
    </row>
    <row r="68" spans="1:16" x14ac:dyDescent="0.25">
      <c r="A68" t="str">
        <f>bali_nt!B82</f>
        <v>BALI_NT</v>
      </c>
      <c r="B68">
        <f>bali_nt!C82</f>
        <v>2025</v>
      </c>
      <c r="C68">
        <f>bali_nt!D82</f>
        <v>14.551920000000885</v>
      </c>
      <c r="D68">
        <f>bali_nt!E82</f>
        <v>7.1084793647226556</v>
      </c>
      <c r="E68">
        <f>bali_nt!F82</f>
        <v>4.0557660081886944</v>
      </c>
      <c r="F68">
        <f>bali_nt!G82</f>
        <v>10.471123180533001</v>
      </c>
      <c r="G68">
        <f>bali_nt!H82</f>
        <v>3.6541094941995644</v>
      </c>
      <c r="H68">
        <f>bali_nt!I82</f>
        <v>5.681836386733579</v>
      </c>
      <c r="I68">
        <f>bali_nt!J82</f>
        <v>0.34093812184615391</v>
      </c>
      <c r="J68">
        <f>bali_nt!K82</f>
        <v>0.79871086677032521</v>
      </c>
      <c r="K68">
        <f>bali_nt!L82</f>
        <v>0</v>
      </c>
      <c r="L68">
        <f>bali_nt!M82</f>
        <v>1.8435165770068267</v>
      </c>
      <c r="M68">
        <f>bali_nt!N82</f>
        <v>0</v>
      </c>
      <c r="N68">
        <f>bali_nt!O82</f>
        <v>0</v>
      </c>
      <c r="O68">
        <f>bali_nt!P82</f>
        <v>6.8029007102282896E-5</v>
      </c>
      <c r="P68">
        <f>bali_nt!Q82</f>
        <v>48.506400000001683</v>
      </c>
    </row>
    <row r="69" spans="1:16" x14ac:dyDescent="0.25">
      <c r="A69" t="str">
        <f>bali_nt!B83</f>
        <v>BALI_NT</v>
      </c>
      <c r="B69">
        <f>bali_nt!C83</f>
        <v>2026</v>
      </c>
      <c r="C69">
        <f>bali_nt!D83</f>
        <v>15.191920797696493</v>
      </c>
      <c r="D69">
        <f>bali_nt!E83</f>
        <v>7.1084793647226556</v>
      </c>
      <c r="E69">
        <f>bali_nt!F83</f>
        <v>5.1238899618535241</v>
      </c>
      <c r="F69">
        <f>bali_nt!G83</f>
        <v>10.471123180533001</v>
      </c>
      <c r="G69">
        <f>bali_nt!H83</f>
        <v>3.6541094708386659</v>
      </c>
      <c r="H69">
        <f>bali_nt!I83</f>
        <v>5.681836386733579</v>
      </c>
      <c r="I69">
        <f>bali_nt!J83</f>
        <v>0.34093812184615391</v>
      </c>
      <c r="J69">
        <f>bali_nt!K83</f>
        <v>0.89073031968803162</v>
      </c>
      <c r="K69">
        <f>bali_nt!L83</f>
        <v>0</v>
      </c>
      <c r="L69">
        <f>bali_nt!M83</f>
        <v>2.5165724131552905</v>
      </c>
      <c r="M69">
        <f>bali_nt!N83</f>
        <v>0</v>
      </c>
      <c r="N69">
        <f>bali_nt!O83</f>
        <v>0</v>
      </c>
      <c r="O69">
        <f>bali_nt!P83</f>
        <v>7.1555064394995428E-5</v>
      </c>
      <c r="P69">
        <f>bali_nt!Q83</f>
        <v>50.979600017067384</v>
      </c>
    </row>
    <row r="70" spans="1:16" x14ac:dyDescent="0.25">
      <c r="A70" t="str">
        <f>bali_nt!B84</f>
        <v>BALI_NT</v>
      </c>
      <c r="B70">
        <f>bali_nt!C84</f>
        <v>2027</v>
      </c>
      <c r="C70">
        <f>bali_nt!D84</f>
        <v>15.777273597213419</v>
      </c>
      <c r="D70">
        <f>bali_nt!E84</f>
        <v>8.1029407709661019</v>
      </c>
      <c r="E70">
        <f>bali_nt!F84</f>
        <v>5.1238899518905754</v>
      </c>
      <c r="F70">
        <f>bali_nt!G84</f>
        <v>10.471123180533001</v>
      </c>
      <c r="G70">
        <f>bali_nt!H84</f>
        <v>3.6541094708386659</v>
      </c>
      <c r="H70">
        <f>bali_nt!I84</f>
        <v>5.6818363707521042</v>
      </c>
      <c r="I70">
        <f>bali_nt!J84</f>
        <v>0.34093812184615391</v>
      </c>
      <c r="J70">
        <f>bali_nt!K84</f>
        <v>0.98831852277769261</v>
      </c>
      <c r="K70">
        <f>bali_nt!L84</f>
        <v>0</v>
      </c>
      <c r="L70">
        <f>bali_nt!M84</f>
        <v>3.1611700190793646</v>
      </c>
      <c r="M70">
        <f>bali_nt!N84</f>
        <v>0</v>
      </c>
      <c r="N70">
        <f>bali_nt!O84</f>
        <v>0</v>
      </c>
      <c r="O70">
        <f>bali_nt!P84</f>
        <v>7.487809373722951E-5</v>
      </c>
      <c r="P70">
        <f>bali_nt!Q84</f>
        <v>53.301600005897065</v>
      </c>
    </row>
    <row r="71" spans="1:16" x14ac:dyDescent="0.25">
      <c r="A71" t="str">
        <f>bali_nt!B85</f>
        <v>BALI_NT</v>
      </c>
      <c r="B71">
        <f>bali_nt!C85</f>
        <v>2028</v>
      </c>
      <c r="C71">
        <f>bali_nt!D85</f>
        <v>16.450711207381438</v>
      </c>
      <c r="D71">
        <f>bali_nt!E85</f>
        <v>9.4953891233453938</v>
      </c>
      <c r="E71">
        <f>bali_nt!F85</f>
        <v>5.1238899419276249</v>
      </c>
      <c r="F71">
        <f>bali_nt!G85</f>
        <v>10.471123180533001</v>
      </c>
      <c r="G71">
        <f>bali_nt!H85</f>
        <v>3.6541094474777673</v>
      </c>
      <c r="H71">
        <f>bali_nt!I85</f>
        <v>5.6818363707521042</v>
      </c>
      <c r="I71">
        <f>bali_nt!J85</f>
        <v>0.34093812184615391</v>
      </c>
      <c r="J71">
        <f>bali_nt!K85</f>
        <v>1.081815447096883</v>
      </c>
      <c r="K71">
        <f>bali_nt!L85</f>
        <v>0</v>
      </c>
      <c r="L71">
        <f>bali_nt!M85</f>
        <v>3.6549871628663535</v>
      </c>
      <c r="M71">
        <f>bali_nt!N85</f>
        <v>0</v>
      </c>
      <c r="N71">
        <f>bali_nt!O85</f>
        <v>0</v>
      </c>
      <c r="O71">
        <f>bali_nt!P85</f>
        <v>7.8654931525500544E-5</v>
      </c>
      <c r="P71">
        <f>bali_nt!Q85</f>
        <v>55.954800003226715</v>
      </c>
    </row>
    <row r="72" spans="1:16" x14ac:dyDescent="0.25">
      <c r="A72" t="str">
        <f>bali_nt!B86</f>
        <v>BALI_NT</v>
      </c>
      <c r="B72">
        <f>bali_nt!C86</f>
        <v>2029</v>
      </c>
      <c r="C72">
        <f>bali_nt!D86</f>
        <v>17.131406387863496</v>
      </c>
      <c r="D72">
        <f>bali_nt!E86</f>
        <v>9.4953891233453938</v>
      </c>
      <c r="E72">
        <f>bali_nt!F86</f>
        <v>6.0032221910538786</v>
      </c>
      <c r="F72">
        <f>bali_nt!G86</f>
        <v>10.471123180533001</v>
      </c>
      <c r="G72">
        <f>bali_nt!H86</f>
        <v>3.6541094241168683</v>
      </c>
      <c r="H72">
        <f>bali_nt!I86</f>
        <v>5.6818363547706294</v>
      </c>
      <c r="I72">
        <f>bali_nt!J86</f>
        <v>0.34093812184615391</v>
      </c>
      <c r="J72">
        <f>bali_nt!K86</f>
        <v>1.2268793649255512</v>
      </c>
      <c r="K72">
        <f>bali_nt!L86</f>
        <v>0</v>
      </c>
      <c r="L72">
        <f>bali_nt!M86</f>
        <v>4.6642958264785275</v>
      </c>
      <c r="M72">
        <f>bali_nt!N86</f>
        <v>0</v>
      </c>
      <c r="N72">
        <f>bali_nt!O86</f>
        <v>0</v>
      </c>
      <c r="O72">
        <f>bali_nt!P86</f>
        <v>8.2574232485707063E-5</v>
      </c>
      <c r="P72">
        <f>bali_nt!Q86</f>
        <v>58.669199974933498</v>
      </c>
    </row>
    <row r="73" spans="1:16" x14ac:dyDescent="0.25">
      <c r="A73" t="str">
        <f>bali_nt!B87</f>
        <v>BALI_NT</v>
      </c>
      <c r="B73">
        <f>bali_nt!C87</f>
        <v>2030</v>
      </c>
      <c r="C73">
        <f>bali_nt!D87</f>
        <v>17.8617959957366</v>
      </c>
      <c r="D73">
        <f>bali_nt!E87</f>
        <v>11.621321587002964</v>
      </c>
      <c r="E73">
        <f>bali_nt!F87</f>
        <v>6.0032221910538786</v>
      </c>
      <c r="F73">
        <f>bali_nt!G87</f>
        <v>10.471123180533001</v>
      </c>
      <c r="G73">
        <f>bali_nt!H87</f>
        <v>3.6541094007559702</v>
      </c>
      <c r="H73">
        <f>bali_nt!I87</f>
        <v>5.6818363547706294</v>
      </c>
      <c r="I73">
        <f>bali_nt!J87</f>
        <v>0.34093812184615391</v>
      </c>
      <c r="J73">
        <f>bali_nt!K87</f>
        <v>1.2937573825578219</v>
      </c>
      <c r="K73">
        <f>bali_nt!L87</f>
        <v>0</v>
      </c>
      <c r="L73">
        <f>bali_nt!M87</f>
        <v>4.6642958174871278</v>
      </c>
      <c r="M73">
        <f>bali_nt!N87</f>
        <v>0</v>
      </c>
      <c r="N73">
        <f>bali_nt!O87</f>
        <v>0</v>
      </c>
      <c r="O73">
        <f>bali_nt!P87</f>
        <v>8.6694942753739963E-5</v>
      </c>
      <c r="P73">
        <f>bali_nt!Q87</f>
        <v>61.592400031744141</v>
      </c>
    </row>
    <row r="74" spans="1:16" x14ac:dyDescent="0.25">
      <c r="A74" t="str">
        <f>bali_nt!B88</f>
        <v>BALI_NT</v>
      </c>
      <c r="B74">
        <f>bali_nt!C88</f>
        <v>2031</v>
      </c>
      <c r="C74">
        <f>bali_nt!D88</f>
        <v>18.771263999998041</v>
      </c>
      <c r="D74">
        <f>bali_nt!E88</f>
        <v>12.841887683338905</v>
      </c>
      <c r="E74">
        <f>bali_nt!F88</f>
        <v>6.8513675361304296</v>
      </c>
      <c r="F74">
        <f>bali_nt!G88</f>
        <v>10.471123180533001</v>
      </c>
      <c r="G74">
        <f>bali_nt!H88</f>
        <v>3.6541094007559702</v>
      </c>
      <c r="H74">
        <f>bali_nt!I88</f>
        <v>5.6818363547706294</v>
      </c>
      <c r="I74">
        <f>bali_nt!J88</f>
        <v>0.34093812184615391</v>
      </c>
      <c r="J74">
        <f>bali_nt!K88</f>
        <v>1.4112211283710545</v>
      </c>
      <c r="K74">
        <f>bali_nt!L88</f>
        <v>0</v>
      </c>
      <c r="L74">
        <f>bali_nt!M88</f>
        <v>5.1542525942523296</v>
      </c>
      <c r="M74">
        <f>bali_nt!N88</f>
        <v>0</v>
      </c>
      <c r="N74">
        <f>bali_nt!O88</f>
        <v>0</v>
      </c>
      <c r="O74">
        <f>bali_nt!P88</f>
        <v>9.1789096483121255E-5</v>
      </c>
      <c r="P74">
        <f>bali_nt!Q88</f>
        <v>65.177999999996516</v>
      </c>
    </row>
    <row r="75" spans="1:16" x14ac:dyDescent="0.25">
      <c r="A75" t="str">
        <f>bali_nt!B89</f>
        <v>BALI_NT</v>
      </c>
      <c r="B75">
        <f>bali_nt!C89</f>
        <v>2032</v>
      </c>
      <c r="C75">
        <f>bali_nt!D89</f>
        <v>19.733313599786758</v>
      </c>
      <c r="D75">
        <f>bali_nt!E89</f>
        <v>14.526801455808101</v>
      </c>
      <c r="E75">
        <f>bali_nt!F89</f>
        <v>6.8513675361304296</v>
      </c>
      <c r="F75">
        <f>bali_nt!G89</f>
        <v>10.471123180533001</v>
      </c>
      <c r="G75">
        <f>bali_nt!H89</f>
        <v>3.6541094007559702</v>
      </c>
      <c r="H75">
        <f>bali_nt!I89</f>
        <v>6.3992900607298067</v>
      </c>
      <c r="I75">
        <f>bali_nt!J89</f>
        <v>0.34093812184615391</v>
      </c>
      <c r="J75">
        <f>bali_nt!K89</f>
        <v>1.5887612397229642</v>
      </c>
      <c r="K75">
        <f>bali_nt!L89</f>
        <v>0</v>
      </c>
      <c r="L75">
        <f>bali_nt!M89</f>
        <v>5.4318954063569347</v>
      </c>
      <c r="M75">
        <f>bali_nt!N89</f>
        <v>0</v>
      </c>
      <c r="N75">
        <f>bali_nt!O89</f>
        <v>0</v>
      </c>
      <c r="O75">
        <f>bali_nt!P89</f>
        <v>9.7274405439898238E-5</v>
      </c>
      <c r="P75">
        <f>bali_nt!Q89</f>
        <v>68.997600001670108</v>
      </c>
    </row>
    <row r="76" spans="1:16" x14ac:dyDescent="0.25">
      <c r="A76" t="str">
        <f>bali_nt!B90</f>
        <v>BALI_NT</v>
      </c>
      <c r="B76">
        <f>bali_nt!C90</f>
        <v>2033</v>
      </c>
      <c r="C76">
        <f>bali_nt!D90</f>
        <v>20.555351999999999</v>
      </c>
      <c r="D76">
        <f>bali_nt!E90</f>
        <v>14.526801455808101</v>
      </c>
      <c r="E76">
        <f>bali_nt!F90</f>
        <v>8.32490658164898</v>
      </c>
      <c r="F76">
        <f>bali_nt!G90</f>
        <v>10.471123162542927</v>
      </c>
      <c r="G76">
        <f>bali_nt!H90</f>
        <v>3.6541093773950721</v>
      </c>
      <c r="H76">
        <f>bali_nt!I90</f>
        <v>7.1619369733010432</v>
      </c>
      <c r="I76">
        <f>bali_nt!J90</f>
        <v>0.34093812184615391</v>
      </c>
      <c r="J76">
        <f>bali_nt!K90</f>
        <v>1.7721155150484962</v>
      </c>
      <c r="K76">
        <f>bali_nt!L90</f>
        <v>0</v>
      </c>
      <c r="L76">
        <f>bali_nt!M90</f>
        <v>5.5707168124092368</v>
      </c>
      <c r="M76">
        <f>bali_nt!N90</f>
        <v>0</v>
      </c>
      <c r="N76">
        <f>bali_nt!O90</f>
        <v>0</v>
      </c>
      <c r="O76">
        <f>bali_nt!P90</f>
        <v>1.0215836041311582E-4</v>
      </c>
      <c r="P76">
        <f>bali_nt!Q90</f>
        <v>72.378</v>
      </c>
    </row>
    <row r="77" spans="1:16" x14ac:dyDescent="0.25">
      <c r="A77" t="str">
        <f>bali_nt!B91</f>
        <v>BALI_NT</v>
      </c>
      <c r="B77">
        <f>bali_nt!C91</f>
        <v>2034</v>
      </c>
      <c r="C77">
        <f>bali_nt!D91</f>
        <v>21.616653590006575</v>
      </c>
      <c r="D77">
        <f>bali_nt!E91</f>
        <v>16.403854370545904</v>
      </c>
      <c r="E77">
        <f>bali_nt!F91</f>
        <v>8.32490658164898</v>
      </c>
      <c r="F77">
        <f>bali_nt!G91</f>
        <v>10.471123162542927</v>
      </c>
      <c r="G77">
        <f>bali_nt!H91</f>
        <v>3.6541093540341745</v>
      </c>
      <c r="H77">
        <f>bali_nt!I91</f>
        <v>8.2077444054294286</v>
      </c>
      <c r="I77">
        <f>bali_nt!J91</f>
        <v>0.34093812184615391</v>
      </c>
      <c r="J77">
        <f>bali_nt!K91</f>
        <v>1.9953428352262852</v>
      </c>
      <c r="K77">
        <f>bali_nt!L91</f>
        <v>0</v>
      </c>
      <c r="L77">
        <f>bali_nt!M91</f>
        <v>5.6401275154353883</v>
      </c>
      <c r="M77">
        <f>bali_nt!N91</f>
        <v>0</v>
      </c>
      <c r="N77">
        <f>bali_nt!O91</f>
        <v>0</v>
      </c>
      <c r="O77">
        <f>bali_nt!P91</f>
        <v>1.0832762282060727E-4</v>
      </c>
      <c r="P77">
        <f>bali_nt!Q91</f>
        <v>76.654799936715818</v>
      </c>
    </row>
    <row r="78" spans="1:16" x14ac:dyDescent="0.25">
      <c r="A78" t="str">
        <f>bali_nt!B92</f>
        <v>BALI_NT</v>
      </c>
      <c r="B78">
        <f>bali_nt!C92</f>
        <v>2035</v>
      </c>
      <c r="C78">
        <f>bali_nt!D92</f>
        <v>22.625567987925287</v>
      </c>
      <c r="D78">
        <f>bali_nt!E92</f>
        <v>16.40385435978412</v>
      </c>
      <c r="E78">
        <f>bali_nt!F92</f>
        <v>10.133987277737166</v>
      </c>
      <c r="F78">
        <f>bali_nt!G92</f>
        <v>10.471123162542927</v>
      </c>
      <c r="G78">
        <f>bali_nt!H92</f>
        <v>3.7710047078484514</v>
      </c>
      <c r="H78">
        <f>bali_nt!I92</f>
        <v>9.1484246164993301</v>
      </c>
      <c r="I78">
        <f>bali_nt!J92</f>
        <v>0.34093812184615391</v>
      </c>
      <c r="J78">
        <f>bali_nt!K92</f>
        <v>2.2358669143825005</v>
      </c>
      <c r="K78">
        <f>bali_nt!L92</f>
        <v>0</v>
      </c>
      <c r="L78">
        <f>bali_nt!M92</f>
        <v>5.6748328669484627</v>
      </c>
      <c r="M78">
        <f>bali_nt!N92</f>
        <v>-3.5999999999406096E-9</v>
      </c>
      <c r="N78">
        <f>bali_nt!O92</f>
        <v>0</v>
      </c>
      <c r="O78">
        <f>bali_nt!P92</f>
        <v>1.1434187170228622E-4</v>
      </c>
      <c r="P78">
        <f>bali_nt!Q92</f>
        <v>80.805600011914393</v>
      </c>
    </row>
    <row r="79" spans="1:16" x14ac:dyDescent="0.25">
      <c r="A79" t="str">
        <f>bali_nt!B93</f>
        <v>BALI_NT</v>
      </c>
      <c r="B79">
        <f>bali_nt!C93</f>
        <v>2036</v>
      </c>
      <c r="C79">
        <f>bali_nt!D93</f>
        <v>23.694940800656983</v>
      </c>
      <c r="D79">
        <f>bali_nt!E93</f>
        <v>18.329598025795057</v>
      </c>
      <c r="E79">
        <f>bali_nt!F93</f>
        <v>10.133987277737166</v>
      </c>
      <c r="F79">
        <f>bali_nt!G93</f>
        <v>10.471123162542927</v>
      </c>
      <c r="G79">
        <f>bali_nt!H93</f>
        <v>4.4455095643735687</v>
      </c>
      <c r="H79">
        <f>bali_nt!I93</f>
        <v>9.61876472203428</v>
      </c>
      <c r="I79">
        <f>bali_nt!J93</f>
        <v>0.34093812184615391</v>
      </c>
      <c r="J79">
        <f>bali_nt!K93</f>
        <v>2.5065527508703132</v>
      </c>
      <c r="K79">
        <f>bali_nt!L93</f>
        <v>0</v>
      </c>
      <c r="L79">
        <f>bali_nt!M93</f>
        <v>5.6921855427050003</v>
      </c>
      <c r="M79">
        <f>bali_nt!N93</f>
        <v>0</v>
      </c>
      <c r="N79">
        <f>bali_nt!O93</f>
        <v>0</v>
      </c>
      <c r="O79">
        <f>bali_nt!P93</f>
        <v>1.2077355821748945E-4</v>
      </c>
      <c r="P79">
        <f>bali_nt!Q93</f>
        <v>85.23359996856145</v>
      </c>
    </row>
    <row r="80" spans="1:16" x14ac:dyDescent="0.25">
      <c r="A80" t="str">
        <f>bali_nt!B94</f>
        <v>BALI_NT</v>
      </c>
      <c r="B80">
        <f>bali_nt!C94</f>
        <v>2037</v>
      </c>
      <c r="C80">
        <f>bali_nt!D94</f>
        <v>24.819134399999996</v>
      </c>
      <c r="D80">
        <f>bali_nt!E94</f>
        <v>18.329598025795057</v>
      </c>
      <c r="E80">
        <f>bali_nt!F94</f>
        <v>12.168835469652107</v>
      </c>
      <c r="F80">
        <f>bali_nt!G94</f>
        <v>10.471123144552852</v>
      </c>
      <c r="G80">
        <f>bali_nt!H94</f>
        <v>5.429744240657544</v>
      </c>
      <c r="H80">
        <f>bali_nt!I94</f>
        <v>9.8539347748017558</v>
      </c>
      <c r="I80">
        <f>bali_nt!J94</f>
        <v>0.34093812184615391</v>
      </c>
      <c r="J80">
        <f>bali_nt!K94</f>
        <v>2.8102299421112744</v>
      </c>
      <c r="K80">
        <f>bali_nt!L94</f>
        <v>0</v>
      </c>
      <c r="L80">
        <f>bali_nt!M94</f>
        <v>5.7008618805832691</v>
      </c>
      <c r="M80">
        <f>bali_nt!N94</f>
        <v>0</v>
      </c>
      <c r="N80">
        <f>bali_nt!O94</f>
        <v>0</v>
      </c>
      <c r="O80">
        <f>bali_nt!P94</f>
        <v>1.276059220231956E-4</v>
      </c>
      <c r="P80">
        <f>bali_nt!Q94</f>
        <v>89.92440000000002</v>
      </c>
    </row>
    <row r="81" spans="1:16" x14ac:dyDescent="0.25">
      <c r="A81" t="str">
        <f>bali_nt!B95</f>
        <v>BALI_NT</v>
      </c>
      <c r="B81">
        <f>bali_nt!C95</f>
        <v>2038</v>
      </c>
      <c r="C81">
        <f>bali_nt!D95</f>
        <v>26.14354560000001</v>
      </c>
      <c r="D81">
        <f>bali_nt!E95</f>
        <v>20.716344763785109</v>
      </c>
      <c r="E81">
        <f>bali_nt!F95</f>
        <v>12.168835469652107</v>
      </c>
      <c r="F81">
        <f>bali_nt!G95</f>
        <v>10.471123126562777</v>
      </c>
      <c r="G81">
        <f>bali_nt!H95</f>
        <v>6.7286770536070195</v>
      </c>
      <c r="H81">
        <f>bali_nt!I95</f>
        <v>9.971519801185492</v>
      </c>
      <c r="I81">
        <f>bali_nt!J95</f>
        <v>0.34093812184615391</v>
      </c>
      <c r="J81">
        <f>bali_nt!K95</f>
        <v>3.1682160138389341</v>
      </c>
      <c r="K81">
        <f>bali_nt!L95</f>
        <v>0</v>
      </c>
      <c r="L81">
        <f>bali_nt!M95</f>
        <v>5.7052000495224044</v>
      </c>
      <c r="M81">
        <f>bali_nt!N95</f>
        <v>1.2696416349279053E-16</v>
      </c>
      <c r="N81">
        <f>bali_nt!O95</f>
        <v>0</v>
      </c>
      <c r="O81">
        <f>bali_nt!P95</f>
        <v>1.3560523514950635E-4</v>
      </c>
      <c r="P81">
        <f>bali_nt!Q95</f>
        <v>95.414400000000001</v>
      </c>
    </row>
    <row r="82" spans="1:16" x14ac:dyDescent="0.25">
      <c r="A82" t="str">
        <f>kalimantan!B76</f>
        <v>KALIMANTAN</v>
      </c>
      <c r="B82">
        <f>kalimantan!C76</f>
        <v>2019</v>
      </c>
      <c r="C82">
        <f>kalimantan!D76</f>
        <v>42.778202064000006</v>
      </c>
      <c r="D82">
        <f>kalimantan!E76</f>
        <v>5.7578758448233849</v>
      </c>
      <c r="E82">
        <f>kalimantan!F76</f>
        <v>0.59777700923076915</v>
      </c>
      <c r="F82">
        <f>kalimantan!G76</f>
        <v>31.026942782916922</v>
      </c>
      <c r="G82">
        <f>kalimantan!H76</f>
        <v>0</v>
      </c>
      <c r="H82">
        <f>kalimantan!I76</f>
        <v>4.2234242559507695</v>
      </c>
      <c r="I82">
        <f>kalimantan!J76</f>
        <v>7.3727868849230785E-2</v>
      </c>
      <c r="J82">
        <f>kalimantan!K76</f>
        <v>4.0397616000000004E-3</v>
      </c>
      <c r="K82">
        <f>kalimantan!L76</f>
        <v>0</v>
      </c>
      <c r="L82">
        <f>kalimantan!M76</f>
        <v>0.87890922969230767</v>
      </c>
      <c r="M82">
        <f>kalimantan!N76</f>
        <v>0</v>
      </c>
      <c r="N82">
        <f>kalimantan!O76</f>
        <v>0</v>
      </c>
      <c r="O82">
        <f>kalimantan!P76</f>
        <v>0</v>
      </c>
      <c r="P82">
        <f>kalimantan!Q76</f>
        <v>85.34089881706339</v>
      </c>
    </row>
    <row r="83" spans="1:16" x14ac:dyDescent="0.25">
      <c r="A83" t="str">
        <f>kalimantan!B77</f>
        <v>KALIMANTAN</v>
      </c>
      <c r="B83">
        <f>kalimantan!C77</f>
        <v>2020</v>
      </c>
      <c r="C83">
        <f>kalimantan!D77</f>
        <v>46.476990810612328</v>
      </c>
      <c r="D83">
        <f>kalimantan!E77</f>
        <v>5.7578758448233849</v>
      </c>
      <c r="E83">
        <f>kalimantan!F77</f>
        <v>2.6431304191003497</v>
      </c>
      <c r="F83">
        <f>kalimantan!G77</f>
        <v>31.026942782916922</v>
      </c>
      <c r="G83">
        <f>kalimantan!H77</f>
        <v>0</v>
      </c>
      <c r="H83">
        <f>kalimantan!I77</f>
        <v>4.2235373156180716</v>
      </c>
      <c r="I83">
        <f>kalimantan!J77</f>
        <v>1.2796427208190102</v>
      </c>
      <c r="J83">
        <f>kalimantan!K77</f>
        <v>6.7150293591014467</v>
      </c>
      <c r="K83">
        <f>kalimantan!L77</f>
        <v>0.36744612141705624</v>
      </c>
      <c r="L83">
        <f>kalimantan!M77</f>
        <v>0.87890922969230767</v>
      </c>
      <c r="M83">
        <f>kalimantan!N77</f>
        <v>0</v>
      </c>
      <c r="N83">
        <f>kalimantan!O77</f>
        <v>0</v>
      </c>
      <c r="O83">
        <f>kalimantan!P77</f>
        <v>0</v>
      </c>
      <c r="P83">
        <f>kalimantan!Q77</f>
        <v>99.369504604100896</v>
      </c>
    </row>
    <row r="84" spans="1:16" x14ac:dyDescent="0.25">
      <c r="A84" t="str">
        <f>kalimantan!B78</f>
        <v>KALIMANTAN</v>
      </c>
      <c r="B84">
        <f>kalimantan!C78</f>
        <v>2021</v>
      </c>
      <c r="C84">
        <f>kalimantan!D78</f>
        <v>48.592475181123852</v>
      </c>
      <c r="D84">
        <f>kalimantan!E78</f>
        <v>5.7578758448233849</v>
      </c>
      <c r="E84">
        <f>kalimantan!F78</f>
        <v>9.2614893624755759</v>
      </c>
      <c r="F84">
        <f>kalimantan!G78</f>
        <v>31.026942782916922</v>
      </c>
      <c r="G84">
        <f>kalimantan!H78</f>
        <v>0</v>
      </c>
      <c r="H84">
        <f>kalimantan!I78</f>
        <v>8.0392767008787001</v>
      </c>
      <c r="I84">
        <f>kalimantan!J78</f>
        <v>1.2796426995103776</v>
      </c>
      <c r="J84">
        <f>kalimantan!K78</f>
        <v>6.715025563483457</v>
      </c>
      <c r="K84">
        <f>kalimantan!L78</f>
        <v>0.36744610129797273</v>
      </c>
      <c r="L84">
        <f>kalimantan!M78</f>
        <v>0.87890922969230767</v>
      </c>
      <c r="M84">
        <f>kalimantan!N78</f>
        <v>0</v>
      </c>
      <c r="N84">
        <f>kalimantan!O78</f>
        <v>0</v>
      </c>
      <c r="O84">
        <f>kalimantan!P78</f>
        <v>0</v>
      </c>
      <c r="P84">
        <f>kalimantan!Q78</f>
        <v>111.91908346620254</v>
      </c>
    </row>
    <row r="85" spans="1:16" x14ac:dyDescent="0.25">
      <c r="A85" t="str">
        <f>kalimantan!B79</f>
        <v>KALIMANTAN</v>
      </c>
      <c r="B85">
        <f>kalimantan!C79</f>
        <v>2022</v>
      </c>
      <c r="C85">
        <f>kalimantan!D79</f>
        <v>50.571371113155109</v>
      </c>
      <c r="D85">
        <f>kalimantan!E79</f>
        <v>5.7578758448233849</v>
      </c>
      <c r="E85">
        <f>kalimantan!F79</f>
        <v>16.997533903342767</v>
      </c>
      <c r="F85">
        <f>kalimantan!G79</f>
        <v>31.026942782916922</v>
      </c>
      <c r="G85">
        <f>kalimantan!H79</f>
        <v>0</v>
      </c>
      <c r="H85">
        <f>kalimantan!I79</f>
        <v>8.0545304305116687</v>
      </c>
      <c r="I85">
        <f>kalimantan!J79</f>
        <v>1.2796400406858004</v>
      </c>
      <c r="J85">
        <f>kalimantan!K79</f>
        <v>11.294985809040352</v>
      </c>
      <c r="K85">
        <f>kalimantan!L79</f>
        <v>0.36744438629224635</v>
      </c>
      <c r="L85">
        <f>kalimantan!M79</f>
        <v>0.87890922969230767</v>
      </c>
      <c r="M85">
        <f>kalimantan!N79</f>
        <v>0</v>
      </c>
      <c r="N85">
        <f>kalimantan!O79</f>
        <v>0</v>
      </c>
      <c r="O85">
        <f>kalimantan!P79</f>
        <v>0</v>
      </c>
      <c r="P85">
        <f>kalimantan!Q79</f>
        <v>126.22923354046058</v>
      </c>
    </row>
    <row r="86" spans="1:16" x14ac:dyDescent="0.25">
      <c r="A86" t="str">
        <f>kalimantan!B80</f>
        <v>KALIMANTAN</v>
      </c>
      <c r="B86">
        <f>kalimantan!C80</f>
        <v>2023</v>
      </c>
      <c r="C86">
        <f>kalimantan!D80</f>
        <v>50.571371113155109</v>
      </c>
      <c r="D86">
        <f>kalimantan!E80</f>
        <v>11.814759889450643</v>
      </c>
      <c r="E86">
        <f>kalimantan!F80</f>
        <v>16.997535033441135</v>
      </c>
      <c r="F86">
        <f>kalimantan!G80</f>
        <v>31.026942782916944</v>
      </c>
      <c r="G86">
        <f>kalimantan!H80</f>
        <v>1.3253948424775115E-3</v>
      </c>
      <c r="H86">
        <f>kalimantan!I80</f>
        <v>10.867366388240862</v>
      </c>
      <c r="I86">
        <f>kalimantan!J80</f>
        <v>1.2796387324405725</v>
      </c>
      <c r="J86">
        <f>kalimantan!K80</f>
        <v>11.911761001448284</v>
      </c>
      <c r="K86">
        <f>kalimantan!L80</f>
        <v>0.82429478437083215</v>
      </c>
      <c r="L86">
        <f>kalimantan!M80</f>
        <v>1.3856138732550765</v>
      </c>
      <c r="M86">
        <f>kalimantan!N80</f>
        <v>0</v>
      </c>
      <c r="N86">
        <f>kalimantan!O80</f>
        <v>0</v>
      </c>
      <c r="O86">
        <f>kalimantan!P80</f>
        <v>0</v>
      </c>
      <c r="P86">
        <f>kalimantan!Q80</f>
        <v>136.68060899356195</v>
      </c>
    </row>
    <row r="87" spans="1:16" x14ac:dyDescent="0.25">
      <c r="A87" t="str">
        <f>kalimantan!B81</f>
        <v>KALIMANTAN</v>
      </c>
      <c r="B87">
        <f>kalimantan!C81</f>
        <v>2024</v>
      </c>
      <c r="C87">
        <f>kalimantan!D81</f>
        <v>50.571371113155109</v>
      </c>
      <c r="D87">
        <f>kalimantan!E81</f>
        <v>13.529832868562362</v>
      </c>
      <c r="E87">
        <f>kalimantan!F81</f>
        <v>17.117554976365355</v>
      </c>
      <c r="F87">
        <f>kalimantan!G81</f>
        <v>31.026942782916944</v>
      </c>
      <c r="G87">
        <f>kalimantan!H81</f>
        <v>3.437663900244511E-3</v>
      </c>
      <c r="H87">
        <f>kalimantan!I81</f>
        <v>11.035299057465314</v>
      </c>
      <c r="I87">
        <f>kalimantan!J81</f>
        <v>1.2980312168001933</v>
      </c>
      <c r="J87">
        <f>kalimantan!K81</f>
        <v>11.912519464675224</v>
      </c>
      <c r="K87">
        <f>kalimantan!L81</f>
        <v>4.3778841100887051</v>
      </c>
      <c r="L87">
        <f>kalimantan!M81</f>
        <v>1.4084044863117944</v>
      </c>
      <c r="M87">
        <f>kalimantan!N81</f>
        <v>0</v>
      </c>
      <c r="N87">
        <f>kalimantan!O81</f>
        <v>0</v>
      </c>
      <c r="O87">
        <f>kalimantan!P81</f>
        <v>0</v>
      </c>
      <c r="P87">
        <f>kalimantan!Q81</f>
        <v>142.28127774024122</v>
      </c>
    </row>
    <row r="88" spans="1:16" x14ac:dyDescent="0.25">
      <c r="A88" t="str">
        <f>kalimantan!B82</f>
        <v>KALIMANTAN</v>
      </c>
      <c r="B88">
        <f>kalimantan!C82</f>
        <v>2025</v>
      </c>
      <c r="C88">
        <f>kalimantan!D82</f>
        <v>50.571371113155109</v>
      </c>
      <c r="D88">
        <f>kalimantan!E82</f>
        <v>13.708992651800676</v>
      </c>
      <c r="E88">
        <f>kalimantan!F82</f>
        <v>18.930332715556535</v>
      </c>
      <c r="F88">
        <f>kalimantan!G82</f>
        <v>31.026942782916944</v>
      </c>
      <c r="G88">
        <f>kalimantan!H82</f>
        <v>3.437663900244511E-3</v>
      </c>
      <c r="H88">
        <f>kalimantan!I82</f>
        <v>14.727043319554255</v>
      </c>
      <c r="I88">
        <f>kalimantan!J82</f>
        <v>1.2980312168001933</v>
      </c>
      <c r="J88">
        <f>kalimantan!K82</f>
        <v>11.912519464675224</v>
      </c>
      <c r="K88">
        <f>kalimantan!L82</f>
        <v>4.603017571938369</v>
      </c>
      <c r="L88">
        <f>kalimantan!M82</f>
        <v>1.5788819015567161</v>
      </c>
      <c r="M88">
        <f>kalimantan!N82</f>
        <v>0</v>
      </c>
      <c r="N88">
        <f>kalimantan!O82</f>
        <v>0</v>
      </c>
      <c r="O88">
        <f>kalimantan!P82</f>
        <v>0</v>
      </c>
      <c r="P88">
        <f>kalimantan!Q82</f>
        <v>148.36057040185426</v>
      </c>
    </row>
    <row r="89" spans="1:16" x14ac:dyDescent="0.25">
      <c r="A89" t="str">
        <f>kalimantan!B83</f>
        <v>KALIMANTAN</v>
      </c>
      <c r="B89">
        <f>kalimantan!C83</f>
        <v>2026</v>
      </c>
      <c r="C89">
        <f>kalimantan!D83</f>
        <v>50.571371113155109</v>
      </c>
      <c r="D89">
        <f>kalimantan!E83</f>
        <v>14.860639080920715</v>
      </c>
      <c r="E89">
        <f>kalimantan!F83</f>
        <v>18.940465161372437</v>
      </c>
      <c r="F89">
        <f>kalimantan!G83</f>
        <v>31.026942782916944</v>
      </c>
      <c r="G89">
        <f>kalimantan!H83</f>
        <v>0.19073744384882055</v>
      </c>
      <c r="H89">
        <f>kalimantan!I83</f>
        <v>14.727043319554255</v>
      </c>
      <c r="I89">
        <f>kalimantan!J83</f>
        <v>1.2980306022372974</v>
      </c>
      <c r="J89">
        <f>kalimantan!K83</f>
        <v>11.912519466469853</v>
      </c>
      <c r="K89">
        <f>kalimantan!L83</f>
        <v>5.3827241857441477</v>
      </c>
      <c r="L89">
        <f>kalimantan!M83</f>
        <v>1.5843335806183754</v>
      </c>
      <c r="M89">
        <f>kalimantan!N83</f>
        <v>0</v>
      </c>
      <c r="N89">
        <f>kalimantan!O83</f>
        <v>0</v>
      </c>
      <c r="O89">
        <f>kalimantan!P83</f>
        <v>0</v>
      </c>
      <c r="P89">
        <f>kalimantan!Q83</f>
        <v>150.49480673683794</v>
      </c>
    </row>
    <row r="90" spans="1:16" x14ac:dyDescent="0.25">
      <c r="A90" t="str">
        <f>kalimantan!B84</f>
        <v>KALIMANTAN</v>
      </c>
      <c r="B90">
        <f>kalimantan!C84</f>
        <v>2027</v>
      </c>
      <c r="C90">
        <f>kalimantan!D84</f>
        <v>50.571371113155109</v>
      </c>
      <c r="D90">
        <f>kalimantan!E84</f>
        <v>14.860639080920715</v>
      </c>
      <c r="E90">
        <f>kalimantan!F84</f>
        <v>20.22263427195772</v>
      </c>
      <c r="F90">
        <f>kalimantan!G84</f>
        <v>31.228371416474303</v>
      </c>
      <c r="G90">
        <f>kalimantan!H84</f>
        <v>0.19073744384882055</v>
      </c>
      <c r="H90">
        <f>kalimantan!I84</f>
        <v>14.727043319554255</v>
      </c>
      <c r="I90">
        <f>kalimantan!J84</f>
        <v>1.2980306022372974</v>
      </c>
      <c r="J90">
        <f>kalimantan!K84</f>
        <v>11.912519466469853</v>
      </c>
      <c r="K90">
        <f>kalimantan!L84</f>
        <v>6.4727009901944745</v>
      </c>
      <c r="L90">
        <f>kalimantan!M84</f>
        <v>1.5843335806183754</v>
      </c>
      <c r="M90">
        <f>kalimantan!N84</f>
        <v>0</v>
      </c>
      <c r="N90">
        <f>kalimantan!O84</f>
        <v>0</v>
      </c>
      <c r="O90">
        <f>kalimantan!P84</f>
        <v>0</v>
      </c>
      <c r="P90">
        <f>kalimantan!Q84</f>
        <v>153.06838128543092</v>
      </c>
    </row>
    <row r="91" spans="1:16" x14ac:dyDescent="0.25">
      <c r="A91" t="str">
        <f>kalimantan!B85</f>
        <v>KALIMANTAN</v>
      </c>
      <c r="B91">
        <f>kalimantan!C85</f>
        <v>2028</v>
      </c>
      <c r="C91">
        <f>kalimantan!D85</f>
        <v>50.571371113155109</v>
      </c>
      <c r="D91">
        <f>kalimantan!E85</f>
        <v>14.860639080920715</v>
      </c>
      <c r="E91">
        <f>kalimantan!F85</f>
        <v>22.146343420039571</v>
      </c>
      <c r="F91">
        <f>kalimantan!G85</f>
        <v>32.781394790457504</v>
      </c>
      <c r="G91">
        <f>kalimantan!H85</f>
        <v>0.19073744384882055</v>
      </c>
      <c r="H91">
        <f>kalimantan!I85</f>
        <v>14.727043319554255</v>
      </c>
      <c r="I91">
        <f>kalimantan!J85</f>
        <v>1.2980306022372974</v>
      </c>
      <c r="J91">
        <f>kalimantan!K85</f>
        <v>11.912519466469853</v>
      </c>
      <c r="K91">
        <f>kalimantan!L85</f>
        <v>8.2123696063524712</v>
      </c>
      <c r="L91">
        <f>kalimantan!M85</f>
        <v>1.5843335806183754</v>
      </c>
      <c r="M91">
        <f>kalimantan!N85</f>
        <v>0</v>
      </c>
      <c r="N91">
        <f>kalimantan!O85</f>
        <v>0</v>
      </c>
      <c r="O91">
        <f>kalimantan!P85</f>
        <v>0</v>
      </c>
      <c r="P91">
        <f>kalimantan!Q85</f>
        <v>158.28478242365398</v>
      </c>
    </row>
    <row r="92" spans="1:16" x14ac:dyDescent="0.25">
      <c r="A92" t="str">
        <f>kalimantan!B86</f>
        <v>KALIMANTAN</v>
      </c>
      <c r="B92">
        <f>kalimantan!C86</f>
        <v>2029</v>
      </c>
      <c r="C92">
        <f>kalimantan!D86</f>
        <v>50.571371113155109</v>
      </c>
      <c r="D92">
        <f>kalimantan!E86</f>
        <v>14.860639080920715</v>
      </c>
      <c r="E92">
        <f>kalimantan!F86</f>
        <v>24.195284755185551</v>
      </c>
      <c r="F92">
        <f>kalimantan!G86</f>
        <v>34.421132468074575</v>
      </c>
      <c r="G92">
        <f>kalimantan!H86</f>
        <v>0.19073744384882055</v>
      </c>
      <c r="H92">
        <f>kalimantan!I86</f>
        <v>14.727043319554255</v>
      </c>
      <c r="I92">
        <f>kalimantan!J86</f>
        <v>1.2980306022372974</v>
      </c>
      <c r="J92">
        <f>kalimantan!K86</f>
        <v>11.912519466469853</v>
      </c>
      <c r="K92">
        <f>kalimantan!L86</f>
        <v>10.064089939329103</v>
      </c>
      <c r="L92">
        <f>kalimantan!M86</f>
        <v>1.5843335806183754</v>
      </c>
      <c r="M92">
        <f>kalimantan!N86</f>
        <v>0</v>
      </c>
      <c r="N92">
        <f>kalimantan!O86</f>
        <v>0</v>
      </c>
      <c r="O92">
        <f>kalimantan!P86</f>
        <v>0</v>
      </c>
      <c r="P92">
        <f>kalimantan!Q86</f>
        <v>163.82518176939368</v>
      </c>
    </row>
    <row r="93" spans="1:16" x14ac:dyDescent="0.25">
      <c r="A93" t="str">
        <f>kalimantan!B87</f>
        <v>KALIMANTAN</v>
      </c>
      <c r="B93">
        <f>kalimantan!C87</f>
        <v>2030</v>
      </c>
      <c r="C93">
        <f>kalimantan!D87</f>
        <v>50.571371113155109</v>
      </c>
      <c r="D93">
        <f>kalimantan!E87</f>
        <v>14.860639080920715</v>
      </c>
      <c r="E93">
        <f>kalimantan!F87</f>
        <v>26.311818832829321</v>
      </c>
      <c r="F93">
        <f>kalimantan!G87</f>
        <v>36.009392458390082</v>
      </c>
      <c r="G93">
        <f>kalimantan!H87</f>
        <v>0.19073744384882055</v>
      </c>
      <c r="H93">
        <f>kalimantan!I87</f>
        <v>14.727043319554255</v>
      </c>
      <c r="I93">
        <f>kalimantan!J87</f>
        <v>1.2980306022372974</v>
      </c>
      <c r="J93">
        <f>kalimantan!K87</f>
        <v>11.912519466469853</v>
      </c>
      <c r="K93">
        <f>kalimantan!L87</f>
        <v>11.968095210693104</v>
      </c>
      <c r="L93">
        <f>kalimantan!M87</f>
        <v>1.5843335806183754</v>
      </c>
      <c r="M93">
        <f>kalimantan!N87</f>
        <v>0</v>
      </c>
      <c r="N93">
        <f>kalimantan!O87</f>
        <v>0</v>
      </c>
      <c r="O93">
        <f>kalimantan!P87</f>
        <v>0</v>
      </c>
      <c r="P93">
        <f>kalimantan!Q87</f>
        <v>169.43398110871692</v>
      </c>
    </row>
    <row r="94" spans="1:16" x14ac:dyDescent="0.25">
      <c r="A94" t="str">
        <f>kalimantan!B88</f>
        <v>KALIMANTAN</v>
      </c>
      <c r="B94">
        <f>kalimantan!C88</f>
        <v>2031</v>
      </c>
      <c r="C94">
        <f>kalimantan!D88</f>
        <v>50.743055184490778</v>
      </c>
      <c r="D94">
        <f>kalimantan!E88</f>
        <v>14.860639080920715</v>
      </c>
      <c r="E94">
        <f>kalimantan!F88</f>
        <v>28.764298039407066</v>
      </c>
      <c r="F94">
        <f>kalimantan!G88</f>
        <v>37.916346152642006</v>
      </c>
      <c r="G94">
        <f>kalimantan!H88</f>
        <v>0.19073744384882055</v>
      </c>
      <c r="H94">
        <f>kalimantan!I88</f>
        <v>14.727043319554255</v>
      </c>
      <c r="I94">
        <f>kalimantan!J88</f>
        <v>1.2980306022372974</v>
      </c>
      <c r="J94">
        <f>kalimantan!K88</f>
        <v>11.912519466469853</v>
      </c>
      <c r="K94">
        <f>kalimantan!L88</f>
        <v>14.194178240639848</v>
      </c>
      <c r="L94">
        <f>kalimantan!M88</f>
        <v>1.5843335806183754</v>
      </c>
      <c r="M94">
        <f>kalimantan!N88</f>
        <v>0</v>
      </c>
      <c r="N94">
        <f>kalimantan!O88</f>
        <v>0</v>
      </c>
      <c r="O94">
        <f>kalimantan!P88</f>
        <v>0</v>
      </c>
      <c r="P94">
        <f>kalimantan!Q88</f>
        <v>176.19118111082904</v>
      </c>
    </row>
    <row r="95" spans="1:16" x14ac:dyDescent="0.25">
      <c r="A95" t="str">
        <f>kalimantan!B89</f>
        <v>KALIMANTAN</v>
      </c>
      <c r="B95">
        <f>kalimantan!C89</f>
        <v>2032</v>
      </c>
      <c r="C95">
        <f>kalimantan!D89</f>
        <v>52.468405525783666</v>
      </c>
      <c r="D95">
        <f>kalimantan!E89</f>
        <v>14.860639080920715</v>
      </c>
      <c r="E95">
        <f>kalimantan!F89</f>
        <v>31.406959876236698</v>
      </c>
      <c r="F95">
        <f>kalimantan!G89</f>
        <v>38.415686403551895</v>
      </c>
      <c r="G95">
        <f>kalimantan!H89</f>
        <v>0.19073744384882055</v>
      </c>
      <c r="H95">
        <f>kalimantan!I89</f>
        <v>14.727043319554255</v>
      </c>
      <c r="I95">
        <f>kalimantan!J89</f>
        <v>1.2980306022372974</v>
      </c>
      <c r="J95">
        <f>kalimantan!K89</f>
        <v>11.912519466469853</v>
      </c>
      <c r="K95">
        <f>kalimantan!L89</f>
        <v>16.591625485143275</v>
      </c>
      <c r="L95">
        <f>kalimantan!M89</f>
        <v>1.5843335806183754</v>
      </c>
      <c r="M95">
        <f>kalimantan!N89</f>
        <v>0</v>
      </c>
      <c r="N95">
        <f>kalimantan!O89</f>
        <v>0</v>
      </c>
      <c r="O95">
        <f>kalimantan!P89</f>
        <v>0</v>
      </c>
      <c r="P95">
        <f>kalimantan!Q89</f>
        <v>183.45598078436487</v>
      </c>
    </row>
    <row r="96" spans="1:16" x14ac:dyDescent="0.25">
      <c r="A96" t="str">
        <f>kalimantan!B90</f>
        <v>KALIMANTAN</v>
      </c>
      <c r="B96">
        <f>kalimantan!C90</f>
        <v>2033</v>
      </c>
      <c r="C96">
        <f>kalimantan!D90</f>
        <v>54.052232633941792</v>
      </c>
      <c r="D96">
        <f>kalimantan!E90</f>
        <v>14.860639080920715</v>
      </c>
      <c r="E96">
        <f>kalimantan!F90</f>
        <v>34.014765566729146</v>
      </c>
      <c r="F96">
        <f>kalimantan!G90</f>
        <v>38.750129002192324</v>
      </c>
      <c r="G96">
        <f>kalimantan!H90</f>
        <v>0.19073744384882055</v>
      </c>
      <c r="H96">
        <f>kalimantan!I90</f>
        <v>14.727043319554255</v>
      </c>
      <c r="I96">
        <f>kalimantan!J90</f>
        <v>1.2980306022372974</v>
      </c>
      <c r="J96">
        <f>kalimantan!K90</f>
        <v>11.912519466469853</v>
      </c>
      <c r="K96">
        <f>kalimantan!L90</f>
        <v>18.934350253367626</v>
      </c>
      <c r="L96">
        <f>kalimantan!M90</f>
        <v>1.5843335806183754</v>
      </c>
      <c r="M96">
        <f>kalimantan!N90</f>
        <v>0</v>
      </c>
      <c r="N96">
        <f>kalimantan!O90</f>
        <v>0</v>
      </c>
      <c r="O96">
        <f>kalimantan!P90</f>
        <v>0</v>
      </c>
      <c r="P96">
        <f>kalimantan!Q90</f>
        <v>190.32478094988019</v>
      </c>
    </row>
    <row r="97" spans="1:16" x14ac:dyDescent="0.25">
      <c r="A97" t="str">
        <f>kalimantan!B91</f>
        <v>KALIMANTAN</v>
      </c>
      <c r="B97">
        <f>kalimantan!C91</f>
        <v>2034</v>
      </c>
      <c r="C97">
        <f>kalimantan!D91</f>
        <v>56.021771325220264</v>
      </c>
      <c r="D97">
        <f>kalimantan!E91</f>
        <v>14.860639080920715</v>
      </c>
      <c r="E97">
        <f>kalimantan!F91</f>
        <v>37.068767253420724</v>
      </c>
      <c r="F97">
        <f>kalimantan!G91</f>
        <v>39.29471074925641</v>
      </c>
      <c r="G97">
        <f>kalimantan!H91</f>
        <v>0.19073744384882055</v>
      </c>
      <c r="H97">
        <f>kalimantan!I91</f>
        <v>14.727043319554255</v>
      </c>
      <c r="I97">
        <f>kalimantan!J91</f>
        <v>1.2980306022372974</v>
      </c>
      <c r="J97">
        <f>kalimantan!K91</f>
        <v>11.912519466469853</v>
      </c>
      <c r="K97">
        <f>kalimantan!L91</f>
        <v>21.700228717662004</v>
      </c>
      <c r="L97">
        <f>kalimantan!M91</f>
        <v>1.5843335806183754</v>
      </c>
      <c r="M97">
        <f>kalimantan!N91</f>
        <v>0</v>
      </c>
      <c r="N97">
        <f>kalimantan!O91</f>
        <v>0</v>
      </c>
      <c r="O97">
        <f>kalimantan!P91</f>
        <v>0</v>
      </c>
      <c r="P97">
        <f>kalimantan!Q91</f>
        <v>198.65878153920875</v>
      </c>
    </row>
    <row r="98" spans="1:16" x14ac:dyDescent="0.25">
      <c r="A98" t="str">
        <f>kalimantan!B92</f>
        <v>KALIMANTAN</v>
      </c>
      <c r="B98">
        <f>kalimantan!C92</f>
        <v>2035</v>
      </c>
      <c r="C98">
        <f>kalimantan!D92</f>
        <v>57.901525506420988</v>
      </c>
      <c r="D98">
        <f>kalimantan!E92</f>
        <v>14.860639080920715</v>
      </c>
      <c r="E98">
        <f>kalimantan!F92</f>
        <v>40.14581582806769</v>
      </c>
      <c r="F98">
        <f>kalimantan!G92</f>
        <v>39.703909235734486</v>
      </c>
      <c r="G98">
        <f>kalimantan!H92</f>
        <v>0.19073744384882055</v>
      </c>
      <c r="H98">
        <f>kalimantan!I92</f>
        <v>14.727043319554255</v>
      </c>
      <c r="I98">
        <f>kalimantan!J92</f>
        <v>1.2980306022372974</v>
      </c>
      <c r="J98">
        <f>kalimantan!K92</f>
        <v>11.912519466469853</v>
      </c>
      <c r="K98">
        <f>kalimantan!L92</f>
        <v>24.466626110315772</v>
      </c>
      <c r="L98">
        <f>kalimantan!M92</f>
        <v>1.5843335806183754</v>
      </c>
      <c r="M98">
        <f>kalimantan!N92</f>
        <v>0</v>
      </c>
      <c r="N98">
        <f>kalimantan!O92</f>
        <v>0</v>
      </c>
      <c r="O98">
        <f>kalimantan!P92</f>
        <v>0</v>
      </c>
      <c r="P98">
        <f>kalimantan!Q92</f>
        <v>206.79118017418824</v>
      </c>
    </row>
    <row r="99" spans="1:16" x14ac:dyDescent="0.25">
      <c r="A99" t="str">
        <f>kalimantan!B93</f>
        <v>KALIMANTAN</v>
      </c>
      <c r="B99">
        <f>kalimantan!C93</f>
        <v>2036</v>
      </c>
      <c r="C99">
        <f>kalimantan!D93</f>
        <v>60.072007936040755</v>
      </c>
      <c r="D99">
        <f>kalimantan!E93</f>
        <v>14.860639080920715</v>
      </c>
      <c r="E99">
        <f>kalimantan!F93</f>
        <v>43.612336426385937</v>
      </c>
      <c r="F99">
        <f>kalimantan!G93</f>
        <v>40.235287135834447</v>
      </c>
      <c r="G99">
        <f>kalimantan!H93</f>
        <v>0.19073744384882055</v>
      </c>
      <c r="H99">
        <f>kalimantan!I93</f>
        <v>14.727043319554255</v>
      </c>
      <c r="I99">
        <f>kalimantan!J93</f>
        <v>2.6741681076829713</v>
      </c>
      <c r="J99">
        <f>kalimantan!K93</f>
        <v>11.912519466469853</v>
      </c>
      <c r="K99">
        <f>kalimantan!L93</f>
        <v>26.217308435588656</v>
      </c>
      <c r="L99">
        <f>kalimantan!M93</f>
        <v>1.5843335806183754</v>
      </c>
      <c r="M99">
        <f>kalimantan!N93</f>
        <v>0</v>
      </c>
      <c r="N99">
        <f>kalimantan!O93</f>
        <v>0</v>
      </c>
      <c r="O99">
        <f>kalimantan!P93</f>
        <v>0</v>
      </c>
      <c r="P99">
        <f>kalimantan!Q93</f>
        <v>216.08638093294479</v>
      </c>
    </row>
    <row r="100" spans="1:16" x14ac:dyDescent="0.25">
      <c r="A100" t="str">
        <f>kalimantan!B94</f>
        <v>KALIMANTAN</v>
      </c>
      <c r="B100">
        <f>kalimantan!C94</f>
        <v>2037</v>
      </c>
      <c r="C100">
        <f>kalimantan!D94</f>
        <v>62.241078515574443</v>
      </c>
      <c r="D100">
        <f>kalimantan!E94</f>
        <v>14.860639080920732</v>
      </c>
      <c r="E100">
        <f>kalimantan!F94</f>
        <v>47.200040465343498</v>
      </c>
      <c r="F100">
        <f>kalimantan!G94</f>
        <v>40.682220188246262</v>
      </c>
      <c r="G100">
        <f>kalimantan!H94</f>
        <v>0.19073744384882055</v>
      </c>
      <c r="H100">
        <f>kalimantan!I94</f>
        <v>14.727043319554255</v>
      </c>
      <c r="I100">
        <f>kalimantan!J94</f>
        <v>5.0199158953475607</v>
      </c>
      <c r="J100">
        <f>kalimantan!K94</f>
        <v>11.912519466469853</v>
      </c>
      <c r="K100">
        <f>kalimantan!L94</f>
        <v>27.092649598225098</v>
      </c>
      <c r="L100">
        <f>kalimantan!M94</f>
        <v>1.5843335806183754</v>
      </c>
      <c r="M100">
        <f>kalimantan!N94</f>
        <v>0</v>
      </c>
      <c r="N100">
        <f>kalimantan!O94</f>
        <v>0</v>
      </c>
      <c r="O100">
        <f>kalimantan!P94</f>
        <v>0</v>
      </c>
      <c r="P100">
        <f>kalimantan!Q94</f>
        <v>225.5111775541489</v>
      </c>
    </row>
    <row r="101" spans="1:16" x14ac:dyDescent="0.25">
      <c r="A101" t="str">
        <f>kalimantan!B95</f>
        <v>KALIMANTAN</v>
      </c>
      <c r="B101">
        <f>kalimantan!C95</f>
        <v>2038</v>
      </c>
      <c r="C101">
        <f>kalimantan!D95</f>
        <v>64.739395375223552</v>
      </c>
      <c r="D101">
        <f>kalimantan!E95</f>
        <v>14.860639080920732</v>
      </c>
      <c r="E101">
        <f>kalimantan!F95</f>
        <v>51.249157716497791</v>
      </c>
      <c r="F101">
        <f>kalimantan!G95</f>
        <v>41.253653125208722</v>
      </c>
      <c r="G101">
        <f>kalimantan!H95</f>
        <v>0.19073744384882055</v>
      </c>
      <c r="H101">
        <f>kalimantan!I95</f>
        <v>14.727043319554255</v>
      </c>
      <c r="I101">
        <f>kalimantan!J95</f>
        <v>8.2273823131042771</v>
      </c>
      <c r="J101">
        <f>kalimantan!K95</f>
        <v>11.912519466469853</v>
      </c>
      <c r="K101">
        <f>kalimantan!L95</f>
        <v>27.530320179543317</v>
      </c>
      <c r="L101">
        <f>kalimantan!M95</f>
        <v>1.5843335806183754</v>
      </c>
      <c r="M101">
        <f>kalimantan!N95</f>
        <v>0</v>
      </c>
      <c r="N101">
        <f>kalimantan!O95</f>
        <v>0</v>
      </c>
      <c r="O101">
        <f>kalimantan!P95</f>
        <v>0</v>
      </c>
      <c r="P101">
        <f>kalimantan!Q95</f>
        <v>236.2751816009897</v>
      </c>
    </row>
    <row r="102" spans="1:16" x14ac:dyDescent="0.25">
      <c r="A102" t="str">
        <f>sulawesi!B76</f>
        <v>SULAWESI</v>
      </c>
      <c r="B102">
        <f>sulawesi!C76</f>
        <v>2019</v>
      </c>
      <c r="C102">
        <f>sulawesi!D76</f>
        <v>49.499119344</v>
      </c>
      <c r="D102">
        <f>sulawesi!E76</f>
        <v>3.1071414947150768</v>
      </c>
      <c r="E102">
        <f>sulawesi!F76</f>
        <v>3.1383292984615383</v>
      </c>
      <c r="F102">
        <f>sulawesi!G76</f>
        <v>16.117847963667693</v>
      </c>
      <c r="G102">
        <f>sulawesi!H76</f>
        <v>1.8688718769230768</v>
      </c>
      <c r="H102">
        <f>sulawesi!I76</f>
        <v>13.248162884381539</v>
      </c>
      <c r="I102">
        <f>sulawesi!J76</f>
        <v>1.3328549700923076</v>
      </c>
      <c r="J102">
        <f>sulawesi!K76</f>
        <v>2.8079654399999997E-2</v>
      </c>
      <c r="K102">
        <f>sulawesi!L76</f>
        <v>0</v>
      </c>
      <c r="L102">
        <f>sulawesi!M76</f>
        <v>4.4956993846153852E-3</v>
      </c>
      <c r="M102">
        <f>sulawesi!N76</f>
        <v>0</v>
      </c>
      <c r="N102">
        <f>sulawesi!O76</f>
        <v>0</v>
      </c>
      <c r="O102">
        <f>sulawesi!P76</f>
        <v>0</v>
      </c>
      <c r="P102">
        <f>sulawesi!Q76</f>
        <v>88.344903186025874</v>
      </c>
    </row>
    <row r="103" spans="1:16" x14ac:dyDescent="0.25">
      <c r="A103" t="str">
        <f>sulawesi!B77</f>
        <v>SULAWESI</v>
      </c>
      <c r="B103">
        <f>sulawesi!C77</f>
        <v>2020</v>
      </c>
      <c r="C103">
        <f>sulawesi!D77</f>
        <v>50.595824784874821</v>
      </c>
      <c r="D103">
        <f>sulawesi!E77</f>
        <v>3.107141483953296</v>
      </c>
      <c r="E103">
        <f>sulawesi!F77</f>
        <v>10.725170313267213</v>
      </c>
      <c r="F103">
        <f>sulawesi!G77</f>
        <v>16.117847963667693</v>
      </c>
      <c r="G103">
        <f>sulawesi!H77</f>
        <v>1.8688718769230768</v>
      </c>
      <c r="H103">
        <f>sulawesi!I77</f>
        <v>13.248162884381539</v>
      </c>
      <c r="I103">
        <f>sulawesi!J77</f>
        <v>1.3328549700923076</v>
      </c>
      <c r="J103">
        <f>sulawesi!K77</f>
        <v>0.88061818361114863</v>
      </c>
      <c r="K103">
        <f>sulawesi!L77</f>
        <v>0</v>
      </c>
      <c r="L103">
        <f>sulawesi!M77</f>
        <v>4.4956993846153852E-3</v>
      </c>
      <c r="M103">
        <f>sulawesi!N77</f>
        <v>0</v>
      </c>
      <c r="N103">
        <f>sulawesi!O77</f>
        <v>0</v>
      </c>
      <c r="O103">
        <f>sulawesi!P77</f>
        <v>0</v>
      </c>
      <c r="P103">
        <f>sulawesi!Q77</f>
        <v>97.880988160155724</v>
      </c>
    </row>
    <row r="104" spans="1:16" x14ac:dyDescent="0.25">
      <c r="A104" t="str">
        <f>sulawesi!B78</f>
        <v>SULAWESI</v>
      </c>
      <c r="B104">
        <f>sulawesi!C78</f>
        <v>2021</v>
      </c>
      <c r="C104">
        <f>sulawesi!D78</f>
        <v>51.726916590670527</v>
      </c>
      <c r="D104">
        <f>sulawesi!E78</f>
        <v>3.1071414731915152</v>
      </c>
      <c r="E104">
        <f>sulawesi!F78</f>
        <v>18.915034616238227</v>
      </c>
      <c r="F104">
        <f>sulawesi!G78</f>
        <v>16.117847963667693</v>
      </c>
      <c r="G104">
        <f>sulawesi!H78</f>
        <v>1.8688718769230768</v>
      </c>
      <c r="H104">
        <f>sulawesi!I78</f>
        <v>13.574294815800817</v>
      </c>
      <c r="I104">
        <f>sulawesi!J78</f>
        <v>1.3335282689639345</v>
      </c>
      <c r="J104">
        <f>sulawesi!K78</f>
        <v>2.5884497593907763</v>
      </c>
      <c r="K104">
        <f>sulawesi!L78</f>
        <v>4.0351084133872578E-4</v>
      </c>
      <c r="L104">
        <f>sulawesi!M78</f>
        <v>4.4956993846153852E-3</v>
      </c>
      <c r="M104">
        <f>sulawesi!N78</f>
        <v>0</v>
      </c>
      <c r="N104">
        <f>sulawesi!O78</f>
        <v>0</v>
      </c>
      <c r="O104">
        <f>sulawesi!P78</f>
        <v>0</v>
      </c>
      <c r="P104">
        <f>sulawesi!Q78</f>
        <v>109.23698457507253</v>
      </c>
    </row>
    <row r="105" spans="1:16" x14ac:dyDescent="0.25">
      <c r="A105" t="str">
        <f>sulawesi!B79</f>
        <v>SULAWESI</v>
      </c>
      <c r="B105">
        <f>sulawesi!C79</f>
        <v>2022</v>
      </c>
      <c r="C105">
        <f>sulawesi!D79</f>
        <v>53.204413293880336</v>
      </c>
      <c r="D105">
        <f>sulawesi!E79</f>
        <v>3.1071414731915152</v>
      </c>
      <c r="E105">
        <f>sulawesi!F79</f>
        <v>26.998028288890801</v>
      </c>
      <c r="F105">
        <f>sulawesi!G79</f>
        <v>16.117847963667693</v>
      </c>
      <c r="G105">
        <f>sulawesi!H79</f>
        <v>1.8688718769230768</v>
      </c>
      <c r="H105">
        <f>sulawesi!I79</f>
        <v>13.574294815800817</v>
      </c>
      <c r="I105">
        <f>sulawesi!J79</f>
        <v>1.3335282689639345</v>
      </c>
      <c r="J105">
        <f>sulawesi!K79</f>
        <v>2.5884497593907763</v>
      </c>
      <c r="K105">
        <f>sulawesi!L79</f>
        <v>4.8918377848039745</v>
      </c>
      <c r="L105">
        <f>sulawesi!M79</f>
        <v>4.4956993846153852E-3</v>
      </c>
      <c r="M105">
        <f>sulawesi!N79</f>
        <v>0</v>
      </c>
      <c r="N105">
        <f>sulawesi!O79</f>
        <v>0</v>
      </c>
      <c r="O105">
        <f>sulawesi!P79</f>
        <v>0</v>
      </c>
      <c r="P105">
        <f>sulawesi!Q79</f>
        <v>123.68890922489753</v>
      </c>
    </row>
    <row r="106" spans="1:16" x14ac:dyDescent="0.25">
      <c r="A106" t="str">
        <f>sulawesi!B80</f>
        <v>SULAWESI</v>
      </c>
      <c r="B106">
        <f>sulawesi!C80</f>
        <v>2023</v>
      </c>
      <c r="C106">
        <f>sulawesi!D80</f>
        <v>53.204413293880336</v>
      </c>
      <c r="D106">
        <f>sulawesi!E80</f>
        <v>3.1071414731915152</v>
      </c>
      <c r="E106">
        <f>sulawesi!F80</f>
        <v>27.779064733078656</v>
      </c>
      <c r="F106">
        <f>sulawesi!G80</f>
        <v>22.127002468747648</v>
      </c>
      <c r="G106">
        <f>sulawesi!H80</f>
        <v>1.8688718769230768</v>
      </c>
      <c r="H106">
        <f>sulawesi!I80</f>
        <v>13.574294815800817</v>
      </c>
      <c r="I106">
        <f>sulawesi!J80</f>
        <v>1.3335282689639345</v>
      </c>
      <c r="J106">
        <f>sulawesi!K80</f>
        <v>2.5884497593907763</v>
      </c>
      <c r="K106">
        <f>sulawesi!L80</f>
        <v>5.9027376438365602</v>
      </c>
      <c r="L106">
        <f>sulawesi!M80</f>
        <v>4.4956993846153852E-3</v>
      </c>
      <c r="M106">
        <f>sulawesi!N80</f>
        <v>0</v>
      </c>
      <c r="N106">
        <f>sulawesi!O80</f>
        <v>0</v>
      </c>
      <c r="O106">
        <f>sulawesi!P80</f>
        <v>0</v>
      </c>
      <c r="P106">
        <f>sulawesi!Q80</f>
        <v>131.49000003319793</v>
      </c>
    </row>
    <row r="107" spans="1:16" x14ac:dyDescent="0.25">
      <c r="A107" t="str">
        <f>sulawesi!B81</f>
        <v>SULAWESI</v>
      </c>
      <c r="B107">
        <f>sulawesi!C81</f>
        <v>2024</v>
      </c>
      <c r="C107">
        <f>sulawesi!D81</f>
        <v>53.204413293880336</v>
      </c>
      <c r="D107">
        <f>sulawesi!E81</f>
        <v>3.1071414731915152</v>
      </c>
      <c r="E107">
        <f>sulawesi!F81</f>
        <v>32.718105877029259</v>
      </c>
      <c r="F107">
        <f>sulawesi!G81</f>
        <v>23.529645656781398</v>
      </c>
      <c r="G107">
        <f>sulawesi!H81</f>
        <v>1.8688718769230768</v>
      </c>
      <c r="H107">
        <f>sulawesi!I81</f>
        <v>13.574294815800817</v>
      </c>
      <c r="I107">
        <f>sulawesi!J81</f>
        <v>1.3335282689639345</v>
      </c>
      <c r="J107">
        <f>sulawesi!K81</f>
        <v>2.5884497593907763</v>
      </c>
      <c r="K107">
        <f>sulawesi!L81</f>
        <v>10.749854527197412</v>
      </c>
      <c r="L107">
        <f>sulawesi!M81</f>
        <v>4.4956993846153852E-3</v>
      </c>
      <c r="M107">
        <f>sulawesi!N81</f>
        <v>0</v>
      </c>
      <c r="N107">
        <f>sulawesi!O81</f>
        <v>0</v>
      </c>
      <c r="O107">
        <f>sulawesi!P81</f>
        <v>0</v>
      </c>
      <c r="P107">
        <f>sulawesi!Q81</f>
        <v>142.67880124854315</v>
      </c>
    </row>
    <row r="108" spans="1:16" x14ac:dyDescent="0.25">
      <c r="A108" t="str">
        <f>sulawesi!B82</f>
        <v>SULAWESI</v>
      </c>
      <c r="B108">
        <f>sulawesi!C82</f>
        <v>2025</v>
      </c>
      <c r="C108">
        <f>sulawesi!D82</f>
        <v>53.204413293880336</v>
      </c>
      <c r="D108">
        <f>sulawesi!E82</f>
        <v>3.1071414731915152</v>
      </c>
      <c r="E108">
        <f>sulawesi!F82</f>
        <v>38.357025362173047</v>
      </c>
      <c r="F108">
        <f>sulawesi!G82</f>
        <v>25.148348378744554</v>
      </c>
      <c r="G108">
        <f>sulawesi!H82</f>
        <v>1.8688718769230768</v>
      </c>
      <c r="H108">
        <f>sulawesi!I82</f>
        <v>13.574294815800817</v>
      </c>
      <c r="I108">
        <f>sulawesi!J82</f>
        <v>1.3335282689639345</v>
      </c>
      <c r="J108">
        <f>sulawesi!K82</f>
        <v>2.5884497593907763</v>
      </c>
      <c r="K108">
        <f>sulawesi!L82</f>
        <v>16.419831610057159</v>
      </c>
      <c r="L108">
        <f>sulawesi!M82</f>
        <v>4.4956993846153852E-3</v>
      </c>
      <c r="M108">
        <f>sulawesi!N82</f>
        <v>0</v>
      </c>
      <c r="N108">
        <f>sulawesi!O82</f>
        <v>0</v>
      </c>
      <c r="O108">
        <f>sulawesi!P82</f>
        <v>0</v>
      </c>
      <c r="P108">
        <f>sulawesi!Q82</f>
        <v>155.60640053850983</v>
      </c>
    </row>
    <row r="109" spans="1:16" x14ac:dyDescent="0.25">
      <c r="A109" t="str">
        <f>sulawesi!B83</f>
        <v>SULAWESI</v>
      </c>
      <c r="B109">
        <f>sulawesi!C83</f>
        <v>2026</v>
      </c>
      <c r="C109">
        <f>sulawesi!D83</f>
        <v>53.204413293880336</v>
      </c>
      <c r="D109">
        <f>sulawesi!E83</f>
        <v>3.1071414731915152</v>
      </c>
      <c r="E109">
        <f>sulawesi!F83</f>
        <v>44.766493981401659</v>
      </c>
      <c r="F109">
        <f>sulawesi!G83</f>
        <v>26.312582228052936</v>
      </c>
      <c r="G109">
        <f>sulawesi!H83</f>
        <v>1.8688718769230768</v>
      </c>
      <c r="H109">
        <f>sulawesi!I83</f>
        <v>13.574294815800817</v>
      </c>
      <c r="I109">
        <f>sulawesi!J83</f>
        <v>1.3335282689639345</v>
      </c>
      <c r="J109">
        <f>sulawesi!K83</f>
        <v>2.6374451505472609</v>
      </c>
      <c r="K109">
        <f>sulawesi!L83</f>
        <v>19.323533166402143</v>
      </c>
      <c r="L109">
        <f>sulawesi!M83</f>
        <v>4.4956993846153852E-3</v>
      </c>
      <c r="M109">
        <f>sulawesi!N83</f>
        <v>0</v>
      </c>
      <c r="N109">
        <f>sulawesi!O83</f>
        <v>0</v>
      </c>
      <c r="O109">
        <f>sulawesi!P83</f>
        <v>0</v>
      </c>
      <c r="P109">
        <f>sulawesi!Q83</f>
        <v>166.13279995454829</v>
      </c>
    </row>
    <row r="110" spans="1:16" x14ac:dyDescent="0.25">
      <c r="A110" t="str">
        <f>sulawesi!B84</f>
        <v>SULAWESI</v>
      </c>
      <c r="B110">
        <f>sulawesi!C84</f>
        <v>2027</v>
      </c>
      <c r="C110">
        <f>sulawesi!D84</f>
        <v>53.204413293880336</v>
      </c>
      <c r="D110">
        <f>sulawesi!E84</f>
        <v>3.1071414731915152</v>
      </c>
      <c r="E110">
        <f>sulawesi!F84</f>
        <v>52.799101256063821</v>
      </c>
      <c r="F110">
        <f>sulawesi!G84</f>
        <v>27.837033333121088</v>
      </c>
      <c r="G110">
        <f>sulawesi!H84</f>
        <v>1.8688718769230768</v>
      </c>
      <c r="H110">
        <f>sulawesi!I84</f>
        <v>13.574294815800817</v>
      </c>
      <c r="I110">
        <f>sulawesi!J84</f>
        <v>1.3335282689639345</v>
      </c>
      <c r="J110">
        <f>sulawesi!K84</f>
        <v>3.0305764429664017</v>
      </c>
      <c r="K110">
        <f>sulawesi!L84</f>
        <v>22.585343430427308</v>
      </c>
      <c r="L110">
        <f>sulawesi!M84</f>
        <v>4.4956993846153852E-3</v>
      </c>
      <c r="M110">
        <f>sulawesi!N84</f>
        <v>0</v>
      </c>
      <c r="N110">
        <f>sulawesi!O84</f>
        <v>0</v>
      </c>
      <c r="O110">
        <f>sulawesi!P84</f>
        <v>0</v>
      </c>
      <c r="P110">
        <f>sulawesi!Q84</f>
        <v>179.34479989072292</v>
      </c>
    </row>
    <row r="111" spans="1:16" x14ac:dyDescent="0.25">
      <c r="A111" t="str">
        <f>sulawesi!B85</f>
        <v>SULAWESI</v>
      </c>
      <c r="B111">
        <f>sulawesi!C85</f>
        <v>2028</v>
      </c>
      <c r="C111">
        <f>sulawesi!D85</f>
        <v>54.497016057300876</v>
      </c>
      <c r="D111">
        <f>sulawesi!E85</f>
        <v>3.1071414731915152</v>
      </c>
      <c r="E111">
        <f>sulawesi!F85</f>
        <v>55.150749736532596</v>
      </c>
      <c r="F111">
        <f>sulawesi!G85</f>
        <v>28.19587850174937</v>
      </c>
      <c r="G111">
        <f>sulawesi!H85</f>
        <v>1.8688718769230768</v>
      </c>
      <c r="H111">
        <f>sulawesi!I85</f>
        <v>13.574294815800817</v>
      </c>
      <c r="I111">
        <f>sulawesi!J85</f>
        <v>1.3335282689639345</v>
      </c>
      <c r="J111">
        <f>sulawesi!K85</f>
        <v>3.3334221179968728</v>
      </c>
      <c r="K111">
        <f>sulawesi!L85</f>
        <v>24.298601730468476</v>
      </c>
      <c r="L111">
        <f>sulawesi!M85</f>
        <v>4.4956993846153852E-3</v>
      </c>
      <c r="M111">
        <f>sulawesi!N85</f>
        <v>0</v>
      </c>
      <c r="N111">
        <f>sulawesi!O85</f>
        <v>0</v>
      </c>
      <c r="O111">
        <f>sulawesi!P85</f>
        <v>0</v>
      </c>
      <c r="P111">
        <f>sulawesi!Q85</f>
        <v>185.36400027831212</v>
      </c>
    </row>
    <row r="112" spans="1:16" x14ac:dyDescent="0.25">
      <c r="A112" t="str">
        <f>sulawesi!B86</f>
        <v>SULAWESI</v>
      </c>
      <c r="B112">
        <f>sulawesi!C86</f>
        <v>2029</v>
      </c>
      <c r="C112">
        <f>sulawesi!D86</f>
        <v>56.018447797796753</v>
      </c>
      <c r="D112">
        <f>sulawesi!E86</f>
        <v>3.1071414731915152</v>
      </c>
      <c r="E112">
        <f>sulawesi!F86</f>
        <v>57.540761333532792</v>
      </c>
      <c r="F112">
        <f>sulawesi!G86</f>
        <v>28.597925616430643</v>
      </c>
      <c r="G112">
        <f>sulawesi!H86</f>
        <v>1.8688718769230768</v>
      </c>
      <c r="H112">
        <f>sulawesi!I86</f>
        <v>13.574294815800817</v>
      </c>
      <c r="I112">
        <f>sulawesi!J86</f>
        <v>1.3335282689639345</v>
      </c>
      <c r="J112">
        <f>sulawesi!K86</f>
        <v>3.6708302833115174</v>
      </c>
      <c r="K112">
        <f>sulawesi!L86</f>
        <v>26.127702173808647</v>
      </c>
      <c r="L112">
        <f>sulawesi!M86</f>
        <v>4.4956993846153852E-3</v>
      </c>
      <c r="M112">
        <f>sulawesi!N86</f>
        <v>0</v>
      </c>
      <c r="N112">
        <f>sulawesi!O86</f>
        <v>0</v>
      </c>
      <c r="O112">
        <f>sulawesi!P86</f>
        <v>0</v>
      </c>
      <c r="P112">
        <f>sulawesi!Q86</f>
        <v>191.84399933914429</v>
      </c>
    </row>
    <row r="113" spans="1:16" x14ac:dyDescent="0.25">
      <c r="A113" t="str">
        <f>sulawesi!B87</f>
        <v>SULAWESI</v>
      </c>
      <c r="B113">
        <f>sulawesi!C87</f>
        <v>2030</v>
      </c>
      <c r="C113">
        <f>sulawesi!D87</f>
        <v>57.612095966695833</v>
      </c>
      <c r="D113">
        <f>sulawesi!E87</f>
        <v>3.1071414731915152</v>
      </c>
      <c r="E113">
        <f>sulawesi!F87</f>
        <v>60.050163326766992</v>
      </c>
      <c r="F113">
        <f>sulawesi!G87</f>
        <v>29.022048663419319</v>
      </c>
      <c r="G113">
        <f>sulawesi!H87</f>
        <v>1.8688718769230768</v>
      </c>
      <c r="H113">
        <f>sulawesi!I87</f>
        <v>13.574294815800817</v>
      </c>
      <c r="I113">
        <f>sulawesi!J87</f>
        <v>1.3335282689639345</v>
      </c>
      <c r="J113">
        <f>sulawesi!K87</f>
        <v>4.0439659306456237</v>
      </c>
      <c r="K113">
        <f>sulawesi!L87</f>
        <v>28.045793734820148</v>
      </c>
      <c r="L113">
        <f>sulawesi!M87</f>
        <v>4.4956993846153852E-3</v>
      </c>
      <c r="M113">
        <f>sulawesi!N87</f>
        <v>0</v>
      </c>
      <c r="N113">
        <f>sulawesi!O87</f>
        <v>0</v>
      </c>
      <c r="O113">
        <f>sulawesi!P87</f>
        <v>0</v>
      </c>
      <c r="P113">
        <f>sulawesi!Q87</f>
        <v>198.66239975661185</v>
      </c>
    </row>
    <row r="114" spans="1:16" x14ac:dyDescent="0.25">
      <c r="A114" t="str">
        <f>sulawesi!B88</f>
        <v>SULAWESI</v>
      </c>
      <c r="B114">
        <f>sulawesi!C88</f>
        <v>2031</v>
      </c>
      <c r="C114">
        <f>sulawesi!D88</f>
        <v>59.577638537208422</v>
      </c>
      <c r="D114">
        <f>sulawesi!E88</f>
        <v>3.1071414731915152</v>
      </c>
      <c r="E114">
        <f>sulawesi!F88</f>
        <v>63.014618788480789</v>
      </c>
      <c r="F114">
        <f>sulawesi!G88</f>
        <v>29.616195037576688</v>
      </c>
      <c r="G114">
        <f>sulawesi!H88</f>
        <v>1.8688718769230768</v>
      </c>
      <c r="H114">
        <f>sulawesi!I88</f>
        <v>13.574294815800817</v>
      </c>
      <c r="I114">
        <f>sulawesi!J88</f>
        <v>1.3335282689639345</v>
      </c>
      <c r="J114">
        <f>sulawesi!K88</f>
        <v>4.4790389316771044</v>
      </c>
      <c r="K114">
        <f>sulawesi!L88</f>
        <v>30.290976995854013</v>
      </c>
      <c r="L114">
        <f>sulawesi!M88</f>
        <v>4.4956993846153852E-3</v>
      </c>
      <c r="M114">
        <f>sulawesi!N88</f>
        <v>0</v>
      </c>
      <c r="N114">
        <f>sulawesi!O88</f>
        <v>0</v>
      </c>
      <c r="O114">
        <f>sulawesi!P88</f>
        <v>0</v>
      </c>
      <c r="P114">
        <f>sulawesi!Q88</f>
        <v>206.86680042506097</v>
      </c>
    </row>
    <row r="115" spans="1:16" x14ac:dyDescent="0.25">
      <c r="A115" t="str">
        <f>sulawesi!B89</f>
        <v>SULAWESI</v>
      </c>
      <c r="B115">
        <f>sulawesi!C89</f>
        <v>2032</v>
      </c>
      <c r="C115">
        <f>sulawesi!D89</f>
        <v>61.735845744419869</v>
      </c>
      <c r="D115">
        <f>sulawesi!E89</f>
        <v>3.1071414731915152</v>
      </c>
      <c r="E115">
        <f>sulawesi!F89</f>
        <v>66.248069009610859</v>
      </c>
      <c r="F115">
        <f>sulawesi!G89</f>
        <v>30.28558098178922</v>
      </c>
      <c r="G115">
        <f>sulawesi!H89</f>
        <v>1.8688718769230768</v>
      </c>
      <c r="H115">
        <f>sulawesi!I89</f>
        <v>13.574294815800817</v>
      </c>
      <c r="I115">
        <f>sulawesi!J89</f>
        <v>1.3335282689639345</v>
      </c>
      <c r="J115">
        <f>sulawesi!K89</f>
        <v>4.9704535598774084</v>
      </c>
      <c r="K115">
        <f>sulawesi!L89</f>
        <v>32.731318895984117</v>
      </c>
      <c r="L115">
        <f>sulawesi!M89</f>
        <v>4.4956993846153852E-3</v>
      </c>
      <c r="M115">
        <f>sulawesi!N89</f>
        <v>0</v>
      </c>
      <c r="N115">
        <f>sulawesi!O89</f>
        <v>0</v>
      </c>
      <c r="O115">
        <f>sulawesi!P89</f>
        <v>0</v>
      </c>
      <c r="P115">
        <f>sulawesi!Q89</f>
        <v>215.85960032594539</v>
      </c>
    </row>
    <row r="116" spans="1:16" x14ac:dyDescent="0.25">
      <c r="A116" t="str">
        <f>sulawesi!B90</f>
        <v>SULAWESI</v>
      </c>
      <c r="B116">
        <f>sulawesi!C90</f>
        <v>2033</v>
      </c>
      <c r="C116">
        <f>sulawesi!D90</f>
        <v>63.823319995318329</v>
      </c>
      <c r="D116">
        <f>sulawesi!E90</f>
        <v>3.1071414731915152</v>
      </c>
      <c r="E116">
        <f>sulawesi!F90</f>
        <v>69.4590351310285</v>
      </c>
      <c r="F116">
        <f>sulawesi!G90</f>
        <v>30.899515315379812</v>
      </c>
      <c r="G116">
        <f>sulawesi!H90</f>
        <v>1.8688718769230768</v>
      </c>
      <c r="H116">
        <f>sulawesi!I90</f>
        <v>13.574294815800817</v>
      </c>
      <c r="I116">
        <f>sulawesi!J90</f>
        <v>1.3335282689639345</v>
      </c>
      <c r="J116">
        <f>sulawesi!K90</f>
        <v>5.5023283223332298</v>
      </c>
      <c r="K116">
        <f>sulawesi!L90</f>
        <v>35.157469008585402</v>
      </c>
      <c r="L116">
        <f>sulawesi!M90</f>
        <v>4.4956993846153852E-3</v>
      </c>
      <c r="M116">
        <f>sulawesi!N90</f>
        <v>0</v>
      </c>
      <c r="N116">
        <f>sulawesi!O90</f>
        <v>0</v>
      </c>
      <c r="O116">
        <f>sulawesi!P90</f>
        <v>0</v>
      </c>
      <c r="P116">
        <f>sulawesi!Q90</f>
        <v>224.7299999069092</v>
      </c>
    </row>
    <row r="117" spans="1:16" x14ac:dyDescent="0.25">
      <c r="A117" t="str">
        <f>sulawesi!B91</f>
        <v>SULAWESI</v>
      </c>
      <c r="B117">
        <f>sulawesi!C91</f>
        <v>2034</v>
      </c>
      <c r="C117">
        <f>sulawesi!D91</f>
        <v>66.391034219164652</v>
      </c>
      <c r="D117">
        <f>sulawesi!E91</f>
        <v>3.1071414731915152</v>
      </c>
      <c r="E117">
        <f>sulawesi!F91</f>
        <v>73.27874485026517</v>
      </c>
      <c r="F117">
        <f>sulawesi!G91</f>
        <v>31.723202039703999</v>
      </c>
      <c r="G117">
        <f>sulawesi!H91</f>
        <v>1.8688718769230768</v>
      </c>
      <c r="H117">
        <f>sulawesi!I91</f>
        <v>13.574294815800817</v>
      </c>
      <c r="I117">
        <f>sulawesi!J91</f>
        <v>1.3335282689639345</v>
      </c>
      <c r="J117">
        <f>sulawesi!K91</f>
        <v>6.128278572728429</v>
      </c>
      <c r="K117">
        <f>sulawesi!L91</f>
        <v>38.019607630239008</v>
      </c>
      <c r="L117">
        <f>sulawesi!M91</f>
        <v>4.4956993846153852E-3</v>
      </c>
      <c r="M117">
        <f>sulawesi!N91</f>
        <v>0</v>
      </c>
      <c r="N117">
        <f>sulawesi!O91</f>
        <v>0</v>
      </c>
      <c r="O117">
        <f>sulawesi!P91</f>
        <v>0</v>
      </c>
      <c r="P117">
        <f>sulawesi!Q91</f>
        <v>235.4291994463652</v>
      </c>
    </row>
    <row r="118" spans="1:16" x14ac:dyDescent="0.25">
      <c r="A118" t="str">
        <f>sulawesi!B92</f>
        <v>SULAWESI</v>
      </c>
      <c r="B118">
        <f>sulawesi!C92</f>
        <v>2035</v>
      </c>
      <c r="C118">
        <f>sulawesi!D92</f>
        <v>68.993567783945949</v>
      </c>
      <c r="D118">
        <f>sulawesi!E92</f>
        <v>3.1071414731915152</v>
      </c>
      <c r="E118">
        <f>sulawesi!F92</f>
        <v>77.208436914508425</v>
      </c>
      <c r="F118">
        <f>sulawesi!G92</f>
        <v>32.538186179097629</v>
      </c>
      <c r="G118">
        <f>sulawesi!H92</f>
        <v>1.8688718769230768</v>
      </c>
      <c r="H118">
        <f>sulawesi!I92</f>
        <v>13.574294815800817</v>
      </c>
      <c r="I118">
        <f>sulawesi!J92</f>
        <v>1.3335282689639345</v>
      </c>
      <c r="J118">
        <f>sulawesi!K92</f>
        <v>6.817969614993534</v>
      </c>
      <c r="K118">
        <f>sulawesi!L92</f>
        <v>40.95910665139612</v>
      </c>
      <c r="L118">
        <f>sulawesi!M92</f>
        <v>4.4956993846153852E-3</v>
      </c>
      <c r="M118">
        <f>sulawesi!N92</f>
        <v>0</v>
      </c>
      <c r="N118">
        <f>sulawesi!O92</f>
        <v>0</v>
      </c>
      <c r="O118">
        <f>sulawesi!P92</f>
        <v>0</v>
      </c>
      <c r="P118">
        <f>sulawesi!Q92</f>
        <v>246.40559927820561</v>
      </c>
    </row>
    <row r="119" spans="1:16" x14ac:dyDescent="0.25">
      <c r="A119" t="str">
        <f>sulawesi!B93</f>
        <v>SULAWESI</v>
      </c>
      <c r="B119">
        <f>sulawesi!C93</f>
        <v>2036</v>
      </c>
      <c r="C119">
        <f>sulawesi!D93</f>
        <v>71.956519167945686</v>
      </c>
      <c r="D119">
        <f>sulawesi!E93</f>
        <v>3.1071414731915152</v>
      </c>
      <c r="E119">
        <f>sulawesi!F93</f>
        <v>81.633229945558568</v>
      </c>
      <c r="F119">
        <f>sulawesi!G93</f>
        <v>33.496096088109184</v>
      </c>
      <c r="G119">
        <f>sulawesi!H93</f>
        <v>1.8688718769230768</v>
      </c>
      <c r="H119">
        <f>sulawesi!I93</f>
        <v>13.574294815800817</v>
      </c>
      <c r="I119">
        <f>sulawesi!J93</f>
        <v>1.3335282689639345</v>
      </c>
      <c r="J119">
        <f>sulawesi!K93</f>
        <v>7.6118732337745172</v>
      </c>
      <c r="K119">
        <f>sulawesi!L93</f>
        <v>44.250349457927058</v>
      </c>
      <c r="L119">
        <f>sulawesi!M93</f>
        <v>4.4956993846153852E-3</v>
      </c>
      <c r="M119">
        <f>sulawesi!N93</f>
        <v>0</v>
      </c>
      <c r="N119">
        <f>sulawesi!O93</f>
        <v>0</v>
      </c>
      <c r="O119">
        <f>sulawesi!P93</f>
        <v>0</v>
      </c>
      <c r="P119">
        <f>sulawesi!Q93</f>
        <v>258.83640002757897</v>
      </c>
    </row>
    <row r="120" spans="1:16" x14ac:dyDescent="0.25">
      <c r="A120" t="str">
        <f>sulawesi!B94</f>
        <v>SULAWESI</v>
      </c>
      <c r="B120">
        <f>sulawesi!C94</f>
        <v>2037</v>
      </c>
      <c r="C120">
        <f>sulawesi!D94</f>
        <v>75.096288017216565</v>
      </c>
      <c r="D120">
        <f>sulawesi!E94</f>
        <v>3.1071414731915152</v>
      </c>
      <c r="E120">
        <f>sulawesi!F94</f>
        <v>86.349381311843885</v>
      </c>
      <c r="F120">
        <f>sulawesi!G94</f>
        <v>34.506769814280325</v>
      </c>
      <c r="G120">
        <f>sulawesi!H94</f>
        <v>1.8688718769230768</v>
      </c>
      <c r="H120">
        <f>sulawesi!I94</f>
        <v>13.574294815800817</v>
      </c>
      <c r="I120">
        <f>sulawesi!J94</f>
        <v>1.3335282689639345</v>
      </c>
      <c r="J120">
        <f>sulawesi!K94</f>
        <v>8.5030305672686843</v>
      </c>
      <c r="K120">
        <f>sulawesi!L94</f>
        <v>47.74419818099171</v>
      </c>
      <c r="L120">
        <f>sulawesi!M94</f>
        <v>4.4956993846153852E-3</v>
      </c>
      <c r="M120">
        <f>sulawesi!N94</f>
        <v>0</v>
      </c>
      <c r="N120">
        <f>sulawesi!O94</f>
        <v>0</v>
      </c>
      <c r="O120">
        <f>sulawesi!P94</f>
        <v>0</v>
      </c>
      <c r="P120">
        <f>sulawesi!Q94</f>
        <v>272.08800002586514</v>
      </c>
    </row>
    <row r="121" spans="1:16" x14ac:dyDescent="0.25">
      <c r="A121" t="str">
        <f>sulawesi!B95</f>
        <v>SULAWESI</v>
      </c>
      <c r="B121">
        <f>sulawesi!C95</f>
        <v>2038</v>
      </c>
      <c r="C121">
        <f>sulawesi!D95</f>
        <v>78.819278410977333</v>
      </c>
      <c r="D121">
        <f>sulawesi!E95</f>
        <v>3.1071414731915152</v>
      </c>
      <c r="E121">
        <f>sulawesi!F95</f>
        <v>91.854080236065215</v>
      </c>
      <c r="F121">
        <f>sulawesi!G95</f>
        <v>35.752209461006494</v>
      </c>
      <c r="G121">
        <f>sulawesi!H95</f>
        <v>1.8688718769230768</v>
      </c>
      <c r="H121">
        <f>sulawesi!I95</f>
        <v>13.574294815800817</v>
      </c>
      <c r="I121">
        <f>sulawesi!J95</f>
        <v>1.3335282689639345</v>
      </c>
      <c r="J121">
        <f>sulawesi!K95</f>
        <v>9.5517455485947114</v>
      </c>
      <c r="K121">
        <f>sulawesi!L95</f>
        <v>51.795954415711805</v>
      </c>
      <c r="L121">
        <f>sulawesi!M95</f>
        <v>4.4956993846153852E-3</v>
      </c>
      <c r="M121">
        <f>sulawesi!N95</f>
        <v>0</v>
      </c>
      <c r="N121">
        <f>sulawesi!O95</f>
        <v>0</v>
      </c>
      <c r="O121">
        <f>sulawesi!P95</f>
        <v>0</v>
      </c>
      <c r="P121">
        <f>sulawesi!Q95</f>
        <v>287.66160020661948</v>
      </c>
    </row>
    <row r="122" spans="1:16" x14ac:dyDescent="0.25">
      <c r="A122" t="str">
        <f>maluku_papua!B76</f>
        <v>MALUKU_PAPUA</v>
      </c>
      <c r="B122">
        <f>maluku_papua!C76</f>
        <v>2019</v>
      </c>
      <c r="C122">
        <f>maluku_papua!D76</f>
        <v>4.8704829120000008</v>
      </c>
      <c r="D122">
        <f>maluku_papua!E76</f>
        <v>4.304712516923076E-2</v>
      </c>
      <c r="E122">
        <f>maluku_papua!F76</f>
        <v>0</v>
      </c>
      <c r="F122">
        <f>maluku_papua!G76</f>
        <v>16.066216448196922</v>
      </c>
      <c r="G122">
        <f>maluku_papua!H76</f>
        <v>0</v>
      </c>
      <c r="H122">
        <f>maluku_papua!I76</f>
        <v>0.47608812420923075</v>
      </c>
      <c r="I122">
        <f>maluku_papua!J76</f>
        <v>0</v>
      </c>
      <c r="J122">
        <f>maluku_papua!K76</f>
        <v>4.2450609600000008E-2</v>
      </c>
      <c r="K122">
        <f>maluku_papua!L76</f>
        <v>0</v>
      </c>
      <c r="L122">
        <f>maluku_papua!M76</f>
        <v>0</v>
      </c>
      <c r="M122">
        <f>maluku_papua!N76</f>
        <v>0</v>
      </c>
      <c r="N122">
        <f>maluku_papua!O76</f>
        <v>0</v>
      </c>
      <c r="O122">
        <f>maluku_papua!P76</f>
        <v>0</v>
      </c>
      <c r="P122">
        <f>maluku_papua!Q76</f>
        <v>21.498285219175383</v>
      </c>
    </row>
    <row r="123" spans="1:16" x14ac:dyDescent="0.25">
      <c r="A123" t="str">
        <f>maluku_papua!B77</f>
        <v>MALUKU_PAPUA</v>
      </c>
      <c r="B123">
        <f>maluku_papua!C77</f>
        <v>2020</v>
      </c>
      <c r="C123">
        <f>maluku_papua!D77</f>
        <v>4.8704829120000008</v>
      </c>
      <c r="D123">
        <f>maluku_papua!E77</f>
        <v>4.3047114407449509E-2</v>
      </c>
      <c r="E123">
        <f>maluku_papua!F77</f>
        <v>2.4475891131025236</v>
      </c>
      <c r="F123">
        <f>maluku_papua!G77</f>
        <v>16.066216448196922</v>
      </c>
      <c r="G123">
        <f>maluku_papua!H77</f>
        <v>0</v>
      </c>
      <c r="H123">
        <f>maluku_papua!I77</f>
        <v>0.47608812420923075</v>
      </c>
      <c r="I123">
        <f>maluku_papua!J77</f>
        <v>0</v>
      </c>
      <c r="J123">
        <f>maluku_papua!K77</f>
        <v>4.2450602977440008E-2</v>
      </c>
      <c r="K123">
        <f>maluku_papua!L77</f>
        <v>0</v>
      </c>
      <c r="L123">
        <f>maluku_papua!M77</f>
        <v>0</v>
      </c>
      <c r="M123">
        <f>maluku_papua!N77</f>
        <v>-3.5999999999970664E-9</v>
      </c>
      <c r="N123">
        <f>maluku_papua!O77</f>
        <v>0</v>
      </c>
      <c r="O123">
        <f>maluku_papua!P77</f>
        <v>0</v>
      </c>
      <c r="P123">
        <f>maluku_papua!Q77</f>
        <v>23.945874311293565</v>
      </c>
    </row>
    <row r="124" spans="1:16" x14ac:dyDescent="0.25">
      <c r="A124" t="str">
        <f>maluku_papua!B78</f>
        <v>MALUKU_PAPUA</v>
      </c>
      <c r="B124">
        <f>maluku_papua!C78</f>
        <v>2021</v>
      </c>
      <c r="C124">
        <f>maluku_papua!D78</f>
        <v>4.8704829120000008</v>
      </c>
      <c r="D124">
        <f>maluku_papua!E78</f>
        <v>4.3047103645668217E-2</v>
      </c>
      <c r="E124">
        <f>maluku_papua!F78</f>
        <v>5.059166694535091</v>
      </c>
      <c r="F124">
        <f>maluku_papua!G78</f>
        <v>16.066216448196922</v>
      </c>
      <c r="G124">
        <f>maluku_papua!H78</f>
        <v>-7.8595803547285404E-17</v>
      </c>
      <c r="H124">
        <f>maluku_papua!I78</f>
        <v>0.47609620178081535</v>
      </c>
      <c r="I124">
        <f>maluku_papua!J78</f>
        <v>1.6090319847233621</v>
      </c>
      <c r="J124">
        <f>maluku_papua!K78</f>
        <v>2.2553612463713599</v>
      </c>
      <c r="K124">
        <f>maluku_papua!L78</f>
        <v>0.41139282554724649</v>
      </c>
      <c r="L124">
        <f>maluku_papua!M78</f>
        <v>0</v>
      </c>
      <c r="M124">
        <f>maluku_papua!N78</f>
        <v>2.6212748167076128E-3</v>
      </c>
      <c r="N124">
        <f>maluku_papua!O78</f>
        <v>0</v>
      </c>
      <c r="O124">
        <f>maluku_papua!P78</f>
        <v>0</v>
      </c>
      <c r="P124">
        <f>maluku_papua!Q78</f>
        <v>30.793416691617175</v>
      </c>
    </row>
    <row r="125" spans="1:16" x14ac:dyDescent="0.25">
      <c r="A125" t="str">
        <f>maluku_papua!B79</f>
        <v>MALUKU_PAPUA</v>
      </c>
      <c r="B125">
        <f>maluku_papua!C79</f>
        <v>2022</v>
      </c>
      <c r="C125">
        <f>maluku_papua!D79</f>
        <v>5.2085199070798698</v>
      </c>
      <c r="D125">
        <f>maluku_papua!E79</f>
        <v>4.3047092883886952E-2</v>
      </c>
      <c r="E125">
        <f>maluku_papua!F79</f>
        <v>7.0268122440287222</v>
      </c>
      <c r="F125">
        <f>maluku_papua!G79</f>
        <v>16.066216448196922</v>
      </c>
      <c r="G125">
        <f>maluku_papua!H79</f>
        <v>0</v>
      </c>
      <c r="H125">
        <f>maluku_papua!I79</f>
        <v>0.78876319330192091</v>
      </c>
      <c r="I125">
        <f>maluku_papua!J79</f>
        <v>2.2794998423963397</v>
      </c>
      <c r="J125">
        <f>maluku_papua!K79</f>
        <v>2.3090778327166097</v>
      </c>
      <c r="K125">
        <f>maluku_papua!L79</f>
        <v>0.5614889143748063</v>
      </c>
      <c r="L125">
        <f>maluku_papua!M79</f>
        <v>0</v>
      </c>
      <c r="M125">
        <f>maluku_papua!N79</f>
        <v>3.0157009181347194E-3</v>
      </c>
      <c r="N125">
        <f>maluku_papua!O79</f>
        <v>0</v>
      </c>
      <c r="O125">
        <f>maluku_papua!P79</f>
        <v>0</v>
      </c>
      <c r="P125">
        <f>maluku_papua!Q79</f>
        <v>34.28644117589721</v>
      </c>
    </row>
    <row r="126" spans="1:16" x14ac:dyDescent="0.25">
      <c r="A126" t="str">
        <f>maluku_papua!B80</f>
        <v>MALUKU_PAPUA</v>
      </c>
      <c r="B126">
        <f>maluku_papua!C80</f>
        <v>2023</v>
      </c>
      <c r="C126">
        <f>maluku_papua!D80</f>
        <v>6.1203924387823179</v>
      </c>
      <c r="D126">
        <f>maluku_papua!E80</f>
        <v>4.3047092883886952E-2</v>
      </c>
      <c r="E126">
        <f>maluku_papua!F80</f>
        <v>7.7910180465915522</v>
      </c>
      <c r="F126">
        <f>maluku_papua!G80</f>
        <v>16.066216448196922</v>
      </c>
      <c r="G126">
        <f>maluku_papua!H80</f>
        <v>-7.85958183878734E-17</v>
      </c>
      <c r="H126">
        <f>maluku_papua!I80</f>
        <v>0.79736788185673357</v>
      </c>
      <c r="I126">
        <f>maluku_papua!J80</f>
        <v>2.2795737431248302</v>
      </c>
      <c r="J126">
        <f>maluku_papua!K80</f>
        <v>2.3514219513500394</v>
      </c>
      <c r="K126">
        <f>maluku_papua!L80</f>
        <v>1.7113863050630906</v>
      </c>
      <c r="L126">
        <f>maluku_papua!M80</f>
        <v>0</v>
      </c>
      <c r="M126">
        <f>maluku_papua!N80</f>
        <v>3.0743567187536129E-3</v>
      </c>
      <c r="N126">
        <f>maluku_papua!O80</f>
        <v>0</v>
      </c>
      <c r="O126">
        <f>maluku_papua!P80</f>
        <v>0</v>
      </c>
      <c r="P126">
        <f>maluku_papua!Q80</f>
        <v>37.163498264568133</v>
      </c>
    </row>
    <row r="127" spans="1:16" x14ac:dyDescent="0.25">
      <c r="A127" t="str">
        <f>maluku_papua!B81</f>
        <v>MALUKU_PAPUA</v>
      </c>
      <c r="B127">
        <f>maluku_papua!C81</f>
        <v>2024</v>
      </c>
      <c r="C127">
        <f>maluku_papua!D81</f>
        <v>7.075852194313792</v>
      </c>
      <c r="D127">
        <f>maluku_papua!E81</f>
        <v>4.3047082122105659E-2</v>
      </c>
      <c r="E127">
        <f>maluku_papua!F81</f>
        <v>8.6488400258939997</v>
      </c>
      <c r="F127">
        <f>maluku_papua!G81</f>
        <v>16.066216448196922</v>
      </c>
      <c r="G127">
        <f>maluku_papua!H81</f>
        <v>-3.5999999818198374E-9</v>
      </c>
      <c r="H127">
        <f>maluku_papua!I81</f>
        <v>1.0095953265021642</v>
      </c>
      <c r="I127">
        <f>maluku_papua!J81</f>
        <v>3.353923291148917</v>
      </c>
      <c r="J127">
        <f>maluku_papua!K81</f>
        <v>2.3514219513500394</v>
      </c>
      <c r="K127">
        <f>maluku_papua!L81</f>
        <v>1.8003619094788643</v>
      </c>
      <c r="L127">
        <f>maluku_papua!M81</f>
        <v>0</v>
      </c>
      <c r="M127">
        <f>maluku_papua!N81</f>
        <v>3.0743567187536129E-3</v>
      </c>
      <c r="N127">
        <f>maluku_papua!O81</f>
        <v>0</v>
      </c>
      <c r="O127">
        <f>maluku_papua!P81</f>
        <v>0</v>
      </c>
      <c r="P127">
        <f>maluku_papua!Q81</f>
        <v>40.352332582125563</v>
      </c>
    </row>
    <row r="128" spans="1:16" x14ac:dyDescent="0.25">
      <c r="A128" t="str">
        <f>maluku_papua!B82</f>
        <v>MALUKU_PAPUA</v>
      </c>
      <c r="B128">
        <f>maluku_papua!C82</f>
        <v>2025</v>
      </c>
      <c r="C128">
        <f>maluku_papua!D82</f>
        <v>8.0749830124883495</v>
      </c>
      <c r="D128">
        <f>maluku_papua!E82</f>
        <v>4.3047071360324388E-2</v>
      </c>
      <c r="E128">
        <f>maluku_papua!F82</f>
        <v>9.6134220495267382</v>
      </c>
      <c r="F128">
        <f>maluku_papua!G82</f>
        <v>16.066216448196922</v>
      </c>
      <c r="G128">
        <f>maluku_papua!H82</f>
        <v>-3.5999999818198374E-9</v>
      </c>
      <c r="H128">
        <f>maluku_papua!I82</f>
        <v>1.9549260672104489</v>
      </c>
      <c r="I128">
        <f>maluku_papua!J82</f>
        <v>3.4908449713547793</v>
      </c>
      <c r="J128">
        <f>maluku_papua!K82</f>
        <v>2.5089942679656581</v>
      </c>
      <c r="K128">
        <f>maluku_papua!L82</f>
        <v>2.1375750500214319</v>
      </c>
      <c r="L128">
        <f>maluku_papua!M82</f>
        <v>0</v>
      </c>
      <c r="M128">
        <f>maluku_papua!N82</f>
        <v>3.0745189839207756E-3</v>
      </c>
      <c r="N128">
        <f>maluku_papua!O82</f>
        <v>0</v>
      </c>
      <c r="O128">
        <f>maluku_papua!P82</f>
        <v>0</v>
      </c>
      <c r="P128">
        <f>maluku_papua!Q82</f>
        <v>43.893083453508588</v>
      </c>
    </row>
    <row r="129" spans="1:16" x14ac:dyDescent="0.25">
      <c r="A129" t="str">
        <f>maluku_papua!B83</f>
        <v>MALUKU_PAPUA</v>
      </c>
      <c r="B129">
        <f>maluku_papua!C83</f>
        <v>2026</v>
      </c>
      <c r="C129">
        <f>maluku_papua!D83</f>
        <v>9.2270196495848698</v>
      </c>
      <c r="D129">
        <f>maluku_papua!E83</f>
        <v>4.3047071360324388E-2</v>
      </c>
      <c r="E129">
        <f>maluku_papua!F83</f>
        <v>10.434379758490151</v>
      </c>
      <c r="F129">
        <f>maluku_papua!G83</f>
        <v>16.066216448196922</v>
      </c>
      <c r="G129">
        <f>maluku_papua!H83</f>
        <v>0</v>
      </c>
      <c r="H129">
        <f>maluku_papua!I83</f>
        <v>2.1918443044359885</v>
      </c>
      <c r="I129">
        <f>maluku_papua!J83</f>
        <v>3.8940322285795861</v>
      </c>
      <c r="J129">
        <f>maluku_papua!K83</f>
        <v>2.5424994190644599</v>
      </c>
      <c r="K129">
        <f>maluku_papua!L83</f>
        <v>2.2465796693633155</v>
      </c>
      <c r="L129">
        <f>maluku_papua!M83</f>
        <v>0</v>
      </c>
      <c r="M129">
        <f>maluku_papua!N83</f>
        <v>3.6549610143269788E-3</v>
      </c>
      <c r="N129">
        <f>maluku_papua!O83</f>
        <v>0</v>
      </c>
      <c r="O129">
        <f>maluku_papua!P83</f>
        <v>0</v>
      </c>
      <c r="P129">
        <f>maluku_papua!Q83</f>
        <v>46.649273510089948</v>
      </c>
    </row>
    <row r="130" spans="1:16" x14ac:dyDescent="0.25">
      <c r="A130" t="str">
        <f>maluku_papua!B84</f>
        <v>MALUKU_PAPUA</v>
      </c>
      <c r="B130">
        <f>maluku_papua!C84</f>
        <v>2027</v>
      </c>
      <c r="C130">
        <f>maluku_papua!D84</f>
        <v>10.448567962491296</v>
      </c>
      <c r="D130">
        <f>maluku_papua!E84</f>
        <v>4.3047060598543088E-2</v>
      </c>
      <c r="E130">
        <f>maluku_papua!F84</f>
        <v>11.328934101764347</v>
      </c>
      <c r="F130">
        <f>maluku_papua!G84</f>
        <v>16.066216448196922</v>
      </c>
      <c r="G130">
        <f>maluku_papua!H84</f>
        <v>-3.5999999862186031E-9</v>
      </c>
      <c r="H130">
        <f>maluku_papua!I84</f>
        <v>2.4272152575079686</v>
      </c>
      <c r="I130">
        <f>maluku_papua!J84</f>
        <v>4.3709096323045031</v>
      </c>
      <c r="J130">
        <f>maluku_papua!K84</f>
        <v>2.5662997224513018</v>
      </c>
      <c r="K130">
        <f>maluku_papua!L84</f>
        <v>2.3605981778683391</v>
      </c>
      <c r="L130">
        <f>maluku_papua!M84</f>
        <v>0</v>
      </c>
      <c r="M130">
        <f>maluku_papua!N84</f>
        <v>4.1852975577546855E-3</v>
      </c>
      <c r="N130">
        <f>maluku_papua!O84</f>
        <v>0</v>
      </c>
      <c r="O130">
        <f>maluku_papua!P84</f>
        <v>0</v>
      </c>
      <c r="P130">
        <f>maluku_papua!Q84</f>
        <v>49.615973657140977</v>
      </c>
    </row>
    <row r="131" spans="1:16" x14ac:dyDescent="0.25">
      <c r="A131" t="str">
        <f>maluku_papua!B85</f>
        <v>MALUKU_PAPUA</v>
      </c>
      <c r="B131">
        <f>maluku_papua!C85</f>
        <v>2028</v>
      </c>
      <c r="C131">
        <f>maluku_papua!D85</f>
        <v>11.74350016112728</v>
      </c>
      <c r="D131">
        <f>maluku_papua!E85</f>
        <v>4.3047049836761803E-2</v>
      </c>
      <c r="E131">
        <f>maluku_papua!F85</f>
        <v>12.303917900997185</v>
      </c>
      <c r="F131">
        <f>maluku_papua!G85</f>
        <v>16.066216448196922</v>
      </c>
      <c r="G131">
        <f>maluku_papua!H85</f>
        <v>-7.8595817151157719E-17</v>
      </c>
      <c r="H131">
        <f>maluku_papua!I85</f>
        <v>2.4272152575079686</v>
      </c>
      <c r="I131">
        <f>maluku_papua!J85</f>
        <v>4.3709096109958701</v>
      </c>
      <c r="J131">
        <f>maluku_papua!K85</f>
        <v>2.6561950919962558</v>
      </c>
      <c r="K131">
        <f>maluku_papua!L85</f>
        <v>3.1941195605868167</v>
      </c>
      <c r="L131">
        <f>maluku_papua!M85</f>
        <v>0</v>
      </c>
      <c r="M131">
        <f>maluku_papua!N85</f>
        <v>4.8231059394411675E-3</v>
      </c>
      <c r="N131">
        <f>maluku_papua!O85</f>
        <v>0</v>
      </c>
      <c r="O131">
        <f>maluku_papua!P85</f>
        <v>0</v>
      </c>
      <c r="P131">
        <f>maluku_papua!Q85</f>
        <v>52.809944187184492</v>
      </c>
    </row>
    <row r="132" spans="1:16" x14ac:dyDescent="0.25">
      <c r="A132" t="str">
        <f>maluku_papua!B86</f>
        <v>MALUKU_PAPUA</v>
      </c>
      <c r="B132">
        <f>maluku_papua!C86</f>
        <v>2029</v>
      </c>
      <c r="C132">
        <f>maluku_papua!D86</f>
        <v>13.115886507062667</v>
      </c>
      <c r="D132">
        <f>maluku_papua!E86</f>
        <v>4.3047039074980517E-2</v>
      </c>
      <c r="E132">
        <f>maluku_papua!F86</f>
        <v>13.366770510036558</v>
      </c>
      <c r="F132">
        <f>maluku_papua!G86</f>
        <v>16.066216448196922</v>
      </c>
      <c r="G132">
        <f>maluku_papua!H86</f>
        <v>-7.8595817151157719E-17</v>
      </c>
      <c r="H132">
        <f>maluku_papua!I86</f>
        <v>2.6460511511217231</v>
      </c>
      <c r="I132">
        <f>maluku_papua!J86</f>
        <v>5.0280969648244103</v>
      </c>
      <c r="J132">
        <f>maluku_papua!K86</f>
        <v>2.6797247443777041</v>
      </c>
      <c r="K132">
        <f>maluku_papua!L86</f>
        <v>3.2974500832693789</v>
      </c>
      <c r="L132">
        <f>maluku_papua!M86</f>
        <v>0</v>
      </c>
      <c r="M132">
        <f>maluku_papua!N86</f>
        <v>5.9912399090832876E-3</v>
      </c>
      <c r="N132">
        <f>maluku_papua!O86</f>
        <v>0</v>
      </c>
      <c r="O132">
        <f>maluku_papua!P86</f>
        <v>0</v>
      </c>
      <c r="P132">
        <f>maluku_papua!Q86</f>
        <v>56.249234687873439</v>
      </c>
    </row>
    <row r="133" spans="1:16" x14ac:dyDescent="0.25">
      <c r="A133" t="str">
        <f>maluku_papua!B87</f>
        <v>MALUKU_PAPUA</v>
      </c>
      <c r="B133">
        <f>maluku_papua!C87</f>
        <v>2030</v>
      </c>
      <c r="C133">
        <f>maluku_papua!D87</f>
        <v>14.569984896824742</v>
      </c>
      <c r="D133">
        <f>maluku_papua!E87</f>
        <v>4.3047039074980517E-2</v>
      </c>
      <c r="E133">
        <f>maluku_papua!F87</f>
        <v>14.525635792292125</v>
      </c>
      <c r="F133">
        <f>maluku_papua!G87</f>
        <v>16.066216448196922</v>
      </c>
      <c r="G133">
        <f>maluku_papua!H87</f>
        <v>0</v>
      </c>
      <c r="H133">
        <f>maluku_papua!I87</f>
        <v>2.9576119775027636</v>
      </c>
      <c r="I133">
        <f>maluku_papua!J87</f>
        <v>5.6043478529397817</v>
      </c>
      <c r="J133">
        <f>maluku_papua!K87</f>
        <v>2.7335167389785218</v>
      </c>
      <c r="K133">
        <f>maluku_papua!L87</f>
        <v>3.4470753039608897</v>
      </c>
      <c r="L133">
        <f>maluku_papua!M87</f>
        <v>0</v>
      </c>
      <c r="M133">
        <f>maluku_papua!N87</f>
        <v>5.9912399090832876E-3</v>
      </c>
      <c r="N133">
        <f>maluku_papua!O87</f>
        <v>0</v>
      </c>
      <c r="O133">
        <f>maluku_papua!P87</f>
        <v>0</v>
      </c>
      <c r="P133">
        <f>maluku_papua!Q87</f>
        <v>59.953427289679816</v>
      </c>
    </row>
    <row r="134" spans="1:16" x14ac:dyDescent="0.25">
      <c r="A134" t="str">
        <f>maluku_papua!B88</f>
        <v>MALUKU_PAPUA</v>
      </c>
      <c r="B134">
        <f>maluku_papua!C88</f>
        <v>2031</v>
      </c>
      <c r="C134">
        <f>maluku_papua!D88</f>
        <v>16.110252167908918</v>
      </c>
      <c r="D134">
        <f>maluku_papua!E88</f>
        <v>4.3047039074980517E-2</v>
      </c>
      <c r="E134">
        <f>maluku_papua!F88</f>
        <v>15.789412452085926</v>
      </c>
      <c r="F134">
        <f>maluku_papua!G88</f>
        <v>16.066216448196922</v>
      </c>
      <c r="G134">
        <f>maluku_papua!H88</f>
        <v>-3.5999999862186031E-9</v>
      </c>
      <c r="H134">
        <f>maluku_papua!I88</f>
        <v>3.3735910673544605</v>
      </c>
      <c r="I134">
        <f>maluku_papua!J88</f>
        <v>6.0596599794672308</v>
      </c>
      <c r="J134">
        <f>maluku_papua!K88</f>
        <v>2.7437559673375871</v>
      </c>
      <c r="K134">
        <f>maluku_papua!L88</f>
        <v>3.7517711540809446</v>
      </c>
      <c r="L134">
        <f>maluku_papua!M88</f>
        <v>0</v>
      </c>
      <c r="M134">
        <f>maluku_papua!N88</f>
        <v>5.9912399090832876E-3</v>
      </c>
      <c r="N134">
        <f>maluku_papua!O88</f>
        <v>0</v>
      </c>
      <c r="O134">
        <f>maluku_papua!P88</f>
        <v>0</v>
      </c>
      <c r="P134">
        <f>maluku_papua!Q88</f>
        <v>63.943697511816055</v>
      </c>
    </row>
    <row r="135" spans="1:16" x14ac:dyDescent="0.25">
      <c r="A135" t="str">
        <f>maluku_papua!B89</f>
        <v>MALUKU_PAPUA</v>
      </c>
      <c r="B135">
        <f>maluku_papua!C89</f>
        <v>2032</v>
      </c>
      <c r="C135">
        <f>maluku_papua!D89</f>
        <v>17.74134760148549</v>
      </c>
      <c r="D135">
        <f>maluku_papua!E89</f>
        <v>4.3047039074980517E-2</v>
      </c>
      <c r="E135">
        <f>maluku_papua!F89</f>
        <v>17.167828326640805</v>
      </c>
      <c r="F135">
        <f>maluku_papua!G89</f>
        <v>16.066216448196922</v>
      </c>
      <c r="G135">
        <f>maluku_papua!H89</f>
        <v>-3.5999999862186031E-9</v>
      </c>
      <c r="H135">
        <f>maluku_papua!I89</f>
        <v>3.7493248401149519</v>
      </c>
      <c r="I135">
        <f>maluku_papua!J89</f>
        <v>6.7275379945785083</v>
      </c>
      <c r="J135">
        <f>maluku_papua!K89</f>
        <v>2.8083014134435813</v>
      </c>
      <c r="K135">
        <f>maluku_papua!L89</f>
        <v>3.9321445618570898</v>
      </c>
      <c r="L135">
        <f>maluku_papua!M89</f>
        <v>0</v>
      </c>
      <c r="M135">
        <f>maluku_papua!N89</f>
        <v>7.2151557277953179E-3</v>
      </c>
      <c r="N135">
        <f>maluku_papua!O89</f>
        <v>0</v>
      </c>
      <c r="O135">
        <f>maluku_papua!P89</f>
        <v>0</v>
      </c>
      <c r="P135">
        <f>maluku_papua!Q89</f>
        <v>68.242963377520127</v>
      </c>
    </row>
    <row r="136" spans="1:16" x14ac:dyDescent="0.25">
      <c r="A136" t="str">
        <f>maluku_papua!B90</f>
        <v>MALUKU_PAPUA</v>
      </c>
      <c r="B136">
        <f>maluku_papua!C90</f>
        <v>2033</v>
      </c>
      <c r="C136">
        <f>maluku_papua!D90</f>
        <v>19.468137377711834</v>
      </c>
      <c r="D136">
        <f>maluku_papua!E90</f>
        <v>4.3047028313199245E-2</v>
      </c>
      <c r="E136">
        <f>maluku_papua!F90</f>
        <v>18.671518084424275</v>
      </c>
      <c r="F136">
        <f>maluku_papua!G90</f>
        <v>16.066216448196922</v>
      </c>
      <c r="G136">
        <f>maluku_papua!H90</f>
        <v>0</v>
      </c>
      <c r="H136">
        <f>maluku_papua!I90</f>
        <v>3.7516049109245704</v>
      </c>
      <c r="I136">
        <f>maluku_papua!J90</f>
        <v>7.2156774742093956</v>
      </c>
      <c r="J136">
        <f>maluku_papua!K90</f>
        <v>3.3230947590331903</v>
      </c>
      <c r="K136">
        <f>maluku_papua!L90</f>
        <v>4.3295215490128269</v>
      </c>
      <c r="L136">
        <f>maluku_papua!M90</f>
        <v>0</v>
      </c>
      <c r="M136">
        <f>maluku_papua!N90</f>
        <v>7.2151557277953179E-3</v>
      </c>
      <c r="N136">
        <f>maluku_papua!O90</f>
        <v>0</v>
      </c>
      <c r="O136">
        <f>maluku_papua!P90</f>
        <v>0</v>
      </c>
      <c r="P136">
        <f>maluku_papua!Q90</f>
        <v>72.87603278755401</v>
      </c>
    </row>
    <row r="137" spans="1:16" x14ac:dyDescent="0.25">
      <c r="A137" t="str">
        <f>maluku_papua!B91</f>
        <v>MALUKU_PAPUA</v>
      </c>
      <c r="B137">
        <f>maluku_papua!C91</f>
        <v>2034</v>
      </c>
      <c r="C137">
        <f>maluku_papua!D91</f>
        <v>21.295697656032164</v>
      </c>
      <c r="D137">
        <f>maluku_papua!E91</f>
        <v>4.3047028313199245E-2</v>
      </c>
      <c r="E137">
        <f>maluku_papua!F91</f>
        <v>20.312110005513549</v>
      </c>
      <c r="F137">
        <f>maluku_papua!G91</f>
        <v>16.066216448196922</v>
      </c>
      <c r="G137">
        <f>maluku_papua!H91</f>
        <v>-7.8595821479662577E-17</v>
      </c>
      <c r="H137">
        <f>maluku_papua!I91</f>
        <v>4.1629566911149363</v>
      </c>
      <c r="I137">
        <f>maluku_papua!J91</f>
        <v>8.1028999739444565</v>
      </c>
      <c r="J137">
        <f>maluku_papua!K91</f>
        <v>3.383821170300656</v>
      </c>
      <c r="K137">
        <f>maluku_papua!L91</f>
        <v>4.4957512306944691</v>
      </c>
      <c r="L137">
        <f>maluku_papua!M91</f>
        <v>0</v>
      </c>
      <c r="M137">
        <f>maluku_papua!N91</f>
        <v>7.2665765349616005E-3</v>
      </c>
      <c r="N137">
        <f>maluku_papua!O91</f>
        <v>0</v>
      </c>
      <c r="O137">
        <f>maluku_papua!P91</f>
        <v>0</v>
      </c>
      <c r="P137">
        <f>maluku_papua!Q91</f>
        <v>77.869766780645307</v>
      </c>
    </row>
    <row r="138" spans="1:16" x14ac:dyDescent="0.25">
      <c r="A138" t="str">
        <f>maluku_papua!B92</f>
        <v>MALUKU_PAPUA</v>
      </c>
      <c r="B138">
        <f>maluku_papua!C92</f>
        <v>2035</v>
      </c>
      <c r="C138">
        <f>maluku_papua!D92</f>
        <v>23.282309834466854</v>
      </c>
      <c r="D138">
        <f>maluku_papua!E92</f>
        <v>4.3047017551417974E-2</v>
      </c>
      <c r="E138">
        <f>maluku_papua!F92</f>
        <v>21.973943723789795</v>
      </c>
      <c r="F138">
        <f>maluku_papua!G92</f>
        <v>16.066216448196922</v>
      </c>
      <c r="G138">
        <f>maluku_papua!H92</f>
        <v>-3.5999999403225493E-9</v>
      </c>
      <c r="H138">
        <f>maluku_papua!I92</f>
        <v>5.2317283832662955</v>
      </c>
      <c r="I138">
        <f>maluku_papua!J92</f>
        <v>8.107161679158903</v>
      </c>
      <c r="J138">
        <f>maluku_papua!K92</f>
        <v>3.9407299994416216</v>
      </c>
      <c r="K138">
        <f>maluku_papua!L92</f>
        <v>4.4967482095194109</v>
      </c>
      <c r="L138">
        <f>maluku_papua!M92</f>
        <v>0</v>
      </c>
      <c r="M138">
        <f>maluku_papua!N92</f>
        <v>9.2216513687347294E-3</v>
      </c>
      <c r="N138">
        <f>maluku_papua!O92</f>
        <v>0</v>
      </c>
      <c r="O138">
        <f>maluku_papua!P92</f>
        <v>0</v>
      </c>
      <c r="P138">
        <f>maluku_papua!Q92</f>
        <v>83.151106943159945</v>
      </c>
    </row>
    <row r="139" spans="1:16" x14ac:dyDescent="0.25">
      <c r="A139" t="str">
        <f>maluku_papua!B93</f>
        <v>MALUKU_PAPUA</v>
      </c>
      <c r="B139">
        <f>maluku_papua!C93</f>
        <v>2036</v>
      </c>
      <c r="C139">
        <f>maluku_papua!D93</f>
        <v>25.12649182094156</v>
      </c>
      <c r="D139">
        <f>maluku_papua!E93</f>
        <v>4.3047017551417974E-2</v>
      </c>
      <c r="E139">
        <f>maluku_papua!F93</f>
        <v>24.414610123384577</v>
      </c>
      <c r="F139">
        <f>maluku_papua!G93</f>
        <v>16.066216448196922</v>
      </c>
      <c r="G139">
        <f>maluku_papua!H93</f>
        <v>-7.859582518980957E-17</v>
      </c>
      <c r="H139">
        <f>maluku_papua!I93</f>
        <v>5.2322354405239357</v>
      </c>
      <c r="I139">
        <f>maluku_papua!J93</f>
        <v>10.545566655740624</v>
      </c>
      <c r="J139">
        <f>maluku_papua!K93</f>
        <v>4.170090843985153</v>
      </c>
      <c r="K139">
        <f>maluku_papua!L93</f>
        <v>4.7755841156528076</v>
      </c>
      <c r="L139">
        <f>maluku_papua!M93</f>
        <v>0</v>
      </c>
      <c r="M139">
        <f>maluku_papua!N93</f>
        <v>9.2216513687347294E-3</v>
      </c>
      <c r="N139">
        <f>maluku_papua!O93</f>
        <v>0</v>
      </c>
      <c r="O139">
        <f>maluku_papua!P93</f>
        <v>0</v>
      </c>
      <c r="P139">
        <f>maluku_papua!Q93</f>
        <v>90.383064117345739</v>
      </c>
    </row>
    <row r="140" spans="1:16" x14ac:dyDescent="0.25">
      <c r="A140" t="str">
        <f>maluku_papua!B94</f>
        <v>MALUKU_PAPUA</v>
      </c>
      <c r="B140">
        <f>maluku_papua!C94</f>
        <v>2037</v>
      </c>
      <c r="C140">
        <f>maluku_papua!D94</f>
        <v>27.107733646821135</v>
      </c>
      <c r="D140">
        <f>maluku_papua!E94</f>
        <v>4.3047006789636702E-2</v>
      </c>
      <c r="E140">
        <f>maluku_papua!F94</f>
        <v>26.986097917400144</v>
      </c>
      <c r="F140">
        <f>maluku_papua!G94</f>
        <v>16.066216448196922</v>
      </c>
      <c r="G140">
        <f>maluku_papua!H94</f>
        <v>0</v>
      </c>
      <c r="H140">
        <f>maluku_papua!I94</f>
        <v>5.6946725270913863</v>
      </c>
      <c r="I140">
        <f>maluku_papua!J94</f>
        <v>13.060351440274914</v>
      </c>
      <c r="J140">
        <f>maluku_papua!K94</f>
        <v>4.2495380023763278</v>
      </c>
      <c r="K140">
        <f>maluku_papua!L94</f>
        <v>4.9975774731480405</v>
      </c>
      <c r="L140">
        <f>maluku_papua!M94</f>
        <v>0</v>
      </c>
      <c r="M140">
        <f>maluku_papua!N94</f>
        <v>1.1191802144054894E-2</v>
      </c>
      <c r="N140">
        <f>maluku_papua!O94</f>
        <v>0</v>
      </c>
      <c r="O140">
        <f>maluku_papua!P94</f>
        <v>0</v>
      </c>
      <c r="P140">
        <f>maluku_papua!Q94</f>
        <v>98.216426264242557</v>
      </c>
    </row>
    <row r="141" spans="1:16" x14ac:dyDescent="0.25">
      <c r="A141" t="str">
        <f>maluku_papua!B95</f>
        <v>MALUKU_PAPUA</v>
      </c>
      <c r="B141">
        <f>maluku_papua!C95</f>
        <v>2038</v>
      </c>
      <c r="C141">
        <f>maluku_papua!D95</f>
        <v>27.772092313985752</v>
      </c>
      <c r="D141">
        <f>maluku_papua!E95</f>
        <v>4.3047006789636702E-2</v>
      </c>
      <c r="E141">
        <f>maluku_papua!F95</f>
        <v>28.316921650725185</v>
      </c>
      <c r="F141">
        <f>maluku_papua!G95</f>
        <v>17.212607744604774</v>
      </c>
      <c r="G141">
        <f>maluku_papua!H95</f>
        <v>0</v>
      </c>
      <c r="H141">
        <f>maluku_papua!I95</f>
        <v>5.6946725270913863</v>
      </c>
      <c r="I141">
        <f>maluku_papua!J95</f>
        <v>13.060351440274914</v>
      </c>
      <c r="J141">
        <f>maluku_papua!K95</f>
        <v>4.2495380023763278</v>
      </c>
      <c r="K141">
        <f>maluku_papua!L95</f>
        <v>4.9975774731480405</v>
      </c>
      <c r="L141">
        <f>maluku_papua!M95</f>
        <v>0</v>
      </c>
      <c r="M141">
        <f>maluku_papua!N95</f>
        <v>1.1191802144054894E-2</v>
      </c>
      <c r="N141">
        <f>maluku_papua!O95</f>
        <v>0</v>
      </c>
      <c r="O141">
        <f>maluku_papua!P95</f>
        <v>0</v>
      </c>
      <c r="P141">
        <f>maluku_papua!Q95</f>
        <v>101.35799996114007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537C-5351-4CC3-939A-E50E906A00A5}">
  <sheetPr codeName="Sheet22"/>
  <dimension ref="A1:P141"/>
  <sheetViews>
    <sheetView topLeftCell="A115" workbookViewId="0">
      <selection activeCell="H19" sqref="H19"/>
    </sheetView>
  </sheetViews>
  <sheetFormatPr defaultRowHeight="15" x14ac:dyDescent="0.25"/>
  <cols>
    <col min="1" max="1" width="19.5703125" customWidth="1"/>
  </cols>
  <sheetData>
    <row r="1" spans="1:16" x14ac:dyDescent="0.25">
      <c r="A1" t="str">
        <f>indonesia!U75</f>
        <v>region</v>
      </c>
      <c r="B1" t="str">
        <f>indonesia!V75</f>
        <v>year</v>
      </c>
      <c r="C1" t="str">
        <f>indonesia!W75</f>
        <v>coal</v>
      </c>
      <c r="D1" t="str">
        <f>indonesia!X75</f>
        <v>ocgt</v>
      </c>
      <c r="E1" t="str">
        <f>indonesia!Y75</f>
        <v>ccgt</v>
      </c>
      <c r="F1" t="str">
        <f>indonesia!Z75</f>
        <v>reciprocating</v>
      </c>
      <c r="G1" t="str">
        <f>indonesia!AA75</f>
        <v>geothermal</v>
      </c>
      <c r="H1" t="str">
        <f>indonesia!AB75</f>
        <v>lhydro</v>
      </c>
      <c r="I1" t="str">
        <f>indonesia!AC75</f>
        <v>mhydro</v>
      </c>
      <c r="J1" t="str">
        <f>indonesia!AD75</f>
        <v>solar</v>
      </c>
      <c r="K1" t="str">
        <f>indonesia!AE75</f>
        <v>wind</v>
      </c>
      <c r="L1" t="str">
        <f>indonesia!AF75</f>
        <v>biomass</v>
      </c>
      <c r="M1" t="str">
        <f>indonesia!AG75</f>
        <v>ocean</v>
      </c>
      <c r="N1" t="str">
        <f>indonesia!AH75</f>
        <v>waste</v>
      </c>
      <c r="O1" t="str">
        <f>indonesia!AI75</f>
        <v>storage</v>
      </c>
      <c r="P1" t="str">
        <f>indonesia!AJ75</f>
        <v>total</v>
      </c>
    </row>
    <row r="2" spans="1:16" x14ac:dyDescent="0.25">
      <c r="A2" t="str">
        <f>indonesia!U76</f>
        <v>INDONESIA</v>
      </c>
      <c r="B2">
        <f>indonesia!V76</f>
        <v>2019</v>
      </c>
      <c r="C2">
        <f>SUM(C22,C42,C62,C82,C102,C122)</f>
        <v>954.13766728273629</v>
      </c>
      <c r="D2">
        <f t="shared" ref="D2:P2" si="0">SUM(D22,D42,D62,D82,D102,D122)</f>
        <v>109.45565964347963</v>
      </c>
      <c r="E2">
        <f t="shared" si="0"/>
        <v>82.019702485819778</v>
      </c>
      <c r="F2">
        <f t="shared" si="0"/>
        <v>139.87815252788229</v>
      </c>
      <c r="G2">
        <f t="shared" si="0"/>
        <v>141.33767872364311</v>
      </c>
      <c r="H2">
        <f t="shared" si="0"/>
        <v>4.7857282292288312</v>
      </c>
      <c r="I2">
        <f t="shared" si="0"/>
        <v>0.90359256605538452</v>
      </c>
      <c r="J2">
        <f t="shared" si="0"/>
        <v>9.7462891007999999E-2</v>
      </c>
      <c r="K2">
        <f t="shared" si="0"/>
        <v>0</v>
      </c>
      <c r="L2">
        <f t="shared" si="0"/>
        <v>2.8588732477012404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1435.4745175975545</v>
      </c>
    </row>
    <row r="3" spans="1:16" x14ac:dyDescent="0.25">
      <c r="A3" t="str">
        <f>indonesia!U77</f>
        <v>INDONESIA</v>
      </c>
      <c r="B3">
        <f>indonesia!V77</f>
        <v>2020</v>
      </c>
      <c r="C3">
        <f t="shared" ref="C3:P18" si="1">SUM(C23,C43,C63,C83,C103,C123)</f>
        <v>1012.0957652229246</v>
      </c>
      <c r="D3">
        <f t="shared" si="1"/>
        <v>109.45565960465676</v>
      </c>
      <c r="E3">
        <f t="shared" si="1"/>
        <v>107.73900611154441</v>
      </c>
      <c r="F3">
        <f t="shared" si="1"/>
        <v>139.87815252788229</v>
      </c>
      <c r="G3">
        <f t="shared" si="1"/>
        <v>161.06885053500531</v>
      </c>
      <c r="H3">
        <f t="shared" si="1"/>
        <v>6.5516873441283607</v>
      </c>
      <c r="I3">
        <f t="shared" si="1"/>
        <v>1.2050712790478293</v>
      </c>
      <c r="J3">
        <f t="shared" si="1"/>
        <v>37.795466770524463</v>
      </c>
      <c r="K3">
        <f t="shared" si="1"/>
        <v>0.2509576561997755</v>
      </c>
      <c r="L3">
        <f t="shared" si="1"/>
        <v>2.8588732396883372</v>
      </c>
      <c r="M3">
        <f t="shared" si="1"/>
        <v>5.3327742963264202E-3</v>
      </c>
      <c r="N3">
        <f t="shared" si="1"/>
        <v>0</v>
      </c>
      <c r="O3">
        <f t="shared" si="1"/>
        <v>0</v>
      </c>
      <c r="P3">
        <f t="shared" si="1"/>
        <v>1578.9048230658982</v>
      </c>
    </row>
    <row r="4" spans="1:16" x14ac:dyDescent="0.25">
      <c r="A4" t="str">
        <f>indonesia!U78</f>
        <v>INDONESIA</v>
      </c>
      <c r="B4">
        <f>indonesia!V78</f>
        <v>2021</v>
      </c>
      <c r="C4">
        <f t="shared" si="1"/>
        <v>1019.3443181693474</v>
      </c>
      <c r="D4">
        <f t="shared" si="1"/>
        <v>126.65111010801799</v>
      </c>
      <c r="E4">
        <f t="shared" si="1"/>
        <v>174.4732460721745</v>
      </c>
      <c r="F4">
        <f t="shared" si="1"/>
        <v>140.05369739178388</v>
      </c>
      <c r="G4">
        <f t="shared" si="1"/>
        <v>161.06885038532252</v>
      </c>
      <c r="H4">
        <f t="shared" si="1"/>
        <v>6.9161979336188937</v>
      </c>
      <c r="I4">
        <f t="shared" si="1"/>
        <v>1.6074975946194183</v>
      </c>
      <c r="J4">
        <f t="shared" si="1"/>
        <v>41.346671126172453</v>
      </c>
      <c r="K4">
        <f t="shared" si="1"/>
        <v>0.41855875692146266</v>
      </c>
      <c r="L4">
        <f t="shared" si="1"/>
        <v>2.8588732477012404</v>
      </c>
      <c r="M4">
        <f t="shared" si="1"/>
        <v>5.5643208744689367E-3</v>
      </c>
      <c r="N4">
        <f t="shared" si="1"/>
        <v>0</v>
      </c>
      <c r="O4">
        <f t="shared" si="1"/>
        <v>0</v>
      </c>
      <c r="P4">
        <f t="shared" si="1"/>
        <v>1674.7445851065543</v>
      </c>
    </row>
    <row r="5" spans="1:16" x14ac:dyDescent="0.25">
      <c r="A5" t="str">
        <f>indonesia!U79</f>
        <v>INDONESIA</v>
      </c>
      <c r="B5">
        <f>indonesia!V79</f>
        <v>2022</v>
      </c>
      <c r="C5">
        <f t="shared" si="1"/>
        <v>1027.1695688526859</v>
      </c>
      <c r="D5">
        <f t="shared" si="1"/>
        <v>135.58432694952415</v>
      </c>
      <c r="E5">
        <f t="shared" si="1"/>
        <v>211.25052515258881</v>
      </c>
      <c r="F5">
        <f t="shared" si="1"/>
        <v>141.96955262393152</v>
      </c>
      <c r="G5">
        <f t="shared" si="1"/>
        <v>161.06885038532252</v>
      </c>
      <c r="H5">
        <f t="shared" si="1"/>
        <v>7.0317238121649099</v>
      </c>
      <c r="I5">
        <f t="shared" si="1"/>
        <v>1.7751138943315183</v>
      </c>
      <c r="J5">
        <f t="shared" si="1"/>
        <v>45.472046951752546</v>
      </c>
      <c r="K5">
        <f t="shared" si="1"/>
        <v>4.2817134975301032</v>
      </c>
      <c r="L5">
        <f t="shared" si="1"/>
        <v>2.8588732477012404</v>
      </c>
      <c r="M5">
        <f t="shared" si="1"/>
        <v>5.5991618467616531E-3</v>
      </c>
      <c r="N5">
        <f t="shared" si="1"/>
        <v>0</v>
      </c>
      <c r="O5">
        <f t="shared" si="1"/>
        <v>0</v>
      </c>
      <c r="P5">
        <f t="shared" si="1"/>
        <v>1738.4678945293801</v>
      </c>
    </row>
    <row r="6" spans="1:16" x14ac:dyDescent="0.25">
      <c r="A6" t="str">
        <f>indonesia!U80</f>
        <v>INDONESIA</v>
      </c>
      <c r="B6">
        <f>indonesia!V80</f>
        <v>2023</v>
      </c>
      <c r="C6">
        <f t="shared" si="1"/>
        <v>1030.1269156981064</v>
      </c>
      <c r="D6">
        <f t="shared" si="1"/>
        <v>155.44781545350861</v>
      </c>
      <c r="E6">
        <f t="shared" si="1"/>
        <v>233.52707105051627</v>
      </c>
      <c r="F6">
        <f t="shared" si="1"/>
        <v>155.39848901292766</v>
      </c>
      <c r="G6">
        <f t="shared" si="1"/>
        <v>161.07734258037115</v>
      </c>
      <c r="H6">
        <f t="shared" si="1"/>
        <v>7.2283406283828553</v>
      </c>
      <c r="I6">
        <f t="shared" si="1"/>
        <v>1.7751320424523342</v>
      </c>
      <c r="J6">
        <f t="shared" si="1"/>
        <v>46.226528684349077</v>
      </c>
      <c r="K6">
        <f t="shared" si="1"/>
        <v>14.800707240830471</v>
      </c>
      <c r="L6">
        <f t="shared" si="1"/>
        <v>3.9866997124054673</v>
      </c>
      <c r="M6">
        <f t="shared" si="1"/>
        <v>5.6043431091496549E-3</v>
      </c>
      <c r="N6">
        <f t="shared" si="1"/>
        <v>0</v>
      </c>
      <c r="O6">
        <f t="shared" si="1"/>
        <v>0</v>
      </c>
      <c r="P6">
        <f t="shared" si="1"/>
        <v>1809.6006464469594</v>
      </c>
    </row>
    <row r="7" spans="1:16" x14ac:dyDescent="0.25">
      <c r="A7" t="str">
        <f>indonesia!U81</f>
        <v>INDONESIA</v>
      </c>
      <c r="B7">
        <f>indonesia!V81</f>
        <v>2024</v>
      </c>
      <c r="C7">
        <f t="shared" si="1"/>
        <v>1032.0901555838705</v>
      </c>
      <c r="D7">
        <f t="shared" si="1"/>
        <v>167.85780822174084</v>
      </c>
      <c r="E7">
        <f t="shared" si="1"/>
        <v>257.97506194054779</v>
      </c>
      <c r="F7">
        <f t="shared" si="1"/>
        <v>162.51599483557979</v>
      </c>
      <c r="G7">
        <f t="shared" si="1"/>
        <v>161.09087672571167</v>
      </c>
      <c r="H7">
        <f t="shared" si="1"/>
        <v>7.2483490554286378</v>
      </c>
      <c r="I7">
        <f t="shared" si="1"/>
        <v>2.0483175505482611</v>
      </c>
      <c r="J7">
        <f t="shared" si="1"/>
        <v>46.993114240827886</v>
      </c>
      <c r="K7">
        <f t="shared" si="1"/>
        <v>32.757352607350484</v>
      </c>
      <c r="L7">
        <f t="shared" si="1"/>
        <v>6.2726925637971487</v>
      </c>
      <c r="M7">
        <f t="shared" si="1"/>
        <v>5.6043431091496549E-3</v>
      </c>
      <c r="N7">
        <f t="shared" si="1"/>
        <v>0</v>
      </c>
      <c r="O7">
        <f t="shared" si="1"/>
        <v>0</v>
      </c>
      <c r="P7">
        <f t="shared" si="1"/>
        <v>1876.8553276685122</v>
      </c>
    </row>
    <row r="8" spans="1:16" x14ac:dyDescent="0.25">
      <c r="A8" t="str">
        <f>indonesia!U82</f>
        <v>INDONESIA</v>
      </c>
      <c r="B8">
        <f>indonesia!V82</f>
        <v>2025</v>
      </c>
      <c r="C8">
        <f t="shared" si="1"/>
        <v>1037.2626287780231</v>
      </c>
      <c r="D8">
        <f t="shared" si="1"/>
        <v>177.9925800519961</v>
      </c>
      <c r="E8">
        <f t="shared" si="1"/>
        <v>279.72170756871498</v>
      </c>
      <c r="F8">
        <f t="shared" si="1"/>
        <v>169.76491722971898</v>
      </c>
      <c r="G8">
        <f t="shared" si="1"/>
        <v>161.09087672571167</v>
      </c>
      <c r="H8">
        <f t="shared" si="1"/>
        <v>7.4924056336820994</v>
      </c>
      <c r="I8">
        <f t="shared" si="1"/>
        <v>2.0825479705997267</v>
      </c>
      <c r="J8">
        <f t="shared" si="1"/>
        <v>48.055055611612559</v>
      </c>
      <c r="K8">
        <f t="shared" si="1"/>
        <v>50.96158995291097</v>
      </c>
      <c r="L8">
        <f t="shared" si="1"/>
        <v>8.520188027446892</v>
      </c>
      <c r="M8">
        <f t="shared" si="1"/>
        <v>5.6043574425727544E-3</v>
      </c>
      <c r="N8">
        <f t="shared" si="1"/>
        <v>0</v>
      </c>
      <c r="O8">
        <f t="shared" si="1"/>
        <v>0</v>
      </c>
      <c r="P8">
        <f t="shared" si="1"/>
        <v>1942.9501019078596</v>
      </c>
    </row>
    <row r="9" spans="1:16" x14ac:dyDescent="0.25">
      <c r="A9" t="str">
        <f>indonesia!U83</f>
        <v>INDONESIA</v>
      </c>
      <c r="B9">
        <f>indonesia!V83</f>
        <v>2026</v>
      </c>
      <c r="C9">
        <f t="shared" si="1"/>
        <v>1056.3467732971096</v>
      </c>
      <c r="D9">
        <f t="shared" si="1"/>
        <v>190.60801659553204</v>
      </c>
      <c r="E9">
        <f t="shared" si="1"/>
        <v>317.33406914176533</v>
      </c>
      <c r="F9">
        <f t="shared" si="1"/>
        <v>171.1759744359147</v>
      </c>
      <c r="G9">
        <f t="shared" si="1"/>
        <v>162.29098259654381</v>
      </c>
      <c r="H9">
        <f t="shared" si="1"/>
        <v>7.5048750145887073</v>
      </c>
      <c r="I9">
        <f t="shared" si="1"/>
        <v>2.1833446312652041</v>
      </c>
      <c r="J9">
        <f t="shared" si="1"/>
        <v>49.645565776484318</v>
      </c>
      <c r="K9">
        <f t="shared" si="1"/>
        <v>67.879324540141155</v>
      </c>
      <c r="L9">
        <f t="shared" si="1"/>
        <v>10.030414432269426</v>
      </c>
      <c r="M9">
        <f t="shared" si="1"/>
        <v>5.6556298219253027E-3</v>
      </c>
      <c r="N9">
        <f t="shared" si="1"/>
        <v>0</v>
      </c>
      <c r="O9">
        <f t="shared" si="1"/>
        <v>0</v>
      </c>
      <c r="P9">
        <f t="shared" si="1"/>
        <v>2035.0049960914362</v>
      </c>
    </row>
    <row r="10" spans="1:16" x14ac:dyDescent="0.25">
      <c r="A10" t="str">
        <f>indonesia!U84</f>
        <v>INDONESIA</v>
      </c>
      <c r="B10">
        <f>indonesia!V84</f>
        <v>2027</v>
      </c>
      <c r="C10">
        <f t="shared" si="1"/>
        <v>1078.3157204612228</v>
      </c>
      <c r="D10">
        <f t="shared" si="1"/>
        <v>203.11089164784968</v>
      </c>
      <c r="E10">
        <f t="shared" si="1"/>
        <v>356.26249936841742</v>
      </c>
      <c r="F10">
        <f t="shared" si="1"/>
        <v>173.24786368493886</v>
      </c>
      <c r="G10">
        <f t="shared" si="1"/>
        <v>162.29098257347715</v>
      </c>
      <c r="H10">
        <f t="shared" si="1"/>
        <v>7.5172629586461017</v>
      </c>
      <c r="I10">
        <f t="shared" si="1"/>
        <v>3.855674619329557</v>
      </c>
      <c r="J10">
        <f t="shared" si="1"/>
        <v>52.08693034321108</v>
      </c>
      <c r="K10">
        <f t="shared" si="1"/>
        <v>85.713936435315915</v>
      </c>
      <c r="L10">
        <f t="shared" si="1"/>
        <v>11.465163942229459</v>
      </c>
      <c r="M10">
        <f t="shared" si="1"/>
        <v>5.7024762165947505E-3</v>
      </c>
      <c r="N10">
        <f t="shared" si="1"/>
        <v>0</v>
      </c>
      <c r="O10">
        <f t="shared" si="1"/>
        <v>0</v>
      </c>
      <c r="P10">
        <f t="shared" si="1"/>
        <v>2133.8726285108546</v>
      </c>
    </row>
    <row r="11" spans="1:16" x14ac:dyDescent="0.25">
      <c r="A11" t="str">
        <f>indonesia!U85</f>
        <v>INDONESIA</v>
      </c>
      <c r="B11">
        <f>indonesia!V85</f>
        <v>2028</v>
      </c>
      <c r="C11">
        <f t="shared" si="1"/>
        <v>1094.3395100157823</v>
      </c>
      <c r="D11">
        <f t="shared" si="1"/>
        <v>216.9761056683667</v>
      </c>
      <c r="E11">
        <f t="shared" si="1"/>
        <v>401.7363567000121</v>
      </c>
      <c r="F11">
        <f t="shared" si="1"/>
        <v>175.53609851679408</v>
      </c>
      <c r="G11">
        <f t="shared" si="1"/>
        <v>162.29098244686102</v>
      </c>
      <c r="H11">
        <f t="shared" si="1"/>
        <v>7.5172629586461017</v>
      </c>
      <c r="I11">
        <f t="shared" si="1"/>
        <v>3.8556746140023987</v>
      </c>
      <c r="J11">
        <f t="shared" si="1"/>
        <v>53.013717379060246</v>
      </c>
      <c r="K11">
        <f t="shared" si="1"/>
        <v>96.09521765265373</v>
      </c>
      <c r="L11">
        <f t="shared" si="1"/>
        <v>12.564305326787595</v>
      </c>
      <c r="M11">
        <f t="shared" si="1"/>
        <v>5.7588159569770562E-3</v>
      </c>
      <c r="N11">
        <f t="shared" si="1"/>
        <v>0</v>
      </c>
      <c r="O11">
        <f t="shared" si="1"/>
        <v>0</v>
      </c>
      <c r="P11">
        <f t="shared" si="1"/>
        <v>2223.9309900949229</v>
      </c>
    </row>
    <row r="12" spans="1:16" x14ac:dyDescent="0.25">
      <c r="A12" t="str">
        <f>indonesia!U86</f>
        <v>INDONESIA</v>
      </c>
      <c r="B12">
        <f>indonesia!V86</f>
        <v>2029</v>
      </c>
      <c r="C12">
        <f t="shared" si="1"/>
        <v>1111.4057620838087</v>
      </c>
      <c r="D12">
        <f t="shared" si="1"/>
        <v>229.3888262932773</v>
      </c>
      <c r="E12">
        <f t="shared" si="1"/>
        <v>450.7297951111214</v>
      </c>
      <c r="F12">
        <f t="shared" si="1"/>
        <v>177.97892448050217</v>
      </c>
      <c r="G12">
        <f t="shared" si="1"/>
        <v>162.29098229717823</v>
      </c>
      <c r="H12">
        <f t="shared" si="1"/>
        <v>7.5287806364162222</v>
      </c>
      <c r="I12">
        <f t="shared" si="1"/>
        <v>4.0199716569867041</v>
      </c>
      <c r="J12">
        <f t="shared" si="1"/>
        <v>54.008403813049263</v>
      </c>
      <c r="K12">
        <f t="shared" si="1"/>
        <v>106.77409636003443</v>
      </c>
      <c r="L12">
        <f t="shared" si="1"/>
        <v>14.81083106192437</v>
      </c>
      <c r="M12">
        <f t="shared" si="1"/>
        <v>6.0805047684922833E-3</v>
      </c>
      <c r="N12">
        <f t="shared" si="1"/>
        <v>0</v>
      </c>
      <c r="O12">
        <f t="shared" si="1"/>
        <v>0</v>
      </c>
      <c r="P12">
        <f t="shared" si="1"/>
        <v>2318.9424542990673</v>
      </c>
    </row>
    <row r="13" spans="1:16" x14ac:dyDescent="0.25">
      <c r="A13" t="str">
        <f>indonesia!U87</f>
        <v>INDONESIA</v>
      </c>
      <c r="B13">
        <f>indonesia!V87</f>
        <v>2030</v>
      </c>
      <c r="C13">
        <f t="shared" si="1"/>
        <v>1128.96285101478</v>
      </c>
      <c r="D13">
        <f t="shared" si="1"/>
        <v>246.34212010631288</v>
      </c>
      <c r="E13">
        <f t="shared" si="1"/>
        <v>494.25496694298891</v>
      </c>
      <c r="F13">
        <f t="shared" si="1"/>
        <v>180.38759479509363</v>
      </c>
      <c r="G13">
        <f t="shared" si="1"/>
        <v>162.29098214749544</v>
      </c>
      <c r="H13">
        <f t="shared" si="1"/>
        <v>7.5451785751458091</v>
      </c>
      <c r="I13">
        <f t="shared" si="1"/>
        <v>4.1640343793509711</v>
      </c>
      <c r="J13">
        <f t="shared" si="1"/>
        <v>63.617042833953711</v>
      </c>
      <c r="K13">
        <f t="shared" si="1"/>
        <v>117.45560168062178</v>
      </c>
      <c r="L13">
        <f>SUM(L33,L53,L73,L93,L113,L133)</f>
        <v>14.810831041911255</v>
      </c>
      <c r="M13">
        <f t="shared" si="1"/>
        <v>6.0805047684922833E-3</v>
      </c>
      <c r="N13">
        <f t="shared" si="1"/>
        <v>0</v>
      </c>
      <c r="O13">
        <f t="shared" si="1"/>
        <v>0</v>
      </c>
      <c r="P13">
        <f t="shared" si="1"/>
        <v>2419.8372840224224</v>
      </c>
    </row>
    <row r="14" spans="1:16" x14ac:dyDescent="0.25">
      <c r="A14" t="str">
        <f>indonesia!U88</f>
        <v>INDONESIA</v>
      </c>
      <c r="B14">
        <f>indonesia!V88</f>
        <v>2031</v>
      </c>
      <c r="C14">
        <f t="shared" si="1"/>
        <v>1149.7299405409249</v>
      </c>
      <c r="D14">
        <f t="shared" si="1"/>
        <v>262.3960355644241</v>
      </c>
      <c r="E14">
        <f t="shared" si="1"/>
        <v>551.67171534159399</v>
      </c>
      <c r="F14">
        <f t="shared" si="1"/>
        <v>183.37881676144812</v>
      </c>
      <c r="G14">
        <f t="shared" si="1"/>
        <v>162.29098212442878</v>
      </c>
      <c r="H14">
        <f t="shared" si="1"/>
        <v>7.5670722114537936</v>
      </c>
      <c r="I14">
        <f t="shared" si="1"/>
        <v>4.2778624109828325</v>
      </c>
      <c r="J14">
        <f t="shared" si="1"/>
        <v>64.089774653124891</v>
      </c>
      <c r="K14">
        <f t="shared" si="1"/>
        <v>131.93533796785457</v>
      </c>
      <c r="L14">
        <f t="shared" si="1"/>
        <v>15.901379996646705</v>
      </c>
      <c r="M14">
        <f t="shared" si="1"/>
        <v>6.0805047684922833E-3</v>
      </c>
      <c r="N14">
        <f t="shared" si="1"/>
        <v>0</v>
      </c>
      <c r="O14">
        <f t="shared" si="1"/>
        <v>0</v>
      </c>
      <c r="P14">
        <f t="shared" si="1"/>
        <v>2533.244998077651</v>
      </c>
    </row>
    <row r="15" spans="1:16" x14ac:dyDescent="0.25">
      <c r="A15" t="str">
        <f>indonesia!U89</f>
        <v>INDONESIA</v>
      </c>
      <c r="B15">
        <f>indonesia!V89</f>
        <v>2032</v>
      </c>
      <c r="C15">
        <f t="shared" si="1"/>
        <v>1174.335813623009</v>
      </c>
      <c r="D15">
        <f t="shared" si="1"/>
        <v>280.07322026851784</v>
      </c>
      <c r="E15">
        <f t="shared" si="1"/>
        <v>612.42956165581904</v>
      </c>
      <c r="F15">
        <f t="shared" si="1"/>
        <v>184.8086921212271</v>
      </c>
      <c r="G15">
        <f t="shared" si="1"/>
        <v>162.29098212442878</v>
      </c>
      <c r="H15">
        <f t="shared" si="1"/>
        <v>7.6246083945443015</v>
      </c>
      <c r="I15">
        <f t="shared" si="1"/>
        <v>5.3943916629014002</v>
      </c>
      <c r="J15">
        <f t="shared" si="1"/>
        <v>64.705914809077782</v>
      </c>
      <c r="K15">
        <f t="shared" si="1"/>
        <v>145.97646056581127</v>
      </c>
      <c r="L15">
        <f t="shared" si="1"/>
        <v>16.519359159073083</v>
      </c>
      <c r="M15">
        <f t="shared" si="1"/>
        <v>6.188617332478513E-3</v>
      </c>
      <c r="N15">
        <f t="shared" si="1"/>
        <v>0</v>
      </c>
      <c r="O15">
        <f t="shared" si="1"/>
        <v>0</v>
      </c>
      <c r="P15">
        <f t="shared" si="1"/>
        <v>2654.165193001742</v>
      </c>
    </row>
    <row r="16" spans="1:16" x14ac:dyDescent="0.25">
      <c r="A16" t="str">
        <f>indonesia!U90</f>
        <v>INDONESIA</v>
      </c>
      <c r="B16">
        <f>indonesia!V90</f>
        <v>2033</v>
      </c>
      <c r="C16">
        <f t="shared" si="1"/>
        <v>1222.5141272752587</v>
      </c>
      <c r="D16">
        <f t="shared" si="1"/>
        <v>291.22392493668167</v>
      </c>
      <c r="E16">
        <f t="shared" si="1"/>
        <v>665.51080257421916</v>
      </c>
      <c r="F16">
        <f t="shared" si="1"/>
        <v>185.97474272616751</v>
      </c>
      <c r="G16">
        <f t="shared" si="1"/>
        <v>162.87223169809397</v>
      </c>
      <c r="H16">
        <f t="shared" si="1"/>
        <v>7.8525019388097927</v>
      </c>
      <c r="I16">
        <f t="shared" si="1"/>
        <v>7.440766683587908</v>
      </c>
      <c r="J16">
        <f t="shared" si="1"/>
        <v>68.958560614531564</v>
      </c>
      <c r="K16">
        <f t="shared" si="1"/>
        <v>153.34647576142757</v>
      </c>
      <c r="L16">
        <f t="shared" si="1"/>
        <v>16.828348740286273</v>
      </c>
      <c r="M16">
        <f t="shared" si="1"/>
        <v>6.188617332478513E-3</v>
      </c>
      <c r="N16">
        <f t="shared" si="1"/>
        <v>0</v>
      </c>
      <c r="O16">
        <f t="shared" si="1"/>
        <v>0</v>
      </c>
      <c r="P16">
        <f t="shared" si="1"/>
        <v>2782.528671566397</v>
      </c>
    </row>
    <row r="17" spans="1:16" x14ac:dyDescent="0.25">
      <c r="A17" t="str">
        <f>indonesia!U91</f>
        <v>INDONESIA</v>
      </c>
      <c r="B17">
        <f>indonesia!V91</f>
        <v>2034</v>
      </c>
      <c r="C17">
        <f t="shared" si="1"/>
        <v>1308.3912132716537</v>
      </c>
      <c r="D17">
        <f t="shared" si="1"/>
        <v>310.95875201416095</v>
      </c>
      <c r="E17">
        <f t="shared" si="1"/>
        <v>698.35920945356986</v>
      </c>
      <c r="F17">
        <f t="shared" si="1"/>
        <v>187.64411473762206</v>
      </c>
      <c r="G17">
        <f t="shared" si="1"/>
        <v>162.87223154841121</v>
      </c>
      <c r="H17">
        <f t="shared" si="1"/>
        <v>7.9291945289318324</v>
      </c>
      <c r="I17">
        <f t="shared" si="1"/>
        <v>17.938234399158706</v>
      </c>
      <c r="J17">
        <f t="shared" si="1"/>
        <v>74.064968760512812</v>
      </c>
      <c r="K17">
        <f t="shared" si="1"/>
        <v>158.15801983071668</v>
      </c>
      <c r="L17">
        <f t="shared" si="1"/>
        <v>16.982843530892865</v>
      </c>
      <c r="M17">
        <f t="shared" si="1"/>
        <v>6.1931595037782016E-3</v>
      </c>
      <c r="N17">
        <f t="shared" si="1"/>
        <v>0</v>
      </c>
      <c r="O17">
        <f t="shared" si="1"/>
        <v>0</v>
      </c>
      <c r="P17">
        <f t="shared" si="1"/>
        <v>2943.3049752351349</v>
      </c>
    </row>
    <row r="18" spans="1:16" x14ac:dyDescent="0.25">
      <c r="A18" t="str">
        <f>indonesia!U92</f>
        <v>INDONESIA</v>
      </c>
      <c r="B18">
        <f>indonesia!V92</f>
        <v>2035</v>
      </c>
      <c r="C18">
        <f t="shared" si="1"/>
        <v>1361.7364785797831</v>
      </c>
      <c r="D18">
        <f t="shared" si="1"/>
        <v>318.44339173353018</v>
      </c>
      <c r="E18">
        <f t="shared" si="1"/>
        <v>740.75959855208021</v>
      </c>
      <c r="F18">
        <f t="shared" si="1"/>
        <v>223.60275875646764</v>
      </c>
      <c r="G18">
        <f t="shared" si="1"/>
        <v>164.9376526897006</v>
      </c>
      <c r="H18">
        <f t="shared" si="1"/>
        <v>8.45961804560765</v>
      </c>
      <c r="I18">
        <f t="shared" si="1"/>
        <v>21.781946840982556</v>
      </c>
      <c r="J18">
        <f t="shared" si="1"/>
        <v>80.064927545763283</v>
      </c>
      <c r="K18">
        <f t="shared" si="1"/>
        <v>162.94079542980177</v>
      </c>
      <c r="L18">
        <f t="shared" si="1"/>
        <v>17.06009092619616</v>
      </c>
      <c r="M18">
        <f t="shared" si="1"/>
        <v>6.3658574627614949E-3</v>
      </c>
      <c r="N18">
        <f t="shared" si="1"/>
        <v>0</v>
      </c>
      <c r="O18">
        <f t="shared" si="1"/>
        <v>0</v>
      </c>
      <c r="P18">
        <f t="shared" si="1"/>
        <v>3099.7936249573759</v>
      </c>
    </row>
    <row r="19" spans="1:16" x14ac:dyDescent="0.25">
      <c r="A19" t="str">
        <f>indonesia!U93</f>
        <v>INDONESIA</v>
      </c>
      <c r="B19">
        <f>indonesia!V93</f>
        <v>2036</v>
      </c>
      <c r="C19">
        <f t="shared" ref="C19:P21" si="2">SUM(C39,C59,C79,C99,C119,C139)</f>
        <v>1438.3459509789113</v>
      </c>
      <c r="D19">
        <f t="shared" si="2"/>
        <v>326.86367433781567</v>
      </c>
      <c r="E19">
        <f t="shared" si="2"/>
        <v>785.4835204675752</v>
      </c>
      <c r="F19">
        <f t="shared" si="2"/>
        <v>244.57321293417613</v>
      </c>
      <c r="G19">
        <f t="shared" si="2"/>
        <v>178.36912555079005</v>
      </c>
      <c r="H19">
        <f t="shared" si="2"/>
        <v>9.0612272612623528</v>
      </c>
      <c r="I19">
        <f t="shared" si="2"/>
        <v>27.709614880459167</v>
      </c>
      <c r="J19">
        <f t="shared" si="2"/>
        <v>86.653612398281908</v>
      </c>
      <c r="K19">
        <f t="shared" si="2"/>
        <v>166.33649921371835</v>
      </c>
      <c r="L19">
        <f t="shared" si="2"/>
        <v>17.098714623847812</v>
      </c>
      <c r="M19">
        <f t="shared" si="2"/>
        <v>6.3658577807614945E-3</v>
      </c>
      <c r="N19">
        <f t="shared" si="2"/>
        <v>0</v>
      </c>
      <c r="O19">
        <f t="shared" si="2"/>
        <v>0</v>
      </c>
      <c r="P19">
        <f t="shared" si="2"/>
        <v>3280.5015185046186</v>
      </c>
    </row>
    <row r="20" spans="1:16" x14ac:dyDescent="0.25">
      <c r="A20" t="str">
        <f>indonesia!U94</f>
        <v>INDONESIA</v>
      </c>
      <c r="B20">
        <f>indonesia!V94</f>
        <v>2037</v>
      </c>
      <c r="C20">
        <f t="shared" si="2"/>
        <v>1516.8498989933355</v>
      </c>
      <c r="D20">
        <f t="shared" si="2"/>
        <v>339.50608455697028</v>
      </c>
      <c r="E20">
        <f t="shared" si="2"/>
        <v>838.53981528831002</v>
      </c>
      <c r="F20">
        <f t="shared" si="2"/>
        <v>252.05649528437399</v>
      </c>
      <c r="G20">
        <f t="shared" si="2"/>
        <v>203.25049602548086</v>
      </c>
      <c r="H20">
        <f t="shared" si="2"/>
        <v>9.3863398950180148</v>
      </c>
      <c r="I20">
        <f t="shared" si="2"/>
        <v>32.68140290192116</v>
      </c>
      <c r="J20">
        <f t="shared" si="2"/>
        <v>96.030989559301688</v>
      </c>
      <c r="K20">
        <f t="shared" si="2"/>
        <v>168.82018781443736</v>
      </c>
      <c r="L20">
        <f t="shared" si="2"/>
        <v>17.118026472673638</v>
      </c>
      <c r="M20">
        <f t="shared" si="2"/>
        <v>6.5398877659147755E-3</v>
      </c>
      <c r="N20">
        <f t="shared" si="2"/>
        <v>3.1833482790175464E-17</v>
      </c>
      <c r="O20">
        <f t="shared" si="2"/>
        <v>0</v>
      </c>
      <c r="P20">
        <f t="shared" si="2"/>
        <v>3474.2462766795884</v>
      </c>
    </row>
    <row r="21" spans="1:16" x14ac:dyDescent="0.25">
      <c r="A21" t="str">
        <f>indonesia!U95</f>
        <v>INDONESIA</v>
      </c>
      <c r="B21">
        <f>indonesia!V95</f>
        <v>2038</v>
      </c>
      <c r="C21">
        <f t="shared" si="2"/>
        <v>1605.0539840434194</v>
      </c>
      <c r="D21">
        <f t="shared" si="2"/>
        <v>360.86316354619112</v>
      </c>
      <c r="E21">
        <f t="shared" si="2"/>
        <v>895.45339826102611</v>
      </c>
      <c r="F21">
        <f t="shared" si="2"/>
        <v>262.01314588925379</v>
      </c>
      <c r="G21">
        <f t="shared" si="2"/>
        <v>238.26608026958627</v>
      </c>
      <c r="H21">
        <f t="shared" si="2"/>
        <v>9.5367442393709361</v>
      </c>
      <c r="I21">
        <f t="shared" si="2"/>
        <v>33.942329470901207</v>
      </c>
      <c r="J21">
        <f t="shared" si="2"/>
        <v>119.29701535925615</v>
      </c>
      <c r="K21">
        <f t="shared" si="2"/>
        <v>170.80072971195926</v>
      </c>
      <c r="L21">
        <f t="shared" si="2"/>
        <v>17.127682397086549</v>
      </c>
      <c r="M21">
        <f t="shared" si="2"/>
        <v>6.5398877659147868E-3</v>
      </c>
      <c r="N21">
        <f t="shared" si="2"/>
        <v>2.4234459631669362E-8</v>
      </c>
      <c r="O21">
        <f t="shared" si="2"/>
        <v>0</v>
      </c>
      <c r="P21">
        <f t="shared" si="2"/>
        <v>3712.3608131000506</v>
      </c>
    </row>
    <row r="22" spans="1:16" x14ac:dyDescent="0.25">
      <c r="A22" t="str">
        <f>sumatera!U76</f>
        <v>SUMATERA</v>
      </c>
      <c r="B22">
        <f>sumatera!V76</f>
        <v>2019</v>
      </c>
      <c r="C22">
        <f>sumatera!W76</f>
        <v>147.53751593425656</v>
      </c>
      <c r="D22">
        <f>sumatera!X76</f>
        <v>24.336118923271663</v>
      </c>
      <c r="E22">
        <f>sumatera!Y76</f>
        <v>9.1760905834813169</v>
      </c>
      <c r="F22">
        <f>sumatera!Z76</f>
        <v>52.682073281087362</v>
      </c>
      <c r="G22">
        <f>sumatera!AA76</f>
        <v>101.33525143384617</v>
      </c>
      <c r="H22">
        <f>sumatera!AB76</f>
        <v>1.648581615033524</v>
      </c>
      <c r="I22">
        <f>sumatera!AC76</f>
        <v>0.37428613188923077</v>
      </c>
      <c r="J22">
        <f>sumatera!AD76</f>
        <v>6.2861339520000007E-3</v>
      </c>
      <c r="K22">
        <f>sumatera!AE76</f>
        <v>0</v>
      </c>
      <c r="L22">
        <f>sumatera!AF76</f>
        <v>0.7324799500585607</v>
      </c>
      <c r="M22">
        <f>sumatera!AG76</f>
        <v>0</v>
      </c>
      <c r="N22">
        <f>sumatera!AH76</f>
        <v>0</v>
      </c>
      <c r="O22">
        <f>sumatera!AI76</f>
        <v>0</v>
      </c>
      <c r="P22">
        <f>sumatera!AJ76</f>
        <v>337.82868398687646</v>
      </c>
    </row>
    <row r="23" spans="1:16" x14ac:dyDescent="0.25">
      <c r="A23" t="str">
        <f>sumatera!U77</f>
        <v>SUMATERA</v>
      </c>
      <c r="B23">
        <f>sumatera!V77</f>
        <v>2020</v>
      </c>
      <c r="C23">
        <f>sumatera!W77</f>
        <v>152.91964295534547</v>
      </c>
      <c r="D23">
        <f>sumatera!X77</f>
        <v>24.336118923271663</v>
      </c>
      <c r="E23">
        <f>sumatera!Y77</f>
        <v>19.109591879247564</v>
      </c>
      <c r="F23">
        <f>sumatera!Z77</f>
        <v>52.682073281087362</v>
      </c>
      <c r="G23">
        <f>sumatera!AA77</f>
        <v>101.33525143384617</v>
      </c>
      <c r="H23">
        <f>sumatera!AB77</f>
        <v>1.648581615033524</v>
      </c>
      <c r="I23">
        <f>sumatera!AC77</f>
        <v>0.37428613188923077</v>
      </c>
      <c r="J23">
        <f>sumatera!AD77</f>
        <v>2.2012408144159403</v>
      </c>
      <c r="K23">
        <f>sumatera!AE77</f>
        <v>0</v>
      </c>
      <c r="L23">
        <f>sumatera!AF77</f>
        <v>0.7324799500585607</v>
      </c>
      <c r="M23">
        <f>sumatera!AG77</f>
        <v>0</v>
      </c>
      <c r="N23">
        <f>sumatera!AH77</f>
        <v>0</v>
      </c>
      <c r="O23">
        <f>sumatera!AI77</f>
        <v>0</v>
      </c>
      <c r="P23">
        <f>sumatera!AJ77</f>
        <v>355.33926698419555</v>
      </c>
    </row>
    <row r="24" spans="1:16" x14ac:dyDescent="0.25">
      <c r="A24" t="str">
        <f>sumatera!U78</f>
        <v>SUMATERA</v>
      </c>
      <c r="B24">
        <f>sumatera!V78</f>
        <v>2021</v>
      </c>
      <c r="C24">
        <f>sumatera!W78</f>
        <v>152.91964295534547</v>
      </c>
      <c r="D24">
        <f>sumatera!X78</f>
        <v>39.649278882889817</v>
      </c>
      <c r="E24">
        <f>sumatera!Y78</f>
        <v>19.109591879247564</v>
      </c>
      <c r="F24">
        <f>sumatera!Z78</f>
        <v>52.682073281087362</v>
      </c>
      <c r="G24">
        <f>sumatera!AA78</f>
        <v>101.33525143384617</v>
      </c>
      <c r="H24">
        <f>sumatera!AB78</f>
        <v>1.648581615033524</v>
      </c>
      <c r="I24">
        <f>sumatera!AC78</f>
        <v>0.37428613188923077</v>
      </c>
      <c r="J24">
        <f>sumatera!AD78</f>
        <v>2.3175029589714424</v>
      </c>
      <c r="K24">
        <f>sumatera!AE78</f>
        <v>0</v>
      </c>
      <c r="L24">
        <f>sumatera!AF78</f>
        <v>0.7324799500585607</v>
      </c>
      <c r="M24">
        <f>sumatera!AG78</f>
        <v>0</v>
      </c>
      <c r="N24">
        <f>sumatera!AH78</f>
        <v>0</v>
      </c>
      <c r="O24">
        <f>sumatera!AI78</f>
        <v>0</v>
      </c>
      <c r="P24">
        <f>sumatera!AJ78</f>
        <v>370.76868908836917</v>
      </c>
    </row>
    <row r="25" spans="1:16" x14ac:dyDescent="0.25">
      <c r="A25" t="str">
        <f>sumatera!U79</f>
        <v>SUMATERA</v>
      </c>
      <c r="B25">
        <f>sumatera!V79</f>
        <v>2022</v>
      </c>
      <c r="C25">
        <f>sumatera!W79</f>
        <v>152.91964295534547</v>
      </c>
      <c r="D25">
        <f>sumatera!X79</f>
        <v>39.649278882889817</v>
      </c>
      <c r="E25">
        <f>sumatera!Y79</f>
        <v>20.435965500886361</v>
      </c>
      <c r="F25">
        <f>sumatera!Z79</f>
        <v>54.571446196617664</v>
      </c>
      <c r="G25">
        <f>sumatera!AA79</f>
        <v>101.33525143384617</v>
      </c>
      <c r="H25">
        <f>sumatera!AB79</f>
        <v>1.648581615033524</v>
      </c>
      <c r="I25">
        <f>sumatera!AC79</f>
        <v>0.37428613188923077</v>
      </c>
      <c r="J25">
        <f>sumatera!AD79</f>
        <v>2.4402543164379096</v>
      </c>
      <c r="K25">
        <f>sumatera!AE79</f>
        <v>0</v>
      </c>
      <c r="L25">
        <f>sumatera!AF79</f>
        <v>0.7324799500585607</v>
      </c>
      <c r="M25">
        <f>sumatera!AG79</f>
        <v>0</v>
      </c>
      <c r="N25">
        <f>sumatera!AH79</f>
        <v>0</v>
      </c>
      <c r="O25">
        <f>sumatera!AI79</f>
        <v>0</v>
      </c>
      <c r="P25">
        <f>sumatera!AJ79</f>
        <v>374.10718698300474</v>
      </c>
    </row>
    <row r="26" spans="1:16" x14ac:dyDescent="0.25">
      <c r="A26" t="str">
        <f>sumatera!U80</f>
        <v>SUMATERA</v>
      </c>
      <c r="B26">
        <f>sumatera!V80</f>
        <v>2023</v>
      </c>
      <c r="C26">
        <f>sumatera!W80</f>
        <v>152.91964295534547</v>
      </c>
      <c r="D26">
        <f>sumatera!X80</f>
        <v>39.649278882889817</v>
      </c>
      <c r="E26">
        <f>sumatera!Y80</f>
        <v>32.134720233679111</v>
      </c>
      <c r="F26">
        <f>sumatera!Z80</f>
        <v>60.921628717067904</v>
      </c>
      <c r="G26">
        <f>sumatera!AA80</f>
        <v>101.33525143384617</v>
      </c>
      <c r="H26">
        <f>sumatera!AB80</f>
        <v>1.648581615033524</v>
      </c>
      <c r="I26">
        <f>sumatera!AC80</f>
        <v>0.37428613188923077</v>
      </c>
      <c r="J26">
        <f>sumatera!AD80</f>
        <v>2.5698907758860532</v>
      </c>
      <c r="K26">
        <f>sumatera!AE80</f>
        <v>1.8377610224832155E-10</v>
      </c>
      <c r="L26">
        <f>sumatera!AF80</f>
        <v>0.7324799500585607</v>
      </c>
      <c r="M26">
        <f>sumatera!AG80</f>
        <v>0</v>
      </c>
      <c r="N26">
        <f>sumatera!AH80</f>
        <v>0</v>
      </c>
      <c r="O26">
        <f>sumatera!AI80</f>
        <v>0</v>
      </c>
      <c r="P26">
        <f>sumatera!AJ80</f>
        <v>392.28576069587962</v>
      </c>
    </row>
    <row r="27" spans="1:16" x14ac:dyDescent="0.25">
      <c r="A27" t="str">
        <f>sumatera!U81</f>
        <v>SUMATERA</v>
      </c>
      <c r="B27">
        <f>sumatera!V81</f>
        <v>2024</v>
      </c>
      <c r="C27">
        <f>sumatera!W81</f>
        <v>152.91964295534547</v>
      </c>
      <c r="D27">
        <f>sumatera!X81</f>
        <v>39.649278882889817</v>
      </c>
      <c r="E27">
        <f>sumatera!Y81</f>
        <v>42.483479431551821</v>
      </c>
      <c r="F27">
        <f>sumatera!Z81</f>
        <v>66.364313045434983</v>
      </c>
      <c r="G27">
        <f>sumatera!AA81</f>
        <v>101.33525143384617</v>
      </c>
      <c r="H27">
        <f>sumatera!AB81</f>
        <v>1.648581615033524</v>
      </c>
      <c r="I27">
        <f>sumatera!AC81</f>
        <v>0.37428613188923077</v>
      </c>
      <c r="J27">
        <f>sumatera!AD81</f>
        <v>3.2532569711217776</v>
      </c>
      <c r="K27">
        <f>sumatera!AE81</f>
        <v>4.0228875820931362</v>
      </c>
      <c r="L27">
        <f>sumatera!AF81</f>
        <v>0.7324799500585607</v>
      </c>
      <c r="M27">
        <f>sumatera!AG81</f>
        <v>0</v>
      </c>
      <c r="N27">
        <f>sumatera!AH81</f>
        <v>0</v>
      </c>
      <c r="O27">
        <f>sumatera!AI81</f>
        <v>0</v>
      </c>
      <c r="P27">
        <f>sumatera!AJ81</f>
        <v>412.7834579992645</v>
      </c>
    </row>
    <row r="28" spans="1:16" x14ac:dyDescent="0.25">
      <c r="A28" t="str">
        <f>sumatera!U82</f>
        <v>SUMATERA</v>
      </c>
      <c r="B28">
        <f>sumatera!V82</f>
        <v>2025</v>
      </c>
      <c r="C28">
        <f>sumatera!W82</f>
        <v>155.84787297357028</v>
      </c>
      <c r="D28">
        <f>sumatera!X82</f>
        <v>39.649278882889817</v>
      </c>
      <c r="E28">
        <f>sumatera!Y82</f>
        <v>50.627272974332591</v>
      </c>
      <c r="F28">
        <f>sumatera!Z82</f>
        <v>71.688639350418285</v>
      </c>
      <c r="G28">
        <f>sumatera!AA82</f>
        <v>101.33525143384617</v>
      </c>
      <c r="H28">
        <f>sumatera!AB82</f>
        <v>1.648581615033524</v>
      </c>
      <c r="I28">
        <f>sumatera!AC82</f>
        <v>0.37428613188923077</v>
      </c>
      <c r="J28">
        <f>sumatera!AD82</f>
        <v>4.1023906624551572</v>
      </c>
      <c r="K28">
        <f>sumatera!AE82</f>
        <v>8.7415724101039896</v>
      </c>
      <c r="L28">
        <f>sumatera!AF82</f>
        <v>0.7324799500585607</v>
      </c>
      <c r="M28">
        <f>sumatera!AG82</f>
        <v>0</v>
      </c>
      <c r="N28">
        <f>sumatera!AH82</f>
        <v>0</v>
      </c>
      <c r="O28">
        <f>sumatera!AI82</f>
        <v>0</v>
      </c>
      <c r="P28">
        <f>sumatera!AJ82</f>
        <v>434.7476263845976</v>
      </c>
    </row>
    <row r="29" spans="1:16" x14ac:dyDescent="0.25">
      <c r="A29" t="str">
        <f>sumatera!U83</f>
        <v>SUMATERA</v>
      </c>
      <c r="B29">
        <f>sumatera!V83</f>
        <v>2026</v>
      </c>
      <c r="C29">
        <f>sumatera!W83</f>
        <v>172.0894753547106</v>
      </c>
      <c r="D29">
        <f>sumatera!X83</f>
        <v>39.649278882889817</v>
      </c>
      <c r="E29">
        <f>sumatera!Y83</f>
        <v>53.952754015191083</v>
      </c>
      <c r="F29">
        <f>sumatera!Z83</f>
        <v>71.688639350418285</v>
      </c>
      <c r="G29">
        <f>sumatera!AA83</f>
        <v>101.33525143384617</v>
      </c>
      <c r="H29">
        <f>sumatera!AB83</f>
        <v>1.648581615033524</v>
      </c>
      <c r="I29">
        <f>sumatera!AC83</f>
        <v>0.37428613188923077</v>
      </c>
      <c r="J29">
        <f>sumatera!AD83</f>
        <v>5.5463040298741095</v>
      </c>
      <c r="K29">
        <f>sumatera!AE83</f>
        <v>16.858825868922953</v>
      </c>
      <c r="L29">
        <f>sumatera!AF83</f>
        <v>0.7324799500585607</v>
      </c>
      <c r="M29">
        <f>sumatera!AG83</f>
        <v>0</v>
      </c>
      <c r="N29">
        <f>sumatera!AH83</f>
        <v>0</v>
      </c>
      <c r="O29">
        <f>sumatera!AI83</f>
        <v>0</v>
      </c>
      <c r="P29">
        <f>sumatera!AJ83</f>
        <v>463.87587663283438</v>
      </c>
    </row>
    <row r="30" spans="1:16" x14ac:dyDescent="0.25">
      <c r="A30" t="str">
        <f>sumatera!U84</f>
        <v>SUMATERA</v>
      </c>
      <c r="B30">
        <f>sumatera!V84</f>
        <v>2027</v>
      </c>
      <c r="C30">
        <f>sumatera!W84</f>
        <v>191.19230351291111</v>
      </c>
      <c r="D30">
        <f>sumatera!X84</f>
        <v>39.649278882889817</v>
      </c>
      <c r="E30">
        <f>sumatera!Y84</f>
        <v>55.566843856566869</v>
      </c>
      <c r="F30">
        <f>sumatera!Z84</f>
        <v>71.688639350418285</v>
      </c>
      <c r="G30">
        <f>sumatera!AA84</f>
        <v>101.33525143384617</v>
      </c>
      <c r="H30">
        <f>sumatera!AB84</f>
        <v>1.648581615033524</v>
      </c>
      <c r="I30">
        <f>sumatera!AC84</f>
        <v>1.9273967690223539</v>
      </c>
      <c r="J30">
        <f>sumatera!AD84</f>
        <v>7.5554719655285325</v>
      </c>
      <c r="K30">
        <f>sumatera!AE84</f>
        <v>25.096049050226281</v>
      </c>
      <c r="L30">
        <f>sumatera!AF84</f>
        <v>0.7324799500585607</v>
      </c>
      <c r="M30">
        <f>sumatera!AG84</f>
        <v>0</v>
      </c>
      <c r="N30">
        <f>sumatera!AH84</f>
        <v>0</v>
      </c>
      <c r="O30">
        <f>sumatera!AI84</f>
        <v>0</v>
      </c>
      <c r="P30">
        <f>sumatera!AJ84</f>
        <v>496.39229638650153</v>
      </c>
    </row>
    <row r="31" spans="1:16" x14ac:dyDescent="0.25">
      <c r="A31" t="str">
        <f>sumatera!U85</f>
        <v>SUMATERA</v>
      </c>
      <c r="B31">
        <f>sumatera!V85</f>
        <v>2028</v>
      </c>
      <c r="C31">
        <f>sumatera!W85</f>
        <v>202.04351588394169</v>
      </c>
      <c r="D31">
        <f>sumatera!X85</f>
        <v>39.649278882889817</v>
      </c>
      <c r="E31">
        <f>sumatera!Y85</f>
        <v>67.686970659478376</v>
      </c>
      <c r="F31">
        <f>sumatera!Z85</f>
        <v>71.688639350418285</v>
      </c>
      <c r="G31">
        <f>sumatera!AA85</f>
        <v>101.33525143384617</v>
      </c>
      <c r="H31">
        <f>sumatera!AB85</f>
        <v>1.648581615033524</v>
      </c>
      <c r="I31">
        <f>sumatera!AC85</f>
        <v>1.9273967690223539</v>
      </c>
      <c r="J31">
        <f>sumatera!AD85</f>
        <v>8.0738191075062264</v>
      </c>
      <c r="K31">
        <f>sumatera!AE85</f>
        <v>25.752377848109138</v>
      </c>
      <c r="L31">
        <f>sumatera!AF85</f>
        <v>0.7324799500585607</v>
      </c>
      <c r="M31">
        <f>sumatera!AG85</f>
        <v>0</v>
      </c>
      <c r="N31">
        <f>sumatera!AH85</f>
        <v>0</v>
      </c>
      <c r="O31">
        <f>sumatera!AI85</f>
        <v>0</v>
      </c>
      <c r="P31">
        <f>sumatera!AJ85</f>
        <v>520.53831150030419</v>
      </c>
    </row>
    <row r="32" spans="1:16" x14ac:dyDescent="0.25">
      <c r="A32" t="str">
        <f>sumatera!U86</f>
        <v>SUMATERA</v>
      </c>
      <c r="B32">
        <f>sumatera!V86</f>
        <v>2029</v>
      </c>
      <c r="C32">
        <f>sumatera!W86</f>
        <v>213.43985035617479</v>
      </c>
      <c r="D32">
        <f>sumatera!X86</f>
        <v>39.649278882889817</v>
      </c>
      <c r="E32">
        <f>sumatera!Y86</f>
        <v>80.817565999129286</v>
      </c>
      <c r="F32">
        <f>sumatera!Z86</f>
        <v>71.688639350418285</v>
      </c>
      <c r="G32">
        <f>sumatera!AA86</f>
        <v>101.33525143384617</v>
      </c>
      <c r="H32">
        <f>sumatera!AB86</f>
        <v>1.648581615033524</v>
      </c>
      <c r="I32">
        <f>sumatera!AC86</f>
        <v>1.9273969735495249</v>
      </c>
      <c r="J32">
        <f>sumatera!AD86</f>
        <v>8.6434640836544379</v>
      </c>
      <c r="K32">
        <f>sumatera!AE86</f>
        <v>26.291351337468129</v>
      </c>
      <c r="L32">
        <f>sumatera!AF86</f>
        <v>0.7324799500585607</v>
      </c>
      <c r="M32">
        <f>sumatera!AG86</f>
        <v>2.1850364419683999E-4</v>
      </c>
      <c r="N32">
        <f>sumatera!AH86</f>
        <v>0</v>
      </c>
      <c r="O32">
        <f>sumatera!AI86</f>
        <v>0</v>
      </c>
      <c r="P32">
        <f>sumatera!AJ86</f>
        <v>546.17407848586663</v>
      </c>
    </row>
    <row r="33" spans="1:16" x14ac:dyDescent="0.25">
      <c r="A33" t="str">
        <f>sumatera!U87</f>
        <v>SUMATERA</v>
      </c>
      <c r="B33">
        <f>sumatera!V87</f>
        <v>2030</v>
      </c>
      <c r="C33">
        <f>sumatera!W87</f>
        <v>225.00403364367796</v>
      </c>
      <c r="D33">
        <f>sumatera!X87</f>
        <v>39.649278882889817</v>
      </c>
      <c r="E33">
        <f>sumatera!Y87</f>
        <v>88.019021444532342</v>
      </c>
      <c r="F33">
        <f>sumatera!Z87</f>
        <v>71.688700041127561</v>
      </c>
      <c r="G33">
        <f>sumatera!AA87</f>
        <v>101.33525143384617</v>
      </c>
      <c r="H33">
        <f>sumatera!AB87</f>
        <v>1.6485816155325306</v>
      </c>
      <c r="I33">
        <f>sumatera!AC87</f>
        <v>1.9273969738849484</v>
      </c>
      <c r="J33">
        <f>sumatera!AD87</f>
        <v>17.837306350522447</v>
      </c>
      <c r="K33">
        <f>sumatera!AE87</f>
        <v>26.291350949576351</v>
      </c>
      <c r="L33">
        <f>sumatera!AF87</f>
        <v>0.7324799500585607</v>
      </c>
      <c r="M33">
        <f>sumatera!AG87</f>
        <v>2.1850364419683999E-4</v>
      </c>
      <c r="N33">
        <f>sumatera!AH87</f>
        <v>0</v>
      </c>
      <c r="O33">
        <f>sumatera!AI87</f>
        <v>0</v>
      </c>
      <c r="P33">
        <f>sumatera!AJ87</f>
        <v>574.13361978929277</v>
      </c>
    </row>
    <row r="34" spans="1:16" x14ac:dyDescent="0.25">
      <c r="A34" t="str">
        <f>sumatera!U88</f>
        <v>SUMATERA</v>
      </c>
      <c r="B34">
        <f>sumatera!V88</f>
        <v>2031</v>
      </c>
      <c r="C34">
        <f>sumatera!W88</f>
        <v>238.49525254254976</v>
      </c>
      <c r="D34">
        <f>sumatera!X88</f>
        <v>39.649278882889817</v>
      </c>
      <c r="E34">
        <f>sumatera!Y88</f>
        <v>101.90475260553579</v>
      </c>
      <c r="F34">
        <f>sumatera!Z88</f>
        <v>71.688700041127561</v>
      </c>
      <c r="G34">
        <f>sumatera!AA88</f>
        <v>101.33525143384617</v>
      </c>
      <c r="H34">
        <f>sumatera!AB88</f>
        <v>1.6485816155325306</v>
      </c>
      <c r="I34">
        <f>sumatera!AC88</f>
        <v>1.9273969738849484</v>
      </c>
      <c r="J34">
        <f>sumatera!AD88</f>
        <v>17.837306350522447</v>
      </c>
      <c r="K34">
        <f>sumatera!AE88</f>
        <v>28.319806118073814</v>
      </c>
      <c r="L34">
        <f>sumatera!AF88</f>
        <v>0.7324799500585607</v>
      </c>
      <c r="M34">
        <f>sumatera!AG88</f>
        <v>2.1850364419683999E-4</v>
      </c>
      <c r="N34">
        <f>sumatera!AH88</f>
        <v>0</v>
      </c>
      <c r="O34">
        <f>sumatera!AI88</f>
        <v>0</v>
      </c>
      <c r="P34">
        <f>sumatera!AJ88</f>
        <v>603.53902501766549</v>
      </c>
    </row>
    <row r="35" spans="1:16" x14ac:dyDescent="0.25">
      <c r="A35" t="str">
        <f>sumatera!U89</f>
        <v>SUMATERA</v>
      </c>
      <c r="B35">
        <f>sumatera!V89</f>
        <v>2032</v>
      </c>
      <c r="C35">
        <f>sumatera!W89</f>
        <v>252.82773532235802</v>
      </c>
      <c r="D35">
        <f>sumatera!X89</f>
        <v>39.649278882889817</v>
      </c>
      <c r="E35">
        <f>sumatera!Y89</f>
        <v>116.78916989564944</v>
      </c>
      <c r="F35">
        <f>sumatera!Z89</f>
        <v>71.688700041127561</v>
      </c>
      <c r="G35">
        <f>sumatera!AA89</f>
        <v>101.33525143384617</v>
      </c>
      <c r="H35">
        <f>sumatera!AB89</f>
        <v>1.6485816155325306</v>
      </c>
      <c r="I35">
        <f>sumatera!AC89</f>
        <v>1.9273969738849484</v>
      </c>
      <c r="J35">
        <f>sumatera!AD89</f>
        <v>17.837306350522447</v>
      </c>
      <c r="K35">
        <f>sumatera!AE89</f>
        <v>30.505397198641511</v>
      </c>
      <c r="L35">
        <f>sumatera!AF89</f>
        <v>0.7324799500585607</v>
      </c>
      <c r="M35">
        <f>sumatera!AG89</f>
        <v>2.1850364419683999E-4</v>
      </c>
      <c r="N35">
        <f>sumatera!AH89</f>
        <v>0</v>
      </c>
      <c r="O35">
        <f>sumatera!AI89</f>
        <v>0</v>
      </c>
      <c r="P35">
        <f>sumatera!AJ89</f>
        <v>634.94151616815509</v>
      </c>
    </row>
    <row r="36" spans="1:16" x14ac:dyDescent="0.25">
      <c r="A36" t="str">
        <f>sumatera!U90</f>
        <v>SUMATERA</v>
      </c>
      <c r="B36">
        <f>sumatera!V90</f>
        <v>2033</v>
      </c>
      <c r="C36">
        <f>sumatera!W90</f>
        <v>266.48073310276931</v>
      </c>
      <c r="D36">
        <f>sumatera!X90</f>
        <v>39.649278882889817</v>
      </c>
      <c r="E36">
        <f>sumatera!Y90</f>
        <v>134.45965014999902</v>
      </c>
      <c r="F36">
        <f>sumatera!Z90</f>
        <v>71.688700041127561</v>
      </c>
      <c r="G36">
        <f>sumatera!AA90</f>
        <v>101.33525143384617</v>
      </c>
      <c r="H36">
        <f>sumatera!AB90</f>
        <v>1.6485816155325306</v>
      </c>
      <c r="I36">
        <f>sumatera!AC90</f>
        <v>1.9273969738849484</v>
      </c>
      <c r="J36">
        <f>sumatera!AD90</f>
        <v>17.837306350522447</v>
      </c>
      <c r="K36">
        <f>sumatera!AE90</f>
        <v>30.866178204710263</v>
      </c>
      <c r="L36">
        <f>sumatera!AF90</f>
        <v>0.7324799500585607</v>
      </c>
      <c r="M36">
        <f>sumatera!AG90</f>
        <v>2.1850364419683999E-4</v>
      </c>
      <c r="N36">
        <f>sumatera!AH90</f>
        <v>0</v>
      </c>
      <c r="O36">
        <f>sumatera!AI90</f>
        <v>0</v>
      </c>
      <c r="P36">
        <f>sumatera!AJ90</f>
        <v>666.62577520898492</v>
      </c>
    </row>
    <row r="37" spans="1:16" x14ac:dyDescent="0.25">
      <c r="A37" t="str">
        <f>sumatera!U91</f>
        <v>SUMATERA</v>
      </c>
      <c r="B37">
        <f>sumatera!V91</f>
        <v>2034</v>
      </c>
      <c r="C37">
        <f>sumatera!W91</f>
        <v>298.33188595304841</v>
      </c>
      <c r="D37">
        <f>sumatera!X91</f>
        <v>39.64928301924747</v>
      </c>
      <c r="E37">
        <f>sumatera!Y91</f>
        <v>134.45965447639912</v>
      </c>
      <c r="F37">
        <f>sumatera!Z91</f>
        <v>71.688721701282418</v>
      </c>
      <c r="G37">
        <f>sumatera!AA91</f>
        <v>101.33525143384617</v>
      </c>
      <c r="H37">
        <f>sumatera!AB91</f>
        <v>1.6485816155325306</v>
      </c>
      <c r="I37">
        <f>sumatera!AC91</f>
        <v>6.9198884358974055</v>
      </c>
      <c r="J37">
        <f>sumatera!AD91</f>
        <v>17.837306350522447</v>
      </c>
      <c r="K37">
        <f>sumatera!AE91</f>
        <v>30.866178999934604</v>
      </c>
      <c r="L37">
        <f>sumatera!AF91</f>
        <v>0.7324799500585607</v>
      </c>
      <c r="M37">
        <f>sumatera!AG91</f>
        <v>2.1850364419683999E-4</v>
      </c>
      <c r="N37">
        <f>sumatera!AH91</f>
        <v>0</v>
      </c>
      <c r="O37">
        <f>sumatera!AI91</f>
        <v>0</v>
      </c>
      <c r="P37">
        <f>sumatera!AJ91</f>
        <v>703.46945043941344</v>
      </c>
    </row>
    <row r="38" spans="1:16" x14ac:dyDescent="0.25">
      <c r="A38" t="str">
        <f>sumatera!U92</f>
        <v>SUMATERA</v>
      </c>
      <c r="B38">
        <f>sumatera!V92</f>
        <v>2035</v>
      </c>
      <c r="C38">
        <f>sumatera!W92</f>
        <v>298.33188595304841</v>
      </c>
      <c r="D38">
        <f>sumatera!X92</f>
        <v>39.64928301924747</v>
      </c>
      <c r="E38">
        <f>sumatera!Y92</f>
        <v>139.34664296244267</v>
      </c>
      <c r="F38">
        <f>sumatera!Z92</f>
        <v>106.15040927158115</v>
      </c>
      <c r="G38">
        <f>sumatera!AA92</f>
        <v>101.33525143384617</v>
      </c>
      <c r="H38">
        <f>sumatera!AB92</f>
        <v>1.6485816155325306</v>
      </c>
      <c r="I38">
        <f>sumatera!AC92</f>
        <v>7.0900554675615277</v>
      </c>
      <c r="J38">
        <f>sumatera!AD92</f>
        <v>17.837306350522447</v>
      </c>
      <c r="K38">
        <f>sumatera!AE92</f>
        <v>32.099725615732098</v>
      </c>
      <c r="L38">
        <f>sumatera!AF92</f>
        <v>0.7324799500585607</v>
      </c>
      <c r="M38">
        <f>sumatera!AG92</f>
        <v>2.1850364419683999E-4</v>
      </c>
      <c r="N38">
        <f>sumatera!AH92</f>
        <v>0</v>
      </c>
      <c r="O38">
        <f>sumatera!AI92</f>
        <v>0</v>
      </c>
      <c r="P38">
        <f>sumatera!AJ92</f>
        <v>744.22184014321726</v>
      </c>
    </row>
    <row r="39" spans="1:16" x14ac:dyDescent="0.25">
      <c r="A39" t="str">
        <f>sumatera!U93</f>
        <v>SUMATERA</v>
      </c>
      <c r="B39">
        <f>sumatera!V93</f>
        <v>2036</v>
      </c>
      <c r="C39">
        <f>sumatera!W93</f>
        <v>315.92674624643809</v>
      </c>
      <c r="D39">
        <f>sumatera!X93</f>
        <v>39.64928301924747</v>
      </c>
      <c r="E39">
        <f>sumatera!Y93</f>
        <v>141.8198532918565</v>
      </c>
      <c r="F39">
        <f>sumatera!Z93</f>
        <v>125.3055118395372</v>
      </c>
      <c r="G39">
        <f>sumatera!AA93</f>
        <v>101.33525143384617</v>
      </c>
      <c r="H39">
        <f>sumatera!AB93</f>
        <v>1.6485816155325306</v>
      </c>
      <c r="I39">
        <f>sumatera!AC93</f>
        <v>10.22784802838526</v>
      </c>
      <c r="J39">
        <f>sumatera!AD93</f>
        <v>17.837306350522447</v>
      </c>
      <c r="K39">
        <f>sumatera!AE93</f>
        <v>32.716498923630851</v>
      </c>
      <c r="L39">
        <f>sumatera!AF93</f>
        <v>0.7324799500585607</v>
      </c>
      <c r="M39">
        <f>sumatera!AG93</f>
        <v>2.1850364419683999E-4</v>
      </c>
      <c r="N39">
        <f>sumatera!AH93</f>
        <v>0</v>
      </c>
      <c r="O39">
        <f>sumatera!AI93</f>
        <v>0</v>
      </c>
      <c r="P39">
        <f>sumatera!AJ93</f>
        <v>787.19957920269917</v>
      </c>
    </row>
    <row r="40" spans="1:16" x14ac:dyDescent="0.25">
      <c r="A40" t="str">
        <f>sumatera!U94</f>
        <v>SUMATERA</v>
      </c>
      <c r="B40">
        <f>sumatera!V94</f>
        <v>2037</v>
      </c>
      <c r="C40">
        <f>sumatera!W94</f>
        <v>333.91250497479319</v>
      </c>
      <c r="D40">
        <f>sumatera!X94</f>
        <v>39.64928301924747</v>
      </c>
      <c r="E40">
        <f>sumatera!Y94</f>
        <v>152.79327654098984</v>
      </c>
      <c r="F40">
        <f>sumatera!Z94</f>
        <v>131.01083819310608</v>
      </c>
      <c r="G40">
        <f>sumatera!AA94</f>
        <v>101.33525143384617</v>
      </c>
      <c r="H40">
        <f>sumatera!AB94</f>
        <v>1.6485816155325306</v>
      </c>
      <c r="I40">
        <f>sumatera!AC94</f>
        <v>13.066382977724512</v>
      </c>
      <c r="J40">
        <f>sumatera!AD94</f>
        <v>20.021995604352799</v>
      </c>
      <c r="K40">
        <f>sumatera!AE94</f>
        <v>33.024885577580228</v>
      </c>
      <c r="L40">
        <f>sumatera!AF94</f>
        <v>0.7324799500585607</v>
      </c>
      <c r="M40">
        <f>sumatera!AG94</f>
        <v>2.1850364419683999E-4</v>
      </c>
      <c r="N40">
        <f>sumatera!AH94</f>
        <v>0</v>
      </c>
      <c r="O40">
        <f>sumatera!AI94</f>
        <v>0</v>
      </c>
      <c r="P40">
        <f>sumatera!AJ94</f>
        <v>827.19569839087569</v>
      </c>
    </row>
    <row r="41" spans="1:16" x14ac:dyDescent="0.25">
      <c r="A41" t="str">
        <f>sumatera!U95</f>
        <v>SUMATERA</v>
      </c>
      <c r="B41">
        <f>sumatera!V95</f>
        <v>2038</v>
      </c>
      <c r="C41">
        <f>sumatera!W95</f>
        <v>354.78243698302697</v>
      </c>
      <c r="D41">
        <f>sumatera!X95</f>
        <v>39.64928301924747</v>
      </c>
      <c r="E41">
        <f>sumatera!Y95</f>
        <v>165.12431309418096</v>
      </c>
      <c r="F41">
        <f>sumatera!Z95</f>
        <v>137.4109202087684</v>
      </c>
      <c r="G41">
        <f>sumatera!AA95</f>
        <v>101.33525143388094</v>
      </c>
      <c r="H41">
        <f>sumatera!AB95</f>
        <v>1.6485816155330395</v>
      </c>
      <c r="I41">
        <f>sumatera!AC95</f>
        <v>13.066382977728864</v>
      </c>
      <c r="J41">
        <f>sumatera!AD95</f>
        <v>34.901338279266461</v>
      </c>
      <c r="K41">
        <f>sumatera!AE95</f>
        <v>33.024885577580228</v>
      </c>
      <c r="L41">
        <f>sumatera!AF95</f>
        <v>0.7324799500585607</v>
      </c>
      <c r="M41">
        <f>sumatera!AG95</f>
        <v>2.1850364419683999E-4</v>
      </c>
      <c r="N41">
        <f>sumatera!AH95</f>
        <v>2.4234459599835879E-8</v>
      </c>
      <c r="O41">
        <f>sumatera!AI95</f>
        <v>0</v>
      </c>
      <c r="P41">
        <f>sumatera!AJ95</f>
        <v>881.67609166715056</v>
      </c>
    </row>
    <row r="42" spans="1:16" x14ac:dyDescent="0.25">
      <c r="A42" t="str">
        <f>Jawa!U76</f>
        <v>JAWA</v>
      </c>
      <c r="B42">
        <f>Jawa!V76</f>
        <v>2019</v>
      </c>
      <c r="C42">
        <f>Jawa!W76</f>
        <v>638.12295396413776</v>
      </c>
      <c r="D42">
        <f>Jawa!X76</f>
        <v>56.229886838795544</v>
      </c>
      <c r="E42">
        <f>Jawa!Y76</f>
        <v>70.174964539701108</v>
      </c>
      <c r="F42">
        <f>Jawa!Z76</f>
        <v>0.69966530682862882</v>
      </c>
      <c r="G42">
        <f>Jawa!AA76</f>
        <v>24.345607053489228</v>
      </c>
      <c r="H42">
        <f>Jawa!AB76</f>
        <v>2.1863918758736864</v>
      </c>
      <c r="I42">
        <f>Jawa!AC76</f>
        <v>9.2426193969230783E-2</v>
      </c>
      <c r="J42">
        <f>Jawa!AD76</f>
        <v>5.5629503999999998E-3</v>
      </c>
      <c r="K42">
        <f>Jawa!AE76</f>
        <v>0</v>
      </c>
      <c r="L42">
        <f>Jawa!AF76</f>
        <v>0.16010490711662531</v>
      </c>
      <c r="M42">
        <f>Jawa!AG76</f>
        <v>0</v>
      </c>
      <c r="N42">
        <f>Jawa!AH76</f>
        <v>0</v>
      </c>
      <c r="O42">
        <f>Jawa!AI76</f>
        <v>0</v>
      </c>
      <c r="P42">
        <f>Jawa!AJ76</f>
        <v>792.01756363031177</v>
      </c>
    </row>
    <row r="43" spans="1:16" x14ac:dyDescent="0.25">
      <c r="A43" t="str">
        <f>Jawa!U77</f>
        <v>JAWA</v>
      </c>
      <c r="B43">
        <f>Jawa!V77</f>
        <v>2020</v>
      </c>
      <c r="C43">
        <f>Jawa!W77</f>
        <v>680.91394127693081</v>
      </c>
      <c r="D43">
        <f>Jawa!X77</f>
        <v>56.229886838795544</v>
      </c>
      <c r="E43">
        <f>Jawa!Y77</f>
        <v>77.332350056961076</v>
      </c>
      <c r="F43">
        <f>Jawa!Z77</f>
        <v>0.69966530682862882</v>
      </c>
      <c r="G43">
        <f>Jawa!AA77</f>
        <v>24.345607053489228</v>
      </c>
      <c r="H43">
        <f>Jawa!AB77</f>
        <v>3.9523450402644102</v>
      </c>
      <c r="I43">
        <f>Jawa!AC77</f>
        <v>9.2426193969230783E-2</v>
      </c>
      <c r="J43">
        <f>Jawa!AD77</f>
        <v>28.993378487763735</v>
      </c>
      <c r="K43">
        <f>Jawa!AE77</f>
        <v>0.10140708478303359</v>
      </c>
      <c r="L43">
        <f>Jawa!AF77</f>
        <v>0.16010490711662531</v>
      </c>
      <c r="M43">
        <f>Jawa!AG77</f>
        <v>5.3327749323264194E-3</v>
      </c>
      <c r="N43">
        <f>Jawa!AH77</f>
        <v>0</v>
      </c>
      <c r="O43">
        <f>Jawa!AI77</f>
        <v>0</v>
      </c>
      <c r="P43">
        <f>Jawa!AJ77</f>
        <v>872.8264450218345</v>
      </c>
    </row>
    <row r="44" spans="1:16" x14ac:dyDescent="0.25">
      <c r="A44" t="str">
        <f>Jawa!U78</f>
        <v>JAWA</v>
      </c>
      <c r="B44">
        <f>Jawa!V78</f>
        <v>2021</v>
      </c>
      <c r="C44">
        <f>Jawa!W78</f>
        <v>680.91394127693081</v>
      </c>
      <c r="D44">
        <f>Jawa!X78</f>
        <v>58.112177421361494</v>
      </c>
      <c r="E44">
        <f>Jawa!Y78</f>
        <v>131.37752062030404</v>
      </c>
      <c r="F44">
        <f>Jawa!Z78</f>
        <v>0.87521019184902427</v>
      </c>
      <c r="G44">
        <f>Jawa!AA78</f>
        <v>24.345607053489228</v>
      </c>
      <c r="H44">
        <f>Jawa!AB78</f>
        <v>3.9523450402644102</v>
      </c>
      <c r="I44">
        <f>Jawa!AC78</f>
        <v>9.2426193969230783E-2</v>
      </c>
      <c r="J44">
        <f>Jawa!AD78</f>
        <v>28.993378487763735</v>
      </c>
      <c r="K44">
        <f>Jawa!AE78</f>
        <v>0.10140708478303359</v>
      </c>
      <c r="L44">
        <f>Jawa!AF78</f>
        <v>0.16010490711662531</v>
      </c>
      <c r="M44">
        <f>Jawa!AG78</f>
        <v>5.3327749323264194E-3</v>
      </c>
      <c r="N44">
        <f>Jawa!AH78</f>
        <v>0</v>
      </c>
      <c r="O44">
        <f>Jawa!AI78</f>
        <v>0</v>
      </c>
      <c r="P44">
        <f>Jawa!AJ78</f>
        <v>928.92945105276385</v>
      </c>
    </row>
    <row r="45" spans="1:16" x14ac:dyDescent="0.25">
      <c r="A45" t="str">
        <f>Jawa!U79</f>
        <v>JAWA</v>
      </c>
      <c r="B45">
        <f>Jawa!V79</f>
        <v>2022</v>
      </c>
      <c r="C45">
        <f>Jawa!W79</f>
        <v>680.91394127693081</v>
      </c>
      <c r="D45">
        <f>Jawa!X79</f>
        <v>67.04539430169055</v>
      </c>
      <c r="E45">
        <f>Jawa!Y79</f>
        <v>153.38850891879525</v>
      </c>
      <c r="F45">
        <f>Jawa!Z79</f>
        <v>0.90169250846633886</v>
      </c>
      <c r="G45">
        <f>Jawa!AA79</f>
        <v>24.345607053489228</v>
      </c>
      <c r="H45">
        <f>Jawa!AB79</f>
        <v>3.9523450402644102</v>
      </c>
      <c r="I45">
        <f>Jawa!AC79</f>
        <v>9.2426193969230783E-2</v>
      </c>
      <c r="J45">
        <f>Jawa!AD79</f>
        <v>28.993378487763735</v>
      </c>
      <c r="K45">
        <f>Jawa!AE79</f>
        <v>1.9126596657433943</v>
      </c>
      <c r="L45">
        <f>Jawa!AF79</f>
        <v>0.16010490711662531</v>
      </c>
      <c r="M45">
        <f>Jawa!AG79</f>
        <v>5.3327749323264194E-3</v>
      </c>
      <c r="N45">
        <f>Jawa!AH79</f>
        <v>0</v>
      </c>
      <c r="O45">
        <f>Jawa!AI79</f>
        <v>0</v>
      </c>
      <c r="P45">
        <f>Jawa!AJ79</f>
        <v>961.71139112916183</v>
      </c>
    </row>
    <row r="46" spans="1:16" x14ac:dyDescent="0.25">
      <c r="A46" t="str">
        <f>Jawa!U80</f>
        <v>JAWA</v>
      </c>
      <c r="B46">
        <f>Jawa!V80</f>
        <v>2023</v>
      </c>
      <c r="C46">
        <f>Jawa!W80</f>
        <v>680.91394127693081</v>
      </c>
      <c r="D46">
        <f>Jawa!X80</f>
        <v>75.983848968169767</v>
      </c>
      <c r="E46">
        <f>Jawa!Y80</f>
        <v>161.62368236295674</v>
      </c>
      <c r="F46">
        <f>Jawa!Z80</f>
        <v>0.92622152322271645</v>
      </c>
      <c r="G46">
        <f>Jawa!AA80</f>
        <v>24.345607053489228</v>
      </c>
      <c r="H46">
        <f>Jawa!AB80</f>
        <v>3.9523450402644102</v>
      </c>
      <c r="I46">
        <f>Jawa!AC80</f>
        <v>9.2426193969230783E-2</v>
      </c>
      <c r="J46">
        <f>Jawa!AD80</f>
        <v>28.993378487763735</v>
      </c>
      <c r="K46">
        <f>Jawa!AE80</f>
        <v>11.366270816205608</v>
      </c>
      <c r="L46">
        <f>Jawa!AF80</f>
        <v>0.16010490711662531</v>
      </c>
      <c r="M46">
        <f>Jawa!AG80</f>
        <v>5.3327749323264194E-3</v>
      </c>
      <c r="N46">
        <f>Jawa!AH80</f>
        <v>0</v>
      </c>
      <c r="O46">
        <f>Jawa!AI80</f>
        <v>0</v>
      </c>
      <c r="P46">
        <f>Jawa!AJ80</f>
        <v>988.36315940502118</v>
      </c>
    </row>
    <row r="47" spans="1:16" x14ac:dyDescent="0.25">
      <c r="A47" t="str">
        <f>Jawa!U81</f>
        <v>JAWA</v>
      </c>
      <c r="B47">
        <f>Jawa!V81</f>
        <v>2024</v>
      </c>
      <c r="C47">
        <f>Jawa!W81</f>
        <v>680.91394127693081</v>
      </c>
      <c r="D47">
        <f>Jawa!X81</f>
        <v>85.300298925051393</v>
      </c>
      <c r="E47">
        <f>Jawa!Y81</f>
        <v>171.34656674661747</v>
      </c>
      <c r="F47">
        <f>Jawa!Z81</f>
        <v>0.9544618837290112</v>
      </c>
      <c r="G47">
        <f>Jawa!AA81</f>
        <v>24.345607053489228</v>
      </c>
      <c r="H47">
        <f>Jawa!AB81</f>
        <v>3.9523450402644102</v>
      </c>
      <c r="I47">
        <f>Jawa!AC81</f>
        <v>9.2426193969230783E-2</v>
      </c>
      <c r="J47">
        <f>Jawa!AD81</f>
        <v>28.993378487763735</v>
      </c>
      <c r="K47">
        <f>Jawa!AE81</f>
        <v>21.844728102723998</v>
      </c>
      <c r="L47">
        <f>Jawa!AF81</f>
        <v>0.16010490711662531</v>
      </c>
      <c r="M47">
        <f>Jawa!AG81</f>
        <v>5.3327749323264194E-3</v>
      </c>
      <c r="N47">
        <f>Jawa!AH81</f>
        <v>0</v>
      </c>
      <c r="O47">
        <f>Jawa!AI81</f>
        <v>0</v>
      </c>
      <c r="P47">
        <f>Jawa!AJ81</f>
        <v>1017.9091913925881</v>
      </c>
    </row>
    <row r="48" spans="1:16" x14ac:dyDescent="0.25">
      <c r="A48" t="str">
        <f>Jawa!U82</f>
        <v>JAWA</v>
      </c>
      <c r="B48">
        <f>Jawa!V82</f>
        <v>2025</v>
      </c>
      <c r="C48">
        <f>Jawa!W82</f>
        <v>680.91394127693081</v>
      </c>
      <c r="D48">
        <f>Jawa!X82</f>
        <v>95.111913428101516</v>
      </c>
      <c r="E48">
        <f>Jawa!Y82</f>
        <v>178.41118735477883</v>
      </c>
      <c r="F48">
        <f>Jawa!Z82</f>
        <v>0.97884173405858288</v>
      </c>
      <c r="G48">
        <f>Jawa!AA82</f>
        <v>24.345607053489228</v>
      </c>
      <c r="H48">
        <f>Jawa!AB82</f>
        <v>3.9523450402644102</v>
      </c>
      <c r="I48">
        <f>Jawa!AC82</f>
        <v>9.2426193969230783E-2</v>
      </c>
      <c r="J48">
        <f>Jawa!AD82</f>
        <v>28.993378487763735</v>
      </c>
      <c r="K48">
        <f>Jawa!AE82</f>
        <v>32.793724880376075</v>
      </c>
      <c r="L48">
        <f>Jawa!AF82</f>
        <v>0.16010490711662531</v>
      </c>
      <c r="M48">
        <f>Jawa!AG82</f>
        <v>5.3327749323264194E-3</v>
      </c>
      <c r="N48">
        <f>Jawa!AH82</f>
        <v>0</v>
      </c>
      <c r="O48">
        <f>Jawa!AI82</f>
        <v>0</v>
      </c>
      <c r="P48">
        <f>Jawa!AJ82</f>
        <v>1045.7588031317814</v>
      </c>
    </row>
    <row r="49" spans="1:16" x14ac:dyDescent="0.25">
      <c r="A49" t="str">
        <f>Jawa!U83</f>
        <v>JAWA</v>
      </c>
      <c r="B49">
        <f>Jawa!V83</f>
        <v>2026</v>
      </c>
      <c r="C49">
        <f>Jawa!W83</f>
        <v>680.91394127693081</v>
      </c>
      <c r="D49">
        <f>Jawa!X83</f>
        <v>105.6500811789256</v>
      </c>
      <c r="E49">
        <f>Jawa!Y83</f>
        <v>206.76329451006151</v>
      </c>
      <c r="F49">
        <f>Jawa!Z83</f>
        <v>1.0231896388923054</v>
      </c>
      <c r="G49">
        <f>Jawa!AA83</f>
        <v>24.345607053489228</v>
      </c>
      <c r="H49">
        <f>Jawa!AB83</f>
        <v>3.9523450402644102</v>
      </c>
      <c r="I49">
        <f>Jawa!AC83</f>
        <v>9.2426193969230783E-2</v>
      </c>
      <c r="J49">
        <f>Jawa!AD83</f>
        <v>28.993378487763735</v>
      </c>
      <c r="K49">
        <f>Jawa!AE83</f>
        <v>40.050694003463796</v>
      </c>
      <c r="L49">
        <f>Jawa!AF83</f>
        <v>0.16010490711662531</v>
      </c>
      <c r="M49">
        <f>Jawa!AG83</f>
        <v>5.3327749323264194E-3</v>
      </c>
      <c r="N49">
        <f>Jawa!AH83</f>
        <v>0</v>
      </c>
      <c r="O49">
        <f>Jawa!AI83</f>
        <v>0</v>
      </c>
      <c r="P49">
        <f>Jawa!AJ83</f>
        <v>1091.9503950658097</v>
      </c>
    </row>
    <row r="50" spans="1:16" x14ac:dyDescent="0.25">
      <c r="A50" t="str">
        <f>Jawa!U84</f>
        <v>JAWA</v>
      </c>
      <c r="B50">
        <f>Jawa!V84</f>
        <v>2027</v>
      </c>
      <c r="C50">
        <f>Jawa!W84</f>
        <v>680.91394127693081</v>
      </c>
      <c r="D50">
        <f>Jawa!X84</f>
        <v>116.3592081066829</v>
      </c>
      <c r="E50">
        <f>Jawa!Y84</f>
        <v>236.78525581065304</v>
      </c>
      <c r="F50">
        <f>Jawa!Z84</f>
        <v>1.0690461512691412</v>
      </c>
      <c r="G50">
        <f>Jawa!AA84</f>
        <v>24.345607053489228</v>
      </c>
      <c r="H50">
        <f>Jawa!AB84</f>
        <v>3.9523450402644102</v>
      </c>
      <c r="I50">
        <f>Jawa!AC84</f>
        <v>9.2426193969230783E-2</v>
      </c>
      <c r="J50">
        <f>Jawa!AD84</f>
        <v>28.993378487763735</v>
      </c>
      <c r="K50">
        <f>Jawa!AE84</f>
        <v>47.830499847504143</v>
      </c>
      <c r="L50">
        <f>Jawa!AF84</f>
        <v>0.16010490711662531</v>
      </c>
      <c r="M50">
        <f>Jawa!AG84</f>
        <v>5.3327749323264194E-3</v>
      </c>
      <c r="N50">
        <f>Jawa!AH84</f>
        <v>0</v>
      </c>
      <c r="O50">
        <f>Jawa!AI84</f>
        <v>0</v>
      </c>
      <c r="P50">
        <f>Jawa!AJ84</f>
        <v>1140.5071456505755</v>
      </c>
    </row>
    <row r="51" spans="1:16" x14ac:dyDescent="0.25">
      <c r="A51" t="str">
        <f>Jawa!U85</f>
        <v>JAWA</v>
      </c>
      <c r="B51">
        <f>Jawa!V85</f>
        <v>2028</v>
      </c>
      <c r="C51">
        <f>Jawa!W85</f>
        <v>680.91394127693081</v>
      </c>
      <c r="D51">
        <f>Jawa!X85</f>
        <v>127.71280969792717</v>
      </c>
      <c r="E51">
        <f>Jawa!Y85</f>
        <v>266.38874246946443</v>
      </c>
      <c r="F51">
        <f>Jawa!Z85</f>
        <v>1.1129135635369694</v>
      </c>
      <c r="G51">
        <f>Jawa!AA85</f>
        <v>24.345607053489228</v>
      </c>
      <c r="H51">
        <f>Jawa!AB85</f>
        <v>3.9523450402644102</v>
      </c>
      <c r="I51">
        <f>Jawa!AC85</f>
        <v>9.2426193969230783E-2</v>
      </c>
      <c r="J51">
        <f>Jawa!AD85</f>
        <v>28.993378487763735</v>
      </c>
      <c r="K51">
        <f>Jawa!AE85</f>
        <v>55.81086780929963</v>
      </c>
      <c r="L51">
        <f>Jawa!AF85</f>
        <v>0.16010490711662531</v>
      </c>
      <c r="M51">
        <f>Jawa!AG85</f>
        <v>5.3327749323264194E-3</v>
      </c>
      <c r="N51">
        <f>Jawa!AH85</f>
        <v>0</v>
      </c>
      <c r="O51">
        <f>Jawa!AI85</f>
        <v>0</v>
      </c>
      <c r="P51">
        <f>Jawa!AJ85</f>
        <v>1189.4884692746946</v>
      </c>
    </row>
    <row r="52" spans="1:16" x14ac:dyDescent="0.25">
      <c r="A52" t="str">
        <f>Jawa!U86</f>
        <v>JAWA</v>
      </c>
      <c r="B52">
        <f>Jawa!V86</f>
        <v>2029</v>
      </c>
      <c r="C52">
        <f>Jawa!W86</f>
        <v>680.91394127693081</v>
      </c>
      <c r="D52">
        <f>Jawa!X86</f>
        <v>140.12553034224922</v>
      </c>
      <c r="E52">
        <f>Jawa!Y86</f>
        <v>297.69362997641451</v>
      </c>
      <c r="F52">
        <f>Jawa!Z86</f>
        <v>1.1588617275904456</v>
      </c>
      <c r="G52">
        <f>Jawa!AA86</f>
        <v>24.345607053489228</v>
      </c>
      <c r="H52">
        <f>Jawa!AB86</f>
        <v>3.9523450402644102</v>
      </c>
      <c r="I52">
        <f>Jawa!AC86</f>
        <v>9.2426193969230783E-2</v>
      </c>
      <c r="J52">
        <f>Jawa!AD86</f>
        <v>28.993378487763735</v>
      </c>
      <c r="K52">
        <f>Jawa!AE86</f>
        <v>64.410623448628613</v>
      </c>
      <c r="L52">
        <f>Jawa!AF86</f>
        <v>0.16010490711662531</v>
      </c>
      <c r="M52">
        <f>Jawa!AG86</f>
        <v>5.3327749323264194E-3</v>
      </c>
      <c r="N52">
        <f>Jawa!AH86</f>
        <v>0</v>
      </c>
      <c r="O52">
        <f>Jawa!AI86</f>
        <v>0</v>
      </c>
      <c r="P52">
        <f>Jawa!AJ86</f>
        <v>1241.8517812293494</v>
      </c>
    </row>
    <row r="53" spans="1:16" x14ac:dyDescent="0.25">
      <c r="A53" t="str">
        <f>Jawa!U87</f>
        <v>JAWA</v>
      </c>
      <c r="B53">
        <f>Jawa!V87</f>
        <v>2030</v>
      </c>
      <c r="C53">
        <f>Jawa!W87</f>
        <v>680.91394127693081</v>
      </c>
      <c r="D53">
        <f>Jawa!X87</f>
        <v>153.24419830962211</v>
      </c>
      <c r="E53">
        <f>Jawa!Y87</f>
        <v>329.88534539635492</v>
      </c>
      <c r="F53">
        <f>Jawa!Z87</f>
        <v>1.2051086555068811</v>
      </c>
      <c r="G53">
        <f>Jawa!AA87</f>
        <v>24.345607053489228</v>
      </c>
      <c r="H53">
        <f>Jawa!AB87</f>
        <v>3.9523450402644102</v>
      </c>
      <c r="I53">
        <f>Jawa!AC87</f>
        <v>9.2426193969230783E-2</v>
      </c>
      <c r="J53">
        <f>Jawa!AD87</f>
        <v>28.993378487763735</v>
      </c>
      <c r="K53">
        <f>Jawa!AE87</f>
        <v>73.475638281509447</v>
      </c>
      <c r="L53">
        <f>Jawa!AF87</f>
        <v>0.16010490711662531</v>
      </c>
      <c r="M53">
        <f>Jawa!AG87</f>
        <v>5.3327749323264194E-3</v>
      </c>
      <c r="N53">
        <f>Jawa!AH87</f>
        <v>0</v>
      </c>
      <c r="O53">
        <f>Jawa!AI87</f>
        <v>0</v>
      </c>
      <c r="P53">
        <f>Jawa!AJ87</f>
        <v>1296.2734263774596</v>
      </c>
    </row>
    <row r="54" spans="1:16" x14ac:dyDescent="0.25">
      <c r="A54" t="str">
        <f>Jawa!U88</f>
        <v>JAWA</v>
      </c>
      <c r="B54">
        <f>Jawa!V88</f>
        <v>2031</v>
      </c>
      <c r="C54">
        <f>Jawa!W88</f>
        <v>680.91394127693081</v>
      </c>
      <c r="D54">
        <f>Jawa!X88</f>
        <v>167.09653193041709</v>
      </c>
      <c r="E54">
        <f>Jawa!Y88</f>
        <v>368.03860786741234</v>
      </c>
      <c r="F54">
        <f>Jawa!Z88</f>
        <v>1.2602566285113126</v>
      </c>
      <c r="G54">
        <f>Jawa!AA88</f>
        <v>24.345607053489228</v>
      </c>
      <c r="H54">
        <f>Jawa!AB88</f>
        <v>3.9523450402644102</v>
      </c>
      <c r="I54">
        <f>Jawa!AC88</f>
        <v>9.2426193969230783E-2</v>
      </c>
      <c r="J54">
        <f>Jawa!AD88</f>
        <v>28.993378487763735</v>
      </c>
      <c r="K54">
        <f>Jawa!AE88</f>
        <v>83.98310280881681</v>
      </c>
      <c r="L54">
        <f>Jawa!AF88</f>
        <v>0.16010490711662531</v>
      </c>
      <c r="M54">
        <f>Jawa!AG88</f>
        <v>5.3327749323264194E-3</v>
      </c>
      <c r="N54">
        <f>Jawa!AH88</f>
        <v>0</v>
      </c>
      <c r="O54">
        <f>Jawa!AI88</f>
        <v>0</v>
      </c>
      <c r="P54">
        <f>Jawa!AJ88</f>
        <v>1358.8416349696238</v>
      </c>
    </row>
    <row r="55" spans="1:16" x14ac:dyDescent="0.25">
      <c r="A55" t="str">
        <f>Jawa!U89</f>
        <v>JAWA</v>
      </c>
      <c r="B55">
        <f>Jawa!V89</f>
        <v>2032</v>
      </c>
      <c r="C55">
        <f>Jawa!W89</f>
        <v>680.91394127693081</v>
      </c>
      <c r="D55">
        <f>Jawa!X89</f>
        <v>181.73457310099158</v>
      </c>
      <c r="E55">
        <f>Jawa!Y89</f>
        <v>408.73023122544191</v>
      </c>
      <c r="F55">
        <f>Jawa!Z89</f>
        <v>1.318149063581342</v>
      </c>
      <c r="G55">
        <f>Jawa!AA89</f>
        <v>24.345607053489228</v>
      </c>
      <c r="H55">
        <f>Jawa!AB89</f>
        <v>3.9523450402644102</v>
      </c>
      <c r="I55">
        <f>Jawa!AC89</f>
        <v>1.0419859421099782</v>
      </c>
      <c r="J55">
        <f>Jawa!AD89</f>
        <v>28.993378487763735</v>
      </c>
      <c r="K55">
        <f>Jawa!AE89</f>
        <v>93.79624216737507</v>
      </c>
      <c r="L55">
        <f>Jawa!AF89</f>
        <v>0.16010490711662531</v>
      </c>
      <c r="M55">
        <f>Jawa!AG89</f>
        <v>5.3327749323264194E-3</v>
      </c>
      <c r="N55">
        <f>Jawa!AH89</f>
        <v>0</v>
      </c>
      <c r="O55">
        <f>Jawa!AI89</f>
        <v>0</v>
      </c>
      <c r="P55">
        <f>Jawa!AJ89</f>
        <v>1424.991891039997</v>
      </c>
    </row>
    <row r="56" spans="1:16" x14ac:dyDescent="0.25">
      <c r="A56" t="str">
        <f>Jawa!U90</f>
        <v>JAWA</v>
      </c>
      <c r="B56">
        <f>Jawa!V90</f>
        <v>2033</v>
      </c>
      <c r="C56">
        <f>Jawa!W90</f>
        <v>705.57284478212034</v>
      </c>
      <c r="D56">
        <f>Jawa!X90</f>
        <v>192.88527778856687</v>
      </c>
      <c r="E56">
        <f>Jawa!Y90</f>
        <v>437.85813430719804</v>
      </c>
      <c r="F56">
        <f>Jawa!Z90</f>
        <v>1.3708876387606554</v>
      </c>
      <c r="G56">
        <f>Jawa!AA90</f>
        <v>24.926856753770576</v>
      </c>
      <c r="H56">
        <f>Jawa!AB90</f>
        <v>4.1399792696151181</v>
      </c>
      <c r="I56">
        <f>Jawa!AC90</f>
        <v>2.9663260928887647</v>
      </c>
      <c r="J56">
        <f>Jawa!AD90</f>
        <v>32.212805491185911</v>
      </c>
      <c r="K56">
        <f>Jawa!AE90</f>
        <v>98.7028118466542</v>
      </c>
      <c r="L56">
        <f>Jawa!AF90</f>
        <v>0.16010490711662531</v>
      </c>
      <c r="M56">
        <f>Jawa!AG90</f>
        <v>5.3327749323264194E-3</v>
      </c>
      <c r="N56">
        <f>Jawa!AH90</f>
        <v>0</v>
      </c>
      <c r="O56">
        <f>Jawa!AI90</f>
        <v>0</v>
      </c>
      <c r="P56">
        <f>Jawa!AJ90</f>
        <v>1500.8013616528096</v>
      </c>
    </row>
    <row r="57" spans="1:16" x14ac:dyDescent="0.25">
      <c r="A57" t="str">
        <f>Jawa!U91</f>
        <v>JAWA</v>
      </c>
      <c r="B57">
        <f>Jawa!V91</f>
        <v>2034</v>
      </c>
      <c r="C57">
        <f>Jawa!W91</f>
        <v>747.81942344414006</v>
      </c>
      <c r="D57">
        <f>Jawa!X91</f>
        <v>209.23438846291842</v>
      </c>
      <c r="E57">
        <f>Jawa!Y91</f>
        <v>464.62489162656476</v>
      </c>
      <c r="F57">
        <f>Jawa!Z91</f>
        <v>1.4340097845176021</v>
      </c>
      <c r="G57">
        <f>Jawa!AA91</f>
        <v>24.926856753770576</v>
      </c>
      <c r="H57">
        <f>Jawa!AB91</f>
        <v>4.1399792696151181</v>
      </c>
      <c r="I57">
        <f>Jawa!AC91</f>
        <v>8.2494967215133403</v>
      </c>
      <c r="J57">
        <f>Jawa!AD91</f>
        <v>36.554894292421181</v>
      </c>
      <c r="K57">
        <f>Jawa!AE91</f>
        <v>101.15609668629374</v>
      </c>
      <c r="L57">
        <f>Jawa!AF91</f>
        <v>0.16010490711662531</v>
      </c>
      <c r="M57">
        <f>Jawa!AG91</f>
        <v>5.3327749323264194E-3</v>
      </c>
      <c r="N57">
        <f>Jawa!AH91</f>
        <v>0</v>
      </c>
      <c r="O57">
        <f>Jawa!AI91</f>
        <v>0</v>
      </c>
      <c r="P57">
        <f>Jawa!AJ91</f>
        <v>1598.3054747238043</v>
      </c>
    </row>
    <row r="58" spans="1:16" x14ac:dyDescent="0.25">
      <c r="A58" t="str">
        <f>Jawa!U92</f>
        <v>JAWA</v>
      </c>
      <c r="B58">
        <f>Jawa!V92</f>
        <v>2035</v>
      </c>
      <c r="C58">
        <f>Jawa!W92</f>
        <v>789.30332810304776</v>
      </c>
      <c r="D58">
        <f>Jawa!X92</f>
        <v>216.71902822111056</v>
      </c>
      <c r="E58">
        <f>Jawa!Y92</f>
        <v>494.65425291527828</v>
      </c>
      <c r="F58">
        <f>Jawa!Z92</f>
        <v>1.4938822809542094</v>
      </c>
      <c r="G58">
        <f>Jawa!AA92</f>
        <v>26.24328176220553</v>
      </c>
      <c r="H58">
        <f>Jawa!AB92</f>
        <v>4.5646421598056071</v>
      </c>
      <c r="I58">
        <f>Jawa!AC92</f>
        <v>11.921976705369458</v>
      </c>
      <c r="J58">
        <f>Jawa!AD92</f>
        <v>41.305668959199323</v>
      </c>
      <c r="K58">
        <f>Jawa!AE92</f>
        <v>102.38262005877851</v>
      </c>
      <c r="L58">
        <f>Jawa!AF92</f>
        <v>0.16010490711662531</v>
      </c>
      <c r="M58">
        <f>Jawa!AG92</f>
        <v>5.3327749323264194E-3</v>
      </c>
      <c r="N58">
        <f>Jawa!AH92</f>
        <v>0</v>
      </c>
      <c r="O58">
        <f>Jawa!AI92</f>
        <v>0</v>
      </c>
      <c r="P58">
        <f>Jawa!AJ92</f>
        <v>1688.7541188477981</v>
      </c>
    </row>
    <row r="59" spans="1:16" x14ac:dyDescent="0.25">
      <c r="A59" t="str">
        <f>Jawa!U93</f>
        <v>JAWA</v>
      </c>
      <c r="B59">
        <f>Jawa!V93</f>
        <v>2036</v>
      </c>
      <c r="C59">
        <f>Jawa!W93</f>
        <v>835.55375137464853</v>
      </c>
      <c r="D59">
        <f>Jawa!X93</f>
        <v>221.66577318483422</v>
      </c>
      <c r="E59">
        <f>Jawa!Y93</f>
        <v>529.52497876638574</v>
      </c>
      <c r="F59">
        <f>Jawa!Z93</f>
        <v>1.5609395060974436</v>
      </c>
      <c r="G59">
        <f>Jawa!AA93</f>
        <v>35.352927186197007</v>
      </c>
      <c r="H59">
        <f>Jawa!AB93</f>
        <v>5.1414699458396491</v>
      </c>
      <c r="I59">
        <f>Jawa!AC93</f>
        <v>13.758216563515491</v>
      </c>
      <c r="J59">
        <f>Jawa!AD93</f>
        <v>46.807435559875593</v>
      </c>
      <c r="K59">
        <f>Jawa!AE93</f>
        <v>102.99600079235591</v>
      </c>
      <c r="L59">
        <f>Jawa!AF93</f>
        <v>0.16010490711662531</v>
      </c>
      <c r="M59">
        <f>Jawa!AG93</f>
        <v>5.3327749323264194E-3</v>
      </c>
      <c r="N59">
        <f>Jawa!AH93</f>
        <v>0</v>
      </c>
      <c r="O59">
        <f>Jawa!AI93</f>
        <v>0</v>
      </c>
      <c r="P59">
        <f>Jawa!AJ93</f>
        <v>1792.526930561799</v>
      </c>
    </row>
    <row r="60" spans="1:16" x14ac:dyDescent="0.25">
      <c r="A60" t="str">
        <f>Jawa!U94</f>
        <v>JAWA</v>
      </c>
      <c r="B60">
        <f>Jawa!V94</f>
        <v>2037</v>
      </c>
      <c r="C60">
        <f>Jawa!W94</f>
        <v>882.72515985777829</v>
      </c>
      <c r="D60">
        <f>Jawa!X94</f>
        <v>234.30818342340027</v>
      </c>
      <c r="E60">
        <f>Jawa!Y94</f>
        <v>562.38628505857753</v>
      </c>
      <c r="F60">
        <f>Jawa!Z94</f>
        <v>1.62779191420436</v>
      </c>
      <c r="G60">
        <f>Jawa!AA94</f>
        <v>53.927905105438626</v>
      </c>
      <c r="H60">
        <f>Jawa!AB94</f>
        <v>5.4298664143671553</v>
      </c>
      <c r="I60">
        <f>Jawa!AC94</f>
        <v>14.676336492588513</v>
      </c>
      <c r="J60">
        <f>Jawa!AD94</f>
        <v>52.92972685323894</v>
      </c>
      <c r="K60">
        <f>Jawa!AE94</f>
        <v>103.30269115914463</v>
      </c>
      <c r="L60">
        <f>Jawa!AF94</f>
        <v>0.16010490711662531</v>
      </c>
      <c r="M60">
        <f>Jawa!AG94</f>
        <v>5.3327749323264194E-3</v>
      </c>
      <c r="N60">
        <f>Jawa!AH94</f>
        <v>3.1833482790175464E-17</v>
      </c>
      <c r="O60">
        <f>Jawa!AI94</f>
        <v>0</v>
      </c>
      <c r="P60">
        <f>Jawa!AJ94</f>
        <v>1911.4793839607871</v>
      </c>
    </row>
    <row r="61" spans="1:16" x14ac:dyDescent="0.25">
      <c r="A61" t="str">
        <f>Jawa!U95</f>
        <v>JAWA</v>
      </c>
      <c r="B61">
        <f>Jawa!V95</f>
        <v>2038</v>
      </c>
      <c r="C61">
        <f>Jawa!W95</f>
        <v>937.03643194975132</v>
      </c>
      <c r="D61">
        <f>Jawa!X95</f>
        <v>251.36019586652691</v>
      </c>
      <c r="E61">
        <f>Jawa!Y95</f>
        <v>599.19408868617336</v>
      </c>
      <c r="F61">
        <f>Jawa!Z95</f>
        <v>1.7057464044273571</v>
      </c>
      <c r="G61">
        <f>Jawa!AA95</f>
        <v>80.620697622092266</v>
      </c>
      <c r="H61">
        <f>Jawa!AB95</f>
        <v>5.5740820731204241</v>
      </c>
      <c r="I61">
        <f>Jawa!AC95</f>
        <v>15.135396457125028</v>
      </c>
      <c r="J61">
        <f>Jawa!AD95</f>
        <v>60.134781093714636</v>
      </c>
      <c r="K61">
        <f>Jawa!AE95</f>
        <v>103.45603634253897</v>
      </c>
      <c r="L61">
        <f>Jawa!AF95</f>
        <v>0.16010490711662531</v>
      </c>
      <c r="M61">
        <f>Jawa!AG95</f>
        <v>5.3327749323264194E-3</v>
      </c>
      <c r="N61">
        <f>Jawa!AH95</f>
        <v>3.1833482790175464E-17</v>
      </c>
      <c r="O61">
        <f>Jawa!AI95</f>
        <v>0</v>
      </c>
      <c r="P61">
        <f>Jawa!AJ95</f>
        <v>2054.3828941775191</v>
      </c>
    </row>
    <row r="62" spans="1:16" x14ac:dyDescent="0.25">
      <c r="A62" t="str">
        <f>bali_nt!U76</f>
        <v>BALI_NT</v>
      </c>
      <c r="B62">
        <f>bali_nt!V76</f>
        <v>2019</v>
      </c>
      <c r="C62">
        <f>bali_nt!W76</f>
        <v>14.380680187100689</v>
      </c>
      <c r="D62">
        <f>bali_nt!X76</f>
        <v>12.821836669369571</v>
      </c>
      <c r="E62">
        <f>bali_nt!Y76</f>
        <v>0</v>
      </c>
      <c r="F62">
        <f>bali_nt!Z76</f>
        <v>12.29218810261405</v>
      </c>
      <c r="G62">
        <f>bali_nt!AA76</f>
        <v>3.6821967286153847</v>
      </c>
      <c r="H62">
        <f>bali_nt!AB76</f>
        <v>6.1402507141700459E-3</v>
      </c>
      <c r="I62">
        <f>bali_nt!AC76</f>
        <v>8.5234530461538449E-2</v>
      </c>
      <c r="J62">
        <f>bali_nt!AD76</f>
        <v>2.2974985151999999E-2</v>
      </c>
      <c r="K62">
        <f>bali_nt!AE76</f>
        <v>0</v>
      </c>
      <c r="L62">
        <f>bali_nt!AF76</f>
        <v>0</v>
      </c>
      <c r="M62">
        <f>bali_nt!AG76</f>
        <v>0</v>
      </c>
      <c r="N62">
        <f>bali_nt!AH76</f>
        <v>0</v>
      </c>
      <c r="O62">
        <f>bali_nt!AI76</f>
        <v>0</v>
      </c>
      <c r="P62">
        <f>bali_nt!AJ76</f>
        <v>43.291251454027403</v>
      </c>
    </row>
    <row r="63" spans="1:16" x14ac:dyDescent="0.25">
      <c r="A63" t="str">
        <f>bali_nt!U77</f>
        <v>BALI_NT</v>
      </c>
      <c r="B63">
        <f>bali_nt!V77</f>
        <v>2020</v>
      </c>
      <c r="C63">
        <f>bali_nt!W77</f>
        <v>16.559017840841204</v>
      </c>
      <c r="D63">
        <f>bali_nt!X77</f>
        <v>12.821836669369571</v>
      </c>
      <c r="E63">
        <f>bali_nt!Y77</f>
        <v>0</v>
      </c>
      <c r="F63">
        <f>bali_nt!Z77</f>
        <v>12.29218810261405</v>
      </c>
      <c r="G63">
        <f>bali_nt!AA77</f>
        <v>23.413368539977608</v>
      </c>
      <c r="H63">
        <f>bali_nt!AB77</f>
        <v>6.1402507141700459E-3</v>
      </c>
      <c r="I63">
        <f>bali_nt!AC77</f>
        <v>8.5234530461538449E-2</v>
      </c>
      <c r="J63">
        <f>bali_nt!AD77</f>
        <v>0.18484502596515773</v>
      </c>
      <c r="K63">
        <f>bali_nt!AE77</f>
        <v>0</v>
      </c>
      <c r="L63">
        <f>bali_nt!AF77</f>
        <v>-8.01290322548843E-9</v>
      </c>
      <c r="M63">
        <f>bali_nt!AG77</f>
        <v>-3.1799999999807876E-10</v>
      </c>
      <c r="N63">
        <f>bali_nt!AH77</f>
        <v>0</v>
      </c>
      <c r="O63">
        <f>bali_nt!AI77</f>
        <v>0</v>
      </c>
      <c r="P63">
        <f>bali_nt!AJ77</f>
        <v>65.362630951612388</v>
      </c>
    </row>
    <row r="64" spans="1:16" x14ac:dyDescent="0.25">
      <c r="A64" t="str">
        <f>bali_nt!U78</f>
        <v>BALI_NT</v>
      </c>
      <c r="B64">
        <f>bali_nt!V78</f>
        <v>2021</v>
      </c>
      <c r="C64">
        <f>bali_nt!W78</f>
        <v>18.657829266224869</v>
      </c>
      <c r="D64">
        <f>bali_nt!X78</f>
        <v>12.821836669369571</v>
      </c>
      <c r="E64">
        <f>bali_nt!Y78</f>
        <v>0.24635452030224897</v>
      </c>
      <c r="F64">
        <f>bali_nt!Z78</f>
        <v>12.292188081495263</v>
      </c>
      <c r="G64">
        <f>bali_nt!AA78</f>
        <v>23.41336839029481</v>
      </c>
      <c r="H64">
        <f>bali_nt!AB78</f>
        <v>0.15265718787567747</v>
      </c>
      <c r="I64">
        <f>bali_nt!AC78</f>
        <v>8.5234530461538449E-2</v>
      </c>
      <c r="J64">
        <f>bali_nt!AD78</f>
        <v>0.32636696127097864</v>
      </c>
      <c r="K64">
        <f>bali_nt!AE78</f>
        <v>0</v>
      </c>
      <c r="L64">
        <f>bali_nt!AF78</f>
        <v>0</v>
      </c>
      <c r="M64">
        <f>bali_nt!AG78</f>
        <v>1.1215167775196503E-17</v>
      </c>
      <c r="N64">
        <f>bali_nt!AH78</f>
        <v>0</v>
      </c>
      <c r="O64">
        <f>bali_nt!AI78</f>
        <v>0</v>
      </c>
      <c r="P64">
        <f>bali_nt!AJ78</f>
        <v>67.99583560729495</v>
      </c>
    </row>
    <row r="65" spans="1:16" x14ac:dyDescent="0.25">
      <c r="A65" t="str">
        <f>bali_nt!U79</f>
        <v>BALI_NT</v>
      </c>
      <c r="B65">
        <f>bali_nt!V79</f>
        <v>2022</v>
      </c>
      <c r="C65">
        <f>bali_nt!W79</f>
        <v>20.464329501468168</v>
      </c>
      <c r="D65">
        <f>bali_nt!X79</f>
        <v>12.821836649958131</v>
      </c>
      <c r="E65">
        <f>bali_nt!Y79</f>
        <v>0.98149756414842093</v>
      </c>
      <c r="F65">
        <f>bali_nt!Z79</f>
        <v>12.292188081495263</v>
      </c>
      <c r="G65">
        <f>bali_nt!AA79</f>
        <v>23.41336839029481</v>
      </c>
      <c r="H65">
        <f>bali_nt!AB79</f>
        <v>0.25092408109779513</v>
      </c>
      <c r="I65">
        <f>bali_nt!AC79</f>
        <v>8.5234530461538449E-2</v>
      </c>
      <c r="J65">
        <f>bali_nt!AD79</f>
        <v>0.43670289058680528</v>
      </c>
      <c r="K65">
        <f>bali_nt!AE79</f>
        <v>0</v>
      </c>
      <c r="L65">
        <f>bali_nt!AF79</f>
        <v>0</v>
      </c>
      <c r="M65">
        <f>bali_nt!AG79</f>
        <v>0</v>
      </c>
      <c r="N65">
        <f>bali_nt!AH79</f>
        <v>0</v>
      </c>
      <c r="O65">
        <f>bali_nt!AI79</f>
        <v>0</v>
      </c>
      <c r="P65">
        <f>bali_nt!AJ79</f>
        <v>70.746081689510916</v>
      </c>
    </row>
    <row r="66" spans="1:16" x14ac:dyDescent="0.25">
      <c r="A66" t="str">
        <f>bali_nt!U80</f>
        <v>BALI_NT</v>
      </c>
      <c r="B66">
        <f>bali_nt!V80</f>
        <v>2023</v>
      </c>
      <c r="C66">
        <f>bali_nt!W80</f>
        <v>21.975257848326127</v>
      </c>
      <c r="D66">
        <f>bali_nt!X80</f>
        <v>12.821836649958131</v>
      </c>
      <c r="E66">
        <f>bali_nt!Y80</f>
        <v>2.2203700159437707</v>
      </c>
      <c r="F66">
        <f>bali_nt!Z80</f>
        <v>12.292188081495263</v>
      </c>
      <c r="G66">
        <f>bali_nt!AA80</f>
        <v>23.413368240612023</v>
      </c>
      <c r="H66">
        <f>bali_nt!AB80</f>
        <v>0.29904402119552942</v>
      </c>
      <c r="I66">
        <f>bali_nt!AC80</f>
        <v>8.5234530461538449E-2</v>
      </c>
      <c r="J66">
        <f>bali_nt!AD80</f>
        <v>0.50788794246044167</v>
      </c>
      <c r="K66">
        <f>bali_nt!AE80</f>
        <v>0</v>
      </c>
      <c r="L66">
        <f>bali_nt!AF80</f>
        <v>0</v>
      </c>
      <c r="M66">
        <f>bali_nt!AG80</f>
        <v>0</v>
      </c>
      <c r="N66">
        <f>bali_nt!AH80</f>
        <v>0</v>
      </c>
      <c r="O66">
        <f>bali_nt!AI80</f>
        <v>0</v>
      </c>
      <c r="P66">
        <f>bali_nt!AJ80</f>
        <v>73.615187330452812</v>
      </c>
    </row>
    <row r="67" spans="1:16" x14ac:dyDescent="0.25">
      <c r="A67" t="str">
        <f>bali_nt!U81</f>
        <v>BALI_NT</v>
      </c>
      <c r="B67">
        <f>bali_nt!V81</f>
        <v>2024</v>
      </c>
      <c r="C67">
        <f>bali_nt!W81</f>
        <v>22.422940880488579</v>
      </c>
      <c r="D67">
        <f>bali_nt!X81</f>
        <v>12.821836630546695</v>
      </c>
      <c r="E67">
        <f>bali_nt!Y81</f>
        <v>2.3703722771723452</v>
      </c>
      <c r="F67">
        <f>bali_nt!Z81</f>
        <v>12.292188081495263</v>
      </c>
      <c r="G67">
        <f>bali_nt!AA81</f>
        <v>23.413368240612023</v>
      </c>
      <c r="H67">
        <f>bali_nt!AB81</f>
        <v>0.29904402119552942</v>
      </c>
      <c r="I67">
        <f>bali_nt!AC81</f>
        <v>8.5234530461538449E-2</v>
      </c>
      <c r="J67">
        <f>bali_nt!AD81</f>
        <v>0.59047019459289307</v>
      </c>
      <c r="K67">
        <f>bali_nt!AE81</f>
        <v>0</v>
      </c>
      <c r="L67">
        <f>bali_nt!AF81</f>
        <v>2.2352653578138253</v>
      </c>
      <c r="M67">
        <f>bali_nt!AG81</f>
        <v>0</v>
      </c>
      <c r="N67">
        <f>bali_nt!AH81</f>
        <v>0</v>
      </c>
      <c r="O67">
        <f>bali_nt!AI81</f>
        <v>0</v>
      </c>
      <c r="P67">
        <f>bali_nt!AJ81</f>
        <v>76.53072021437869</v>
      </c>
    </row>
    <row r="68" spans="1:16" x14ac:dyDescent="0.25">
      <c r="A68" t="str">
        <f>bali_nt!U82</f>
        <v>BALI_NT</v>
      </c>
      <c r="B68">
        <f>bali_nt!V82</f>
        <v>2025</v>
      </c>
      <c r="C68">
        <f>bali_nt!W82</f>
        <v>23.082355862070369</v>
      </c>
      <c r="D68">
        <f>bali_nt!X82</f>
        <v>12.821836611135256</v>
      </c>
      <c r="E68">
        <f>bali_nt!Y82</f>
        <v>2.8969757201347819</v>
      </c>
      <c r="F68">
        <f>bali_nt!Z82</f>
        <v>12.292188081495263</v>
      </c>
      <c r="G68">
        <f>bali_nt!AA82</f>
        <v>23.413368240612023</v>
      </c>
      <c r="H68">
        <f>bali_nt!AB82</f>
        <v>0.2990440203543992</v>
      </c>
      <c r="I68">
        <f>bali_nt!AC82</f>
        <v>8.5234530461538449E-2</v>
      </c>
      <c r="J68">
        <f>bali_nt!AD82</f>
        <v>0.67091712808707316</v>
      </c>
      <c r="K68">
        <f>bali_nt!AE82</f>
        <v>0</v>
      </c>
      <c r="L68">
        <f>bali_nt!AF82</f>
        <v>4.1033110907571295</v>
      </c>
      <c r="M68">
        <f>bali_nt!AG82</f>
        <v>0</v>
      </c>
      <c r="N68">
        <f>bali_nt!AH82</f>
        <v>0</v>
      </c>
      <c r="O68">
        <f>bali_nt!AI82</f>
        <v>0</v>
      </c>
      <c r="P68">
        <f>bali_nt!AJ82</f>
        <v>79.665231285107836</v>
      </c>
    </row>
    <row r="69" spans="1:16" x14ac:dyDescent="0.25">
      <c r="A69" t="str">
        <f>bali_nt!U83</f>
        <v>BALI_NT</v>
      </c>
      <c r="B69">
        <f>bali_nt!V83</f>
        <v>2026</v>
      </c>
      <c r="C69">
        <f>bali_nt!W83</f>
        <v>24.097529541173749</v>
      </c>
      <c r="D69">
        <f>bali_nt!X83</f>
        <v>12.821836611135256</v>
      </c>
      <c r="E69">
        <f>bali_nt!Y83</f>
        <v>3.6599214013239458</v>
      </c>
      <c r="F69">
        <f>bali_nt!Z83</f>
        <v>12.292188081495263</v>
      </c>
      <c r="G69">
        <f>bali_nt!AA83</f>
        <v>23.413368090929229</v>
      </c>
      <c r="H69">
        <f>bali_nt!AB83</f>
        <v>0.2990440203543992</v>
      </c>
      <c r="I69">
        <f>bali_nt!AC83</f>
        <v>8.5234530461538449E-2</v>
      </c>
      <c r="J69">
        <f>bali_nt!AD83</f>
        <v>0.74821346853794657</v>
      </c>
      <c r="K69">
        <f>bali_nt!AE83</f>
        <v>0</v>
      </c>
      <c r="L69">
        <f>bali_nt!AF83</f>
        <v>5.6014031131520987</v>
      </c>
      <c r="M69">
        <f>bali_nt!AG83</f>
        <v>0</v>
      </c>
      <c r="N69">
        <f>bali_nt!AH83</f>
        <v>0</v>
      </c>
      <c r="O69">
        <f>bali_nt!AI83</f>
        <v>0</v>
      </c>
      <c r="P69">
        <f>bali_nt!AJ83</f>
        <v>83.018738858563424</v>
      </c>
    </row>
    <row r="70" spans="1:16" x14ac:dyDescent="0.25">
      <c r="A70" t="str">
        <f>bali_nt!U84</f>
        <v>BALI_NT</v>
      </c>
      <c r="B70">
        <f>bali_nt!V84</f>
        <v>2027</v>
      </c>
      <c r="C70">
        <f>bali_nt!W84</f>
        <v>25.026020188683354</v>
      </c>
      <c r="D70">
        <f>bali_nt!X84</f>
        <v>14.615584755107083</v>
      </c>
      <c r="E70">
        <f>bali_nt!Y84</f>
        <v>3.6599213942075539</v>
      </c>
      <c r="F70">
        <f>bali_nt!Z84</f>
        <v>12.292188081495263</v>
      </c>
      <c r="G70">
        <f>bali_nt!AA84</f>
        <v>23.413368090929229</v>
      </c>
      <c r="H70">
        <f>bali_nt!AB84</f>
        <v>0.29904401951326892</v>
      </c>
      <c r="I70">
        <f>bali_nt!AC84</f>
        <v>8.5234530461538449E-2</v>
      </c>
      <c r="J70">
        <f>bali_nt!AD84</f>
        <v>0.83018755913326181</v>
      </c>
      <c r="K70">
        <f>bali_nt!AE84</f>
        <v>0</v>
      </c>
      <c r="L70">
        <f>bali_nt!AF84</f>
        <v>7.036152623112133</v>
      </c>
      <c r="M70">
        <f>bali_nt!AG84</f>
        <v>0</v>
      </c>
      <c r="N70">
        <f>bali_nt!AH84</f>
        <v>0</v>
      </c>
      <c r="O70">
        <f>bali_nt!AI84</f>
        <v>0</v>
      </c>
      <c r="P70">
        <f>bali_nt!AJ84</f>
        <v>87.257701242642682</v>
      </c>
    </row>
    <row r="71" spans="1:16" x14ac:dyDescent="0.25">
      <c r="A71" t="str">
        <f>bali_nt!U85</f>
        <v>BALI_NT</v>
      </c>
      <c r="B71">
        <f>bali_nt!V85</f>
        <v>2028</v>
      </c>
      <c r="C71">
        <f>bali_nt!W85</f>
        <v>26.094231570329175</v>
      </c>
      <c r="D71">
        <f>bali_nt!X85</f>
        <v>17.127197203791226</v>
      </c>
      <c r="E71">
        <f>bali_nt!Y85</f>
        <v>3.6599213870911602</v>
      </c>
      <c r="F71">
        <f>bali_nt!Z85</f>
        <v>12.292188081495263</v>
      </c>
      <c r="G71">
        <f>bali_nt!AA85</f>
        <v>23.413367941246431</v>
      </c>
      <c r="H71">
        <f>bali_nt!AB85</f>
        <v>0.29904401951326892</v>
      </c>
      <c r="I71">
        <f>bali_nt!AC85</f>
        <v>8.5234530461538449E-2</v>
      </c>
      <c r="J71">
        <f>bali_nt!AD85</f>
        <v>0.90872497556138176</v>
      </c>
      <c r="K71">
        <f>bali_nt!AE85</f>
        <v>0</v>
      </c>
      <c r="L71">
        <f>bali_nt!AF85</f>
        <v>8.1352940076702698</v>
      </c>
      <c r="M71">
        <f>bali_nt!AG85</f>
        <v>0</v>
      </c>
      <c r="N71">
        <f>bali_nt!AH85</f>
        <v>0</v>
      </c>
      <c r="O71">
        <f>bali_nt!AI85</f>
        <v>0</v>
      </c>
      <c r="P71">
        <f>bali_nt!AJ85</f>
        <v>92.015203717159707</v>
      </c>
    </row>
    <row r="72" spans="1:16" x14ac:dyDescent="0.25">
      <c r="A72" t="str">
        <f>bali_nt!U86</f>
        <v>BALI_NT</v>
      </c>
      <c r="B72">
        <f>bali_nt!V86</f>
        <v>2029</v>
      </c>
      <c r="C72">
        <f>bali_nt!W86</f>
        <v>27.173954960059337</v>
      </c>
      <c r="D72">
        <f>bali_nt!X86</f>
        <v>17.127197203791226</v>
      </c>
      <c r="E72">
        <f>bali_nt!Y86</f>
        <v>4.2880158507527693</v>
      </c>
      <c r="F72">
        <f>bali_nt!Z86</f>
        <v>12.292188081495263</v>
      </c>
      <c r="G72">
        <f>bali_nt!AA86</f>
        <v>23.413367791563637</v>
      </c>
      <c r="H72">
        <f>bali_nt!AB86</f>
        <v>0.2990440186721387</v>
      </c>
      <c r="I72">
        <f>bali_nt!AC86</f>
        <v>8.5234530461538449E-2</v>
      </c>
      <c r="J72">
        <f>bali_nt!AD86</f>
        <v>1.030578666537463</v>
      </c>
      <c r="K72">
        <f>bali_nt!AE86</f>
        <v>0</v>
      </c>
      <c r="L72">
        <f>bali_nt!AF86</f>
        <v>10.381819742807044</v>
      </c>
      <c r="M72">
        <f>bali_nt!AG86</f>
        <v>0</v>
      </c>
      <c r="N72">
        <f>bali_nt!AH86</f>
        <v>0</v>
      </c>
      <c r="O72">
        <f>bali_nt!AI86</f>
        <v>0</v>
      </c>
      <c r="P72">
        <f>bali_nt!AJ86</f>
        <v>96.091400846140402</v>
      </c>
    </row>
    <row r="73" spans="1:16" x14ac:dyDescent="0.25">
      <c r="A73" t="str">
        <f>bali_nt!U87</f>
        <v>BALI_NT</v>
      </c>
      <c r="B73">
        <f>bali_nt!V87</f>
        <v>2030</v>
      </c>
      <c r="C73">
        <f>bali_nt!W87</f>
        <v>28.332503993237363</v>
      </c>
      <c r="D73">
        <f>bali_nt!X87</f>
        <v>20.961823049453944</v>
      </c>
      <c r="E73">
        <f>bali_nt!Y87</f>
        <v>4.2880158507527693</v>
      </c>
      <c r="F73">
        <f>bali_nt!Z87</f>
        <v>12.292188081495263</v>
      </c>
      <c r="G73">
        <f>bali_nt!AA87</f>
        <v>23.413367641880846</v>
      </c>
      <c r="H73">
        <f>bali_nt!AB87</f>
        <v>0.2990440186721387</v>
      </c>
      <c r="I73">
        <f>bali_nt!AC87</f>
        <v>8.5234530461538449E-2</v>
      </c>
      <c r="J73">
        <f>bali_nt!AD87</f>
        <v>1.0867562013485703</v>
      </c>
      <c r="K73">
        <f>bali_nt!AE87</f>
        <v>0</v>
      </c>
      <c r="L73">
        <f>bali_nt!AF87</f>
        <v>10.38181972279393</v>
      </c>
      <c r="M73">
        <f>bali_nt!AG87</f>
        <v>0</v>
      </c>
      <c r="N73">
        <f>bali_nt!AH87</f>
        <v>0</v>
      </c>
      <c r="O73">
        <f>bali_nt!AI87</f>
        <v>0</v>
      </c>
      <c r="P73">
        <f>bali_nt!AJ87</f>
        <v>101.14075309009637</v>
      </c>
    </row>
    <row r="74" spans="1:16" x14ac:dyDescent="0.25">
      <c r="A74" t="str">
        <f>bali_nt!U88</f>
        <v>BALI_NT</v>
      </c>
      <c r="B74">
        <f>bali_nt!V88</f>
        <v>2031</v>
      </c>
      <c r="C74">
        <f>bali_nt!W88</f>
        <v>29.775108413789997</v>
      </c>
      <c r="D74">
        <f>bali_nt!X88</f>
        <v>23.163404886770177</v>
      </c>
      <c r="E74">
        <f>bali_nt!Y88</f>
        <v>4.893833954378878</v>
      </c>
      <c r="F74">
        <f>bali_nt!Z88</f>
        <v>12.292188081495263</v>
      </c>
      <c r="G74">
        <f>bali_nt!AA88</f>
        <v>23.413367641880846</v>
      </c>
      <c r="H74">
        <f>bali_nt!AB88</f>
        <v>0.2990440186721387</v>
      </c>
      <c r="I74">
        <f>bali_nt!AC88</f>
        <v>8.5234530461538449E-2</v>
      </c>
      <c r="J74">
        <f>bali_nt!AD88</f>
        <v>1.1854257478316856</v>
      </c>
      <c r="K74">
        <f>bali_nt!AE88</f>
        <v>0</v>
      </c>
      <c r="L74">
        <f>bali_nt!AF88</f>
        <v>11.47236867752938</v>
      </c>
      <c r="M74">
        <f>bali_nt!AG88</f>
        <v>0</v>
      </c>
      <c r="N74">
        <f>bali_nt!AH88</f>
        <v>0</v>
      </c>
      <c r="O74">
        <f>bali_nt!AI88</f>
        <v>0</v>
      </c>
      <c r="P74">
        <f>bali_nt!AJ88</f>
        <v>106.5799759528099</v>
      </c>
    </row>
    <row r="75" spans="1:16" x14ac:dyDescent="0.25">
      <c r="A75" t="str">
        <f>bali_nt!U89</f>
        <v>BALI_NT</v>
      </c>
      <c r="B75">
        <f>bali_nt!V89</f>
        <v>2032</v>
      </c>
      <c r="C75">
        <f>bali_nt!W89</f>
        <v>31.301118123799682</v>
      </c>
      <c r="D75">
        <f>bali_nt!X89</f>
        <v>26.202548420289382</v>
      </c>
      <c r="E75">
        <f>bali_nt!Y89</f>
        <v>4.893833954378878</v>
      </c>
      <c r="F75">
        <f>bali_nt!Z89</f>
        <v>12.292188081495263</v>
      </c>
      <c r="G75">
        <f>bali_nt!AA89</f>
        <v>23.413367641880846</v>
      </c>
      <c r="H75">
        <f>bali_nt!AB89</f>
        <v>0.33680474003841121</v>
      </c>
      <c r="I75">
        <f>bali_nt!AC89</f>
        <v>8.5234530461538449E-2</v>
      </c>
      <c r="J75">
        <f>bali_nt!AD89</f>
        <v>1.3345594413672899</v>
      </c>
      <c r="K75">
        <f>bali_nt!AE89</f>
        <v>0</v>
      </c>
      <c r="L75">
        <f>bali_nt!AF89</f>
        <v>12.090347839955758</v>
      </c>
      <c r="M75">
        <f>bali_nt!AG89</f>
        <v>0</v>
      </c>
      <c r="N75">
        <f>bali_nt!AH89</f>
        <v>0</v>
      </c>
      <c r="O75">
        <f>bali_nt!AI89</f>
        <v>0</v>
      </c>
      <c r="P75">
        <f>bali_nt!AJ89</f>
        <v>111.95000277366704</v>
      </c>
    </row>
    <row r="76" spans="1:16" x14ac:dyDescent="0.25">
      <c r="A76" t="str">
        <f>bali_nt!U90</f>
        <v>BALI_NT</v>
      </c>
      <c r="B76">
        <f>bali_nt!V90</f>
        <v>2033</v>
      </c>
      <c r="C76">
        <f>bali_nt!W90</f>
        <v>32.605041103448272</v>
      </c>
      <c r="D76">
        <f>bali_nt!X90</f>
        <v>26.202548420289382</v>
      </c>
      <c r="E76">
        <f>bali_nt!Y90</f>
        <v>5.9463618440349855</v>
      </c>
      <c r="F76">
        <f>bali_nt!Z90</f>
        <v>12.29218806037648</v>
      </c>
      <c r="G76">
        <f>bali_nt!AA90</f>
        <v>23.413367492198049</v>
      </c>
      <c r="H76">
        <f>bali_nt!AB90</f>
        <v>0.37694405122637109</v>
      </c>
      <c r="I76">
        <f>bali_nt!AC90</f>
        <v>8.5234530461538449E-2</v>
      </c>
      <c r="J76">
        <f>bali_nt!AD90</f>
        <v>1.4885770326407368</v>
      </c>
      <c r="K76">
        <f>bali_nt!AE90</f>
        <v>0</v>
      </c>
      <c r="L76">
        <f>bali_nt!AF90</f>
        <v>12.399337421168944</v>
      </c>
      <c r="M76">
        <f>bali_nt!AG90</f>
        <v>0</v>
      </c>
      <c r="N76">
        <f>bali_nt!AH90</f>
        <v>0</v>
      </c>
      <c r="O76">
        <f>bali_nt!AI90</f>
        <v>0</v>
      </c>
      <c r="P76">
        <f>bali_nt!AJ90</f>
        <v>114.80959995584476</v>
      </c>
    </row>
    <row r="77" spans="1:16" x14ac:dyDescent="0.25">
      <c r="A77" t="str">
        <f>bali_nt!U91</f>
        <v>BALI_NT</v>
      </c>
      <c r="B77">
        <f>bali_nt!V91</f>
        <v>2034</v>
      </c>
      <c r="C77">
        <f>bali_nt!W91</f>
        <v>34.288485004838009</v>
      </c>
      <c r="D77">
        <f>bali_nt!X91</f>
        <v>29.588260687059439</v>
      </c>
      <c r="E77">
        <f>bali_nt!Y91</f>
        <v>5.9463618440349855</v>
      </c>
      <c r="F77">
        <f>bali_nt!Z91</f>
        <v>12.29218806037648</v>
      </c>
      <c r="G77">
        <f>bali_nt!AA91</f>
        <v>23.413367342515265</v>
      </c>
      <c r="H77">
        <f>bali_nt!AB91</f>
        <v>0.43198654765418082</v>
      </c>
      <c r="I77">
        <f>bali_nt!AC91</f>
        <v>8.5234530461538449E-2</v>
      </c>
      <c r="J77">
        <f>bali_nt!AD91</f>
        <v>1.6760879815900795</v>
      </c>
      <c r="K77">
        <f>bali_nt!AE91</f>
        <v>0</v>
      </c>
      <c r="L77">
        <f>bali_nt!AF91</f>
        <v>12.553832211775539</v>
      </c>
      <c r="M77">
        <f>bali_nt!AG91</f>
        <v>0</v>
      </c>
      <c r="N77">
        <f>bali_nt!AH91</f>
        <v>0</v>
      </c>
      <c r="O77">
        <f>bali_nt!AI91</f>
        <v>0</v>
      </c>
      <c r="P77">
        <f>bali_nt!AJ91</f>
        <v>120.27580421030551</v>
      </c>
    </row>
    <row r="78" spans="1:16" x14ac:dyDescent="0.25">
      <c r="A78" t="str">
        <f>bali_nt!U92</f>
        <v>BALI_NT</v>
      </c>
      <c r="B78">
        <f>bali_nt!V92</f>
        <v>2035</v>
      </c>
      <c r="C78">
        <f>bali_nt!W92</f>
        <v>35.888831980847002</v>
      </c>
      <c r="D78">
        <f>bali_nt!X92</f>
        <v>29.588260667647997</v>
      </c>
      <c r="E78">
        <f>bali_nt!Y92</f>
        <v>7.238562341240832</v>
      </c>
      <c r="F78">
        <f>bali_nt!Z92</f>
        <v>12.29218806037648</v>
      </c>
      <c r="G78">
        <f>bali_nt!AA92</f>
        <v>24.162363498436374</v>
      </c>
      <c r="H78">
        <f>bali_nt!AB92</f>
        <v>0.48149603244733369</v>
      </c>
      <c r="I78">
        <f>bali_nt!AC92</f>
        <v>8.5234530461538449E-2</v>
      </c>
      <c r="J78">
        <f>bali_nt!AD92</f>
        <v>1.8781282080813004</v>
      </c>
      <c r="K78">
        <f>bali_nt!AE92</f>
        <v>0</v>
      </c>
      <c r="L78">
        <f>bali_nt!AF92</f>
        <v>12.631079607078835</v>
      </c>
      <c r="M78">
        <f>bali_nt!AG92</f>
        <v>-3.1799999999475401E-10</v>
      </c>
      <c r="N78">
        <f>bali_nt!AH92</f>
        <v>0</v>
      </c>
      <c r="O78">
        <f>bali_nt!AI92</f>
        <v>0</v>
      </c>
      <c r="P78">
        <f>bali_nt!AJ92</f>
        <v>124.24614492629971</v>
      </c>
    </row>
    <row r="79" spans="1:16" x14ac:dyDescent="0.25">
      <c r="A79" t="str">
        <f>bali_nt!U93</f>
        <v>BALI_NT</v>
      </c>
      <c r="B79">
        <f>bali_nt!V93</f>
        <v>2036</v>
      </c>
      <c r="C79">
        <f>bali_nt!W93</f>
        <v>37.585078511386932</v>
      </c>
      <c r="D79">
        <f>bali_nt!X93</f>
        <v>33.061798308209781</v>
      </c>
      <c r="E79">
        <f>bali_nt!Y93</f>
        <v>7.238562341240832</v>
      </c>
      <c r="F79">
        <f>bali_nt!Z93</f>
        <v>12.29218806037648</v>
      </c>
      <c r="G79">
        <f>bali_nt!AA93</f>
        <v>28.484190912467678</v>
      </c>
      <c r="H79">
        <f>bali_nt!AB93</f>
        <v>0.5062507748439099</v>
      </c>
      <c r="I79">
        <f>bali_nt!AC93</f>
        <v>8.5234530461538449E-2</v>
      </c>
      <c r="J79">
        <f>bali_nt!AD93</f>
        <v>2.1055043107310629</v>
      </c>
      <c r="K79">
        <f>bali_nt!AE93</f>
        <v>0</v>
      </c>
      <c r="L79">
        <f>bali_nt!AF93</f>
        <v>12.669703304730485</v>
      </c>
      <c r="M79">
        <f>bali_nt!AG93</f>
        <v>0</v>
      </c>
      <c r="N79">
        <f>bali_nt!AH93</f>
        <v>0</v>
      </c>
      <c r="O79">
        <f>bali_nt!AI93</f>
        <v>0</v>
      </c>
      <c r="P79">
        <f>bali_nt!AJ93</f>
        <v>134.0285110544487</v>
      </c>
    </row>
    <row r="80" spans="1:16" x14ac:dyDescent="0.25">
      <c r="A80" t="str">
        <f>bali_nt!U94</f>
        <v>BALI_NT</v>
      </c>
      <c r="B80">
        <f>bali_nt!V94</f>
        <v>2037</v>
      </c>
      <c r="C80">
        <f>bali_nt!W94</f>
        <v>39.368282151724131</v>
      </c>
      <c r="D80">
        <f>bali_nt!X94</f>
        <v>33.061798308209781</v>
      </c>
      <c r="E80">
        <f>bali_nt!Y94</f>
        <v>8.6920253354657895</v>
      </c>
      <c r="F80">
        <f>bali_nt!Z94</f>
        <v>12.292188039257697</v>
      </c>
      <c r="G80">
        <f>bali_nt!AA94</f>
        <v>34.790583467916854</v>
      </c>
      <c r="H80">
        <f>bali_nt!AB94</f>
        <v>0.51862814604219809</v>
      </c>
      <c r="I80">
        <f>bali_nt!AC94</f>
        <v>8.5234530461538449E-2</v>
      </c>
      <c r="J80">
        <f>bali_nt!AD94</f>
        <v>2.3605931513734704</v>
      </c>
      <c r="K80">
        <f>bali_nt!AE94</f>
        <v>0</v>
      </c>
      <c r="L80">
        <f>bali_nt!AF94</f>
        <v>12.68901515355631</v>
      </c>
      <c r="M80">
        <f>bali_nt!AG94</f>
        <v>0</v>
      </c>
      <c r="N80">
        <f>bali_nt!AH94</f>
        <v>0</v>
      </c>
      <c r="O80">
        <f>bali_nt!AI94</f>
        <v>0</v>
      </c>
      <c r="P80">
        <f>bali_nt!AJ94</f>
        <v>143.8583482840078</v>
      </c>
    </row>
    <row r="81" spans="1:16" x14ac:dyDescent="0.25">
      <c r="A81" t="str">
        <f>bali_nt!U95</f>
        <v>BALI_NT</v>
      </c>
      <c r="B81">
        <f>bali_nt!V95</f>
        <v>2038</v>
      </c>
      <c r="C81">
        <f>bali_nt!W95</f>
        <v>41.469072331034496</v>
      </c>
      <c r="D81">
        <f>bali_nt!X95</f>
        <v>37.366864854303984</v>
      </c>
      <c r="E81">
        <f>bali_nt!Y95</f>
        <v>8.6920253354657895</v>
      </c>
      <c r="F81">
        <f>bali_nt!Z95</f>
        <v>12.292188018138912</v>
      </c>
      <c r="G81">
        <f>bali_nt!AA95</f>
        <v>43.113375195333859</v>
      </c>
      <c r="H81">
        <f>bali_nt!AB95</f>
        <v>0.5248168316413423</v>
      </c>
      <c r="I81">
        <f>bali_nt!AC95</f>
        <v>8.5234530461538449E-2</v>
      </c>
      <c r="J81">
        <f>bali_nt!AD95</f>
        <v>2.6613014516247047</v>
      </c>
      <c r="K81">
        <f>bali_nt!AE95</f>
        <v>0</v>
      </c>
      <c r="L81">
        <f>bali_nt!AF95</f>
        <v>12.698671077969221</v>
      </c>
      <c r="M81">
        <f>bali_nt!AG95</f>
        <v>1.1215167775196503E-17</v>
      </c>
      <c r="N81">
        <f>bali_nt!AH95</f>
        <v>0</v>
      </c>
      <c r="O81">
        <f>bali_nt!AI95</f>
        <v>0</v>
      </c>
      <c r="P81">
        <f>bali_nt!AJ95</f>
        <v>158.90354962597385</v>
      </c>
    </row>
    <row r="82" spans="1:16" x14ac:dyDescent="0.25">
      <c r="A82" t="str">
        <f>kalimantan!U76</f>
        <v>KALIMANTAN</v>
      </c>
      <c r="B82">
        <f>kalimantan!V76</f>
        <v>2019</v>
      </c>
      <c r="C82">
        <f>kalimantan!W76</f>
        <v>67.855079136000001</v>
      </c>
      <c r="D82">
        <f>kalimantan!X76</f>
        <v>10.385701290195453</v>
      </c>
      <c r="E82">
        <f>kalimantan!Y76</f>
        <v>0.42698357802197795</v>
      </c>
      <c r="F82">
        <f>kalimantan!Z76</f>
        <v>36.422932832119869</v>
      </c>
      <c r="G82">
        <f>kalimantan!AA76</f>
        <v>0</v>
      </c>
      <c r="H82">
        <f>kalimantan!AB76</f>
        <v>0.22228548715530383</v>
      </c>
      <c r="I82">
        <f>kalimantan!AC76</f>
        <v>1.8431967212307693E-2</v>
      </c>
      <c r="J82">
        <f>kalimantan!AD76</f>
        <v>3.3933997440000001E-3</v>
      </c>
      <c r="K82">
        <f>kalimantan!AE76</f>
        <v>0</v>
      </c>
      <c r="L82">
        <f>kalimantan!AF76</f>
        <v>1.9562818338312653</v>
      </c>
      <c r="M82">
        <f>kalimantan!AG76</f>
        <v>0</v>
      </c>
      <c r="N82">
        <f>kalimantan!AH76</f>
        <v>0</v>
      </c>
      <c r="O82">
        <f>kalimantan!AI76</f>
        <v>0</v>
      </c>
      <c r="P82">
        <f>kalimantan!AJ76</f>
        <v>117.29108952428018</v>
      </c>
    </row>
    <row r="83" spans="1:16" x14ac:dyDescent="0.25">
      <c r="A83" t="str">
        <f>kalimantan!U77</f>
        <v>KALIMANTAN</v>
      </c>
      <c r="B83">
        <f>kalimantan!V77</f>
        <v>2020</v>
      </c>
      <c r="C83">
        <f>kalimantan!W77</f>
        <v>73.722123354764378</v>
      </c>
      <c r="D83">
        <f>kalimantan!X77</f>
        <v>10.385701290195453</v>
      </c>
      <c r="E83">
        <f>kalimantan!Y77</f>
        <v>1.8879502993573922</v>
      </c>
      <c r="F83">
        <f>kalimantan!Z77</f>
        <v>36.422932832119869</v>
      </c>
      <c r="G83">
        <f>kalimantan!AA77</f>
        <v>0</v>
      </c>
      <c r="H83">
        <f>kalimantan!AB77</f>
        <v>0.22229143766410922</v>
      </c>
      <c r="I83">
        <f>kalimantan!AC77</f>
        <v>0.31991068020475244</v>
      </c>
      <c r="J83">
        <f>kalimantan!AD77</f>
        <v>5.6406246616452149</v>
      </c>
      <c r="K83">
        <f>kalimantan!AE77</f>
        <v>0.14955057141674191</v>
      </c>
      <c r="L83">
        <f>kalimantan!AF77</f>
        <v>1.9562818338312653</v>
      </c>
      <c r="M83">
        <f>kalimantan!AG77</f>
        <v>0</v>
      </c>
      <c r="N83">
        <f>kalimantan!AH77</f>
        <v>0</v>
      </c>
      <c r="O83">
        <f>kalimantan!AI77</f>
        <v>0</v>
      </c>
      <c r="P83">
        <f>kalimantan!AJ77</f>
        <v>130.70736696119917</v>
      </c>
    </row>
    <row r="84" spans="1:16" x14ac:dyDescent="0.25">
      <c r="A84" t="str">
        <f>kalimantan!U78</f>
        <v>KALIMANTAN</v>
      </c>
      <c r="B84">
        <f>kalimantan!V78</f>
        <v>2021</v>
      </c>
      <c r="C84">
        <f>kalimantan!W78</f>
        <v>77.077719252817133</v>
      </c>
      <c r="D84">
        <f>kalimantan!X78</f>
        <v>10.385701290195453</v>
      </c>
      <c r="E84">
        <f>kalimantan!Y78</f>
        <v>6.6153495446254098</v>
      </c>
      <c r="F84">
        <f>kalimantan!Z78</f>
        <v>36.422932832119869</v>
      </c>
      <c r="G84">
        <f>kalimantan!AA78</f>
        <v>0</v>
      </c>
      <c r="H84">
        <f>kalimantan!AB78</f>
        <v>0.42311982636203727</v>
      </c>
      <c r="I84">
        <f>kalimantan!AC78</f>
        <v>0.31991067487759434</v>
      </c>
      <c r="J84">
        <f>kalimantan!AD78</f>
        <v>5.640621473326104</v>
      </c>
      <c r="K84">
        <f>kalimantan!AE78</f>
        <v>0.14955056322827492</v>
      </c>
      <c r="L84">
        <f>kalimantan!AF78</f>
        <v>1.9562818338312653</v>
      </c>
      <c r="M84">
        <f>kalimantan!AG78</f>
        <v>0</v>
      </c>
      <c r="N84">
        <f>kalimantan!AH78</f>
        <v>0</v>
      </c>
      <c r="O84">
        <f>kalimantan!AI78</f>
        <v>0</v>
      </c>
      <c r="P84">
        <f>kalimantan!AJ78</f>
        <v>138.99118729138314</v>
      </c>
    </row>
    <row r="85" spans="1:16" x14ac:dyDescent="0.25">
      <c r="A85" t="str">
        <f>kalimantan!U79</f>
        <v>KALIMANTAN</v>
      </c>
      <c r="B85">
        <f>kalimantan!V79</f>
        <v>2022</v>
      </c>
      <c r="C85">
        <f>kalimantan!W79</f>
        <v>80.216657627763283</v>
      </c>
      <c r="D85">
        <f>kalimantan!X79</f>
        <v>10.385701290195453</v>
      </c>
      <c r="E85">
        <f>kalimantan!Y79</f>
        <v>12.14109564524483</v>
      </c>
      <c r="F85">
        <f>kalimantan!Z79</f>
        <v>36.422932832119869</v>
      </c>
      <c r="G85">
        <f>kalimantan!AA79</f>
        <v>0</v>
      </c>
      <c r="H85">
        <f>kalimantan!AB79</f>
        <v>0.42392265423745656</v>
      </c>
      <c r="I85">
        <f>kalimantan!AC79</f>
        <v>0.31991001017145004</v>
      </c>
      <c r="J85">
        <f>kalimantan!AD79</f>
        <v>9.4877880795938943</v>
      </c>
      <c r="K85">
        <f>kalimantan!AE79</f>
        <v>0.14954986522094427</v>
      </c>
      <c r="L85">
        <f>kalimantan!AF79</f>
        <v>1.9562818338312653</v>
      </c>
      <c r="M85">
        <f>kalimantan!AG79</f>
        <v>0</v>
      </c>
      <c r="N85">
        <f>kalimantan!AH79</f>
        <v>0</v>
      </c>
      <c r="O85">
        <f>kalimantan!AI79</f>
        <v>0</v>
      </c>
      <c r="P85">
        <f>kalimantan!AJ79</f>
        <v>151.50383983837844</v>
      </c>
    </row>
    <row r="86" spans="1:16" x14ac:dyDescent="0.25">
      <c r="A86" t="str">
        <f>kalimantan!U80</f>
        <v>KALIMANTAN</v>
      </c>
      <c r="B86">
        <f>kalimantan!V80</f>
        <v>2023</v>
      </c>
      <c r="C86">
        <f>kalimantan!W80</f>
        <v>80.216657627763283</v>
      </c>
      <c r="D86">
        <f>kalimantan!X80</f>
        <v>21.310735127700699</v>
      </c>
      <c r="E86">
        <f>kalimantan!Y80</f>
        <v>12.141096452457949</v>
      </c>
      <c r="F86">
        <f>kalimantan!Z80</f>
        <v>36.422932832119891</v>
      </c>
      <c r="G86">
        <f>kalimantan!AA80</f>
        <v>8.4923447314299797E-3</v>
      </c>
      <c r="H86">
        <f>kalimantan!AB80</f>
        <v>0.57196665201267749</v>
      </c>
      <c r="I86">
        <f>kalimantan!AC80</f>
        <v>0.31990968311014306</v>
      </c>
      <c r="J86">
        <f>kalimantan!AD80</f>
        <v>10.005879241216558</v>
      </c>
      <c r="K86">
        <f>kalimantan!AE80</f>
        <v>0.3354879772389287</v>
      </c>
      <c r="L86">
        <f>kalimantan!AF80</f>
        <v>3.0841082985354924</v>
      </c>
      <c r="M86">
        <f>kalimantan!AG80</f>
        <v>0</v>
      </c>
      <c r="N86">
        <f>kalimantan!AH80</f>
        <v>0</v>
      </c>
      <c r="O86">
        <f>kalimantan!AI80</f>
        <v>0</v>
      </c>
      <c r="P86">
        <f>kalimantan!AJ80</f>
        <v>164.41726623688703</v>
      </c>
    </row>
    <row r="87" spans="1:16" x14ac:dyDescent="0.25">
      <c r="A87" t="str">
        <f>kalimantan!U81</f>
        <v>KALIMANTAN</v>
      </c>
      <c r="B87">
        <f>kalimantan!V81</f>
        <v>2024</v>
      </c>
      <c r="C87">
        <f>kalimantan!W81</f>
        <v>80.216657627763283</v>
      </c>
      <c r="D87">
        <f>kalimantan!X81</f>
        <v>24.40427797787417</v>
      </c>
      <c r="E87">
        <f>kalimantan!Y81</f>
        <v>12.22682498311811</v>
      </c>
      <c r="F87">
        <f>kalimantan!Z81</f>
        <v>36.422932832119891</v>
      </c>
      <c r="G87">
        <f>kalimantan!AA81</f>
        <v>2.2026513138603716E-2</v>
      </c>
      <c r="H87">
        <f>kalimantan!AB81</f>
        <v>0.5808052135508065</v>
      </c>
      <c r="I87">
        <f>kalimantan!AC81</f>
        <v>0.32450780420004821</v>
      </c>
      <c r="J87">
        <f>kalimantan!AD81</f>
        <v>10.006516350327187</v>
      </c>
      <c r="K87">
        <f>kalimantan!AE81</f>
        <v>1.7817988328061032</v>
      </c>
      <c r="L87">
        <f>kalimantan!AF81</f>
        <v>3.1348357921133485</v>
      </c>
      <c r="M87">
        <f>kalimantan!AG81</f>
        <v>0</v>
      </c>
      <c r="N87">
        <f>kalimantan!AH81</f>
        <v>0</v>
      </c>
      <c r="O87">
        <f>kalimantan!AI81</f>
        <v>0</v>
      </c>
      <c r="P87">
        <f>kalimantan!AJ81</f>
        <v>169.12118392701151</v>
      </c>
    </row>
    <row r="88" spans="1:16" x14ac:dyDescent="0.25">
      <c r="A88" t="str">
        <f>kalimantan!U82</f>
        <v>KALIMANTAN</v>
      </c>
      <c r="B88">
        <f>kalimantan!V82</f>
        <v>2025</v>
      </c>
      <c r="C88">
        <f>kalimantan!W82</f>
        <v>80.216657627763283</v>
      </c>
      <c r="D88">
        <f>kalimantan!X82</f>
        <v>24.727435343902158</v>
      </c>
      <c r="E88">
        <f>kalimantan!Y82</f>
        <v>13.521666225397523</v>
      </c>
      <c r="F88">
        <f>kalimantan!Z82</f>
        <v>36.422932832119891</v>
      </c>
      <c r="G88">
        <f>kalimantan!AA82</f>
        <v>2.2026513138603716E-2</v>
      </c>
      <c r="H88">
        <f>kalimantan!AB82</f>
        <v>0.77510754313443531</v>
      </c>
      <c r="I88">
        <f>kalimantan!AC82</f>
        <v>0.32450780420004821</v>
      </c>
      <c r="J88">
        <f>kalimantan!AD82</f>
        <v>10.006516350327187</v>
      </c>
      <c r="K88">
        <f>kalimantan!AE82</f>
        <v>1.8734281517789164</v>
      </c>
      <c r="L88">
        <f>kalimantan!AF82</f>
        <v>3.5142855228197876</v>
      </c>
      <c r="M88">
        <f>kalimantan!AG82</f>
        <v>0</v>
      </c>
      <c r="N88">
        <f>kalimantan!AH82</f>
        <v>0</v>
      </c>
      <c r="O88">
        <f>kalimantan!AI82</f>
        <v>0</v>
      </c>
      <c r="P88">
        <f>kalimantan!AJ82</f>
        <v>171.40456391458181</v>
      </c>
    </row>
    <row r="89" spans="1:16" x14ac:dyDescent="0.25">
      <c r="A89" t="str">
        <f>kalimantan!U83</f>
        <v>KALIMANTAN</v>
      </c>
      <c r="B89">
        <f>kalimantan!V83</f>
        <v>2026</v>
      </c>
      <c r="C89">
        <f>kalimantan!W83</f>
        <v>80.216657627763283</v>
      </c>
      <c r="D89">
        <f>kalimantan!X83</f>
        <v>26.804704136614003</v>
      </c>
      <c r="E89">
        <f>kalimantan!Y83</f>
        <v>13.528903686694596</v>
      </c>
      <c r="F89">
        <f>kalimantan!Z83</f>
        <v>36.422932832119891</v>
      </c>
      <c r="G89">
        <f>kalimantan!AA83</f>
        <v>1.2221325105868872</v>
      </c>
      <c r="H89">
        <f>kalimantan!AB83</f>
        <v>0.77510754313443531</v>
      </c>
      <c r="I89">
        <f>kalimantan!AC83</f>
        <v>0.32450765055932429</v>
      </c>
      <c r="J89">
        <f>kalimantan!AD83</f>
        <v>10.006516351834676</v>
      </c>
      <c r="K89">
        <f>kalimantan!AE83</f>
        <v>2.1907687435978684</v>
      </c>
      <c r="L89">
        <f>kalimantan!AF83</f>
        <v>3.5264199052473515</v>
      </c>
      <c r="M89">
        <f>kalimantan!AG83</f>
        <v>0</v>
      </c>
      <c r="N89">
        <f>kalimantan!AH83</f>
        <v>0</v>
      </c>
      <c r="O89">
        <f>kalimantan!AI83</f>
        <v>0</v>
      </c>
      <c r="P89">
        <f>kalimantan!AJ83</f>
        <v>175.01865098815227</v>
      </c>
    </row>
    <row r="90" spans="1:16" x14ac:dyDescent="0.25">
      <c r="A90" t="str">
        <f>kalimantan!U84</f>
        <v>KALIMANTAN</v>
      </c>
      <c r="B90">
        <f>kalimantan!V84</f>
        <v>2027</v>
      </c>
      <c r="C90">
        <f>kalimantan!W84</f>
        <v>80.216657627763283</v>
      </c>
      <c r="D90">
        <f>kalimantan!X84</f>
        <v>26.804704136614003</v>
      </c>
      <c r="E90">
        <f>kalimantan!Y84</f>
        <v>14.444738765684082</v>
      </c>
      <c r="F90">
        <f>kalimantan!Z84</f>
        <v>36.659392532382874</v>
      </c>
      <c r="G90">
        <f>kalimantan!AA84</f>
        <v>1.2221325105868872</v>
      </c>
      <c r="H90">
        <f>kalimantan!AB84</f>
        <v>0.77510754313443531</v>
      </c>
      <c r="I90">
        <f>kalimantan!AC84</f>
        <v>0.32450765055932429</v>
      </c>
      <c r="J90">
        <f>kalimantan!AD84</f>
        <v>10.006516351834676</v>
      </c>
      <c r="K90">
        <f>kalimantan!AE84</f>
        <v>2.6343893030091512</v>
      </c>
      <c r="L90">
        <f>kalimantan!AF84</f>
        <v>3.5264199052473515</v>
      </c>
      <c r="M90">
        <f>kalimantan!AG84</f>
        <v>0</v>
      </c>
      <c r="N90">
        <f>kalimantan!AH84</f>
        <v>0</v>
      </c>
      <c r="O90">
        <f>kalimantan!AI84</f>
        <v>0</v>
      </c>
      <c r="P90">
        <f>kalimantan!AJ84</f>
        <v>176.61456632681603</v>
      </c>
    </row>
    <row r="91" spans="1:16" x14ac:dyDescent="0.25">
      <c r="A91" t="str">
        <f>kalimantan!U85</f>
        <v>KALIMANTAN</v>
      </c>
      <c r="B91">
        <f>kalimantan!V85</f>
        <v>2028</v>
      </c>
      <c r="C91">
        <f>kalimantan!W85</f>
        <v>80.216657627763283</v>
      </c>
      <c r="D91">
        <f>kalimantan!X85</f>
        <v>26.804704136614003</v>
      </c>
      <c r="E91">
        <f>kalimantan!Y85</f>
        <v>15.818816728599693</v>
      </c>
      <c r="F91">
        <f>kalimantan!Z85</f>
        <v>38.48250692792837</v>
      </c>
      <c r="G91">
        <f>kalimantan!AA85</f>
        <v>1.2221325105868872</v>
      </c>
      <c r="H91">
        <f>kalimantan!AB85</f>
        <v>0.77510754313443531</v>
      </c>
      <c r="I91">
        <f>kalimantan!AC85</f>
        <v>0.32450765055932429</v>
      </c>
      <c r="J91">
        <f>kalimantan!AD85</f>
        <v>10.006516351834676</v>
      </c>
      <c r="K91">
        <f>kalimantan!AE85</f>
        <v>3.342434429785456</v>
      </c>
      <c r="L91">
        <f>kalimantan!AF85</f>
        <v>3.5264199052473515</v>
      </c>
      <c r="M91">
        <f>kalimantan!AG85</f>
        <v>0</v>
      </c>
      <c r="N91">
        <f>kalimantan!AH85</f>
        <v>0</v>
      </c>
      <c r="O91">
        <f>kalimantan!AI85</f>
        <v>0</v>
      </c>
      <c r="P91">
        <f>kalimantan!AJ85</f>
        <v>180.51980381205345</v>
      </c>
    </row>
    <row r="92" spans="1:16" x14ac:dyDescent="0.25">
      <c r="A92" t="str">
        <f>kalimantan!U86</f>
        <v>KALIMANTAN</v>
      </c>
      <c r="B92">
        <f>kalimantan!V86</f>
        <v>2029</v>
      </c>
      <c r="C92">
        <f>kalimantan!W86</f>
        <v>80.216657627763283</v>
      </c>
      <c r="D92">
        <f>kalimantan!X86</f>
        <v>26.804704136614003</v>
      </c>
      <c r="E92">
        <f>kalimantan!Y86</f>
        <v>17.28234625370396</v>
      </c>
      <c r="F92">
        <f>kalimantan!Z86</f>
        <v>40.407416375565809</v>
      </c>
      <c r="G92">
        <f>kalimantan!AA86</f>
        <v>1.2221325105868872</v>
      </c>
      <c r="H92">
        <f>kalimantan!AB86</f>
        <v>0.77510754313443531</v>
      </c>
      <c r="I92">
        <f>kalimantan!AC86</f>
        <v>0.32450765055932429</v>
      </c>
      <c r="J92">
        <f>kalimantan!AD86</f>
        <v>10.006516351834676</v>
      </c>
      <c r="K92">
        <f>kalimantan!AE86</f>
        <v>4.0960846053069453</v>
      </c>
      <c r="L92">
        <f>kalimantan!AF86</f>
        <v>3.5264199052473515</v>
      </c>
      <c r="M92">
        <f>kalimantan!AG86</f>
        <v>0</v>
      </c>
      <c r="N92">
        <f>kalimantan!AH86</f>
        <v>0</v>
      </c>
      <c r="O92">
        <f>kalimantan!AI86</f>
        <v>0</v>
      </c>
      <c r="P92">
        <f>kalimantan!AJ86</f>
        <v>184.66189296031666</v>
      </c>
    </row>
    <row r="93" spans="1:16" x14ac:dyDescent="0.25">
      <c r="A93" t="str">
        <f>kalimantan!U87</f>
        <v>KALIMANTAN</v>
      </c>
      <c r="B93">
        <f>kalimantan!V87</f>
        <v>2030</v>
      </c>
      <c r="C93">
        <f>kalimantan!W87</f>
        <v>80.216657627763283</v>
      </c>
      <c r="D93">
        <f>kalimantan!X87</f>
        <v>26.804704136614003</v>
      </c>
      <c r="E93">
        <f>kalimantan!Y87</f>
        <v>18.7941563091638</v>
      </c>
      <c r="F93">
        <f>kalimantan!Z87</f>
        <v>42.271895494631828</v>
      </c>
      <c r="G93">
        <f>kalimantan!AA87</f>
        <v>1.2221325105868872</v>
      </c>
      <c r="H93">
        <f>kalimantan!AB87</f>
        <v>0.77510754313443531</v>
      </c>
      <c r="I93">
        <f>kalimantan!AC87</f>
        <v>0.32450765055932429</v>
      </c>
      <c r="J93">
        <f>kalimantan!AD87</f>
        <v>10.006516351834676</v>
      </c>
      <c r="K93">
        <f>kalimantan!AE87</f>
        <v>4.871014750752094</v>
      </c>
      <c r="L93">
        <f>kalimantan!AF87</f>
        <v>3.5264199052473515</v>
      </c>
      <c r="M93">
        <f>kalimantan!AG87</f>
        <v>0</v>
      </c>
      <c r="N93">
        <f>kalimantan!AH87</f>
        <v>0</v>
      </c>
      <c r="O93">
        <f>kalimantan!AI87</f>
        <v>0</v>
      </c>
      <c r="P93">
        <f>kalimantan!AJ87</f>
        <v>188.81311228028767</v>
      </c>
    </row>
    <row r="94" spans="1:16" x14ac:dyDescent="0.25">
      <c r="A94" t="str">
        <f>kalimantan!U88</f>
        <v>KALIMANTAN</v>
      </c>
      <c r="B94">
        <f>kalimantan!V88</f>
        <v>2031</v>
      </c>
      <c r="C94">
        <f>kalimantan!W88</f>
        <v>80.488984085743979</v>
      </c>
      <c r="D94">
        <f>kalimantan!X88</f>
        <v>26.804704136614003</v>
      </c>
      <c r="E94">
        <f>kalimantan!Y88</f>
        <v>20.545927171005044</v>
      </c>
      <c r="F94">
        <f>kalimantan!Z88</f>
        <v>44.510493309623222</v>
      </c>
      <c r="G94">
        <f>kalimantan!AA88</f>
        <v>1.2221325105868872</v>
      </c>
      <c r="H94">
        <f>kalimantan!AB88</f>
        <v>0.77510754313443531</v>
      </c>
      <c r="I94">
        <f>kalimantan!AC88</f>
        <v>0.32450765055932429</v>
      </c>
      <c r="J94">
        <f>kalimantan!AD88</f>
        <v>10.006516351834676</v>
      </c>
      <c r="K94">
        <f>kalimantan!AE88</f>
        <v>5.7770305439404188</v>
      </c>
      <c r="L94">
        <f>kalimantan!AF88</f>
        <v>3.5264199052473515</v>
      </c>
      <c r="M94">
        <f>kalimantan!AG88</f>
        <v>0</v>
      </c>
      <c r="N94">
        <f>kalimantan!AH88</f>
        <v>0</v>
      </c>
      <c r="O94">
        <f>kalimantan!AI88</f>
        <v>0</v>
      </c>
      <c r="P94">
        <f>kalimantan!AJ88</f>
        <v>193.98182320828931</v>
      </c>
    </row>
    <row r="95" spans="1:16" x14ac:dyDescent="0.25">
      <c r="A95" t="str">
        <f>kalimantan!U89</f>
        <v>KALIMANTAN</v>
      </c>
      <c r="B95">
        <f>kalimantan!V89</f>
        <v>2032</v>
      </c>
      <c r="C95">
        <f>kalimantan!W89</f>
        <v>83.225746696070644</v>
      </c>
      <c r="D95">
        <f>kalimantan!X89</f>
        <v>26.804704136614003</v>
      </c>
      <c r="E95">
        <f>kalimantan!Y89</f>
        <v>22.433542768740498</v>
      </c>
      <c r="F95">
        <f>kalimantan!Z89</f>
        <v>45.096675343300049</v>
      </c>
      <c r="G95">
        <f>kalimantan!AA89</f>
        <v>1.2221325105868872</v>
      </c>
      <c r="H95">
        <f>kalimantan!AB89</f>
        <v>0.77510754313443531</v>
      </c>
      <c r="I95">
        <f>kalimantan!AC89</f>
        <v>0.32450765055932429</v>
      </c>
      <c r="J95">
        <f>kalimantan!AD89</f>
        <v>10.006516351834676</v>
      </c>
      <c r="K95">
        <f>kalimantan!AE89</f>
        <v>6.7527915724533134</v>
      </c>
      <c r="L95">
        <f>kalimantan!AF89</f>
        <v>3.5264199052473515</v>
      </c>
      <c r="M95">
        <f>kalimantan!AG89</f>
        <v>0</v>
      </c>
      <c r="N95">
        <f>kalimantan!AH89</f>
        <v>0</v>
      </c>
      <c r="O95">
        <f>kalimantan!AI89</f>
        <v>0</v>
      </c>
      <c r="P95">
        <f>kalimantan!AJ89</f>
        <v>200.16814447854114</v>
      </c>
    </row>
    <row r="96" spans="1:16" x14ac:dyDescent="0.25">
      <c r="A96" t="str">
        <f>kalimantan!U90</f>
        <v>KALIMANTAN</v>
      </c>
      <c r="B96">
        <f>kalimantan!V90</f>
        <v>2033</v>
      </c>
      <c r="C96">
        <f>kalimantan!W90</f>
        <v>85.738024177976627</v>
      </c>
      <c r="D96">
        <f>kalimantan!X90</f>
        <v>26.804704136614003</v>
      </c>
      <c r="E96">
        <f>kalimantan!Y90</f>
        <v>24.296261119092247</v>
      </c>
      <c r="F96">
        <f>kalimantan!Z90</f>
        <v>45.489281872138818</v>
      </c>
      <c r="G96">
        <f>kalimantan!AA90</f>
        <v>1.2221325105868872</v>
      </c>
      <c r="H96">
        <f>kalimantan!AB90</f>
        <v>0.77510754313443531</v>
      </c>
      <c r="I96">
        <f>kalimantan!AC90</f>
        <v>0.32450765055932429</v>
      </c>
      <c r="J96">
        <f>kalimantan!AD90</f>
        <v>10.006516351834676</v>
      </c>
      <c r="K96">
        <f>kalimantan!AE90</f>
        <v>7.7062805531206244</v>
      </c>
      <c r="L96">
        <f>kalimantan!AF90</f>
        <v>3.5264199052473515</v>
      </c>
      <c r="M96">
        <f>kalimantan!AG90</f>
        <v>0</v>
      </c>
      <c r="N96">
        <f>kalimantan!AH90</f>
        <v>0</v>
      </c>
      <c r="O96">
        <f>kalimantan!AI90</f>
        <v>0</v>
      </c>
      <c r="P96">
        <f>kalimantan!AJ90</f>
        <v>205.88923582030498</v>
      </c>
    </row>
    <row r="97" spans="1:16" x14ac:dyDescent="0.25">
      <c r="A97" t="str">
        <f>kalimantan!U91</f>
        <v>KALIMANTAN</v>
      </c>
      <c r="B97">
        <f>kalimantan!V91</f>
        <v>2034</v>
      </c>
      <c r="C97">
        <f>kalimantan!W91</f>
        <v>88.862120033108013</v>
      </c>
      <c r="D97">
        <f>kalimantan!X91</f>
        <v>26.804704136614003</v>
      </c>
      <c r="E97">
        <f>kalimantan!Y91</f>
        <v>26.477690895300512</v>
      </c>
      <c r="F97">
        <f>kalimantan!Z91</f>
        <v>46.128573488257523</v>
      </c>
      <c r="G97">
        <f>kalimantan!AA91</f>
        <v>1.2221325105868872</v>
      </c>
      <c r="H97">
        <f>kalimantan!AB91</f>
        <v>0.77510754313443531</v>
      </c>
      <c r="I97">
        <f>kalimantan!AC91</f>
        <v>0.32450765055932429</v>
      </c>
      <c r="J97">
        <f>kalimantan!AD91</f>
        <v>10.006516351834676</v>
      </c>
      <c r="K97">
        <f>kalimantan!AE91</f>
        <v>8.8319930880884367</v>
      </c>
      <c r="L97">
        <f>kalimantan!AF91</f>
        <v>3.5264199052473515</v>
      </c>
      <c r="M97">
        <f>kalimantan!AG91</f>
        <v>0</v>
      </c>
      <c r="N97">
        <f>kalimantan!AH91</f>
        <v>0</v>
      </c>
      <c r="O97">
        <f>kalimantan!AI91</f>
        <v>0</v>
      </c>
      <c r="P97">
        <f>kalimantan!AJ91</f>
        <v>212.95976560273112</v>
      </c>
    </row>
    <row r="98" spans="1:16" x14ac:dyDescent="0.25">
      <c r="A98" t="str">
        <f>kalimantan!U92</f>
        <v>KALIMANTAN</v>
      </c>
      <c r="B98">
        <f>kalimantan!V92</f>
        <v>2035</v>
      </c>
      <c r="C98">
        <f>kalimantan!W92</f>
        <v>91.843799079150514</v>
      </c>
      <c r="D98">
        <f>kalimantan!X92</f>
        <v>26.804704136614003</v>
      </c>
      <c r="E98">
        <f>kalimantan!Y92</f>
        <v>28.675582734334061</v>
      </c>
      <c r="F98">
        <f>kalimantan!Z92</f>
        <v>46.608936928905706</v>
      </c>
      <c r="G98">
        <f>kalimantan!AA92</f>
        <v>1.2221325105868872</v>
      </c>
      <c r="H98">
        <f>kalimantan!AB92</f>
        <v>0.77510754313443531</v>
      </c>
      <c r="I98">
        <f>kalimantan!AC92</f>
        <v>0.32450765055932429</v>
      </c>
      <c r="J98">
        <f>kalimantan!AD92</f>
        <v>10.006516351834676</v>
      </c>
      <c r="K98">
        <f>kalimantan!AE92</f>
        <v>9.9579168268985203</v>
      </c>
      <c r="L98">
        <f>kalimantan!AF92</f>
        <v>3.5264199052473515</v>
      </c>
      <c r="M98">
        <f>kalimantan!AG92</f>
        <v>0</v>
      </c>
      <c r="N98">
        <f>kalimantan!AH92</f>
        <v>0</v>
      </c>
      <c r="O98">
        <f>kalimantan!AI92</f>
        <v>0</v>
      </c>
      <c r="P98">
        <f>kalimantan!AJ92</f>
        <v>219.74562366726548</v>
      </c>
    </row>
    <row r="99" spans="1:16" x14ac:dyDescent="0.25">
      <c r="A99" t="str">
        <f>kalimantan!U93</f>
        <v>KALIMANTAN</v>
      </c>
      <c r="B99">
        <f>kalimantan!V93</f>
        <v>2036</v>
      </c>
      <c r="C99">
        <f>kalimantan!W93</f>
        <v>95.28663327785776</v>
      </c>
      <c r="D99">
        <f>kalimantan!X93</f>
        <v>26.804704136614003</v>
      </c>
      <c r="E99">
        <f>kalimantan!Y93</f>
        <v>31.151668875989952</v>
      </c>
      <c r="F99">
        <f>kalimantan!Z93</f>
        <v>47.232728376849138</v>
      </c>
      <c r="G99">
        <f>kalimantan!AA93</f>
        <v>1.2221325105868872</v>
      </c>
      <c r="H99">
        <f>kalimantan!AB93</f>
        <v>0.77510754313443531</v>
      </c>
      <c r="I99">
        <f>kalimantan!AC93</f>
        <v>0.6685420269207426</v>
      </c>
      <c r="J99">
        <f>kalimantan!AD93</f>
        <v>10.006516351834676</v>
      </c>
      <c r="K99">
        <f>kalimantan!AE93</f>
        <v>10.670444533284584</v>
      </c>
      <c r="L99">
        <f>kalimantan!AF93</f>
        <v>3.5264199052473515</v>
      </c>
      <c r="M99">
        <f>kalimantan!AG93</f>
        <v>0</v>
      </c>
      <c r="N99">
        <f>kalimantan!AH93</f>
        <v>0</v>
      </c>
      <c r="O99">
        <f>kalimantan!AI93</f>
        <v>0</v>
      </c>
      <c r="P99">
        <f>kalimantan!AJ93</f>
        <v>227.34489753831951</v>
      </c>
    </row>
    <row r="100" spans="1:16" x14ac:dyDescent="0.25">
      <c r="A100" t="str">
        <f>kalimantan!U94</f>
        <v>KALIMANTAN</v>
      </c>
      <c r="B100">
        <f>kalimantan!V94</f>
        <v>2037</v>
      </c>
      <c r="C100">
        <f>kalimantan!W94</f>
        <v>98.727227990221522</v>
      </c>
      <c r="D100">
        <f>kalimantan!X94</f>
        <v>26.804704136614028</v>
      </c>
      <c r="E100">
        <f>kalimantan!Y94</f>
        <v>33.714314618102492</v>
      </c>
      <c r="F100">
        <f>kalimantan!Z94</f>
        <v>47.75738891663692</v>
      </c>
      <c r="G100">
        <f>kalimantan!AA94</f>
        <v>1.2221325105868872</v>
      </c>
      <c r="H100">
        <f>kalimantan!AB94</f>
        <v>0.77510754313443531</v>
      </c>
      <c r="I100">
        <f>kalimantan!AC94</f>
        <v>1.2549789738368897</v>
      </c>
      <c r="J100">
        <f>kalimantan!AD94</f>
        <v>10.006516351834676</v>
      </c>
      <c r="K100">
        <f>kalimantan!AE94</f>
        <v>11.026708386477615</v>
      </c>
      <c r="L100">
        <f>kalimantan!AF94</f>
        <v>3.5264199052473515</v>
      </c>
      <c r="M100">
        <f>kalimantan!AG94</f>
        <v>0</v>
      </c>
      <c r="N100">
        <f>kalimantan!AH94</f>
        <v>0</v>
      </c>
      <c r="O100">
        <f>kalimantan!AI94</f>
        <v>0</v>
      </c>
      <c r="P100">
        <f>kalimantan!AJ94</f>
        <v>234.81549933269281</v>
      </c>
    </row>
    <row r="101" spans="1:16" x14ac:dyDescent="0.25">
      <c r="A101" t="str">
        <f>kalimantan!U95</f>
        <v>KALIMANTAN</v>
      </c>
      <c r="B101">
        <f>kalimantan!V95</f>
        <v>2038</v>
      </c>
      <c r="C101">
        <f>kalimantan!W95</f>
        <v>102.69007542276839</v>
      </c>
      <c r="D101">
        <f>kalimantan!X95</f>
        <v>26.804704136614028</v>
      </c>
      <c r="E101">
        <f>kalimantan!Y95</f>
        <v>36.606541226069851</v>
      </c>
      <c r="F101">
        <f>kalimantan!Z95</f>
        <v>48.428201494810239</v>
      </c>
      <c r="G101">
        <f>kalimantan!AA95</f>
        <v>1.2221325105868872</v>
      </c>
      <c r="H101">
        <f>kalimantan!AB95</f>
        <v>0.77510754313443531</v>
      </c>
      <c r="I101">
        <f>kalimantan!AC95</f>
        <v>2.0568455782760684</v>
      </c>
      <c r="J101">
        <f>kalimantan!AD95</f>
        <v>10.006516351834676</v>
      </c>
      <c r="K101">
        <f>kalimantan!AE95</f>
        <v>11.204840313074131</v>
      </c>
      <c r="L101">
        <f>kalimantan!AF95</f>
        <v>3.5264199052473515</v>
      </c>
      <c r="M101">
        <f>kalimantan!AG95</f>
        <v>0</v>
      </c>
      <c r="N101">
        <f>kalimantan!AH95</f>
        <v>0</v>
      </c>
      <c r="O101">
        <f>kalimantan!AI95</f>
        <v>0</v>
      </c>
      <c r="P101">
        <f>kalimantan!AJ95</f>
        <v>243.32138448241602</v>
      </c>
    </row>
    <row r="102" spans="1:16" x14ac:dyDescent="0.25">
      <c r="A102" t="str">
        <f>sulawesi!U76</f>
        <v>SULAWESI</v>
      </c>
      <c r="B102">
        <f>sulawesi!V76</f>
        <v>2019</v>
      </c>
      <c r="C102">
        <f>sulawesi!W76</f>
        <v>78.515844476689637</v>
      </c>
      <c r="D102">
        <f>sulawesi!X76</f>
        <v>5.6044701727103723</v>
      </c>
      <c r="E102">
        <f>sulawesi!Y76</f>
        <v>2.2416637846153842</v>
      </c>
      <c r="F102">
        <f>sulawesi!Z76</f>
        <v>18.920951957349033</v>
      </c>
      <c r="G102">
        <f>sulawesi!AA76</f>
        <v>11.974623507692305</v>
      </c>
      <c r="H102">
        <f>sulawesi!AB76</f>
        <v>0.69727173075692384</v>
      </c>
      <c r="I102">
        <f>sulawesi!AC76</f>
        <v>0.33321374252307684</v>
      </c>
      <c r="J102">
        <f>sulawesi!AD76</f>
        <v>2.3586909695999997E-2</v>
      </c>
      <c r="K102">
        <f>sulawesi!AE76</f>
        <v>0</v>
      </c>
      <c r="L102">
        <f>sulawesi!AF76</f>
        <v>1.0006556694789082E-2</v>
      </c>
      <c r="M102">
        <f>sulawesi!AG76</f>
        <v>0</v>
      </c>
      <c r="N102">
        <f>sulawesi!AH76</f>
        <v>0</v>
      </c>
      <c r="O102">
        <f>sulawesi!AI76</f>
        <v>0</v>
      </c>
      <c r="P102">
        <f>sulawesi!AJ76</f>
        <v>118.32163283872751</v>
      </c>
    </row>
    <row r="103" spans="1:16" x14ac:dyDescent="0.25">
      <c r="A103" t="str">
        <f>sulawesi!U77</f>
        <v>SULAWESI</v>
      </c>
      <c r="B103">
        <f>sulawesi!V77</f>
        <v>2020</v>
      </c>
      <c r="C103">
        <f>sulawesi!W77</f>
        <v>80.255446210491087</v>
      </c>
      <c r="D103">
        <f>sulawesi!X77</f>
        <v>5.6044701532989363</v>
      </c>
      <c r="E103">
        <f>sulawesi!Y77</f>
        <v>7.6608359380480087</v>
      </c>
      <c r="F103">
        <f>sulawesi!Z77</f>
        <v>18.920951957349033</v>
      </c>
      <c r="G103">
        <f>sulawesi!AA77</f>
        <v>11.974623507692305</v>
      </c>
      <c r="H103">
        <f>sulawesi!AB77</f>
        <v>0.69727173075692384</v>
      </c>
      <c r="I103">
        <f>sulawesi!AC77</f>
        <v>0.33321374252307684</v>
      </c>
      <c r="J103">
        <f>sulawesi!AD77</f>
        <v>0.73971927423336481</v>
      </c>
      <c r="K103">
        <f>sulawesi!AE77</f>
        <v>0</v>
      </c>
      <c r="L103">
        <f>sulawesi!AF77</f>
        <v>1.0006556694789082E-2</v>
      </c>
      <c r="M103">
        <f>sulawesi!AG77</f>
        <v>0</v>
      </c>
      <c r="N103">
        <f>sulawesi!AH77</f>
        <v>0</v>
      </c>
      <c r="O103">
        <f>sulawesi!AI77</f>
        <v>0</v>
      </c>
      <c r="P103">
        <f>sulawesi!AJ77</f>
        <v>126.19653907108751</v>
      </c>
    </row>
    <row r="104" spans="1:16" x14ac:dyDescent="0.25">
      <c r="A104" t="str">
        <f>sulawesi!U78</f>
        <v>SULAWESI</v>
      </c>
      <c r="B104">
        <f>sulawesi!V78</f>
        <v>2021</v>
      </c>
      <c r="C104">
        <f>sulawesi!W78</f>
        <v>82.049591833477365</v>
      </c>
      <c r="D104">
        <f>sulawesi!X78</f>
        <v>5.6044701338875003</v>
      </c>
      <c r="E104">
        <f>sulawesi!Y78</f>
        <v>13.510739011598732</v>
      </c>
      <c r="F104">
        <f>sulawesi!Z78</f>
        <v>18.920951957349033</v>
      </c>
      <c r="G104">
        <f>sulawesi!AA78</f>
        <v>11.974623507692305</v>
      </c>
      <c r="H104">
        <f>sulawesi!AB78</f>
        <v>0.71443656925267518</v>
      </c>
      <c r="I104">
        <f>sulawesi!AC78</f>
        <v>0.33338206724098357</v>
      </c>
      <c r="J104">
        <f>sulawesi!AD78</f>
        <v>2.1742977978882521</v>
      </c>
      <c r="K104">
        <f>sulawesi!AE78</f>
        <v>1.642289124248614E-4</v>
      </c>
      <c r="L104">
        <f>sulawesi!AF78</f>
        <v>1.0006556694789082E-2</v>
      </c>
      <c r="M104">
        <f>sulawesi!AG78</f>
        <v>0</v>
      </c>
      <c r="N104">
        <f>sulawesi!AH78</f>
        <v>0</v>
      </c>
      <c r="O104">
        <f>sulawesi!AI78</f>
        <v>0</v>
      </c>
      <c r="P104">
        <f>sulawesi!AJ78</f>
        <v>135.29266366399406</v>
      </c>
    </row>
    <row r="105" spans="1:16" x14ac:dyDescent="0.25">
      <c r="A105" t="str">
        <f>sulawesi!U79</f>
        <v>SULAWESI</v>
      </c>
      <c r="B105">
        <f>sulawesi!V79</f>
        <v>2022</v>
      </c>
      <c r="C105">
        <f>sulawesi!W79</f>
        <v>84.393207293741213</v>
      </c>
      <c r="D105">
        <f>sulawesi!X79</f>
        <v>5.6044701338875003</v>
      </c>
      <c r="E105">
        <f>sulawesi!Y79</f>
        <v>19.284305920636285</v>
      </c>
      <c r="F105">
        <f>sulawesi!Z79</f>
        <v>18.920951957349033</v>
      </c>
      <c r="G105">
        <f>sulawesi!AA79</f>
        <v>11.974623507692305</v>
      </c>
      <c r="H105">
        <f>sulawesi!AB79</f>
        <v>0.71443656925267518</v>
      </c>
      <c r="I105">
        <f>sulawesi!AC79</f>
        <v>0.33338206724098357</v>
      </c>
      <c r="J105">
        <f>sulawesi!AD79</f>
        <v>2.1742977978882521</v>
      </c>
      <c r="K105">
        <f>sulawesi!AE79</f>
        <v>1.9909779784152177</v>
      </c>
      <c r="L105">
        <f>sulawesi!AF79</f>
        <v>1.0006556694789082E-2</v>
      </c>
      <c r="M105">
        <f>sulawesi!AG79</f>
        <v>0</v>
      </c>
      <c r="N105">
        <f>sulawesi!AH79</f>
        <v>0</v>
      </c>
      <c r="O105">
        <f>sulawesi!AI79</f>
        <v>0</v>
      </c>
      <c r="P105">
        <f>sulawesi!AJ79</f>
        <v>145.40065978279827</v>
      </c>
    </row>
    <row r="106" spans="1:16" x14ac:dyDescent="0.25">
      <c r="A106" t="str">
        <f>sulawesi!U80</f>
        <v>SULAWESI</v>
      </c>
      <c r="B106">
        <f>sulawesi!V80</f>
        <v>2023</v>
      </c>
      <c r="C106">
        <f>sulawesi!W80</f>
        <v>84.393207293741213</v>
      </c>
      <c r="D106">
        <f>sulawesi!X80</f>
        <v>5.6044701338875003</v>
      </c>
      <c r="E106">
        <f>sulawesi!Y80</f>
        <v>19.842189095056181</v>
      </c>
      <c r="F106">
        <f>sulawesi!Z80</f>
        <v>25.975176811138542</v>
      </c>
      <c r="G106">
        <f>sulawesi!AA80</f>
        <v>11.974623507692305</v>
      </c>
      <c r="H106">
        <f>sulawesi!AB80</f>
        <v>0.71443656925267518</v>
      </c>
      <c r="I106">
        <f>sulawesi!AC80</f>
        <v>0.33338206724098357</v>
      </c>
      <c r="J106">
        <f>sulawesi!AD80</f>
        <v>2.1742977978882521</v>
      </c>
      <c r="K106">
        <f>sulawesi!AE80</f>
        <v>2.4024142210414801</v>
      </c>
      <c r="L106">
        <f>sulawesi!AF80</f>
        <v>1.0006556694789082E-2</v>
      </c>
      <c r="M106">
        <f>sulawesi!AG80</f>
        <v>0</v>
      </c>
      <c r="N106">
        <f>sulawesi!AH80</f>
        <v>0</v>
      </c>
      <c r="O106">
        <f>sulawesi!AI80</f>
        <v>0</v>
      </c>
      <c r="P106">
        <f>sulawesi!AJ80</f>
        <v>153.42420405363393</v>
      </c>
    </row>
    <row r="107" spans="1:16" x14ac:dyDescent="0.25">
      <c r="A107" t="str">
        <f>sulawesi!U81</f>
        <v>SULAWESI</v>
      </c>
      <c r="B107">
        <f>sulawesi!V81</f>
        <v>2024</v>
      </c>
      <c r="C107">
        <f>sulawesi!W81</f>
        <v>84.393207293741213</v>
      </c>
      <c r="D107">
        <f>sulawesi!X81</f>
        <v>5.6044701338875003</v>
      </c>
      <c r="E107">
        <f>sulawesi!Y81</f>
        <v>23.37007562644947</v>
      </c>
      <c r="F107">
        <f>sulawesi!Z81</f>
        <v>27.621757944917295</v>
      </c>
      <c r="G107">
        <f>sulawesi!AA81</f>
        <v>11.974623507692305</v>
      </c>
      <c r="H107">
        <f>sulawesi!AB81</f>
        <v>0.71443656925267518</v>
      </c>
      <c r="I107">
        <f>sulawesi!AC81</f>
        <v>0.33338206724098357</v>
      </c>
      <c r="J107">
        <f>sulawesi!AD81</f>
        <v>2.1742977978882521</v>
      </c>
      <c r="K107">
        <f>sulawesi!AE81</f>
        <v>4.375190792569347</v>
      </c>
      <c r="L107">
        <f>sulawesi!AF81</f>
        <v>1.0006556694789082E-2</v>
      </c>
      <c r="M107">
        <f>sulawesi!AG81</f>
        <v>0</v>
      </c>
      <c r="N107">
        <f>sulawesi!AH81</f>
        <v>0</v>
      </c>
      <c r="O107">
        <f>sulawesi!AI81</f>
        <v>0</v>
      </c>
      <c r="P107">
        <f>sulawesi!AJ81</f>
        <v>160.57144829033385</v>
      </c>
    </row>
    <row r="108" spans="1:16" x14ac:dyDescent="0.25">
      <c r="A108" t="str">
        <f>sulawesi!U82</f>
        <v>SULAWESI</v>
      </c>
      <c r="B108">
        <f>sulawesi!V82</f>
        <v>2025</v>
      </c>
      <c r="C108">
        <f>sulawesi!W82</f>
        <v>84.393207293741213</v>
      </c>
      <c r="D108">
        <f>sulawesi!X82</f>
        <v>5.6044701338875003</v>
      </c>
      <c r="E108">
        <f>sulawesi!Y82</f>
        <v>27.397875258695027</v>
      </c>
      <c r="F108">
        <f>sulawesi!Z82</f>
        <v>29.521974183743609</v>
      </c>
      <c r="G108">
        <f>sulawesi!AA82</f>
        <v>11.974623507692305</v>
      </c>
      <c r="H108">
        <f>sulawesi!AB82</f>
        <v>0.71443656925267518</v>
      </c>
      <c r="I108">
        <f>sulawesi!AC82</f>
        <v>0.33338206724098357</v>
      </c>
      <c r="J108">
        <f>sulawesi!AD82</f>
        <v>2.1742977978882521</v>
      </c>
      <c r="K108">
        <f>sulawesi!AE82</f>
        <v>6.6828714652932639</v>
      </c>
      <c r="L108">
        <f>sulawesi!AF82</f>
        <v>1.0006556694789082E-2</v>
      </c>
      <c r="M108">
        <f>sulawesi!AG82</f>
        <v>0</v>
      </c>
      <c r="N108">
        <f>sulawesi!AH82</f>
        <v>0</v>
      </c>
      <c r="O108">
        <f>sulawesi!AI82</f>
        <v>0</v>
      </c>
      <c r="P108">
        <f>sulawesi!AJ82</f>
        <v>168.80714483412962</v>
      </c>
    </row>
    <row r="109" spans="1:16" x14ac:dyDescent="0.25">
      <c r="A109" t="str">
        <f>sulawesi!U83</f>
        <v>SULAWESI</v>
      </c>
      <c r="B109">
        <f>sulawesi!V83</f>
        <v>2026</v>
      </c>
      <c r="C109">
        <f>sulawesi!W83</f>
        <v>84.393207293741213</v>
      </c>
      <c r="D109">
        <f>sulawesi!X83</f>
        <v>5.6044701338875003</v>
      </c>
      <c r="E109">
        <f>sulawesi!Y83</f>
        <v>31.976067129572613</v>
      </c>
      <c r="F109">
        <f>sulawesi!Z83</f>
        <v>30.888683485105616</v>
      </c>
      <c r="G109">
        <f>sulawesi!AA83</f>
        <v>11.974623507692305</v>
      </c>
      <c r="H109">
        <f>sulawesi!AB83</f>
        <v>0.71443656925267518</v>
      </c>
      <c r="I109">
        <f>sulawesi!AC83</f>
        <v>0.33338206724098357</v>
      </c>
      <c r="J109">
        <f>sulawesi!AD83</f>
        <v>2.2154539264596993</v>
      </c>
      <c r="K109">
        <f>sulawesi!AE83</f>
        <v>7.8646779987256732</v>
      </c>
      <c r="L109">
        <f>sulawesi!AF83</f>
        <v>1.0006556694789082E-2</v>
      </c>
      <c r="M109">
        <f>sulawesi!AG83</f>
        <v>0</v>
      </c>
      <c r="N109">
        <f>sulawesi!AH83</f>
        <v>0</v>
      </c>
      <c r="O109">
        <f>sulawesi!AI83</f>
        <v>0</v>
      </c>
      <c r="P109">
        <f>sulawesi!AJ83</f>
        <v>175.97500866837308</v>
      </c>
    </row>
    <row r="110" spans="1:16" x14ac:dyDescent="0.25">
      <c r="A110" t="str">
        <f>sulawesi!U84</f>
        <v>SULAWESI</v>
      </c>
      <c r="B110">
        <f>sulawesi!V84</f>
        <v>2027</v>
      </c>
      <c r="C110">
        <f>sulawesi!W84</f>
        <v>84.393207293741213</v>
      </c>
      <c r="D110">
        <f>sulawesi!X84</f>
        <v>5.6044701338875003</v>
      </c>
      <c r="E110">
        <f>sulawesi!Y84</f>
        <v>37.713643754331294</v>
      </c>
      <c r="F110">
        <f>sulawesi!Z84</f>
        <v>32.678256521489978</v>
      </c>
      <c r="G110">
        <f>sulawesi!AA84</f>
        <v>11.974623507692305</v>
      </c>
      <c r="H110">
        <f>sulawesi!AB84</f>
        <v>0.71443656925267518</v>
      </c>
      <c r="I110">
        <f>sulawesi!AC84</f>
        <v>0.33338206724098357</v>
      </c>
      <c r="J110">
        <f>sulawesi!AD84</f>
        <v>2.5456842120917775</v>
      </c>
      <c r="K110">
        <f>sulawesi!AE84</f>
        <v>9.1922347761839145</v>
      </c>
      <c r="L110">
        <f>sulawesi!AF84</f>
        <v>1.0006556694789082E-2</v>
      </c>
      <c r="M110">
        <f>sulawesi!AG84</f>
        <v>0</v>
      </c>
      <c r="N110">
        <f>sulawesi!AH84</f>
        <v>0</v>
      </c>
      <c r="O110">
        <f>sulawesi!AI84</f>
        <v>0</v>
      </c>
      <c r="P110">
        <f>sulawesi!AJ84</f>
        <v>185.15994539260643</v>
      </c>
    </row>
    <row r="111" spans="1:16" x14ac:dyDescent="0.25">
      <c r="A111" t="str">
        <f>sulawesi!U85</f>
        <v>SULAWESI</v>
      </c>
      <c r="B111">
        <f>sulawesi!V85</f>
        <v>2028</v>
      </c>
      <c r="C111">
        <f>sulawesi!W85</f>
        <v>86.44354271158069</v>
      </c>
      <c r="D111">
        <f>sulawesi!X85</f>
        <v>5.6044701338875003</v>
      </c>
      <c r="E111">
        <f>sulawesi!Y85</f>
        <v>39.393392668951854</v>
      </c>
      <c r="F111">
        <f>sulawesi!Z85</f>
        <v>33.099509545531866</v>
      </c>
      <c r="G111">
        <f>sulawesi!AA85</f>
        <v>11.974623507692305</v>
      </c>
      <c r="H111">
        <f>sulawesi!AB85</f>
        <v>0.71443656925267518</v>
      </c>
      <c r="I111">
        <f>sulawesi!AC85</f>
        <v>0.33338206724098357</v>
      </c>
      <c r="J111">
        <f>sulawesi!AD85</f>
        <v>2.8000745791173731</v>
      </c>
      <c r="K111">
        <f>sulawesi!AE85</f>
        <v>9.8895309043006705</v>
      </c>
      <c r="L111">
        <f>sulawesi!AF85</f>
        <v>1.0006556694789082E-2</v>
      </c>
      <c r="M111">
        <f>sulawesi!AG85</f>
        <v>0</v>
      </c>
      <c r="N111">
        <f>sulawesi!AH85</f>
        <v>0</v>
      </c>
      <c r="O111">
        <f>sulawesi!AI85</f>
        <v>0</v>
      </c>
      <c r="P111">
        <f>sulawesi!AJ85</f>
        <v>190.26296924425071</v>
      </c>
    </row>
    <row r="112" spans="1:16" x14ac:dyDescent="0.25">
      <c r="A112" t="str">
        <f>sulawesi!U86</f>
        <v>SULAWESI</v>
      </c>
      <c r="B112">
        <f>sulawesi!V86</f>
        <v>2029</v>
      </c>
      <c r="C112">
        <f>sulawesi!W86</f>
        <v>88.85684823098795</v>
      </c>
      <c r="D112">
        <f>sulawesi!X86</f>
        <v>5.6044701338875003</v>
      </c>
      <c r="E112">
        <f>sulawesi!Y86</f>
        <v>41.10054380966627</v>
      </c>
      <c r="F112">
        <f>sulawesi!Z86</f>
        <v>33.571477897549016</v>
      </c>
      <c r="G112">
        <f>sulawesi!AA86</f>
        <v>11.974623507692305</v>
      </c>
      <c r="H112">
        <f>sulawesi!AB86</f>
        <v>0.71443656925267518</v>
      </c>
      <c r="I112">
        <f>sulawesi!AC86</f>
        <v>0.33338206724098357</v>
      </c>
      <c r="J112">
        <f>sulawesi!AD86</f>
        <v>3.0834974379816744</v>
      </c>
      <c r="K112">
        <f>sulawesi!AE86</f>
        <v>10.63397478474012</v>
      </c>
      <c r="L112">
        <f>sulawesi!AF86</f>
        <v>1.0006556694789082E-2</v>
      </c>
      <c r="M112">
        <f>sulawesi!AG86</f>
        <v>0</v>
      </c>
      <c r="N112">
        <f>sulawesi!AH86</f>
        <v>0</v>
      </c>
      <c r="O112">
        <f>sulawesi!AI86</f>
        <v>0</v>
      </c>
      <c r="P112">
        <f>sulawesi!AJ86</f>
        <v>195.88326099569329</v>
      </c>
    </row>
    <row r="113" spans="1:16" x14ac:dyDescent="0.25">
      <c r="A113" t="str">
        <f>sulawesi!U87</f>
        <v>SULAWESI</v>
      </c>
      <c r="B113">
        <f>sulawesi!V87</f>
        <v>2030</v>
      </c>
      <c r="C113">
        <f>sulawesi!W87</f>
        <v>91.384703947172696</v>
      </c>
      <c r="D113">
        <f>sulawesi!X87</f>
        <v>5.6044701338875003</v>
      </c>
      <c r="E113">
        <f>sulawesi!Y87</f>
        <v>42.892973804833559</v>
      </c>
      <c r="F113">
        <f>sulawesi!Z87</f>
        <v>34.069361474448769</v>
      </c>
      <c r="G113">
        <f>sulawesi!AA87</f>
        <v>11.974623507692305</v>
      </c>
      <c r="H113">
        <f>sulawesi!AB87</f>
        <v>0.71443656925267518</v>
      </c>
      <c r="I113">
        <f>sulawesi!AC87</f>
        <v>0.33338206724098357</v>
      </c>
      <c r="J113">
        <f>sulawesi!AD87</f>
        <v>3.3969313817423239</v>
      </c>
      <c r="K113">
        <f>sulawesi!AE87</f>
        <v>11.414638050071801</v>
      </c>
      <c r="L113">
        <f>sulawesi!AF87</f>
        <v>1.0006556694789082E-2</v>
      </c>
      <c r="M113">
        <f>sulawesi!AG87</f>
        <v>0</v>
      </c>
      <c r="N113">
        <f>sulawesi!AH87</f>
        <v>0</v>
      </c>
      <c r="O113">
        <f>sulawesi!AI87</f>
        <v>0</v>
      </c>
      <c r="P113">
        <f>sulawesi!AJ87</f>
        <v>201.79552749303741</v>
      </c>
    </row>
    <row r="114" spans="1:16" x14ac:dyDescent="0.25">
      <c r="A114" t="str">
        <f>sulawesi!U88</f>
        <v>SULAWESI</v>
      </c>
      <c r="B114">
        <f>sulawesi!V88</f>
        <v>2031</v>
      </c>
      <c r="C114">
        <f>sulawesi!W88</f>
        <v>94.502461127985754</v>
      </c>
      <c r="D114">
        <f>sulawesi!X88</f>
        <v>5.6044701338875003</v>
      </c>
      <c r="E114">
        <f>sulawesi!Y88</f>
        <v>45.010441991771984</v>
      </c>
      <c r="F114">
        <f>sulawesi!Z88</f>
        <v>34.766837652807418</v>
      </c>
      <c r="G114">
        <f>sulawesi!AA88</f>
        <v>11.974623507692305</v>
      </c>
      <c r="H114">
        <f>sulawesi!AB88</f>
        <v>0.71443656925267518</v>
      </c>
      <c r="I114">
        <f>sulawesi!AC88</f>
        <v>0.33338206724098357</v>
      </c>
      <c r="J114">
        <f>sulawesi!AD88</f>
        <v>3.7623927026087678</v>
      </c>
      <c r="K114">
        <f>sulawesi!AE88</f>
        <v>12.328427637312585</v>
      </c>
      <c r="L114">
        <f>sulawesi!AF88</f>
        <v>1.0006556694789082E-2</v>
      </c>
      <c r="M114">
        <f>sulawesi!AG88</f>
        <v>0</v>
      </c>
      <c r="N114">
        <f>sulawesi!AH88</f>
        <v>0</v>
      </c>
      <c r="O114">
        <f>sulawesi!AI88</f>
        <v>0</v>
      </c>
      <c r="P114">
        <f>sulawesi!AJ88</f>
        <v>209.00747994725478</v>
      </c>
    </row>
    <row r="115" spans="1:16" x14ac:dyDescent="0.25">
      <c r="A115" t="str">
        <f>sulawesi!U89</f>
        <v>SULAWESI</v>
      </c>
      <c r="B115">
        <f>sulawesi!V89</f>
        <v>2032</v>
      </c>
      <c r="C115">
        <f>sulawesi!W89</f>
        <v>97.925824284252215</v>
      </c>
      <c r="D115">
        <f>sulawesi!X89</f>
        <v>5.6044701338875003</v>
      </c>
      <c r="E115">
        <f>sulawesi!Y89</f>
        <v>47.320049292579178</v>
      </c>
      <c r="F115">
        <f>sulawesi!Z89</f>
        <v>35.552638543839521</v>
      </c>
      <c r="G115">
        <f>sulawesi!AA89</f>
        <v>11.974623507692305</v>
      </c>
      <c r="H115">
        <f>sulawesi!AB89</f>
        <v>0.71443656925267518</v>
      </c>
      <c r="I115">
        <f>sulawesi!AC89</f>
        <v>0.33338206724098357</v>
      </c>
      <c r="J115">
        <f>sulawesi!AD89</f>
        <v>4.1751809902970232</v>
      </c>
      <c r="K115">
        <f>sulawesi!AE89</f>
        <v>13.321646790665536</v>
      </c>
      <c r="L115">
        <f>sulawesi!AF89</f>
        <v>1.0006556694789082E-2</v>
      </c>
      <c r="M115">
        <f>sulawesi!AG89</f>
        <v>0</v>
      </c>
      <c r="N115">
        <f>sulawesi!AH89</f>
        <v>0</v>
      </c>
      <c r="O115">
        <f>sulawesi!AI89</f>
        <v>0</v>
      </c>
      <c r="P115">
        <f>sulawesi!AJ89</f>
        <v>216.93225873640176</v>
      </c>
    </row>
    <row r="116" spans="1:16" x14ac:dyDescent="0.25">
      <c r="A116" t="str">
        <f>sulawesi!U90</f>
        <v>SULAWESI</v>
      </c>
      <c r="B116">
        <f>sulawesi!V90</f>
        <v>2033</v>
      </c>
      <c r="C116">
        <f>sulawesi!W90</f>
        <v>101.23699033740148</v>
      </c>
      <c r="D116">
        <f>sulawesi!X90</f>
        <v>5.6044701338875003</v>
      </c>
      <c r="E116">
        <f>sulawesi!Y90</f>
        <v>49.613596522163206</v>
      </c>
      <c r="F116">
        <f>sulawesi!Z90</f>
        <v>36.273344065880657</v>
      </c>
      <c r="G116">
        <f>sulawesi!AA90</f>
        <v>11.974623507692305</v>
      </c>
      <c r="H116">
        <f>sulawesi!AB90</f>
        <v>0.71443656925267518</v>
      </c>
      <c r="I116">
        <f>sulawesi!AC90</f>
        <v>0.33338206724098357</v>
      </c>
      <c r="J116">
        <f>sulawesi!AD90</f>
        <v>4.6219557907599125</v>
      </c>
      <c r="K116">
        <f>sulawesi!AE90</f>
        <v>14.30908988649426</v>
      </c>
      <c r="L116">
        <f>sulawesi!AF90</f>
        <v>1.0006556694789082E-2</v>
      </c>
      <c r="M116">
        <f>sulawesi!AG90</f>
        <v>0</v>
      </c>
      <c r="N116">
        <f>sulawesi!AH90</f>
        <v>0</v>
      </c>
      <c r="O116">
        <f>sulawesi!AI90</f>
        <v>0</v>
      </c>
      <c r="P116">
        <f>sulawesi!AJ90</f>
        <v>224.69189543746779</v>
      </c>
    </row>
    <row r="117" spans="1:16" x14ac:dyDescent="0.25">
      <c r="A117" t="str">
        <f>sulawesi!U91</f>
        <v>SULAWESI</v>
      </c>
      <c r="B117">
        <f>sulawesi!V91</f>
        <v>2034</v>
      </c>
      <c r="C117">
        <f>sulawesi!W91</f>
        <v>105.30991634764048</v>
      </c>
      <c r="D117">
        <f>sulawesi!X91</f>
        <v>5.6044701338875003</v>
      </c>
      <c r="E117">
        <f>sulawesi!Y91</f>
        <v>52.341960607332254</v>
      </c>
      <c r="F117">
        <f>sulawesi!Z91</f>
        <v>37.240280655304694</v>
      </c>
      <c r="G117">
        <f>sulawesi!AA91</f>
        <v>11.974623507692305</v>
      </c>
      <c r="H117">
        <f>sulawesi!AB91</f>
        <v>0.71443656925267518</v>
      </c>
      <c r="I117">
        <f>sulawesi!AC91</f>
        <v>0.33338206724098357</v>
      </c>
      <c r="J117">
        <f>sulawesi!AD91</f>
        <v>5.1477540010918803</v>
      </c>
      <c r="K117">
        <f>sulawesi!AE91</f>
        <v>15.473980305507277</v>
      </c>
      <c r="L117">
        <f>sulawesi!AF91</f>
        <v>1.0006556694789082E-2</v>
      </c>
      <c r="M117">
        <f>sulawesi!AG91</f>
        <v>0</v>
      </c>
      <c r="N117">
        <f>sulawesi!AH91</f>
        <v>0</v>
      </c>
      <c r="O117">
        <f>sulawesi!AI91</f>
        <v>0</v>
      </c>
      <c r="P117">
        <f>sulawesi!AJ91</f>
        <v>234.15081075164485</v>
      </c>
    </row>
    <row r="118" spans="1:16" x14ac:dyDescent="0.25">
      <c r="A118" t="str">
        <f>sulawesi!U92</f>
        <v>SULAWESI</v>
      </c>
      <c r="B118">
        <f>sulawesi!V92</f>
        <v>2035</v>
      </c>
      <c r="C118">
        <f>sulawesi!W92</f>
        <v>109.43807303660392</v>
      </c>
      <c r="D118">
        <f>sulawesi!X92</f>
        <v>5.6044701338875003</v>
      </c>
      <c r="E118">
        <f>sulawesi!Y92</f>
        <v>55.148883510363149</v>
      </c>
      <c r="F118">
        <f>sulawesi!Z92</f>
        <v>38.197001166766782</v>
      </c>
      <c r="G118">
        <f>sulawesi!AA92</f>
        <v>11.974623507692305</v>
      </c>
      <c r="H118">
        <f>sulawesi!AB92</f>
        <v>0.71443656925267518</v>
      </c>
      <c r="I118">
        <f>sulawesi!AC92</f>
        <v>0.33338206724098357</v>
      </c>
      <c r="J118">
        <f>sulawesi!AD92</f>
        <v>5.7270944765945684</v>
      </c>
      <c r="K118">
        <f>sulawesi!AE92</f>
        <v>16.670356407118224</v>
      </c>
      <c r="L118">
        <f>sulawesi!AF92</f>
        <v>1.0006556694789082E-2</v>
      </c>
      <c r="M118">
        <f>sulawesi!AG92</f>
        <v>0</v>
      </c>
      <c r="N118">
        <f>sulawesi!AH92</f>
        <v>0</v>
      </c>
      <c r="O118">
        <f>sulawesi!AI92</f>
        <v>0</v>
      </c>
      <c r="P118">
        <f>sulawesi!AJ92</f>
        <v>243.81832743221491</v>
      </c>
    </row>
    <row r="119" spans="1:16" x14ac:dyDescent="0.25">
      <c r="A119" t="str">
        <f>sulawesi!U93</f>
        <v>SULAWESI</v>
      </c>
      <c r="B119">
        <f>sulawesi!V93</f>
        <v>2036</v>
      </c>
      <c r="C119">
        <f>sulawesi!W93</f>
        <v>114.13792695605177</v>
      </c>
      <c r="D119">
        <f>sulawesi!X93</f>
        <v>5.6044701338875003</v>
      </c>
      <c r="E119">
        <f>sulawesi!Y93</f>
        <v>58.309449961113259</v>
      </c>
      <c r="F119">
        <f>sulawesi!Z93</f>
        <v>39.321504103432524</v>
      </c>
      <c r="G119">
        <f>sulawesi!AA93</f>
        <v>11.974623507692305</v>
      </c>
      <c r="H119">
        <f>sulawesi!AB93</f>
        <v>0.71443656925267518</v>
      </c>
      <c r="I119">
        <f>sulawesi!AC93</f>
        <v>0.33338206724098357</v>
      </c>
      <c r="J119">
        <f>sulawesi!AD93</f>
        <v>6.3939735163705942</v>
      </c>
      <c r="K119">
        <f>sulawesi!AE93</f>
        <v>18.009892229376312</v>
      </c>
      <c r="L119">
        <f>sulawesi!AF93</f>
        <v>1.0006556694789082E-2</v>
      </c>
      <c r="M119">
        <f>sulawesi!AG93</f>
        <v>0</v>
      </c>
      <c r="N119">
        <f>sulawesi!AH93</f>
        <v>0</v>
      </c>
      <c r="O119">
        <f>sulawesi!AI93</f>
        <v>0</v>
      </c>
      <c r="P119">
        <f>sulawesi!AJ93</f>
        <v>254.80966560111273</v>
      </c>
    </row>
    <row r="120" spans="1:16" x14ac:dyDescent="0.25">
      <c r="A120" t="str">
        <f>sulawesi!U94</f>
        <v>SULAWESI</v>
      </c>
      <c r="B120">
        <f>sulawesi!V94</f>
        <v>2037</v>
      </c>
      <c r="C120">
        <f>sulawesi!W94</f>
        <v>119.11824995834351</v>
      </c>
      <c r="D120">
        <f>sulawesi!X94</f>
        <v>5.6044701338875003</v>
      </c>
      <c r="E120">
        <f>sulawesi!Y94</f>
        <v>61.678129508459904</v>
      </c>
      <c r="F120">
        <f>sulawesi!Z94</f>
        <v>40.507947173285608</v>
      </c>
      <c r="G120">
        <f>sulawesi!AA94</f>
        <v>11.974623507692305</v>
      </c>
      <c r="H120">
        <f>sulawesi!AB94</f>
        <v>0.71443656925267518</v>
      </c>
      <c r="I120">
        <f>sulawesi!AC94</f>
        <v>0.33338206724098357</v>
      </c>
      <c r="J120">
        <f>sulawesi!AD94</f>
        <v>7.1425456765056943</v>
      </c>
      <c r="K120">
        <f>sulawesi!AE94</f>
        <v>19.431888659663628</v>
      </c>
      <c r="L120">
        <f>sulawesi!AF94</f>
        <v>1.0006556694789082E-2</v>
      </c>
      <c r="M120">
        <f>sulawesi!AG94</f>
        <v>0</v>
      </c>
      <c r="N120">
        <f>sulawesi!AH94</f>
        <v>0</v>
      </c>
      <c r="O120">
        <f>sulawesi!AI94</f>
        <v>0</v>
      </c>
      <c r="P120">
        <f>sulawesi!AJ94</f>
        <v>266.51567981102664</v>
      </c>
    </row>
    <row r="121" spans="1:16" x14ac:dyDescent="0.25">
      <c r="A121" t="str">
        <f>sulawesi!U95</f>
        <v>SULAWESI</v>
      </c>
      <c r="B121">
        <f>sulawesi!V95</f>
        <v>2038</v>
      </c>
      <c r="C121">
        <f>sulawesi!W95</f>
        <v>125.02368299672266</v>
      </c>
      <c r="D121">
        <f>sulawesi!X95</f>
        <v>5.6044701338875003</v>
      </c>
      <c r="E121">
        <f>sulawesi!Y95</f>
        <v>65.610057311475146</v>
      </c>
      <c r="F121">
        <f>sulawesi!Z95</f>
        <v>41.969985019442412</v>
      </c>
      <c r="G121">
        <f>sulawesi!AA95</f>
        <v>11.974623507692305</v>
      </c>
      <c r="H121">
        <f>sulawesi!AB95</f>
        <v>0.71443656925267518</v>
      </c>
      <c r="I121">
        <f>sulawesi!AC95</f>
        <v>0.33338206724098357</v>
      </c>
      <c r="J121">
        <f>sulawesi!AD95</f>
        <v>8.023466260819557</v>
      </c>
      <c r="K121">
        <f>sulawesi!AE95</f>
        <v>21.080953447194705</v>
      </c>
      <c r="L121">
        <f>sulawesi!AF95</f>
        <v>1.0006556694789082E-2</v>
      </c>
      <c r="M121">
        <f>sulawesi!AG95</f>
        <v>0</v>
      </c>
      <c r="N121">
        <f>sulawesi!AH95</f>
        <v>0</v>
      </c>
      <c r="O121">
        <f>sulawesi!AI95</f>
        <v>0</v>
      </c>
      <c r="P121">
        <f>sulawesi!AJ95</f>
        <v>280.34506387042273</v>
      </c>
    </row>
    <row r="122" spans="1:16" x14ac:dyDescent="0.25">
      <c r="A122" t="str">
        <f>maluku_papua!U76</f>
        <v>MALUKU_PAPUA</v>
      </c>
      <c r="B122">
        <f>maluku_papua!V76</f>
        <v>2019</v>
      </c>
      <c r="C122">
        <f>maluku_papua!W76</f>
        <v>7.7255935845517234</v>
      </c>
      <c r="D122">
        <f>maluku_papua!X76</f>
        <v>7.7645749137023712E-2</v>
      </c>
      <c r="E122">
        <f>maluku_papua!Y76</f>
        <v>0</v>
      </c>
      <c r="F122">
        <f>maluku_papua!Z76</f>
        <v>18.860341047883345</v>
      </c>
      <c r="G122">
        <f>maluku_papua!AA76</f>
        <v>0</v>
      </c>
      <c r="H122">
        <f>maluku_papua!AB76</f>
        <v>2.5057269695222695E-2</v>
      </c>
      <c r="I122">
        <f>maluku_papua!AC76</f>
        <v>0</v>
      </c>
      <c r="J122">
        <f>maluku_papua!AD76</f>
        <v>3.5658512064000003E-2</v>
      </c>
      <c r="K122">
        <f>maluku_papua!AE76</f>
        <v>0</v>
      </c>
      <c r="L122">
        <f>maluku_papua!AF76</f>
        <v>0</v>
      </c>
      <c r="M122">
        <f>maluku_papua!AG76</f>
        <v>0</v>
      </c>
      <c r="N122">
        <f>maluku_papua!AH76</f>
        <v>0</v>
      </c>
      <c r="O122">
        <f>maluku_papua!AI76</f>
        <v>0</v>
      </c>
      <c r="P122">
        <f>maluku_papua!AJ76</f>
        <v>26.724296163331314</v>
      </c>
    </row>
    <row r="123" spans="1:16" x14ac:dyDescent="0.25">
      <c r="A123" t="str">
        <f>maluku_papua!U77</f>
        <v>MALUKU_PAPUA</v>
      </c>
      <c r="B123">
        <f>maluku_papua!V77</f>
        <v>2020</v>
      </c>
      <c r="C123">
        <f>maluku_papua!W77</f>
        <v>7.7255935845517234</v>
      </c>
      <c r="D123">
        <f>maluku_papua!X77</f>
        <v>7.764572972558649E-2</v>
      </c>
      <c r="E123">
        <f>maluku_papua!Y77</f>
        <v>1.7482779379303739</v>
      </c>
      <c r="F123">
        <f>maluku_papua!Z77</f>
        <v>18.860341047883345</v>
      </c>
      <c r="G123">
        <f>maluku_papua!AA77</f>
        <v>0</v>
      </c>
      <c r="H123">
        <f>maluku_papua!AB77</f>
        <v>2.5057269695222695E-2</v>
      </c>
      <c r="I123">
        <f>maluku_papua!AC77</f>
        <v>0</v>
      </c>
      <c r="J123">
        <f>maluku_papua!AD77</f>
        <v>3.5658506501049604E-2</v>
      </c>
      <c r="K123">
        <f>maluku_papua!AE77</f>
        <v>0</v>
      </c>
      <c r="L123">
        <f>maluku_papua!AF77</f>
        <v>0</v>
      </c>
      <c r="M123">
        <f>maluku_papua!AG77</f>
        <v>-3.1799999999974103E-10</v>
      </c>
      <c r="N123">
        <f>maluku_papua!AH77</f>
        <v>0</v>
      </c>
      <c r="O123">
        <f>maluku_papua!AI77</f>
        <v>0</v>
      </c>
      <c r="P123">
        <f>maluku_papua!AJ77</f>
        <v>28.472574075969298</v>
      </c>
    </row>
    <row r="124" spans="1:16" x14ac:dyDescent="0.25">
      <c r="A124" t="str">
        <f>maluku_papua!U78</f>
        <v>MALUKU_PAPUA</v>
      </c>
      <c r="B124">
        <f>maluku_papua!V78</f>
        <v>2021</v>
      </c>
      <c r="C124">
        <f>maluku_papua!W78</f>
        <v>7.7255935845517234</v>
      </c>
      <c r="D124">
        <f>maluku_papua!X78</f>
        <v>7.7645710314149213E-2</v>
      </c>
      <c r="E124">
        <f>maluku_papua!Y78</f>
        <v>3.6136904960964924</v>
      </c>
      <c r="F124">
        <f>maluku_papua!Z78</f>
        <v>18.860341047883345</v>
      </c>
      <c r="G124">
        <f>maluku_papua!AA78</f>
        <v>-5.0359533384001375E-16</v>
      </c>
      <c r="H124">
        <f>maluku_papua!AB78</f>
        <v>2.5057694830569251E-2</v>
      </c>
      <c r="I124">
        <f>maluku_papua!AC78</f>
        <v>0.4022579961808404</v>
      </c>
      <c r="J124">
        <f>maluku_papua!AD78</f>
        <v>1.8945034469519422</v>
      </c>
      <c r="K124">
        <f>maluku_papua!AE78</f>
        <v>0.16743687999772933</v>
      </c>
      <c r="L124">
        <f>maluku_papua!AF78</f>
        <v>0</v>
      </c>
      <c r="M124">
        <f>maluku_papua!AG78</f>
        <v>2.315459421425059E-4</v>
      </c>
      <c r="N124">
        <f>maluku_papua!AH78</f>
        <v>0</v>
      </c>
      <c r="O124">
        <f>maluku_papua!AI78</f>
        <v>0</v>
      </c>
      <c r="P124">
        <f>maluku_papua!AJ78</f>
        <v>32.766758402748934</v>
      </c>
    </row>
    <row r="125" spans="1:16" x14ac:dyDescent="0.25">
      <c r="A125" t="str">
        <f>maluku_papua!U79</f>
        <v>MALUKU_PAPUA</v>
      </c>
      <c r="B125">
        <f>maluku_papua!V79</f>
        <v>2022</v>
      </c>
      <c r="C125">
        <f>maluku_papua!W79</f>
        <v>8.2617901974370351</v>
      </c>
      <c r="D125">
        <f>maluku_papua!X79</f>
        <v>7.7645690902711992E-2</v>
      </c>
      <c r="E125">
        <f>maluku_papua!Y79</f>
        <v>5.0191516028776588</v>
      </c>
      <c r="F125">
        <f>maluku_papua!Z79</f>
        <v>18.860341047883345</v>
      </c>
      <c r="G125">
        <f>maluku_papua!AA79</f>
        <v>0</v>
      </c>
      <c r="H125">
        <f>maluku_papua!AB79</f>
        <v>4.1513852279048503E-2</v>
      </c>
      <c r="I125">
        <f>maluku_papua!AC79</f>
        <v>0.56987496059908471</v>
      </c>
      <c r="J125">
        <f>maluku_papua!AD79</f>
        <v>1.939625379481952</v>
      </c>
      <c r="K125">
        <f>maluku_papua!AE79</f>
        <v>0.22852598815054617</v>
      </c>
      <c r="L125">
        <f>maluku_papua!AF79</f>
        <v>0</v>
      </c>
      <c r="M125">
        <f>maluku_papua!AG79</f>
        <v>2.6638691443523366E-4</v>
      </c>
      <c r="N125">
        <f>maluku_papua!AH79</f>
        <v>0</v>
      </c>
      <c r="O125">
        <f>maluku_papua!AI79</f>
        <v>0</v>
      </c>
      <c r="P125">
        <f>maluku_papua!AJ79</f>
        <v>34.998735106525814</v>
      </c>
    </row>
    <row r="126" spans="1:16" x14ac:dyDescent="0.25">
      <c r="A126" t="str">
        <f>maluku_papua!U80</f>
        <v>MALUKU_PAPUA</v>
      </c>
      <c r="B126">
        <f>maluku_papua!V80</f>
        <v>2023</v>
      </c>
      <c r="C126">
        <f>maluku_papua!W80</f>
        <v>9.708208695999538</v>
      </c>
      <c r="D126">
        <f>maluku_papua!X80</f>
        <v>7.7645690902711992E-2</v>
      </c>
      <c r="E126">
        <f>maluku_papua!Y80</f>
        <v>5.565012890422536</v>
      </c>
      <c r="F126">
        <f>maluku_papua!Z80</f>
        <v>18.860341047883345</v>
      </c>
      <c r="G126">
        <f>maluku_papua!AA80</f>
        <v>-5.0359542892970732E-16</v>
      </c>
      <c r="H126">
        <f>maluku_papua!AB80</f>
        <v>4.1966730624038648E-2</v>
      </c>
      <c r="I126">
        <f>maluku_papua!AC80</f>
        <v>0.56989343578120744</v>
      </c>
      <c r="J126">
        <f>maluku_papua!AD80</f>
        <v>1.975194439134033</v>
      </c>
      <c r="K126">
        <f>maluku_papua!AE80</f>
        <v>0.69653422616067795</v>
      </c>
      <c r="L126">
        <f>maluku_papua!AF80</f>
        <v>0</v>
      </c>
      <c r="M126">
        <f>maluku_papua!AG80</f>
        <v>2.7156817682323593E-4</v>
      </c>
      <c r="N126">
        <f>maluku_papua!AH80</f>
        <v>0</v>
      </c>
      <c r="O126">
        <f>maluku_papua!AI80</f>
        <v>0</v>
      </c>
      <c r="P126">
        <f>maluku_papua!AJ80</f>
        <v>37.49506872508492</v>
      </c>
    </row>
    <row r="127" spans="1:16" x14ac:dyDescent="0.25">
      <c r="A127" t="str">
        <f>maluku_papua!U81</f>
        <v>MALUKU_PAPUA</v>
      </c>
      <c r="B127">
        <f>maluku_papua!V81</f>
        <v>2024</v>
      </c>
      <c r="C127">
        <f>maluku_papua!W81</f>
        <v>11.223765549601186</v>
      </c>
      <c r="D127">
        <f>maluku_papua!X81</f>
        <v>7.7645671491274701E-2</v>
      </c>
      <c r="E127">
        <f>maluku_papua!Y81</f>
        <v>6.1777428756385708</v>
      </c>
      <c r="F127">
        <f>maluku_papua!Z81</f>
        <v>18.860341047883345</v>
      </c>
      <c r="G127">
        <f>maluku_papua!AA81</f>
        <v>-2.3066666550178955E-8</v>
      </c>
      <c r="H127">
        <f>maluku_papua!AB81</f>
        <v>5.3136596131692894E-2</v>
      </c>
      <c r="I127">
        <f>maluku_papua!AC81</f>
        <v>0.83848082278722913</v>
      </c>
      <c r="J127">
        <f>maluku_papua!AD81</f>
        <v>1.975194439134033</v>
      </c>
      <c r="K127">
        <f>maluku_papua!AE81</f>
        <v>0.73274729715789788</v>
      </c>
      <c r="L127">
        <f>maluku_papua!AF81</f>
        <v>0</v>
      </c>
      <c r="M127">
        <f>maluku_papua!AG81</f>
        <v>2.7156817682323593E-4</v>
      </c>
      <c r="N127">
        <f>maluku_papua!AH81</f>
        <v>0</v>
      </c>
      <c r="O127">
        <f>maluku_papua!AI81</f>
        <v>0</v>
      </c>
      <c r="P127">
        <f>maluku_papua!AJ81</f>
        <v>39.939325844935382</v>
      </c>
    </row>
    <row r="128" spans="1:16" x14ac:dyDescent="0.25">
      <c r="A128" t="str">
        <f>maluku_papua!U82</f>
        <v>MALUKU_PAPUA</v>
      </c>
      <c r="B128">
        <f>maluku_papua!V82</f>
        <v>2025</v>
      </c>
      <c r="C128">
        <f>maluku_papua!W82</f>
        <v>12.808593743947036</v>
      </c>
      <c r="D128">
        <f>maluku_papua!X82</f>
        <v>7.7645652079837452E-2</v>
      </c>
      <c r="E128">
        <f>maluku_papua!Y82</f>
        <v>6.866730035376241</v>
      </c>
      <c r="F128">
        <f>maluku_papua!Z82</f>
        <v>18.860341047883345</v>
      </c>
      <c r="G128">
        <f>maluku_papua!AA82</f>
        <v>-2.3066666550178955E-8</v>
      </c>
      <c r="H128">
        <f>maluku_papua!AB82</f>
        <v>0.10289084564265531</v>
      </c>
      <c r="I128">
        <f>maluku_papua!AC82</f>
        <v>0.87271124283869472</v>
      </c>
      <c r="J128">
        <f>maluku_papua!AD82</f>
        <v>2.1075551850911527</v>
      </c>
      <c r="K128">
        <f>maluku_papua!AE82</f>
        <v>0.86999304535872279</v>
      </c>
      <c r="L128">
        <f>maluku_papua!AF82</f>
        <v>0</v>
      </c>
      <c r="M128">
        <f>maluku_papua!AG82</f>
        <v>2.7158251024633529E-4</v>
      </c>
      <c r="N128">
        <f>maluku_papua!AH82</f>
        <v>0</v>
      </c>
      <c r="O128">
        <f>maluku_papua!AI82</f>
        <v>0</v>
      </c>
      <c r="P128">
        <f>maluku_papua!AJ82</f>
        <v>42.566732357661266</v>
      </c>
    </row>
    <row r="129" spans="1:16" x14ac:dyDescent="0.25">
      <c r="A129" t="str">
        <f>maluku_papua!U83</f>
        <v>MALUKU_PAPUA</v>
      </c>
      <c r="B129">
        <f>maluku_papua!V83</f>
        <v>2026</v>
      </c>
      <c r="C129">
        <f>maluku_papua!W83</f>
        <v>14.635962202789795</v>
      </c>
      <c r="D129">
        <f>maluku_papua!X83</f>
        <v>7.7645652079837452E-2</v>
      </c>
      <c r="E129">
        <f>maluku_papua!Y83</f>
        <v>7.4531283989215362</v>
      </c>
      <c r="F129">
        <f>maluku_papua!Z83</f>
        <v>18.860341047883345</v>
      </c>
      <c r="G129">
        <f>maluku_papua!AA83</f>
        <v>0</v>
      </c>
      <c r="H129">
        <f>maluku_papua!AB83</f>
        <v>0.11536022654926267</v>
      </c>
      <c r="I129">
        <f>maluku_papua!AC83</f>
        <v>0.97350805714489619</v>
      </c>
      <c r="J129">
        <f>maluku_papua!AD83</f>
        <v>2.1356995120141464</v>
      </c>
      <c r="K129">
        <f>maluku_papua!AE83</f>
        <v>0.91435792543086947</v>
      </c>
      <c r="L129">
        <f>maluku_papua!AF83</f>
        <v>0</v>
      </c>
      <c r="M129">
        <f>maluku_papua!AG83</f>
        <v>3.228548895988833E-4</v>
      </c>
      <c r="N129">
        <f>maluku_papua!AH83</f>
        <v>0</v>
      </c>
      <c r="O129">
        <f>maluku_papua!AI83</f>
        <v>0</v>
      </c>
      <c r="P129">
        <f>maluku_papua!AJ83</f>
        <v>45.166325877703287</v>
      </c>
    </row>
    <row r="130" spans="1:16" x14ac:dyDescent="0.25">
      <c r="A130" t="str">
        <f>maluku_papua!U84</f>
        <v>MALUKU_PAPUA</v>
      </c>
      <c r="B130">
        <f>maluku_papua!V84</f>
        <v>2027</v>
      </c>
      <c r="C130">
        <f>maluku_papua!W84</f>
        <v>16.57359056119309</v>
      </c>
      <c r="D130">
        <f>maluku_papua!X84</f>
        <v>7.7645632668400161E-2</v>
      </c>
      <c r="E130">
        <f>maluku_papua!Y84</f>
        <v>8.092095786974534</v>
      </c>
      <c r="F130">
        <f>maluku_papua!Z84</f>
        <v>18.860341047883345</v>
      </c>
      <c r="G130">
        <f>maluku_papua!AA84</f>
        <v>-2.3066666578363639E-8</v>
      </c>
      <c r="H130">
        <f>maluku_papua!AB84</f>
        <v>0.12774817144778794</v>
      </c>
      <c r="I130">
        <f>maluku_papua!AC84</f>
        <v>1.0927274080761256</v>
      </c>
      <c r="J130">
        <f>maluku_papua!AD84</f>
        <v>2.1556917668590936</v>
      </c>
      <c r="K130">
        <f>maluku_papua!AE84</f>
        <v>0.96076345839241406</v>
      </c>
      <c r="L130">
        <f>maluku_papua!AF84</f>
        <v>0</v>
      </c>
      <c r="M130">
        <f>maluku_papua!AG84</f>
        <v>3.6970128426833072E-4</v>
      </c>
      <c r="N130">
        <f>maluku_papua!AH84</f>
        <v>0</v>
      </c>
      <c r="O130">
        <f>maluku_papua!AI84</f>
        <v>0</v>
      </c>
      <c r="P130">
        <f>maluku_papua!AJ84</f>
        <v>47.940973511712386</v>
      </c>
    </row>
    <row r="131" spans="1:16" x14ac:dyDescent="0.25">
      <c r="A131" t="str">
        <f>maluku_papua!U85</f>
        <v>MALUKU_PAPUA</v>
      </c>
      <c r="B131">
        <f>maluku_papua!V85</f>
        <v>2028</v>
      </c>
      <c r="C131">
        <f>maluku_papua!W85</f>
        <v>18.627620945236373</v>
      </c>
      <c r="D131">
        <f>maluku_papua!X85</f>
        <v>7.7645613256962884E-2</v>
      </c>
      <c r="E131">
        <f>maluku_papua!Y85</f>
        <v>8.7885127864265584</v>
      </c>
      <c r="F131">
        <f>maluku_papua!Z85</f>
        <v>18.860341047883345</v>
      </c>
      <c r="G131">
        <f>maluku_papua!AA85</f>
        <v>-5.035954210055661E-16</v>
      </c>
      <c r="H131">
        <f>maluku_papua!AB85</f>
        <v>0.12774817144778794</v>
      </c>
      <c r="I131">
        <f>maluku_papua!AC85</f>
        <v>1.0927274027489673</v>
      </c>
      <c r="J131">
        <f>maluku_papua!AD85</f>
        <v>2.231203877276855</v>
      </c>
      <c r="K131">
        <f>maluku_papua!AE85</f>
        <v>1.3000066611588346</v>
      </c>
      <c r="L131">
        <f>maluku_papua!AF85</f>
        <v>0</v>
      </c>
      <c r="M131">
        <f>maluku_papua!AG85</f>
        <v>4.2604102465063667E-4</v>
      </c>
      <c r="N131">
        <f>maluku_papua!AH85</f>
        <v>0</v>
      </c>
      <c r="O131">
        <f>maluku_papua!AI85</f>
        <v>0</v>
      </c>
      <c r="P131">
        <f>maluku_papua!AJ85</f>
        <v>51.10623254646034</v>
      </c>
    </row>
    <row r="132" spans="1:16" x14ac:dyDescent="0.25">
      <c r="A132" t="str">
        <f>maluku_papua!U86</f>
        <v>MALUKU_PAPUA</v>
      </c>
      <c r="B132">
        <f>maluku_papua!V86</f>
        <v>2029</v>
      </c>
      <c r="C132">
        <f>maluku_papua!W86</f>
        <v>20.804509631892508</v>
      </c>
      <c r="D132">
        <f>maluku_papua!X86</f>
        <v>7.7645593845525607E-2</v>
      </c>
      <c r="E132">
        <f>maluku_papua!Y86</f>
        <v>9.5476932214546828</v>
      </c>
      <c r="F132">
        <f>maluku_papua!Z86</f>
        <v>18.860341047883345</v>
      </c>
      <c r="G132">
        <f>maluku_papua!AA86</f>
        <v>-5.035954210055661E-16</v>
      </c>
      <c r="H132">
        <f>maluku_papua!AB86</f>
        <v>0.13926585005903819</v>
      </c>
      <c r="I132">
        <f>maluku_papua!AC86</f>
        <v>1.2570242412061023</v>
      </c>
      <c r="J132">
        <f>maluku_papua!AD86</f>
        <v>2.2509687852772715</v>
      </c>
      <c r="K132">
        <f>maluku_papua!AE86</f>
        <v>1.3420621838906373</v>
      </c>
      <c r="L132">
        <f>maluku_papua!AF86</f>
        <v>0</v>
      </c>
      <c r="M132">
        <f>maluku_papua!AG86</f>
        <v>5.2922619196902395E-4</v>
      </c>
      <c r="N132">
        <f>maluku_papua!AH86</f>
        <v>0</v>
      </c>
      <c r="O132">
        <f>maluku_papua!AI86</f>
        <v>0</v>
      </c>
      <c r="P132">
        <f>maluku_papua!AJ86</f>
        <v>54.280039781701092</v>
      </c>
    </row>
    <row r="133" spans="1:16" x14ac:dyDescent="0.25">
      <c r="A133" t="str">
        <f>maluku_papua!U87</f>
        <v>MALUKU_PAPUA</v>
      </c>
      <c r="B133">
        <f>maluku_papua!V87</f>
        <v>2030</v>
      </c>
      <c r="C133">
        <f>maluku_papua!W87</f>
        <v>23.111010525997866</v>
      </c>
      <c r="D133">
        <f>maluku_papua!X87</f>
        <v>7.7645593845525607E-2</v>
      </c>
      <c r="E133">
        <f>maluku_papua!Y87</f>
        <v>10.375454137351515</v>
      </c>
      <c r="F133">
        <f>maluku_papua!Z87</f>
        <v>18.860341047883345</v>
      </c>
      <c r="G133">
        <f>maluku_papua!AA87</f>
        <v>0</v>
      </c>
      <c r="H133">
        <f>maluku_papua!AB87</f>
        <v>0.1556637882896193</v>
      </c>
      <c r="I133">
        <f>maluku_papua!AC87</f>
        <v>1.401086963234945</v>
      </c>
      <c r="J133">
        <f>maluku_papua!AD87</f>
        <v>2.2961540607419582</v>
      </c>
      <c r="K133">
        <f>maluku_papua!AE87</f>
        <v>1.4029596487120821</v>
      </c>
      <c r="L133">
        <f>maluku_papua!AF87</f>
        <v>0</v>
      </c>
      <c r="M133">
        <f>maluku_papua!AG87</f>
        <v>5.2922619196902395E-4</v>
      </c>
      <c r="N133">
        <f>maluku_papua!AH87</f>
        <v>0</v>
      </c>
      <c r="O133">
        <f>maluku_papua!AI87</f>
        <v>0</v>
      </c>
      <c r="P133">
        <f>maluku_papua!AJ87</f>
        <v>57.680844992248829</v>
      </c>
    </row>
    <row r="134" spans="1:16" x14ac:dyDescent="0.25">
      <c r="A134" t="str">
        <f>maluku_papua!U88</f>
        <v>MALUKU_PAPUA</v>
      </c>
      <c r="B134">
        <f>maluku_papua!V88</f>
        <v>2031</v>
      </c>
      <c r="C134">
        <f>maluku_papua!W88</f>
        <v>25.554193093924482</v>
      </c>
      <c r="D134">
        <f>maluku_papua!X88</f>
        <v>7.7645593845525607E-2</v>
      </c>
      <c r="E134">
        <f>maluku_papua!Y88</f>
        <v>11.278151751489947</v>
      </c>
      <c r="F134">
        <f>maluku_papua!Z88</f>
        <v>18.860341047883345</v>
      </c>
      <c r="G134">
        <f>maluku_papua!AA88</f>
        <v>-2.3066666578363639E-8</v>
      </c>
      <c r="H134">
        <f>maluku_papua!AB88</f>
        <v>0.17755742459760332</v>
      </c>
      <c r="I134">
        <f>maluku_papua!AC88</f>
        <v>1.5149149948668073</v>
      </c>
      <c r="J134">
        <f>maluku_papua!AD88</f>
        <v>2.304755012563573</v>
      </c>
      <c r="K134">
        <f>maluku_papua!AE88</f>
        <v>1.5269708597109446</v>
      </c>
      <c r="L134">
        <f>maluku_papua!AF88</f>
        <v>0</v>
      </c>
      <c r="M134">
        <f>maluku_papua!AG88</f>
        <v>5.2922619196902395E-4</v>
      </c>
      <c r="N134">
        <f>maluku_papua!AH88</f>
        <v>0</v>
      </c>
      <c r="O134">
        <f>maluku_papua!AI88</f>
        <v>0</v>
      </c>
      <c r="P134">
        <f>maluku_papua!AJ88</f>
        <v>61.295058982007532</v>
      </c>
    </row>
    <row r="135" spans="1:16" x14ac:dyDescent="0.25">
      <c r="A135" t="str">
        <f>maluku_papua!U89</f>
        <v>MALUKU_PAPUA</v>
      </c>
      <c r="B135">
        <f>maluku_papua!V89</f>
        <v>2032</v>
      </c>
      <c r="C135">
        <f>maluku_papua!W89</f>
        <v>28.141447919597674</v>
      </c>
      <c r="D135">
        <f>maluku_papua!X89</f>
        <v>7.7645593845525607E-2</v>
      </c>
      <c r="E135">
        <f>maluku_papua!Y89</f>
        <v>12.262734519029143</v>
      </c>
      <c r="F135">
        <f>maluku_papua!Z89</f>
        <v>18.860341047883345</v>
      </c>
      <c r="G135">
        <f>maluku_papua!AA89</f>
        <v>-2.3066666578363639E-8</v>
      </c>
      <c r="H135">
        <f>maluku_papua!AB89</f>
        <v>0.19733288632183976</v>
      </c>
      <c r="I135">
        <f>maluku_papua!AC89</f>
        <v>1.6818844986446266</v>
      </c>
      <c r="J135">
        <f>maluku_papua!AD89</f>
        <v>2.3589731872926083</v>
      </c>
      <c r="K135">
        <f>maluku_papua!AE89</f>
        <v>1.6003828366758357</v>
      </c>
      <c r="L135">
        <f>maluku_papua!AF89</f>
        <v>0</v>
      </c>
      <c r="M135">
        <f>maluku_papua!AG89</f>
        <v>6.3733875595525335E-4</v>
      </c>
      <c r="N135">
        <f>maluku_papua!AH89</f>
        <v>0</v>
      </c>
      <c r="O135">
        <f>maluku_papua!AI89</f>
        <v>0</v>
      </c>
      <c r="P135">
        <f>maluku_papua!AJ89</f>
        <v>65.181379804979883</v>
      </c>
    </row>
    <row r="136" spans="1:16" x14ac:dyDescent="0.25">
      <c r="A136" t="str">
        <f>maluku_papua!U90</f>
        <v>MALUKU_PAPUA</v>
      </c>
      <c r="B136">
        <f>maluku_papua!V90</f>
        <v>2033</v>
      </c>
      <c r="C136">
        <f>maluku_papua!W90</f>
        <v>30.880493771542913</v>
      </c>
      <c r="D136">
        <f>maluku_papua!X90</f>
        <v>7.7645574434088357E-2</v>
      </c>
      <c r="E136">
        <f>maluku_papua!Y90</f>
        <v>13.336798631731622</v>
      </c>
      <c r="F136">
        <f>maluku_papua!Z90</f>
        <v>18.860341047883345</v>
      </c>
      <c r="G136">
        <f>maluku_papua!AA90</f>
        <v>0</v>
      </c>
      <c r="H136">
        <f>maluku_papua!AB90</f>
        <v>0.19745289004866179</v>
      </c>
      <c r="I136">
        <f>maluku_papua!AC90</f>
        <v>1.8039193685523485</v>
      </c>
      <c r="J136">
        <f>maluku_papua!AD90</f>
        <v>2.7913995975878798</v>
      </c>
      <c r="K136">
        <f>maluku_papua!AE90</f>
        <v>1.7621152704482206</v>
      </c>
      <c r="L136">
        <f>maluku_papua!AF90</f>
        <v>0</v>
      </c>
      <c r="M136">
        <f>maluku_papua!AG90</f>
        <v>6.3733875595525335E-4</v>
      </c>
      <c r="N136">
        <f>maluku_papua!AH90</f>
        <v>0</v>
      </c>
      <c r="O136">
        <f>maluku_papua!AI90</f>
        <v>0</v>
      </c>
      <c r="P136">
        <f>maluku_papua!AJ90</f>
        <v>69.710803490985029</v>
      </c>
    </row>
    <row r="137" spans="1:16" x14ac:dyDescent="0.25">
      <c r="A137" t="str">
        <f>maluku_papua!U91</f>
        <v>MALUKU_PAPUA</v>
      </c>
      <c r="B137">
        <f>maluku_papua!V91</f>
        <v>2034</v>
      </c>
      <c r="C137">
        <f>maluku_papua!W91</f>
        <v>33.779382488878596</v>
      </c>
      <c r="D137">
        <f>maluku_papua!X91</f>
        <v>7.7645574434088357E-2</v>
      </c>
      <c r="E137">
        <f>maluku_papua!Y91</f>
        <v>14.508650003938246</v>
      </c>
      <c r="F137">
        <f>maluku_papua!Z91</f>
        <v>18.860341047883345</v>
      </c>
      <c r="G137">
        <f>maluku_papua!AA91</f>
        <v>-5.0359544874006022E-16</v>
      </c>
      <c r="H137">
        <f>maluku_papua!AB91</f>
        <v>0.21910298374289155</v>
      </c>
      <c r="I137">
        <f>maluku_papua!AC91</f>
        <v>2.0257249934861137</v>
      </c>
      <c r="J137">
        <f>maluku_papua!AD91</f>
        <v>2.8424097830525508</v>
      </c>
      <c r="K137">
        <f>maluku_papua!AE91</f>
        <v>1.8297707508926491</v>
      </c>
      <c r="L137">
        <f>maluku_papua!AF91</f>
        <v>0</v>
      </c>
      <c r="M137">
        <f>maluku_papua!AG91</f>
        <v>6.4188092725494172E-4</v>
      </c>
      <c r="N137">
        <f>maluku_papua!AH91</f>
        <v>0</v>
      </c>
      <c r="O137">
        <f>maluku_papua!AI91</f>
        <v>0</v>
      </c>
      <c r="P137">
        <f>maluku_papua!AJ91</f>
        <v>74.143669507235728</v>
      </c>
    </row>
    <row r="138" spans="1:16" x14ac:dyDescent="0.25">
      <c r="A138" t="str">
        <f>maluku_papua!U92</f>
        <v>MALUKU_PAPUA</v>
      </c>
      <c r="B138">
        <f>maluku_papua!V92</f>
        <v>2035</v>
      </c>
      <c r="C138">
        <f>maluku_papua!W92</f>
        <v>36.930560427085354</v>
      </c>
      <c r="D138">
        <f>maluku_papua!X92</f>
        <v>7.7645555022651122E-2</v>
      </c>
      <c r="E138">
        <f>maluku_papua!Y92</f>
        <v>15.69567408842128</v>
      </c>
      <c r="F138">
        <f>maluku_papua!Z92</f>
        <v>18.860341047883345</v>
      </c>
      <c r="G138">
        <f>maluku_papua!AA92</f>
        <v>-2.3066666284288924E-8</v>
      </c>
      <c r="H138">
        <f>maluku_papua!AB92</f>
        <v>0.27535412543506843</v>
      </c>
      <c r="I138">
        <f>maluku_papua!AC92</f>
        <v>2.0267904197897249</v>
      </c>
      <c r="J138">
        <f>maluku_papua!AD92</f>
        <v>3.310213199530962</v>
      </c>
      <c r="K138">
        <f>maluku_papua!AE92</f>
        <v>1.8301765212744003</v>
      </c>
      <c r="L138">
        <f>maluku_papua!AF92</f>
        <v>0</v>
      </c>
      <c r="M138">
        <f>maluku_papua!AG92</f>
        <v>8.1457920423823479E-4</v>
      </c>
      <c r="N138">
        <f>maluku_papua!AH92</f>
        <v>0</v>
      </c>
      <c r="O138">
        <f>maluku_papua!AI92</f>
        <v>0</v>
      </c>
      <c r="P138">
        <f>maluku_papua!AJ92</f>
        <v>79.007569940580353</v>
      </c>
    </row>
    <row r="139" spans="1:16" x14ac:dyDescent="0.25">
      <c r="A139" t="str">
        <f>maluku_papua!U93</f>
        <v>MALUKU_PAPUA</v>
      </c>
      <c r="B139">
        <f>maluku_papua!V93</f>
        <v>2036</v>
      </c>
      <c r="C139">
        <f>maluku_papua!W93</f>
        <v>39.855814612527986</v>
      </c>
      <c r="D139">
        <f>maluku_papua!X93</f>
        <v>7.7645555022651122E-2</v>
      </c>
      <c r="E139">
        <f>maluku_papua!Y93</f>
        <v>17.439007230988981</v>
      </c>
      <c r="F139">
        <f>maluku_papua!Z93</f>
        <v>18.860341047883345</v>
      </c>
      <c r="G139">
        <f>maluku_papua!AA93</f>
        <v>-5.0359547251248339E-16</v>
      </c>
      <c r="H139">
        <f>maluku_papua!AB93</f>
        <v>0.27538081265915476</v>
      </c>
      <c r="I139">
        <f>maluku_papua!AC93</f>
        <v>2.636391663935155</v>
      </c>
      <c r="J139">
        <f>maluku_papua!AD93</f>
        <v>3.5028763089475285</v>
      </c>
      <c r="K139">
        <f>maluku_papua!AE93</f>
        <v>1.9436627350706928</v>
      </c>
      <c r="L139">
        <f>maluku_papua!AF93</f>
        <v>0</v>
      </c>
      <c r="M139">
        <f>maluku_papua!AG93</f>
        <v>8.1457920423823479E-4</v>
      </c>
      <c r="N139">
        <f>maluku_papua!AH93</f>
        <v>0</v>
      </c>
      <c r="O139">
        <f>maluku_papua!AI93</f>
        <v>0</v>
      </c>
      <c r="P139">
        <f>maluku_papua!AJ93</f>
        <v>84.591934546239713</v>
      </c>
    </row>
    <row r="140" spans="1:16" x14ac:dyDescent="0.25">
      <c r="A140" t="str">
        <f>maluku_papua!U94</f>
        <v>MALUKU_PAPUA</v>
      </c>
      <c r="B140">
        <f>maluku_papua!V94</f>
        <v>2037</v>
      </c>
      <c r="C140">
        <f>maluku_papua!W94</f>
        <v>42.998474060474898</v>
      </c>
      <c r="D140">
        <f>maluku_papua!X94</f>
        <v>7.7645535611213873E-2</v>
      </c>
      <c r="E140">
        <f>maluku_papua!Y94</f>
        <v>19.275784226714382</v>
      </c>
      <c r="F140">
        <f>maluku_papua!Z94</f>
        <v>18.860341047883345</v>
      </c>
      <c r="G140">
        <f>maluku_papua!AA94</f>
        <v>0</v>
      </c>
      <c r="H140">
        <f>maluku_papua!AB94</f>
        <v>0.29971960668902065</v>
      </c>
      <c r="I140">
        <f>maluku_papua!AC94</f>
        <v>3.2650878600687276</v>
      </c>
      <c r="J140">
        <f>maluku_papua!AD94</f>
        <v>3.5696119219961151</v>
      </c>
      <c r="K140">
        <f>maluku_papua!AE94</f>
        <v>2.0340140315712527</v>
      </c>
      <c r="L140">
        <f>maluku_papua!AF94</f>
        <v>0</v>
      </c>
      <c r="M140">
        <f>maluku_papua!AG94</f>
        <v>9.8860918939151603E-4</v>
      </c>
      <c r="N140">
        <f>maluku_papua!AH94</f>
        <v>0</v>
      </c>
      <c r="O140">
        <f>maluku_papua!AI94</f>
        <v>0</v>
      </c>
      <c r="P140">
        <f>maluku_papua!AJ94</f>
        <v>90.38166690019834</v>
      </c>
    </row>
    <row r="141" spans="1:16" x14ac:dyDescent="0.25">
      <c r="A141" t="str">
        <f>maluku_papua!U95</f>
        <v>MALUKU_PAPUA</v>
      </c>
      <c r="B141">
        <f>maluku_papua!V95</f>
        <v>2038</v>
      </c>
      <c r="C141">
        <f>maluku_papua!W95</f>
        <v>44.052284360115323</v>
      </c>
      <c r="D141">
        <f>maluku_papua!X95</f>
        <v>7.7645535611213873E-2</v>
      </c>
      <c r="E141">
        <f>maluku_papua!Y95</f>
        <v>20.226372607660842</v>
      </c>
      <c r="F141">
        <f>maluku_papua!Z95</f>
        <v>20.206104743666476</v>
      </c>
      <c r="G141">
        <f>maluku_papua!AA95</f>
        <v>0</v>
      </c>
      <c r="H141">
        <f>maluku_papua!AB95</f>
        <v>0.29971960668902065</v>
      </c>
      <c r="I141">
        <f>maluku_papua!AC95</f>
        <v>3.2650878600687276</v>
      </c>
      <c r="J141">
        <f>maluku_papua!AD95</f>
        <v>3.5696119219961151</v>
      </c>
      <c r="K141">
        <f>maluku_papua!AE95</f>
        <v>2.0340140315712527</v>
      </c>
      <c r="L141">
        <f>maluku_papua!AF95</f>
        <v>0</v>
      </c>
      <c r="M141">
        <f>maluku_papua!AG95</f>
        <v>9.8860918939151603E-4</v>
      </c>
      <c r="N141">
        <f>maluku_papua!AH95</f>
        <v>0</v>
      </c>
      <c r="O141">
        <f>maluku_papua!AI95</f>
        <v>0</v>
      </c>
      <c r="P141">
        <f>maluku_papua!AJ95</f>
        <v>93.731829276568362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B5B3-212B-4120-8634-C32234C7E02B}">
  <sheetPr codeName="Sheet23"/>
  <dimension ref="A1:M23"/>
  <sheetViews>
    <sheetView workbookViewId="0">
      <selection activeCell="F11" sqref="F11"/>
    </sheetView>
  </sheetViews>
  <sheetFormatPr defaultRowHeight="15" x14ac:dyDescent="0.25"/>
  <cols>
    <col min="1" max="1" width="15.85546875" bestFit="1" customWidth="1"/>
    <col min="2" max="2" width="9.85546875" customWidth="1"/>
    <col min="3" max="3" width="13.28515625" bestFit="1" customWidth="1"/>
    <col min="4" max="4" width="10.5703125" customWidth="1"/>
    <col min="5" max="5" width="11" customWidth="1"/>
    <col min="6" max="6" width="11" bestFit="1" customWidth="1"/>
    <col min="7" max="7" width="10.42578125" customWidth="1"/>
    <col min="8" max="8" width="9.42578125" customWidth="1"/>
    <col min="9" max="9" width="11.42578125" customWidth="1"/>
    <col min="10" max="10" width="9.42578125" customWidth="1"/>
    <col min="11" max="11" width="10.28515625" bestFit="1" customWidth="1"/>
    <col min="13" max="13" width="20.42578125" bestFit="1" customWidth="1"/>
  </cols>
  <sheetData>
    <row r="1" spans="1:13" x14ac:dyDescent="0.25">
      <c r="A1" t="str">
        <f>los_pj!A1</f>
        <v>region</v>
      </c>
      <c r="B1" t="str">
        <f>los_pj!B1</f>
        <v>year</v>
      </c>
      <c r="C1" t="s">
        <v>186</v>
      </c>
      <c r="D1" t="s">
        <v>187</v>
      </c>
      <c r="E1" t="s">
        <v>184</v>
      </c>
      <c r="F1" t="s">
        <v>185</v>
      </c>
      <c r="G1" t="s">
        <v>190</v>
      </c>
      <c r="H1" t="s">
        <v>191</v>
      </c>
      <c r="I1" t="s">
        <v>192</v>
      </c>
      <c r="J1" t="s">
        <v>193</v>
      </c>
      <c r="K1" t="s">
        <v>188</v>
      </c>
      <c r="L1" t="s">
        <v>189</v>
      </c>
    </row>
    <row r="2" spans="1:13" x14ac:dyDescent="0.25">
      <c r="A2" t="str">
        <f>los_pj!A2</f>
        <v>INDONESIA</v>
      </c>
      <c r="B2">
        <f>los_pj!B2</f>
        <v>2019</v>
      </c>
      <c r="C2" s="46">
        <f>indonesia!R28</f>
        <v>289000</v>
      </c>
      <c r="D2">
        <f>sup_gwh!P2</f>
        <v>288481.95413730969</v>
      </c>
      <c r="E2" s="48">
        <v>0</v>
      </c>
      <c r="F2" s="48">
        <f>indonesia!AK52</f>
        <v>0</v>
      </c>
      <c r="G2" s="48">
        <f>indonesia!AW28</f>
        <v>0.57920200343878903</v>
      </c>
      <c r="H2" s="49">
        <f>sup_gwh!C2/sup_gwh!P2</f>
        <v>0.57920200343878914</v>
      </c>
      <c r="I2" s="49">
        <f>indonesia!AX28</f>
        <v>0.19239999999999999</v>
      </c>
      <c r="J2" s="49">
        <f>SUM(sup_gwh!E2)/sup_gwh!P2</f>
        <v>0.11056688471933251</v>
      </c>
      <c r="K2" s="48">
        <f>indonesia!AZ28</f>
        <v>0.1166</v>
      </c>
      <c r="L2" s="49">
        <f>SUM(sup_gwh!G2:N2)/sup_gwh!P2</f>
        <v>0.13706590447710765</v>
      </c>
    </row>
    <row r="3" spans="1:13" x14ac:dyDescent="0.25">
      <c r="A3" t="str">
        <f>los_pj!A3</f>
        <v>INDONESIA</v>
      </c>
      <c r="B3">
        <f>los_pj!B3</f>
        <v>2020</v>
      </c>
      <c r="C3" s="46">
        <f>indonesia!R29</f>
        <v>315000</v>
      </c>
      <c r="D3">
        <f>sup_gwh!P3</f>
        <v>331798.60581918608</v>
      </c>
      <c r="E3" s="48">
        <f>indonesia!AL53</f>
        <v>5.2999999999999999E-2</v>
      </c>
      <c r="F3" s="48">
        <f>indonesia!AK53</f>
        <v>4.9615822629553989E-2</v>
      </c>
      <c r="G3" s="48">
        <f>indonesia!AW29</f>
        <v>0.5326683361989909</v>
      </c>
      <c r="H3" s="49">
        <f>sup_gwh!C3/sup_gwh!P3</f>
        <v>0.53417642387162045</v>
      </c>
      <c r="I3" s="49">
        <f>indonesia!AX29</f>
        <v>0.19699999999999998</v>
      </c>
      <c r="J3" s="49">
        <f>SUM(sup_gwh!D3:E3)/sup_gwh!P3</f>
        <v>0.17707970724940494</v>
      </c>
      <c r="K3" s="48">
        <f>indonesia!AZ29</f>
        <v>0.13550000000000001</v>
      </c>
      <c r="L3" s="49">
        <f>SUM(sup_gwh!G3:N3)/sup_gwh!P3</f>
        <v>0.18898835690515556</v>
      </c>
      <c r="M3" s="49"/>
    </row>
    <row r="4" spans="1:13" x14ac:dyDescent="0.25">
      <c r="A4" t="str">
        <f>los_pj!A4</f>
        <v>INDONESIA</v>
      </c>
      <c r="B4">
        <f>los_pj!B4</f>
        <v>2021</v>
      </c>
      <c r="C4" s="46">
        <f>indonesia!R30</f>
        <v>355000</v>
      </c>
      <c r="D4">
        <f>sup_gwh!P4</f>
        <v>365370.24231165095</v>
      </c>
      <c r="E4" s="48">
        <f>indonesia!AL54</f>
        <v>5.2999999999999999E-2</v>
      </c>
      <c r="F4" s="48">
        <f>indonesia!AK54</f>
        <v>5.3000000176934098E-2</v>
      </c>
      <c r="G4" s="48">
        <f>indonesia!AW30</f>
        <v>0.48613466895919266</v>
      </c>
      <c r="H4" s="49">
        <f>sup_gwh!C4/sup_gwh!P4</f>
        <v>0.48856842792507232</v>
      </c>
      <c r="I4" s="49">
        <f>indonesia!AX30</f>
        <v>0.2016</v>
      </c>
      <c r="J4" s="49">
        <f>SUM(sup_gwh!D4:E4)/sup_gwh!P4</f>
        <v>0.2390865852599568</v>
      </c>
      <c r="K4" s="48">
        <f>indonesia!AZ30</f>
        <v>0.15440000000000001</v>
      </c>
      <c r="L4" s="49">
        <f>SUM(sup_gwh!G4:N4)/sup_gwh!P4</f>
        <v>0.18164171010655727</v>
      </c>
      <c r="M4" s="49"/>
    </row>
    <row r="5" spans="1:13" x14ac:dyDescent="0.25">
      <c r="A5" t="str">
        <f>los_pj!A5</f>
        <v>INDONESIA</v>
      </c>
      <c r="B5">
        <f>los_pj!B5</f>
        <v>2022</v>
      </c>
      <c r="C5" s="46">
        <f>indonesia!R31</f>
        <v>375000</v>
      </c>
      <c r="D5">
        <f>sup_gwh!P5</f>
        <v>387668.83450695174</v>
      </c>
      <c r="E5" s="48">
        <f>indonesia!AL55</f>
        <v>5.2999999999999999E-2</v>
      </c>
      <c r="F5" s="48">
        <f>indonesia!AK55</f>
        <v>3.2423813067900938E-2</v>
      </c>
      <c r="G5" s="48">
        <f>indonesia!AW31</f>
        <v>0.43960100171939454</v>
      </c>
      <c r="H5" s="49">
        <f>sup_gwh!C5/sup_gwh!P5</f>
        <v>0.46400100506854025</v>
      </c>
      <c r="I5" s="49">
        <f>indonesia!AX31</f>
        <v>0.20619999999999999</v>
      </c>
      <c r="J5" s="49">
        <f>SUM(sup_gwh!D5:E5)/sup_gwh!P5</f>
        <v>0.26577613492780872</v>
      </c>
      <c r="K5" s="48">
        <f>indonesia!AZ31</f>
        <v>0.17330000000000001</v>
      </c>
      <c r="L5" s="49">
        <f>SUM(sup_gwh!G5:N5)/sup_gwh!P5</f>
        <v>0.18356740712989003</v>
      </c>
      <c r="M5" s="49"/>
    </row>
    <row r="6" spans="1:13" x14ac:dyDescent="0.25">
      <c r="A6" t="str">
        <f>los_pj!A6</f>
        <v>INDONESIA</v>
      </c>
      <c r="B6">
        <f>los_pj!B6</f>
        <v>2023</v>
      </c>
      <c r="C6" s="46">
        <f>indonesia!R32</f>
        <v>399000</v>
      </c>
      <c r="D6">
        <f>sup_gwh!P6</f>
        <v>411694.03174282023</v>
      </c>
      <c r="E6" s="48">
        <f>indonesia!AL56</f>
        <v>5.2999999999999999E-2</v>
      </c>
      <c r="F6" s="48">
        <f>indonesia!AK56</f>
        <v>2.244995999356306E-2</v>
      </c>
      <c r="G6" s="48">
        <f>indonesia!AW32</f>
        <v>0.3930673344795963</v>
      </c>
      <c r="H6" s="49">
        <f>sup_gwh!C6/sup_gwh!P6</f>
        <v>0.43818128950460128</v>
      </c>
      <c r="I6" s="49">
        <f>indonesia!AX32</f>
        <v>0.21079999999999999</v>
      </c>
      <c r="J6" s="49">
        <f>SUM(sup_gwh!D6:E6)/sup_gwh!P6</f>
        <v>0.27873910453499545</v>
      </c>
      <c r="K6" s="48">
        <f>indonesia!AZ32</f>
        <v>0.19220000000000001</v>
      </c>
      <c r="L6" s="49">
        <f>SUM(sup_gwh!G6:N6)/sup_gwh!P6</f>
        <v>0.19376267502381669</v>
      </c>
      <c r="M6" s="49"/>
    </row>
    <row r="7" spans="1:13" x14ac:dyDescent="0.25">
      <c r="A7" t="str">
        <f>los_pj!A7</f>
        <v>INDONESIA</v>
      </c>
      <c r="B7">
        <f>los_pj!B7</f>
        <v>2024</v>
      </c>
      <c r="C7" s="46">
        <f>indonesia!R33</f>
        <v>429000</v>
      </c>
      <c r="D7">
        <f>sup_gwh!P7</f>
        <v>438344.66291493434</v>
      </c>
      <c r="E7" s="48">
        <f>indonesia!AL57</f>
        <v>5.2999999999999999E-2</v>
      </c>
      <c r="F7" s="48">
        <f>indonesia!AK57</f>
        <v>2.8785947707297265E-2</v>
      </c>
      <c r="G7" s="48">
        <f>indonesia!AW33</f>
        <v>0.34653366723979817</v>
      </c>
      <c r="H7" s="49">
        <f>sup_gwh!C7/sup_gwh!P7</f>
        <v>0.41232491481655614</v>
      </c>
      <c r="I7" s="49">
        <f>indonesia!AX33</f>
        <v>0.21540000000000001</v>
      </c>
      <c r="J7" s="49">
        <f>SUM(sup_gwh!D7:E7)/sup_gwh!P7</f>
        <v>0.28784183226835514</v>
      </c>
      <c r="K7" s="48">
        <f>indonesia!AZ33</f>
        <v>0.21110000000000001</v>
      </c>
      <c r="L7" s="49">
        <f>SUM(sup_gwh!G7:N7)/sup_gwh!P7</f>
        <v>0.21210449942460854</v>
      </c>
      <c r="M7" s="49"/>
    </row>
    <row r="8" spans="1:13" x14ac:dyDescent="0.25">
      <c r="A8" t="str">
        <f>los_pj!A8</f>
        <v>INDONESIA</v>
      </c>
      <c r="B8">
        <f>los_pj!B8</f>
        <v>2025</v>
      </c>
      <c r="C8" s="46">
        <f>indonesia!R34</f>
        <v>460000</v>
      </c>
      <c r="D8">
        <f>sup_gwh!P8</f>
        <v>465365.71606553259</v>
      </c>
      <c r="E8" s="48">
        <f>indonesia!AL58</f>
        <v>5.2999999999999999E-2</v>
      </c>
      <c r="F8" s="48">
        <f>indonesia!AK58</f>
        <v>2.7387964062466505E-2</v>
      </c>
      <c r="G8" s="48">
        <f>indonesia!AW34</f>
        <v>0.3</v>
      </c>
      <c r="H8" s="49">
        <f>sup_gwh!C8/sup_gwh!P8</f>
        <v>0.39033007166114458</v>
      </c>
      <c r="I8" s="49">
        <f>indonesia!AX34</f>
        <v>0.22</v>
      </c>
      <c r="J8" s="49">
        <f>SUM(sup_gwh!D8:E8)/sup_gwh!P8</f>
        <v>0.29265526364183408</v>
      </c>
      <c r="K8" s="48">
        <f>indonesia!AZ34</f>
        <v>0.23</v>
      </c>
      <c r="L8" s="49">
        <f>SUM(sup_gwh!G8:N8)/sup_gwh!P8</f>
        <v>0.23069392924031276</v>
      </c>
      <c r="M8" s="49"/>
    </row>
    <row r="9" spans="1:13" x14ac:dyDescent="0.25">
      <c r="A9" t="str">
        <f>los_pj!A9</f>
        <v>INDONESIA</v>
      </c>
      <c r="B9">
        <f>los_pj!B9</f>
        <v>2026</v>
      </c>
      <c r="C9" s="46">
        <f>indonesia!R35</f>
        <v>499000</v>
      </c>
      <c r="D9">
        <f>sup_gwh!P9</f>
        <v>498102.2575200735</v>
      </c>
      <c r="E9" s="48">
        <f>indonesia!AL59</f>
        <v>5.2999999999999999E-2</v>
      </c>
      <c r="F9" s="48">
        <f>indonesia!AK59</f>
        <v>4.7139893108704374E-2</v>
      </c>
      <c r="G9" s="48">
        <f>indonesia!AW35</f>
        <v>0.29799999999999999</v>
      </c>
      <c r="H9" s="49">
        <f>sup_gwh!C9/sup_gwh!P9</f>
        <v>0.3713861173019401</v>
      </c>
      <c r="I9" s="49">
        <f>indonesia!AX35</f>
        <v>0.22459999999999999</v>
      </c>
      <c r="J9" s="49">
        <f>SUM(sup_gwh!D9:E9)/sup_gwh!P9</f>
        <v>0.30668712151491118</v>
      </c>
      <c r="K9" s="48">
        <f>indonesia!AZ35</f>
        <v>0.23320000000000002</v>
      </c>
      <c r="L9" s="49">
        <f>SUM(sup_gwh!G9:N9)/sup_gwh!P9</f>
        <v>0.24060891451036839</v>
      </c>
      <c r="M9" s="49"/>
    </row>
    <row r="10" spans="1:13" x14ac:dyDescent="0.25">
      <c r="A10" t="str">
        <f>los_pj!A10</f>
        <v>INDONESIA</v>
      </c>
      <c r="B10">
        <f>los_pj!B10</f>
        <v>2027</v>
      </c>
      <c r="C10" s="46">
        <f>indonesia!R36</f>
        <v>543000</v>
      </c>
      <c r="D10">
        <f>sup_gwh!P10</f>
        <v>534586.22131401114</v>
      </c>
      <c r="E10" s="48">
        <f>indonesia!AL60</f>
        <v>5.2999999999999999E-2</v>
      </c>
      <c r="F10" s="48">
        <f>indonesia!AK60</f>
        <v>5.0652006418483518E-2</v>
      </c>
      <c r="G10" s="48">
        <f>indonesia!AW36</f>
        <v>0.29599999999999999</v>
      </c>
      <c r="H10" s="49">
        <f>sup_gwh!C10/sup_gwh!P10</f>
        <v>0.3532367182673779</v>
      </c>
      <c r="I10" s="49">
        <f>indonesia!AX36</f>
        <v>0.22920000000000001</v>
      </c>
      <c r="J10" s="49">
        <f>SUM(sup_gwh!D10:E10)/sup_gwh!P10</f>
        <v>0.31767717150005964</v>
      </c>
      <c r="K10" s="48">
        <f>indonesia!AZ36</f>
        <v>0.2364</v>
      </c>
      <c r="L10" s="49">
        <f>SUM(sup_gwh!G10:N10)/sup_gwh!P10</f>
        <v>0.25240088485777634</v>
      </c>
      <c r="M10" s="49"/>
    </row>
    <row r="11" spans="1:13" x14ac:dyDescent="0.25">
      <c r="A11" t="str">
        <f>los_pj!A11</f>
        <v>INDONESIA</v>
      </c>
      <c r="B11">
        <f>los_pj!B11</f>
        <v>2028</v>
      </c>
      <c r="C11" s="46">
        <f>indonesia!R37</f>
        <v>573000</v>
      </c>
      <c r="D11">
        <f>sup_gwh!P11</f>
        <v>565282.36854227015</v>
      </c>
      <c r="E11" s="48">
        <f>indonesia!AL61</f>
        <v>5.2999999999999999E-2</v>
      </c>
      <c r="F11" s="48">
        <f>indonesia!AK61</f>
        <v>3.1470340151126874E-2</v>
      </c>
      <c r="G11" s="48">
        <f>indonesia!AW37</f>
        <v>0.29399999999999998</v>
      </c>
      <c r="H11" s="49">
        <f>sup_gwh!C11/sup_gwh!P11</f>
        <v>0.33901920796583501</v>
      </c>
      <c r="I11" s="49">
        <f>indonesia!AX37</f>
        <v>0.23380000000000001</v>
      </c>
      <c r="J11" s="49">
        <f>SUM(sup_gwh!D11:E11)/sup_gwh!P11</f>
        <v>0.33548786595605079</v>
      </c>
      <c r="K11" s="48">
        <f>indonesia!AZ37</f>
        <v>0.23960000000000001</v>
      </c>
      <c r="L11" s="49">
        <f>SUM(sup_gwh!G11:N11)/sup_gwh!P11</f>
        <v>0.25201403850021969</v>
      </c>
      <c r="M11" s="49"/>
    </row>
    <row r="12" spans="1:13" x14ac:dyDescent="0.25">
      <c r="A12" t="str">
        <f>los_pj!A12</f>
        <v>INDONESIA</v>
      </c>
      <c r="B12">
        <f>los_pj!B12</f>
        <v>2029</v>
      </c>
      <c r="C12" s="46">
        <f>indonesia!R38</f>
        <v>606000</v>
      </c>
      <c r="D12">
        <f>sup_gwh!P12</f>
        <v>597955.62367109058</v>
      </c>
      <c r="E12" s="48">
        <f>indonesia!AL62</f>
        <v>5.2999999999999999E-2</v>
      </c>
      <c r="F12" s="48">
        <f>indonesia!AK62</f>
        <v>4.2141268033697533E-2</v>
      </c>
      <c r="G12" s="48">
        <f>indonesia!AW38</f>
        <v>0.29199999999999998</v>
      </c>
      <c r="H12" s="49">
        <f>sup_gwh!C12/sup_gwh!P12</f>
        <v>0.32549277640169516</v>
      </c>
      <c r="I12" s="49">
        <f>indonesia!AX38</f>
        <v>0.2384</v>
      </c>
      <c r="J12" s="49">
        <f>SUM(sup_gwh!D12:E12)/sup_gwh!P12</f>
        <v>0.35221669341735434</v>
      </c>
      <c r="K12" s="48">
        <f>indonesia!AZ38</f>
        <v>0.24280000000000002</v>
      </c>
      <c r="L12" s="49">
        <f>SUM(sup_gwh!G12:N12)/sup_gwh!P12</f>
        <v>0.25185996160533208</v>
      </c>
      <c r="M12" s="49"/>
    </row>
    <row r="13" spans="1:13" x14ac:dyDescent="0.25">
      <c r="A13" t="str">
        <f>los_pj!A13</f>
        <v>INDONESIA</v>
      </c>
      <c r="B13">
        <f>los_pj!B13</f>
        <v>2030</v>
      </c>
      <c r="C13" s="46">
        <f>indonesia!R39</f>
        <v>639000</v>
      </c>
      <c r="D13">
        <f>sup_gwh!P13</f>
        <v>631851.67901167599</v>
      </c>
      <c r="E13" s="48">
        <f>indonesia!AL63</f>
        <v>5.2999999999999999E-2</v>
      </c>
      <c r="F13" s="48">
        <f>indonesia!AK63</f>
        <v>4.7610772857946036E-2</v>
      </c>
      <c r="G13" s="48">
        <f>indonesia!AW39</f>
        <v>0.28999999999999998</v>
      </c>
      <c r="H13" s="49">
        <f>sup_gwh!C13/sup_gwh!P13</f>
        <v>0.31289755755218235</v>
      </c>
      <c r="I13" s="49">
        <f>indonesia!AX39</f>
        <v>0.24300000000000002</v>
      </c>
      <c r="J13" s="49">
        <f>SUM(sup_gwh!D13:E13)/sup_gwh!P13</f>
        <v>0.3642424997897189</v>
      </c>
      <c r="K13" s="48">
        <f>indonesia!AZ39</f>
        <v>0.246</v>
      </c>
      <c r="L13" s="49">
        <f>SUM(sup_gwh!G13:N13)/sup_gwh!P13</f>
        <v>0.25530562757401598</v>
      </c>
      <c r="M13" s="49"/>
    </row>
    <row r="14" spans="1:13" x14ac:dyDescent="0.25">
      <c r="A14" t="str">
        <f>los_pj!A14</f>
        <v>INDONESIA</v>
      </c>
      <c r="B14">
        <f>los_pj!B14</f>
        <v>2031</v>
      </c>
      <c r="C14" s="46">
        <f>indonesia!R40</f>
        <v>678000</v>
      </c>
      <c r="D14">
        <f>sup_gwh!P14</f>
        <v>671414.16517116153</v>
      </c>
      <c r="E14" s="48">
        <f>indonesia!AL64</f>
        <v>5.2999999999999999E-2</v>
      </c>
      <c r="F14" s="48">
        <f>indonesia!AK64</f>
        <v>5.3000000025498088E-2</v>
      </c>
      <c r="G14" s="48">
        <f>indonesia!AW40</f>
        <v>0.28799999999999998</v>
      </c>
      <c r="H14" s="49">
        <f>sup_gwh!C14/sup_gwh!P14</f>
        <v>0.29987689612766316</v>
      </c>
      <c r="I14" s="49">
        <f>indonesia!AX40</f>
        <v>0.24760000000000001</v>
      </c>
      <c r="J14" s="49">
        <f>SUM(sup_gwh!D14:E14)/sup_gwh!P14</f>
        <v>0.37971836943310949</v>
      </c>
      <c r="K14" s="48">
        <f>indonesia!AZ40</f>
        <v>0.2492</v>
      </c>
      <c r="L14" s="49">
        <f>SUM(sup_gwh!G14:N14)/sup_gwh!P14</f>
        <v>0.25577680566178956</v>
      </c>
      <c r="M14" s="49"/>
    </row>
    <row r="15" spans="1:13" x14ac:dyDescent="0.25">
      <c r="A15" t="str">
        <f>los_pj!A15</f>
        <v>INDONESIA</v>
      </c>
      <c r="B15">
        <f>los_pj!B15</f>
        <v>2032</v>
      </c>
      <c r="C15" s="46">
        <f>indonesia!R41</f>
        <v>719000</v>
      </c>
      <c r="D15">
        <f>sup_gwh!P15</f>
        <v>713820.40785336774</v>
      </c>
      <c r="E15" s="48">
        <f>indonesia!AL65</f>
        <v>5.2999999999999999E-2</v>
      </c>
      <c r="F15" s="48">
        <f>indonesia!AK65</f>
        <v>5.3000000120405302E-2</v>
      </c>
      <c r="G15" s="48">
        <f>indonesia!AW41</f>
        <v>0.28599999999999998</v>
      </c>
      <c r="H15" s="49">
        <f>sup_gwh!C15/sup_gwh!P15</f>
        <v>0.28809850925848773</v>
      </c>
      <c r="I15" s="49">
        <f>indonesia!AX41</f>
        <v>0.25220000000000004</v>
      </c>
      <c r="J15" s="49">
        <f>SUM(sup_gwh!D15:E15)/sup_gwh!P15</f>
        <v>0.39407482198718113</v>
      </c>
      <c r="K15" s="48">
        <f>indonesia!AZ41</f>
        <v>0.25240000000000001</v>
      </c>
      <c r="L15" s="49">
        <f>SUM(sup_gwh!G15:N15)/sup_gwh!P15</f>
        <v>0.25656412798319655</v>
      </c>
      <c r="M15" s="49"/>
    </row>
    <row r="16" spans="1:13" x14ac:dyDescent="0.25">
      <c r="A16" t="str">
        <f>los_pj!A16</f>
        <v>INDONESIA</v>
      </c>
      <c r="B16">
        <f>los_pj!B16</f>
        <v>2033</v>
      </c>
      <c r="C16" s="46">
        <f>indonesia!R42</f>
        <v>760000</v>
      </c>
      <c r="D16">
        <f>sup_gwh!P16</f>
        <v>755031.35341962078</v>
      </c>
      <c r="E16" s="48">
        <f>indonesia!AL66</f>
        <v>5.2999999999999999E-2</v>
      </c>
      <c r="F16" s="48">
        <f>indonesia!AK66</f>
        <v>5.1790874992672285E-2</v>
      </c>
      <c r="G16" s="48">
        <f>indonesia!AW42</f>
        <v>0.28399999999999997</v>
      </c>
      <c r="H16" s="49">
        <f>sup_gwh!C16/sup_gwh!P16</f>
        <v>0.28354798504363116</v>
      </c>
      <c r="I16" s="49">
        <f>indonesia!AX42</f>
        <v>0.25680000000000003</v>
      </c>
      <c r="J16" s="49">
        <f>SUM(sup_gwh!D16:E16)/sup_gwh!P16</f>
        <v>0.40218008820410567</v>
      </c>
      <c r="K16" s="48">
        <f>indonesia!AZ42</f>
        <v>0.25559999999999999</v>
      </c>
      <c r="L16" s="49">
        <f>SUM(sup_gwh!G16:N16)/sup_gwh!P16</f>
        <v>0.25598776548625785</v>
      </c>
      <c r="M16" s="49"/>
    </row>
    <row r="17" spans="1:13" x14ac:dyDescent="0.25">
      <c r="A17" t="str">
        <f>los_pj!A17</f>
        <v>INDONESIA</v>
      </c>
      <c r="B17">
        <f>los_pj!B17</f>
        <v>2034</v>
      </c>
      <c r="C17" s="46">
        <f>indonesia!R43</f>
        <v>807000</v>
      </c>
      <c r="D17">
        <f>sup_gwh!P17</f>
        <v>803339.22129122273</v>
      </c>
      <c r="E17" s="48">
        <f>indonesia!AL67</f>
        <v>5.2999999999999999E-2</v>
      </c>
      <c r="F17" s="48">
        <f>indonesia!AK67</f>
        <v>5.2999999854726039E-2</v>
      </c>
      <c r="G17" s="48">
        <f>indonesia!AW43</f>
        <v>0.28199999999999997</v>
      </c>
      <c r="H17" s="49">
        <f>sup_gwh!C17/sup_gwh!P17</f>
        <v>0.2852175948993656</v>
      </c>
      <c r="I17" s="49">
        <f>indonesia!AX43</f>
        <v>0.26140000000000002</v>
      </c>
      <c r="J17" s="49">
        <f>SUM(sup_gwh!D17:E17)/sup_gwh!P17</f>
        <v>0.39768025062634671</v>
      </c>
      <c r="K17" s="48">
        <f>indonesia!AZ43</f>
        <v>0.25880000000000003</v>
      </c>
      <c r="L17" s="49">
        <f>SUM(sup_gwh!G17:N17)/sup_gwh!P17</f>
        <v>0.26183112575098821</v>
      </c>
      <c r="M17" s="49"/>
    </row>
    <row r="18" spans="1:13" x14ac:dyDescent="0.25">
      <c r="A18" t="str">
        <f>los_pj!A18</f>
        <v>INDONESIA</v>
      </c>
      <c r="B18">
        <f>los_pj!B18</f>
        <v>2035</v>
      </c>
      <c r="C18" s="46">
        <f>indonesia!R44</f>
        <v>855000</v>
      </c>
      <c r="D18">
        <f>sup_gwh!P18</f>
        <v>851615.50982275128</v>
      </c>
      <c r="E18" s="48">
        <f>indonesia!AL68</f>
        <v>5.2999999999999999E-2</v>
      </c>
      <c r="F18" s="48">
        <f>indonesia!AK68</f>
        <v>5.2999999956741262E-2</v>
      </c>
      <c r="G18" s="48">
        <f>indonesia!AW44</f>
        <v>0.27999999999999997</v>
      </c>
      <c r="H18" s="49">
        <f>sup_gwh!C18/sup_gwh!P18</f>
        <v>0.28001879008575092</v>
      </c>
      <c r="I18" s="49">
        <f>indonesia!AX44</f>
        <v>0.26600000000000001</v>
      </c>
      <c r="J18" s="49">
        <f>SUM(sup_gwh!D18:E18)/sup_gwh!P18</f>
        <v>0.39585214490854403</v>
      </c>
      <c r="K18" s="48">
        <f>indonesia!AZ44</f>
        <v>0.26200000000000001</v>
      </c>
      <c r="L18" s="49">
        <f>SUM(sup_gwh!G18:N18)/sup_gwh!P18</f>
        <v>0.26199995016166383</v>
      </c>
      <c r="M18" s="49"/>
    </row>
    <row r="19" spans="1:13" x14ac:dyDescent="0.25">
      <c r="A19" t="str">
        <f>los_pj!A19</f>
        <v>INDONESIA</v>
      </c>
      <c r="B19">
        <f>los_pj!B19</f>
        <v>2036</v>
      </c>
      <c r="C19" s="46">
        <f>indonesia!R45</f>
        <v>908000</v>
      </c>
      <c r="D19">
        <f>sup_gwh!P19</f>
        <v>906058.32602694375</v>
      </c>
      <c r="E19" s="48">
        <f>indonesia!AL69</f>
        <v>5.2999999999999999E-2</v>
      </c>
      <c r="F19" s="48">
        <f>indonesia!AK69</f>
        <v>5.3000000103046306E-2</v>
      </c>
      <c r="G19" s="48">
        <f>indonesia!AW45</f>
        <v>0.27800000000000002</v>
      </c>
      <c r="H19" s="49">
        <f>sup_gwh!C19/sup_gwh!P19</f>
        <v>0.27800004421892238</v>
      </c>
      <c r="I19" s="49">
        <f>indonesia!AX45</f>
        <v>0.27060000000000001</v>
      </c>
      <c r="J19" s="49">
        <f>SUM(sup_gwh!D19:E19)/sup_gwh!P19</f>
        <v>0.39269347844044933</v>
      </c>
      <c r="K19" s="48">
        <f>indonesia!AZ45</f>
        <v>0.26519999999999999</v>
      </c>
      <c r="L19" s="49">
        <f>SUM(sup_gwh!G19:N19)/sup_gwh!P19</f>
        <v>0.26543392006985672</v>
      </c>
      <c r="M19" s="49"/>
    </row>
    <row r="20" spans="1:13" x14ac:dyDescent="0.25">
      <c r="A20" t="str">
        <f>los_pj!A20</f>
        <v>INDONESIA</v>
      </c>
      <c r="B20">
        <f>los_pj!B20</f>
        <v>2037</v>
      </c>
      <c r="C20" s="46">
        <f>indonesia!R46</f>
        <v>963000</v>
      </c>
      <c r="D20">
        <f>sup_gwh!P20</f>
        <v>962434.21328941919</v>
      </c>
      <c r="E20" s="48">
        <f>indonesia!AL70</f>
        <v>5.2999999999999999E-2</v>
      </c>
      <c r="F20" s="48">
        <f>indonesia!AK70</f>
        <v>5.2999999746950105E-2</v>
      </c>
      <c r="G20" s="48">
        <f>indonesia!AW46</f>
        <v>0.27600000000000002</v>
      </c>
      <c r="H20" s="49">
        <f>sup_gwh!C20/sup_gwh!P20</f>
        <v>0.27600008716252855</v>
      </c>
      <c r="I20" s="49">
        <f>indonesia!AX46</f>
        <v>0.2752</v>
      </c>
      <c r="J20" s="49">
        <f>SUM(sup_gwh!D20:E20)/sup_gwh!P20</f>
        <v>0.39315221733022049</v>
      </c>
      <c r="K20" s="48">
        <f>indonesia!AZ46</f>
        <v>0.26840000000000003</v>
      </c>
      <c r="L20" s="49">
        <f>SUM(sup_gwh!G20:N20)/sup_gwh!P20</f>
        <v>0.26887670878234271</v>
      </c>
      <c r="M20" s="49"/>
    </row>
    <row r="21" spans="1:13" x14ac:dyDescent="0.25">
      <c r="A21" t="str">
        <f>los_pj!A21</f>
        <v>INDONESIA</v>
      </c>
      <c r="B21">
        <f>los_pj!B21</f>
        <v>2038</v>
      </c>
      <c r="C21" s="46">
        <f>indonesia!R47</f>
        <v>1026000</v>
      </c>
      <c r="D21">
        <f>sup_gwh!P21</f>
        <v>1025832.882531887</v>
      </c>
      <c r="E21" s="48">
        <f>indonesia!AL71</f>
        <v>5.2999999999999999E-2</v>
      </c>
      <c r="F21" s="48">
        <f>indonesia!AK71</f>
        <v>5.2999999645400711E-2</v>
      </c>
      <c r="G21" s="48">
        <f>indonesia!AW47</f>
        <v>0.27400000000000002</v>
      </c>
      <c r="H21" s="49">
        <f>sup_gwh!C21/sup_gwh!P21</f>
        <v>0.2740000823656415</v>
      </c>
      <c r="I21" s="49">
        <f>indonesia!AX47</f>
        <v>0.27980000000000005</v>
      </c>
      <c r="J21" s="49">
        <f>SUM(sup_gwh!D21:E21)/sup_gwh!P21</f>
        <v>0.39363645547470472</v>
      </c>
      <c r="K21" s="48">
        <f>indonesia!AZ47</f>
        <v>0.27160000000000001</v>
      </c>
      <c r="L21" s="49">
        <f>SUM(sup_gwh!G21:N21)/sup_gwh!P21</f>
        <v>0.2719257471261407</v>
      </c>
      <c r="M21" s="49"/>
    </row>
    <row r="23" spans="1:13" x14ac:dyDescent="0.25">
      <c r="M23" s="5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sets_indices</vt:lpstr>
      <vt:lpstr>variables</vt:lpstr>
      <vt:lpstr>tech_data</vt:lpstr>
      <vt:lpstr>potential</vt:lpstr>
      <vt:lpstr>existing_capacity</vt:lpstr>
      <vt:lpstr>proj_rukn</vt:lpstr>
      <vt:lpstr>indonesia</vt:lpstr>
      <vt:lpstr>sumatera</vt:lpstr>
      <vt:lpstr>Jawa</vt:lpstr>
      <vt:lpstr>bali_nt</vt:lpstr>
      <vt:lpstr>kalimantan</vt:lpstr>
      <vt:lpstr>sulawesi</vt:lpstr>
      <vt:lpstr>maluku_papua</vt:lpstr>
      <vt:lpstr>cap_mw</vt:lpstr>
      <vt:lpstr>add_cap_mw</vt:lpstr>
      <vt:lpstr>remain_pot</vt:lpstr>
      <vt:lpstr>sup_gwh</vt:lpstr>
      <vt:lpstr>co2_ton</vt:lpstr>
      <vt:lpstr>cost_musd</vt:lpstr>
      <vt:lpstr>prim_pj</vt:lpstr>
      <vt:lpstr>sup_pj</vt:lpstr>
      <vt:lpstr>los_pj</vt:lpstr>
      <vt:lpstr>constraints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Brajamusthi</dc:creator>
  <cp:lastModifiedBy>Anggara Brajamusthi</cp:lastModifiedBy>
  <dcterms:created xsi:type="dcterms:W3CDTF">2021-06-12T02:11:08Z</dcterms:created>
  <dcterms:modified xsi:type="dcterms:W3CDTF">2021-06-27T15:59:55Z</dcterms:modified>
</cp:coreProperties>
</file>